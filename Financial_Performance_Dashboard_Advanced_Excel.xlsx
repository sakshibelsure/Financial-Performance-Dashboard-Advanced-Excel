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ee3d9a09c8dad6d4/Documents/"/>
    </mc:Choice>
  </mc:AlternateContent>
  <xr:revisionPtr revIDLastSave="4515" documentId="8_{20AC2586-B915-4853-A487-513EDA22D17B}" xr6:coauthVersionLast="47" xr6:coauthVersionMax="47" xr10:uidLastSave="{4C89E737-2ABA-41F4-9281-7639AB5F6920}"/>
  <bookViews>
    <workbookView xWindow="3870" yWindow="0" windowWidth="13590" windowHeight="6855" activeTab="4" xr2:uid="{EE04D404-E206-4B88-9F5F-00C44CB23673}"/>
  </bookViews>
  <sheets>
    <sheet name="Raw_Data" sheetId="2" r:id="rId1"/>
    <sheet name="Data Cleaning" sheetId="1" r:id="rId2"/>
    <sheet name="Calculation" sheetId="3" r:id="rId3"/>
    <sheet name="Pivot_Analysis" sheetId="4" r:id="rId4"/>
    <sheet name="Dashboard" sheetId="5" r:id="rId5"/>
  </sheets>
  <definedNames>
    <definedName name="Slicer_Category">#N/A</definedName>
    <definedName name="Slicer_Department">#N/A</definedName>
    <definedName name="Slicer_Month">#N/A</definedName>
    <definedName name="Slicer_Quarter">#N/A</definedName>
    <definedName name="Slicer_Region">#N/A</definedName>
    <definedName name="Slicer_Sub_Category">#N/A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K51" i="3"/>
  <c r="L42" i="3"/>
  <c r="I42" i="3"/>
  <c r="K53" i="5"/>
  <c r="P46" i="5"/>
  <c r="P45" i="5"/>
  <c r="P44" i="5"/>
  <c r="H47" i="5"/>
  <c r="Z2" i="1"/>
  <c r="Z3" i="1"/>
  <c r="AA3" i="1" s="1"/>
  <c r="Z4" i="1"/>
  <c r="AA4" i="1" s="1"/>
  <c r="Z5" i="1"/>
  <c r="AA5" i="1" s="1"/>
  <c r="Z6" i="1"/>
  <c r="AA6" i="1" s="1"/>
  <c r="Z7" i="1"/>
  <c r="AA7" i="1" s="1"/>
  <c r="Z8" i="1"/>
  <c r="AA8" i="1" s="1"/>
  <c r="Z9" i="1"/>
  <c r="AA9" i="1" s="1"/>
  <c r="Z10" i="1"/>
  <c r="Z11" i="1"/>
  <c r="AA11" i="1" s="1"/>
  <c r="Z12" i="1"/>
  <c r="AA12" i="1" s="1"/>
  <c r="Z13" i="1"/>
  <c r="AA13" i="1" s="1"/>
  <c r="Z14" i="1"/>
  <c r="AA14" i="1" s="1"/>
  <c r="Z15" i="1"/>
  <c r="AA15" i="1" s="1"/>
  <c r="Z16" i="1"/>
  <c r="AA16" i="1" s="1"/>
  <c r="Z17" i="1"/>
  <c r="AA17" i="1" s="1"/>
  <c r="Z18" i="1"/>
  <c r="Z19" i="1"/>
  <c r="AA19" i="1" s="1"/>
  <c r="Z20" i="1"/>
  <c r="AA20" i="1" s="1"/>
  <c r="Z21" i="1"/>
  <c r="AA21" i="1" s="1"/>
  <c r="Z22" i="1"/>
  <c r="AA22" i="1" s="1"/>
  <c r="Z23" i="1"/>
  <c r="AA23" i="1" s="1"/>
  <c r="Z24" i="1"/>
  <c r="AA24" i="1" s="1"/>
  <c r="Z25" i="1"/>
  <c r="AA25" i="1" s="1"/>
  <c r="Z26" i="1"/>
  <c r="Z27" i="1"/>
  <c r="AA27" i="1" s="1"/>
  <c r="Z28" i="1"/>
  <c r="AA28" i="1" s="1"/>
  <c r="Z29" i="1"/>
  <c r="AA29" i="1" s="1"/>
  <c r="Z30" i="1"/>
  <c r="AA30" i="1" s="1"/>
  <c r="Z31" i="1"/>
  <c r="AA31" i="1" s="1"/>
  <c r="Z32" i="1"/>
  <c r="AA32" i="1" s="1"/>
  <c r="Z33" i="1"/>
  <c r="AA33" i="1" s="1"/>
  <c r="Z34" i="1"/>
  <c r="Z35" i="1"/>
  <c r="AA35" i="1" s="1"/>
  <c r="Z36" i="1"/>
  <c r="AA36" i="1" s="1"/>
  <c r="Z37" i="1"/>
  <c r="AA37" i="1" s="1"/>
  <c r="Z38" i="1"/>
  <c r="AA38" i="1" s="1"/>
  <c r="Z39" i="1"/>
  <c r="AA39" i="1" s="1"/>
  <c r="Z40" i="1"/>
  <c r="AA40" i="1" s="1"/>
  <c r="Z41" i="1"/>
  <c r="AA41" i="1" s="1"/>
  <c r="Z42" i="1"/>
  <c r="AA42" i="1" s="1"/>
  <c r="Z43" i="1"/>
  <c r="AA43" i="1" s="1"/>
  <c r="Z44" i="1"/>
  <c r="AA44" i="1" s="1"/>
  <c r="Z45" i="1"/>
  <c r="AA45" i="1" s="1"/>
  <c r="Z46" i="1"/>
  <c r="AA46" i="1" s="1"/>
  <c r="Z47" i="1"/>
  <c r="AA47" i="1" s="1"/>
  <c r="Z48" i="1"/>
  <c r="AA48" i="1" s="1"/>
  <c r="Z49" i="1"/>
  <c r="AA49" i="1" s="1"/>
  <c r="Z50" i="1"/>
  <c r="AA50" i="1" s="1"/>
  <c r="Z51" i="1"/>
  <c r="AA51" i="1" s="1"/>
  <c r="Z52" i="1"/>
  <c r="AA52" i="1" s="1"/>
  <c r="Z53" i="1"/>
  <c r="AA53" i="1" s="1"/>
  <c r="Z54" i="1"/>
  <c r="AA54" i="1" s="1"/>
  <c r="Z55" i="1"/>
  <c r="AA55" i="1" s="1"/>
  <c r="Z56" i="1"/>
  <c r="AA56" i="1" s="1"/>
  <c r="Z57" i="1"/>
  <c r="AA57" i="1" s="1"/>
  <c r="Z58" i="1"/>
  <c r="Z59" i="1"/>
  <c r="AA59" i="1" s="1"/>
  <c r="Z60" i="1"/>
  <c r="AA60" i="1" s="1"/>
  <c r="Z61" i="1"/>
  <c r="AA61" i="1" s="1"/>
  <c r="Z62" i="1"/>
  <c r="AA62" i="1" s="1"/>
  <c r="Z63" i="1"/>
  <c r="AA63" i="1" s="1"/>
  <c r="Z64" i="1"/>
  <c r="AA64" i="1" s="1"/>
  <c r="Z65" i="1"/>
  <c r="AA65" i="1" s="1"/>
  <c r="Z66" i="1"/>
  <c r="Z67" i="1"/>
  <c r="AA67" i="1" s="1"/>
  <c r="Z68" i="1"/>
  <c r="AA68" i="1" s="1"/>
  <c r="Z69" i="1"/>
  <c r="AA69" i="1" s="1"/>
  <c r="Z70" i="1"/>
  <c r="AA70" i="1" s="1"/>
  <c r="Z71" i="1"/>
  <c r="AA71" i="1" s="1"/>
  <c r="Z72" i="1"/>
  <c r="AA72" i="1" s="1"/>
  <c r="Z73" i="1"/>
  <c r="AA73" i="1" s="1"/>
  <c r="Z74" i="1"/>
  <c r="Z75" i="1"/>
  <c r="AA75" i="1" s="1"/>
  <c r="Z76" i="1"/>
  <c r="AA76" i="1" s="1"/>
  <c r="Z77" i="1"/>
  <c r="AA77" i="1" s="1"/>
  <c r="Z78" i="1"/>
  <c r="AA78" i="1" s="1"/>
  <c r="Z79" i="1"/>
  <c r="AA79" i="1" s="1"/>
  <c r="Z80" i="1"/>
  <c r="AA80" i="1" s="1"/>
  <c r="Z81" i="1"/>
  <c r="AA81" i="1" s="1"/>
  <c r="Z82" i="1"/>
  <c r="AA82" i="1" s="1"/>
  <c r="Z83" i="1"/>
  <c r="AA83" i="1" s="1"/>
  <c r="Z84" i="1"/>
  <c r="AA84" i="1" s="1"/>
  <c r="Z85" i="1"/>
  <c r="AA85" i="1" s="1"/>
  <c r="Z86" i="1"/>
  <c r="AA86" i="1" s="1"/>
  <c r="Z87" i="1"/>
  <c r="AA87" i="1" s="1"/>
  <c r="Z88" i="1"/>
  <c r="AA88" i="1" s="1"/>
  <c r="Z89" i="1"/>
  <c r="AA89" i="1" s="1"/>
  <c r="Z90" i="1"/>
  <c r="Z91" i="1"/>
  <c r="AA91" i="1" s="1"/>
  <c r="Z92" i="1"/>
  <c r="AA92" i="1" s="1"/>
  <c r="Z93" i="1"/>
  <c r="AA93" i="1" s="1"/>
  <c r="Z94" i="1"/>
  <c r="AA94" i="1" s="1"/>
  <c r="Z95" i="1"/>
  <c r="AA95" i="1" s="1"/>
  <c r="Z96" i="1"/>
  <c r="AA96" i="1" s="1"/>
  <c r="Z97" i="1"/>
  <c r="AA97" i="1" s="1"/>
  <c r="Z98" i="1"/>
  <c r="Z99" i="1"/>
  <c r="AA99" i="1" s="1"/>
  <c r="Z100" i="1"/>
  <c r="AA100" i="1" s="1"/>
  <c r="Z101" i="1"/>
  <c r="AA101" i="1" s="1"/>
  <c r="Z102" i="1"/>
  <c r="AA102" i="1" s="1"/>
  <c r="Z103" i="1"/>
  <c r="AA103" i="1" s="1"/>
  <c r="Z104" i="1"/>
  <c r="AA104" i="1" s="1"/>
  <c r="Z105" i="1"/>
  <c r="AA105" i="1" s="1"/>
  <c r="Z106" i="1"/>
  <c r="AA106" i="1" s="1"/>
  <c r="Z107" i="1"/>
  <c r="AA107" i="1" s="1"/>
  <c r="Z108" i="1"/>
  <c r="AA108" i="1" s="1"/>
  <c r="Z109" i="1"/>
  <c r="AA109" i="1" s="1"/>
  <c r="Z110" i="1"/>
  <c r="AA110" i="1" s="1"/>
  <c r="Z111" i="1"/>
  <c r="AA111" i="1" s="1"/>
  <c r="Z112" i="1"/>
  <c r="AA112" i="1" s="1"/>
  <c r="Z113" i="1"/>
  <c r="AA113" i="1" s="1"/>
  <c r="Z114" i="1"/>
  <c r="AA114" i="1" s="1"/>
  <c r="Z115" i="1"/>
  <c r="AA115" i="1" s="1"/>
  <c r="Z116" i="1"/>
  <c r="AA116" i="1" s="1"/>
  <c r="Z117" i="1"/>
  <c r="AA117" i="1" s="1"/>
  <c r="Z118" i="1"/>
  <c r="AA118" i="1" s="1"/>
  <c r="Z119" i="1"/>
  <c r="AA119" i="1" s="1"/>
  <c r="Z120" i="1"/>
  <c r="AA120" i="1" s="1"/>
  <c r="Z121" i="1"/>
  <c r="AA121" i="1" s="1"/>
  <c r="Z122" i="1"/>
  <c r="Z123" i="1"/>
  <c r="AA123" i="1" s="1"/>
  <c r="Z124" i="1"/>
  <c r="AA124" i="1" s="1"/>
  <c r="Z125" i="1"/>
  <c r="AA125" i="1" s="1"/>
  <c r="Z126" i="1"/>
  <c r="AA126" i="1" s="1"/>
  <c r="Z127" i="1"/>
  <c r="AA127" i="1" s="1"/>
  <c r="Z128" i="1"/>
  <c r="AA128" i="1" s="1"/>
  <c r="Z129" i="1"/>
  <c r="AA129" i="1" s="1"/>
  <c r="Z130" i="1"/>
  <c r="Z131" i="1"/>
  <c r="AA131" i="1" s="1"/>
  <c r="Z132" i="1"/>
  <c r="AA132" i="1" s="1"/>
  <c r="Z133" i="1"/>
  <c r="AA133" i="1" s="1"/>
  <c r="Z134" i="1"/>
  <c r="AA134" i="1" s="1"/>
  <c r="Z135" i="1"/>
  <c r="AA135" i="1" s="1"/>
  <c r="Z136" i="1"/>
  <c r="AA136" i="1" s="1"/>
  <c r="Z137" i="1"/>
  <c r="AA137" i="1" s="1"/>
  <c r="Z138" i="1"/>
  <c r="Z139" i="1"/>
  <c r="AA139" i="1" s="1"/>
  <c r="Z140" i="1"/>
  <c r="AA140" i="1" s="1"/>
  <c r="Z141" i="1"/>
  <c r="AA141" i="1" s="1"/>
  <c r="Z142" i="1"/>
  <c r="AA142" i="1" s="1"/>
  <c r="Z143" i="1"/>
  <c r="AA143" i="1" s="1"/>
  <c r="Z144" i="1"/>
  <c r="AA144" i="1" s="1"/>
  <c r="Z145" i="1"/>
  <c r="AA145" i="1" s="1"/>
  <c r="Z146" i="1"/>
  <c r="Z147" i="1"/>
  <c r="AA147" i="1" s="1"/>
  <c r="Z148" i="1"/>
  <c r="AA148" i="1" s="1"/>
  <c r="Z149" i="1"/>
  <c r="AA149" i="1" s="1"/>
  <c r="Z150" i="1"/>
  <c r="AA150" i="1" s="1"/>
  <c r="Z151" i="1"/>
  <c r="AA151" i="1" s="1"/>
  <c r="Z152" i="1"/>
  <c r="AA152" i="1" s="1"/>
  <c r="Z153" i="1"/>
  <c r="AA153" i="1" s="1"/>
  <c r="Z154" i="1"/>
  <c r="Z155" i="1"/>
  <c r="AA155" i="1" s="1"/>
  <c r="Z156" i="1"/>
  <c r="AA156" i="1" s="1"/>
  <c r="Z157" i="1"/>
  <c r="AA157" i="1" s="1"/>
  <c r="Z158" i="1"/>
  <c r="AA158" i="1" s="1"/>
  <c r="Z159" i="1"/>
  <c r="AA159" i="1" s="1"/>
  <c r="Z160" i="1"/>
  <c r="AA160" i="1" s="1"/>
  <c r="Z161" i="1"/>
  <c r="AA161" i="1" s="1"/>
  <c r="Z162" i="1"/>
  <c r="Z163" i="1"/>
  <c r="AA163" i="1" s="1"/>
  <c r="Z164" i="1"/>
  <c r="AA164" i="1" s="1"/>
  <c r="Z165" i="1"/>
  <c r="AA165" i="1" s="1"/>
  <c r="Z166" i="1"/>
  <c r="AA166" i="1" s="1"/>
  <c r="Z167" i="1"/>
  <c r="AA167" i="1" s="1"/>
  <c r="Z168" i="1"/>
  <c r="AA168" i="1" s="1"/>
  <c r="Z169" i="1"/>
  <c r="AA169" i="1" s="1"/>
  <c r="Z170" i="1"/>
  <c r="Z171" i="1"/>
  <c r="AA171" i="1" s="1"/>
  <c r="Z172" i="1"/>
  <c r="AA172" i="1" s="1"/>
  <c r="Z173" i="1"/>
  <c r="AA173" i="1" s="1"/>
  <c r="Z174" i="1"/>
  <c r="AA174" i="1" s="1"/>
  <c r="Z175" i="1"/>
  <c r="AA175" i="1" s="1"/>
  <c r="Z176" i="1"/>
  <c r="AA176" i="1" s="1"/>
  <c r="Z177" i="1"/>
  <c r="AA177" i="1" s="1"/>
  <c r="Z178" i="1"/>
  <c r="AA178" i="1" s="1"/>
  <c r="Z179" i="1"/>
  <c r="AA179" i="1" s="1"/>
  <c r="Z180" i="1"/>
  <c r="AA180" i="1" s="1"/>
  <c r="Z181" i="1"/>
  <c r="AA181" i="1" s="1"/>
  <c r="Z182" i="1"/>
  <c r="AA182" i="1" s="1"/>
  <c r="Z183" i="1"/>
  <c r="AA183" i="1" s="1"/>
  <c r="Z184" i="1"/>
  <c r="AA184" i="1" s="1"/>
  <c r="Z185" i="1"/>
  <c r="AA185" i="1" s="1"/>
  <c r="Z186" i="1"/>
  <c r="Z187" i="1"/>
  <c r="AA187" i="1" s="1"/>
  <c r="Z188" i="1"/>
  <c r="AA188" i="1" s="1"/>
  <c r="Z189" i="1"/>
  <c r="AA189" i="1" s="1"/>
  <c r="Z190" i="1"/>
  <c r="AA190" i="1" s="1"/>
  <c r="Z191" i="1"/>
  <c r="AA191" i="1" s="1"/>
  <c r="Z192" i="1"/>
  <c r="AA192" i="1" s="1"/>
  <c r="Z193" i="1"/>
  <c r="AA193" i="1" s="1"/>
  <c r="Z194" i="1"/>
  <c r="AA194" i="1" s="1"/>
  <c r="Z195" i="1"/>
  <c r="AA195" i="1" s="1"/>
  <c r="Z196" i="1"/>
  <c r="AA196" i="1" s="1"/>
  <c r="Z197" i="1"/>
  <c r="AA197" i="1" s="1"/>
  <c r="Z198" i="1"/>
  <c r="AA198" i="1" s="1"/>
  <c r="Z199" i="1"/>
  <c r="AA199" i="1" s="1"/>
  <c r="Z200" i="1"/>
  <c r="AA200" i="1" s="1"/>
  <c r="Z201" i="1"/>
  <c r="AA201" i="1" s="1"/>
  <c r="Z202" i="1"/>
  <c r="AA202" i="1" s="1"/>
  <c r="Z203" i="1"/>
  <c r="AA203" i="1" s="1"/>
  <c r="Z204" i="1"/>
  <c r="AA204" i="1" s="1"/>
  <c r="Z205" i="1"/>
  <c r="AA205" i="1" s="1"/>
  <c r="Z206" i="1"/>
  <c r="AA206" i="1" s="1"/>
  <c r="Z207" i="1"/>
  <c r="AA207" i="1" s="1"/>
  <c r="Z208" i="1"/>
  <c r="AA208" i="1" s="1"/>
  <c r="Z209" i="1"/>
  <c r="AA209" i="1" s="1"/>
  <c r="Z210" i="1"/>
  <c r="AA210" i="1" s="1"/>
  <c r="Z211" i="1"/>
  <c r="AA211" i="1" s="1"/>
  <c r="Z212" i="1"/>
  <c r="AA212" i="1" s="1"/>
  <c r="Z213" i="1"/>
  <c r="AA213" i="1" s="1"/>
  <c r="Z214" i="1"/>
  <c r="AA214" i="1" s="1"/>
  <c r="Z215" i="1"/>
  <c r="AA215" i="1" s="1"/>
  <c r="Z216" i="1"/>
  <c r="AA216" i="1" s="1"/>
  <c r="Z217" i="1"/>
  <c r="AA217" i="1" s="1"/>
  <c r="Z218" i="1"/>
  <c r="AA218" i="1" s="1"/>
  <c r="Z219" i="1"/>
  <c r="AA219" i="1" s="1"/>
  <c r="Z220" i="1"/>
  <c r="AA220" i="1" s="1"/>
  <c r="Z221" i="1"/>
  <c r="AA221" i="1" s="1"/>
  <c r="Z222" i="1"/>
  <c r="AA222" i="1" s="1"/>
  <c r="Z223" i="1"/>
  <c r="AA223" i="1" s="1"/>
  <c r="Z224" i="1"/>
  <c r="AA224" i="1" s="1"/>
  <c r="Z225" i="1"/>
  <c r="AA225" i="1" s="1"/>
  <c r="Z226" i="1"/>
  <c r="Z227" i="1"/>
  <c r="AA227" i="1" s="1"/>
  <c r="Z228" i="1"/>
  <c r="AA228" i="1" s="1"/>
  <c r="Z229" i="1"/>
  <c r="AA229" i="1" s="1"/>
  <c r="Z230" i="1"/>
  <c r="AA230" i="1" s="1"/>
  <c r="Z231" i="1"/>
  <c r="AA231" i="1" s="1"/>
  <c r="Z232" i="1"/>
  <c r="AA232" i="1" s="1"/>
  <c r="Z233" i="1"/>
  <c r="AA233" i="1" s="1"/>
  <c r="Z234" i="1"/>
  <c r="AA234" i="1" s="1"/>
  <c r="Z235" i="1"/>
  <c r="AA235" i="1" s="1"/>
  <c r="Z236" i="1"/>
  <c r="AA236" i="1" s="1"/>
  <c r="Z237" i="1"/>
  <c r="AA237" i="1" s="1"/>
  <c r="Z238" i="1"/>
  <c r="AA238" i="1" s="1"/>
  <c r="Z239" i="1"/>
  <c r="AA239" i="1" s="1"/>
  <c r="Z240" i="1"/>
  <c r="AA240" i="1" s="1"/>
  <c r="Z241" i="1"/>
  <c r="AA241" i="1" s="1"/>
  <c r="Z242" i="1"/>
  <c r="AA242" i="1" s="1"/>
  <c r="Z243" i="1"/>
  <c r="AA243" i="1" s="1"/>
  <c r="Z244" i="1"/>
  <c r="AA244" i="1" s="1"/>
  <c r="Z245" i="1"/>
  <c r="AA245" i="1" s="1"/>
  <c r="Z246" i="1"/>
  <c r="AA246" i="1" s="1"/>
  <c r="Z247" i="1"/>
  <c r="AA247" i="1" s="1"/>
  <c r="Z248" i="1"/>
  <c r="AA248" i="1" s="1"/>
  <c r="Z249" i="1"/>
  <c r="AA249" i="1" s="1"/>
  <c r="Z250" i="1"/>
  <c r="Z251" i="1"/>
  <c r="AA251" i="1" s="1"/>
  <c r="Z252" i="1"/>
  <c r="AA252" i="1" s="1"/>
  <c r="Z253" i="1"/>
  <c r="AA253" i="1" s="1"/>
  <c r="Z254" i="1"/>
  <c r="AA254" i="1" s="1"/>
  <c r="Z255" i="1"/>
  <c r="AA255" i="1" s="1"/>
  <c r="Z256" i="1"/>
  <c r="AA256" i="1" s="1"/>
  <c r="Z257" i="1"/>
  <c r="AA257" i="1" s="1"/>
  <c r="Z258" i="1"/>
  <c r="Z259" i="1"/>
  <c r="AA259" i="1" s="1"/>
  <c r="Z260" i="1"/>
  <c r="AA260" i="1" s="1"/>
  <c r="Z261" i="1"/>
  <c r="AA261" i="1" s="1"/>
  <c r="Z262" i="1"/>
  <c r="AA262" i="1" s="1"/>
  <c r="Z263" i="1"/>
  <c r="AA263" i="1" s="1"/>
  <c r="Z264" i="1"/>
  <c r="AA264" i="1" s="1"/>
  <c r="Z265" i="1"/>
  <c r="AA265" i="1" s="1"/>
  <c r="Z266" i="1"/>
  <c r="AA266" i="1" s="1"/>
  <c r="Z267" i="1"/>
  <c r="AA267" i="1" s="1"/>
  <c r="Z268" i="1"/>
  <c r="AA268" i="1" s="1"/>
  <c r="Z269" i="1"/>
  <c r="AA269" i="1" s="1"/>
  <c r="Z270" i="1"/>
  <c r="AA270" i="1" s="1"/>
  <c r="Z271" i="1"/>
  <c r="AA271" i="1" s="1"/>
  <c r="Z272" i="1"/>
  <c r="AA272" i="1" s="1"/>
  <c r="Z273" i="1"/>
  <c r="AA273" i="1" s="1"/>
  <c r="Z274" i="1"/>
  <c r="AA274" i="1" s="1"/>
  <c r="Z275" i="1"/>
  <c r="AA275" i="1" s="1"/>
  <c r="Z276" i="1"/>
  <c r="AA276" i="1" s="1"/>
  <c r="Z277" i="1"/>
  <c r="AA277" i="1" s="1"/>
  <c r="Z278" i="1"/>
  <c r="AA278" i="1" s="1"/>
  <c r="Z279" i="1"/>
  <c r="AA279" i="1" s="1"/>
  <c r="Z280" i="1"/>
  <c r="AA280" i="1" s="1"/>
  <c r="Z281" i="1"/>
  <c r="AA281" i="1" s="1"/>
  <c r="Z282" i="1"/>
  <c r="AA282" i="1" s="1"/>
  <c r="Z283" i="1"/>
  <c r="AA283" i="1" s="1"/>
  <c r="Z284" i="1"/>
  <c r="AA284" i="1" s="1"/>
  <c r="Z285" i="1"/>
  <c r="AA285" i="1" s="1"/>
  <c r="Z286" i="1"/>
  <c r="AA286" i="1" s="1"/>
  <c r="Z287" i="1"/>
  <c r="AA287" i="1" s="1"/>
  <c r="Z288" i="1"/>
  <c r="AA288" i="1" s="1"/>
  <c r="Z289" i="1"/>
  <c r="AA289" i="1" s="1"/>
  <c r="Z290" i="1"/>
  <c r="AA290" i="1" s="1"/>
  <c r="Z291" i="1"/>
  <c r="AA291" i="1" s="1"/>
  <c r="Z292" i="1"/>
  <c r="AA292" i="1" s="1"/>
  <c r="Z293" i="1"/>
  <c r="AA293" i="1" s="1"/>
  <c r="Z294" i="1"/>
  <c r="AA294" i="1" s="1"/>
  <c r="Z295" i="1"/>
  <c r="AA295" i="1" s="1"/>
  <c r="Z296" i="1"/>
  <c r="AA296" i="1" s="1"/>
  <c r="Z297" i="1"/>
  <c r="AA297" i="1" s="1"/>
  <c r="Z298" i="1"/>
  <c r="AA298" i="1" s="1"/>
  <c r="Z299" i="1"/>
  <c r="AA299" i="1" s="1"/>
  <c r="Z300" i="1"/>
  <c r="AA300" i="1" s="1"/>
  <c r="Z301" i="1"/>
  <c r="AA301" i="1" s="1"/>
  <c r="Z302" i="1"/>
  <c r="AA302" i="1" s="1"/>
  <c r="Z303" i="1"/>
  <c r="AA303" i="1" s="1"/>
  <c r="Z304" i="1"/>
  <c r="AA304" i="1" s="1"/>
  <c r="Z305" i="1"/>
  <c r="AA305" i="1" s="1"/>
  <c r="Z306" i="1"/>
  <c r="AA306" i="1" s="1"/>
  <c r="Z307" i="1"/>
  <c r="AA307" i="1" s="1"/>
  <c r="Z308" i="1"/>
  <c r="AA308" i="1" s="1"/>
  <c r="Z309" i="1"/>
  <c r="AA309" i="1" s="1"/>
  <c r="Z310" i="1"/>
  <c r="AA310" i="1" s="1"/>
  <c r="Z311" i="1"/>
  <c r="AA311" i="1" s="1"/>
  <c r="Z312" i="1"/>
  <c r="AA312" i="1" s="1"/>
  <c r="Z313" i="1"/>
  <c r="AA313" i="1" s="1"/>
  <c r="Z314" i="1"/>
  <c r="AA314" i="1" s="1"/>
  <c r="Z315" i="1"/>
  <c r="AA315" i="1" s="1"/>
  <c r="Z316" i="1"/>
  <c r="AA316" i="1" s="1"/>
  <c r="Z317" i="1"/>
  <c r="AA317" i="1" s="1"/>
  <c r="Z318" i="1"/>
  <c r="AA318" i="1" s="1"/>
  <c r="Z319" i="1"/>
  <c r="AA319" i="1" s="1"/>
  <c r="Z320" i="1"/>
  <c r="AA320" i="1" s="1"/>
  <c r="Z321" i="1"/>
  <c r="AA321" i="1" s="1"/>
  <c r="Z322" i="1"/>
  <c r="Z323" i="1"/>
  <c r="AA323" i="1" s="1"/>
  <c r="Z324" i="1"/>
  <c r="AA324" i="1" s="1"/>
  <c r="Z325" i="1"/>
  <c r="AA325" i="1" s="1"/>
  <c r="Z326" i="1"/>
  <c r="AA326" i="1" s="1"/>
  <c r="Z327" i="1"/>
  <c r="AA327" i="1" s="1"/>
  <c r="Z328" i="1"/>
  <c r="AA328" i="1" s="1"/>
  <c r="Z329" i="1"/>
  <c r="AA329" i="1" s="1"/>
  <c r="Z330" i="1"/>
  <c r="AA330" i="1" s="1"/>
  <c r="Z331" i="1"/>
  <c r="AA331" i="1" s="1"/>
  <c r="Z332" i="1"/>
  <c r="AA332" i="1" s="1"/>
  <c r="Z333" i="1"/>
  <c r="AA333" i="1" s="1"/>
  <c r="Z334" i="1"/>
  <c r="AA334" i="1" s="1"/>
  <c r="Z335" i="1"/>
  <c r="AA335" i="1" s="1"/>
  <c r="Z336" i="1"/>
  <c r="AA336" i="1" s="1"/>
  <c r="Z337" i="1"/>
  <c r="AA337" i="1" s="1"/>
  <c r="Z338" i="1"/>
  <c r="AA338" i="1" s="1"/>
  <c r="Z339" i="1"/>
  <c r="AA339" i="1" s="1"/>
  <c r="Z340" i="1"/>
  <c r="AA340" i="1" s="1"/>
  <c r="Z341" i="1"/>
  <c r="AA341" i="1" s="1"/>
  <c r="Z342" i="1"/>
  <c r="AA342" i="1" s="1"/>
  <c r="Z343" i="1"/>
  <c r="AA343" i="1" s="1"/>
  <c r="Z344" i="1"/>
  <c r="AA344" i="1" s="1"/>
  <c r="Z345" i="1"/>
  <c r="AA345" i="1" s="1"/>
  <c r="Z346" i="1"/>
  <c r="AA346" i="1" s="1"/>
  <c r="Z347" i="1"/>
  <c r="AA347" i="1" s="1"/>
  <c r="Z348" i="1"/>
  <c r="AA348" i="1" s="1"/>
  <c r="Z349" i="1"/>
  <c r="AA349" i="1" s="1"/>
  <c r="Z350" i="1"/>
  <c r="AA350" i="1" s="1"/>
  <c r="Z351" i="1"/>
  <c r="AA351" i="1" s="1"/>
  <c r="Z352" i="1"/>
  <c r="AA352" i="1" s="1"/>
  <c r="Z353" i="1"/>
  <c r="AA353" i="1" s="1"/>
  <c r="Z354" i="1"/>
  <c r="AA354" i="1" s="1"/>
  <c r="Z355" i="1"/>
  <c r="AA355" i="1" s="1"/>
  <c r="Z356" i="1"/>
  <c r="AA356" i="1" s="1"/>
  <c r="Z357" i="1"/>
  <c r="AA357" i="1" s="1"/>
  <c r="Z358" i="1"/>
  <c r="AA358" i="1" s="1"/>
  <c r="Z359" i="1"/>
  <c r="AA359" i="1" s="1"/>
  <c r="Z360" i="1"/>
  <c r="AA360" i="1" s="1"/>
  <c r="Z361" i="1"/>
  <c r="AA361" i="1" s="1"/>
  <c r="Z362" i="1"/>
  <c r="AA362" i="1" s="1"/>
  <c r="Z363" i="1"/>
  <c r="AA363" i="1" s="1"/>
  <c r="Z364" i="1"/>
  <c r="AA364" i="1" s="1"/>
  <c r="Z365" i="1"/>
  <c r="AA365" i="1" s="1"/>
  <c r="Z366" i="1"/>
  <c r="AA366" i="1" s="1"/>
  <c r="Z367" i="1"/>
  <c r="AA367" i="1" s="1"/>
  <c r="Z368" i="1"/>
  <c r="AA368" i="1" s="1"/>
  <c r="Z369" i="1"/>
  <c r="AA369" i="1" s="1"/>
  <c r="Z370" i="1"/>
  <c r="AA370" i="1" s="1"/>
  <c r="Z371" i="1"/>
  <c r="AA371" i="1" s="1"/>
  <c r="Z372" i="1"/>
  <c r="AA372" i="1" s="1"/>
  <c r="Z373" i="1"/>
  <c r="AA373" i="1" s="1"/>
  <c r="Z374" i="1"/>
  <c r="AA374" i="1" s="1"/>
  <c r="Z375" i="1"/>
  <c r="AA375" i="1" s="1"/>
  <c r="Z376" i="1"/>
  <c r="AA376" i="1" s="1"/>
  <c r="Z377" i="1"/>
  <c r="AA377" i="1" s="1"/>
  <c r="Z378" i="1"/>
  <c r="AA378" i="1" s="1"/>
  <c r="Z379" i="1"/>
  <c r="AA379" i="1" s="1"/>
  <c r="Z380" i="1"/>
  <c r="AA380" i="1" s="1"/>
  <c r="Z381" i="1"/>
  <c r="AA381" i="1" s="1"/>
  <c r="Z382" i="1"/>
  <c r="AA382" i="1" s="1"/>
  <c r="Z383" i="1"/>
  <c r="AA383" i="1" s="1"/>
  <c r="Z384" i="1"/>
  <c r="AA384" i="1" s="1"/>
  <c r="Z385" i="1"/>
  <c r="AA385" i="1" s="1"/>
  <c r="Z386" i="1"/>
  <c r="AA386" i="1" s="1"/>
  <c r="Z387" i="1"/>
  <c r="AA387" i="1" s="1"/>
  <c r="Z388" i="1"/>
  <c r="AA388" i="1" s="1"/>
  <c r="Z389" i="1"/>
  <c r="AA389" i="1" s="1"/>
  <c r="Z390" i="1"/>
  <c r="AA390" i="1" s="1"/>
  <c r="Z391" i="1"/>
  <c r="AA391" i="1" s="1"/>
  <c r="Z392" i="1"/>
  <c r="AA392" i="1" s="1"/>
  <c r="Z393" i="1"/>
  <c r="AA393" i="1" s="1"/>
  <c r="Z394" i="1"/>
  <c r="AA394" i="1" s="1"/>
  <c r="Z395" i="1"/>
  <c r="AA395" i="1" s="1"/>
  <c r="Z396" i="1"/>
  <c r="AA396" i="1" s="1"/>
  <c r="Z397" i="1"/>
  <c r="AA397" i="1" s="1"/>
  <c r="Z398" i="1"/>
  <c r="AA398" i="1" s="1"/>
  <c r="Z399" i="1"/>
  <c r="AA399" i="1" s="1"/>
  <c r="Z400" i="1"/>
  <c r="AA400" i="1" s="1"/>
  <c r="Z401" i="1"/>
  <c r="AA401" i="1" s="1"/>
  <c r="Z402" i="1"/>
  <c r="AA402" i="1" s="1"/>
  <c r="Z403" i="1"/>
  <c r="AA403" i="1" s="1"/>
  <c r="Z404" i="1"/>
  <c r="AA404" i="1" s="1"/>
  <c r="Z405" i="1"/>
  <c r="AA405" i="1" s="1"/>
  <c r="Z406" i="1"/>
  <c r="AA406" i="1" s="1"/>
  <c r="Z407" i="1"/>
  <c r="AA407" i="1" s="1"/>
  <c r="Z408" i="1"/>
  <c r="AA408" i="1" s="1"/>
  <c r="Z409" i="1"/>
  <c r="AA409" i="1" s="1"/>
  <c r="Z410" i="1"/>
  <c r="AA410" i="1" s="1"/>
  <c r="Z411" i="1"/>
  <c r="AA411" i="1" s="1"/>
  <c r="Z412" i="1"/>
  <c r="AA412" i="1" s="1"/>
  <c r="Z413" i="1"/>
  <c r="AA413" i="1" s="1"/>
  <c r="Z414" i="1"/>
  <c r="AA414" i="1" s="1"/>
  <c r="Z415" i="1"/>
  <c r="AA415" i="1" s="1"/>
  <c r="Z416" i="1"/>
  <c r="AA416" i="1" s="1"/>
  <c r="Z417" i="1"/>
  <c r="AA417" i="1" s="1"/>
  <c r="Z418" i="1"/>
  <c r="AA418" i="1" s="1"/>
  <c r="Z419" i="1"/>
  <c r="AA419" i="1" s="1"/>
  <c r="Z420" i="1"/>
  <c r="AA420" i="1" s="1"/>
  <c r="Z421" i="1"/>
  <c r="AA421" i="1" s="1"/>
  <c r="Z422" i="1"/>
  <c r="AA422" i="1" s="1"/>
  <c r="Z423" i="1"/>
  <c r="AA423" i="1" s="1"/>
  <c r="Z424" i="1"/>
  <c r="AA424" i="1" s="1"/>
  <c r="Z425" i="1"/>
  <c r="AA425" i="1" s="1"/>
  <c r="Z426" i="1"/>
  <c r="AA426" i="1" s="1"/>
  <c r="Z427" i="1"/>
  <c r="AA427" i="1" s="1"/>
  <c r="Z428" i="1"/>
  <c r="AA428" i="1" s="1"/>
  <c r="Z429" i="1"/>
  <c r="AA429" i="1" s="1"/>
  <c r="Z430" i="1"/>
  <c r="AA430" i="1" s="1"/>
  <c r="Z431" i="1"/>
  <c r="AA431" i="1" s="1"/>
  <c r="Z432" i="1"/>
  <c r="AA432" i="1" s="1"/>
  <c r="Z433" i="1"/>
  <c r="AA433" i="1" s="1"/>
  <c r="Z434" i="1"/>
  <c r="AA434" i="1" s="1"/>
  <c r="Z435" i="1"/>
  <c r="AA435" i="1" s="1"/>
  <c r="Z436" i="1"/>
  <c r="AA436" i="1" s="1"/>
  <c r="Z437" i="1"/>
  <c r="AA437" i="1" s="1"/>
  <c r="Z438" i="1"/>
  <c r="AA438" i="1" s="1"/>
  <c r="Z439" i="1"/>
  <c r="AA439" i="1" s="1"/>
  <c r="Z440" i="1"/>
  <c r="AA440" i="1" s="1"/>
  <c r="Z441" i="1"/>
  <c r="AA441" i="1" s="1"/>
  <c r="Z442" i="1"/>
  <c r="AA442" i="1" s="1"/>
  <c r="Z443" i="1"/>
  <c r="AA443" i="1" s="1"/>
  <c r="Z444" i="1"/>
  <c r="AA444" i="1" s="1"/>
  <c r="Z445" i="1"/>
  <c r="AA445" i="1" s="1"/>
  <c r="Z446" i="1"/>
  <c r="AA446" i="1" s="1"/>
  <c r="Z447" i="1"/>
  <c r="AA447" i="1" s="1"/>
  <c r="Z448" i="1"/>
  <c r="AA448" i="1" s="1"/>
  <c r="Z449" i="1"/>
  <c r="AA449" i="1" s="1"/>
  <c r="Z450" i="1"/>
  <c r="AA450" i="1" s="1"/>
  <c r="Z451" i="1"/>
  <c r="AA451" i="1" s="1"/>
  <c r="Z452" i="1"/>
  <c r="AA452" i="1" s="1"/>
  <c r="Z453" i="1"/>
  <c r="AA453" i="1" s="1"/>
  <c r="Z454" i="1"/>
  <c r="AA454" i="1" s="1"/>
  <c r="Z455" i="1"/>
  <c r="AA455" i="1" s="1"/>
  <c r="Z456" i="1"/>
  <c r="AA456" i="1" s="1"/>
  <c r="Z457" i="1"/>
  <c r="AA457" i="1" s="1"/>
  <c r="Z458" i="1"/>
  <c r="AA458" i="1" s="1"/>
  <c r="Z459" i="1"/>
  <c r="AA459" i="1" s="1"/>
  <c r="Z460" i="1"/>
  <c r="AA460" i="1" s="1"/>
  <c r="Z461" i="1"/>
  <c r="AA461" i="1" s="1"/>
  <c r="Z462" i="1"/>
  <c r="AA462" i="1" s="1"/>
  <c r="Z463" i="1"/>
  <c r="AA463" i="1" s="1"/>
  <c r="Z464" i="1"/>
  <c r="AA464" i="1" s="1"/>
  <c r="Z465" i="1"/>
  <c r="AA465" i="1" s="1"/>
  <c r="Z466" i="1"/>
  <c r="AA466" i="1" s="1"/>
  <c r="Z467" i="1"/>
  <c r="AA467" i="1" s="1"/>
  <c r="Z468" i="1"/>
  <c r="AA468" i="1" s="1"/>
  <c r="Z469" i="1"/>
  <c r="AA469" i="1" s="1"/>
  <c r="Z470" i="1"/>
  <c r="AA470" i="1" s="1"/>
  <c r="Z471" i="1"/>
  <c r="AA471" i="1" s="1"/>
  <c r="Z472" i="1"/>
  <c r="AA472" i="1" s="1"/>
  <c r="Z473" i="1"/>
  <c r="AA473" i="1" s="1"/>
  <c r="Z474" i="1"/>
  <c r="AA474" i="1" s="1"/>
  <c r="Z475" i="1"/>
  <c r="AA475" i="1" s="1"/>
  <c r="Z476" i="1"/>
  <c r="AA476" i="1" s="1"/>
  <c r="Z477" i="1"/>
  <c r="AA477" i="1" s="1"/>
  <c r="Z478" i="1"/>
  <c r="AA478" i="1" s="1"/>
  <c r="Z479" i="1"/>
  <c r="AA479" i="1" s="1"/>
  <c r="Z480" i="1"/>
  <c r="AA480" i="1" s="1"/>
  <c r="Z481" i="1"/>
  <c r="AA481" i="1" s="1"/>
  <c r="Z482" i="1"/>
  <c r="AA482" i="1" s="1"/>
  <c r="Z483" i="1"/>
  <c r="AA483" i="1" s="1"/>
  <c r="Z484" i="1"/>
  <c r="AA484" i="1" s="1"/>
  <c r="Z485" i="1"/>
  <c r="AA485" i="1" s="1"/>
  <c r="Z486" i="1"/>
  <c r="AA486" i="1" s="1"/>
  <c r="Z487" i="1"/>
  <c r="AA487" i="1" s="1"/>
  <c r="Z488" i="1"/>
  <c r="AA488" i="1" s="1"/>
  <c r="Z489" i="1"/>
  <c r="AA489" i="1" s="1"/>
  <c r="Z490" i="1"/>
  <c r="AA490" i="1" s="1"/>
  <c r="Z491" i="1"/>
  <c r="AA491" i="1" s="1"/>
  <c r="Z492" i="1"/>
  <c r="AA492" i="1" s="1"/>
  <c r="Z493" i="1"/>
  <c r="AA493" i="1" s="1"/>
  <c r="Z494" i="1"/>
  <c r="AA494" i="1" s="1"/>
  <c r="Z495" i="1"/>
  <c r="AA495" i="1" s="1"/>
  <c r="Z496" i="1"/>
  <c r="AA496" i="1" s="1"/>
  <c r="Z497" i="1"/>
  <c r="AA497" i="1" s="1"/>
  <c r="Z498" i="1"/>
  <c r="AA498" i="1" s="1"/>
  <c r="Z499" i="1"/>
  <c r="AA499" i="1" s="1"/>
  <c r="Z500" i="1"/>
  <c r="AA500" i="1" s="1"/>
  <c r="Z501" i="1"/>
  <c r="AA501" i="1" s="1"/>
  <c r="Z502" i="1"/>
  <c r="AA502" i="1" s="1"/>
  <c r="Z503" i="1"/>
  <c r="AA503" i="1" s="1"/>
  <c r="Z504" i="1"/>
  <c r="AA504" i="1" s="1"/>
  <c r="Z505" i="1"/>
  <c r="AA505" i="1" s="1"/>
  <c r="Z506" i="1"/>
  <c r="AA506" i="1" s="1"/>
  <c r="Z507" i="1"/>
  <c r="AA507" i="1" s="1"/>
  <c r="Z508" i="1"/>
  <c r="AA508" i="1" s="1"/>
  <c r="Z509" i="1"/>
  <c r="AA509" i="1" s="1"/>
  <c r="Z510" i="1"/>
  <c r="AA510" i="1" s="1"/>
  <c r="Z511" i="1"/>
  <c r="AA511" i="1" s="1"/>
  <c r="Z512" i="1"/>
  <c r="AA512" i="1" s="1"/>
  <c r="Z513" i="1"/>
  <c r="AA513" i="1" s="1"/>
  <c r="Z514" i="1"/>
  <c r="AA514" i="1" s="1"/>
  <c r="Z515" i="1"/>
  <c r="AA515" i="1" s="1"/>
  <c r="Z516" i="1"/>
  <c r="AA516" i="1" s="1"/>
  <c r="Z517" i="1"/>
  <c r="AA517" i="1" s="1"/>
  <c r="Z518" i="1"/>
  <c r="AA518" i="1" s="1"/>
  <c r="Z519" i="1"/>
  <c r="AA519" i="1" s="1"/>
  <c r="Z520" i="1"/>
  <c r="AA520" i="1" s="1"/>
  <c r="Z521" i="1"/>
  <c r="AA521" i="1" s="1"/>
  <c r="Z522" i="1"/>
  <c r="AA522" i="1" s="1"/>
  <c r="Z523" i="1"/>
  <c r="AA523" i="1" s="1"/>
  <c r="Z524" i="1"/>
  <c r="AA524" i="1" s="1"/>
  <c r="Z525" i="1"/>
  <c r="AA525" i="1" s="1"/>
  <c r="Z526" i="1"/>
  <c r="AA526" i="1" s="1"/>
  <c r="Z527" i="1"/>
  <c r="AA527" i="1" s="1"/>
  <c r="Z528" i="1"/>
  <c r="AA528" i="1" s="1"/>
  <c r="Z529" i="1"/>
  <c r="AA529" i="1" s="1"/>
  <c r="Z530" i="1"/>
  <c r="AA530" i="1" s="1"/>
  <c r="Z531" i="1"/>
  <c r="AA531" i="1" s="1"/>
  <c r="Z532" i="1"/>
  <c r="AA532" i="1" s="1"/>
  <c r="Z533" i="1"/>
  <c r="AA533" i="1" s="1"/>
  <c r="Z534" i="1"/>
  <c r="AA534" i="1" s="1"/>
  <c r="Z535" i="1"/>
  <c r="AA535" i="1" s="1"/>
  <c r="Z536" i="1"/>
  <c r="AA536" i="1" s="1"/>
  <c r="Z537" i="1"/>
  <c r="AA537" i="1" s="1"/>
  <c r="Z538" i="1"/>
  <c r="AA538" i="1" s="1"/>
  <c r="Z539" i="1"/>
  <c r="AA539" i="1" s="1"/>
  <c r="Z540" i="1"/>
  <c r="AA540" i="1" s="1"/>
  <c r="Z541" i="1"/>
  <c r="AA541" i="1" s="1"/>
  <c r="Z542" i="1"/>
  <c r="AA542" i="1" s="1"/>
  <c r="Z543" i="1"/>
  <c r="AA543" i="1" s="1"/>
  <c r="Z544" i="1"/>
  <c r="AA544" i="1" s="1"/>
  <c r="Z545" i="1"/>
  <c r="AA545" i="1" s="1"/>
  <c r="Z546" i="1"/>
  <c r="AA546" i="1" s="1"/>
  <c r="Z547" i="1"/>
  <c r="AA547" i="1" s="1"/>
  <c r="Z548" i="1"/>
  <c r="AA548" i="1" s="1"/>
  <c r="Z549" i="1"/>
  <c r="AA549" i="1" s="1"/>
  <c r="Z550" i="1"/>
  <c r="AA550" i="1" s="1"/>
  <c r="Z551" i="1"/>
  <c r="AA551" i="1" s="1"/>
  <c r="Z552" i="1"/>
  <c r="AA552" i="1" s="1"/>
  <c r="Z553" i="1"/>
  <c r="AA553" i="1" s="1"/>
  <c r="Z554" i="1"/>
  <c r="AA554" i="1" s="1"/>
  <c r="Z555" i="1"/>
  <c r="AA555" i="1" s="1"/>
  <c r="Z556" i="1"/>
  <c r="AA556" i="1" s="1"/>
  <c r="Z557" i="1"/>
  <c r="AA557" i="1" s="1"/>
  <c r="Z558" i="1"/>
  <c r="AA558" i="1" s="1"/>
  <c r="Z559" i="1"/>
  <c r="AA559" i="1" s="1"/>
  <c r="Z560" i="1"/>
  <c r="AA560" i="1" s="1"/>
  <c r="Z561" i="1"/>
  <c r="AA561" i="1" s="1"/>
  <c r="Z562" i="1"/>
  <c r="AA562" i="1" s="1"/>
  <c r="Z563" i="1"/>
  <c r="AA563" i="1" s="1"/>
  <c r="Z564" i="1"/>
  <c r="AA564" i="1" s="1"/>
  <c r="Z565" i="1"/>
  <c r="AA565" i="1" s="1"/>
  <c r="Z566" i="1"/>
  <c r="AA566" i="1" s="1"/>
  <c r="Z567" i="1"/>
  <c r="AA567" i="1" s="1"/>
  <c r="Z568" i="1"/>
  <c r="AA568" i="1" s="1"/>
  <c r="Z569" i="1"/>
  <c r="AA569" i="1" s="1"/>
  <c r="Z570" i="1"/>
  <c r="AA570" i="1" s="1"/>
  <c r="Z571" i="1"/>
  <c r="AA571" i="1" s="1"/>
  <c r="Z572" i="1"/>
  <c r="AA572" i="1" s="1"/>
  <c r="Z573" i="1"/>
  <c r="AA573" i="1" s="1"/>
  <c r="Z574" i="1"/>
  <c r="AA574" i="1" s="1"/>
  <c r="Z575" i="1"/>
  <c r="AA575" i="1" s="1"/>
  <c r="Z576" i="1"/>
  <c r="AA576" i="1" s="1"/>
  <c r="Z577" i="1"/>
  <c r="AA577" i="1" s="1"/>
  <c r="Z578" i="1"/>
  <c r="AA578" i="1" s="1"/>
  <c r="Z579" i="1"/>
  <c r="AA579" i="1" s="1"/>
  <c r="Z580" i="1"/>
  <c r="AA580" i="1" s="1"/>
  <c r="Z581" i="1"/>
  <c r="AA581" i="1" s="1"/>
  <c r="Z582" i="1"/>
  <c r="AA582" i="1" s="1"/>
  <c r="Z583" i="1"/>
  <c r="AA583" i="1" s="1"/>
  <c r="Z584" i="1"/>
  <c r="AA584" i="1" s="1"/>
  <c r="Z585" i="1"/>
  <c r="AA585" i="1" s="1"/>
  <c r="Z586" i="1"/>
  <c r="AA586" i="1" s="1"/>
  <c r="Z587" i="1"/>
  <c r="AA587" i="1" s="1"/>
  <c r="Z588" i="1"/>
  <c r="AA588" i="1" s="1"/>
  <c r="Z589" i="1"/>
  <c r="AA589" i="1" s="1"/>
  <c r="Z590" i="1"/>
  <c r="AA590" i="1" s="1"/>
  <c r="Z591" i="1"/>
  <c r="AA591" i="1" s="1"/>
  <c r="Z592" i="1"/>
  <c r="AA592" i="1" s="1"/>
  <c r="Z593" i="1"/>
  <c r="AA593" i="1" s="1"/>
  <c r="Z594" i="1"/>
  <c r="AA594" i="1" s="1"/>
  <c r="Z595" i="1"/>
  <c r="AA595" i="1" s="1"/>
  <c r="Z596" i="1"/>
  <c r="AA596" i="1" s="1"/>
  <c r="Z597" i="1"/>
  <c r="AA597" i="1" s="1"/>
  <c r="Z598" i="1"/>
  <c r="AA598" i="1" s="1"/>
  <c r="Z599" i="1"/>
  <c r="AA599" i="1" s="1"/>
  <c r="Z600" i="1"/>
  <c r="AA600" i="1" s="1"/>
  <c r="Z601" i="1"/>
  <c r="AA601" i="1" s="1"/>
  <c r="Z602" i="1"/>
  <c r="AA602" i="1" s="1"/>
  <c r="Z603" i="1"/>
  <c r="AA603" i="1" s="1"/>
  <c r="Z604" i="1"/>
  <c r="AA604" i="1" s="1"/>
  <c r="Z605" i="1"/>
  <c r="AA605" i="1" s="1"/>
  <c r="Z606" i="1"/>
  <c r="AA606" i="1" s="1"/>
  <c r="Z607" i="1"/>
  <c r="AA607" i="1" s="1"/>
  <c r="Z608" i="1"/>
  <c r="AA608" i="1" s="1"/>
  <c r="Z609" i="1"/>
  <c r="AA609" i="1" s="1"/>
  <c r="Z610" i="1"/>
  <c r="AA610" i="1" s="1"/>
  <c r="Z611" i="1"/>
  <c r="AA611" i="1" s="1"/>
  <c r="Z612" i="1"/>
  <c r="AA612" i="1" s="1"/>
  <c r="Z613" i="1"/>
  <c r="AA613" i="1" s="1"/>
  <c r="Z614" i="1"/>
  <c r="AA614" i="1" s="1"/>
  <c r="Z615" i="1"/>
  <c r="AA615" i="1" s="1"/>
  <c r="Z616" i="1"/>
  <c r="AA616" i="1" s="1"/>
  <c r="Z617" i="1"/>
  <c r="AA617" i="1" s="1"/>
  <c r="Z618" i="1"/>
  <c r="AA618" i="1" s="1"/>
  <c r="Z619" i="1"/>
  <c r="AA619" i="1" s="1"/>
  <c r="Z620" i="1"/>
  <c r="AA620" i="1" s="1"/>
  <c r="Z621" i="1"/>
  <c r="AA621" i="1" s="1"/>
  <c r="Z622" i="1"/>
  <c r="AA622" i="1" s="1"/>
  <c r="Z623" i="1"/>
  <c r="AA623" i="1" s="1"/>
  <c r="Z624" i="1"/>
  <c r="AA624" i="1" s="1"/>
  <c r="Z625" i="1"/>
  <c r="AA625" i="1" s="1"/>
  <c r="Z626" i="1"/>
  <c r="AA626" i="1" s="1"/>
  <c r="Z627" i="1"/>
  <c r="AA627" i="1" s="1"/>
  <c r="Z628" i="1"/>
  <c r="AA628" i="1" s="1"/>
  <c r="Z629" i="1"/>
  <c r="AA629" i="1" s="1"/>
  <c r="Z630" i="1"/>
  <c r="AA630" i="1" s="1"/>
  <c r="Z631" i="1"/>
  <c r="AA631" i="1" s="1"/>
  <c r="Z632" i="1"/>
  <c r="AA632" i="1" s="1"/>
  <c r="Z633" i="1"/>
  <c r="AA633" i="1" s="1"/>
  <c r="Z634" i="1"/>
  <c r="AA634" i="1" s="1"/>
  <c r="Z635" i="1"/>
  <c r="AA635" i="1" s="1"/>
  <c r="Z636" i="1"/>
  <c r="AA636" i="1" s="1"/>
  <c r="Z637" i="1"/>
  <c r="AA637" i="1" s="1"/>
  <c r="Z638" i="1"/>
  <c r="AA638" i="1" s="1"/>
  <c r="Z639" i="1"/>
  <c r="AA639" i="1" s="1"/>
  <c r="Z640" i="1"/>
  <c r="AA640" i="1" s="1"/>
  <c r="Z641" i="1"/>
  <c r="AA641" i="1" s="1"/>
  <c r="Z642" i="1"/>
  <c r="AA642" i="1" s="1"/>
  <c r="Z643" i="1"/>
  <c r="AA643" i="1" s="1"/>
  <c r="Z644" i="1"/>
  <c r="AA644" i="1" s="1"/>
  <c r="Z645" i="1"/>
  <c r="AA645" i="1" s="1"/>
  <c r="Z646" i="1"/>
  <c r="AA646" i="1" s="1"/>
  <c r="Z647" i="1"/>
  <c r="AA647" i="1" s="1"/>
  <c r="Z648" i="1"/>
  <c r="AA648" i="1" s="1"/>
  <c r="Z649" i="1"/>
  <c r="AA649" i="1" s="1"/>
  <c r="Z650" i="1"/>
  <c r="AA650" i="1" s="1"/>
  <c r="Z651" i="1"/>
  <c r="AA651" i="1" s="1"/>
  <c r="Z652" i="1"/>
  <c r="AA652" i="1" s="1"/>
  <c r="Z653" i="1"/>
  <c r="AA653" i="1" s="1"/>
  <c r="Z654" i="1"/>
  <c r="AA654" i="1" s="1"/>
  <c r="Z655" i="1"/>
  <c r="AA655" i="1" s="1"/>
  <c r="Z656" i="1"/>
  <c r="AA656" i="1" s="1"/>
  <c r="Z657" i="1"/>
  <c r="AA657" i="1" s="1"/>
  <c r="Z658" i="1"/>
  <c r="AA658" i="1" s="1"/>
  <c r="Z659" i="1"/>
  <c r="AA659" i="1" s="1"/>
  <c r="Z660" i="1"/>
  <c r="AA660" i="1" s="1"/>
  <c r="Z661" i="1"/>
  <c r="AA661" i="1" s="1"/>
  <c r="Z662" i="1"/>
  <c r="AA662" i="1" s="1"/>
  <c r="Z663" i="1"/>
  <c r="AA663" i="1" s="1"/>
  <c r="Z664" i="1"/>
  <c r="AA664" i="1" s="1"/>
  <c r="Z665" i="1"/>
  <c r="AA665" i="1" s="1"/>
  <c r="Z666" i="1"/>
  <c r="AA666" i="1" s="1"/>
  <c r="Z667" i="1"/>
  <c r="AA667" i="1" s="1"/>
  <c r="Z668" i="1"/>
  <c r="AA668" i="1" s="1"/>
  <c r="Z669" i="1"/>
  <c r="AA669" i="1" s="1"/>
  <c r="Z670" i="1"/>
  <c r="AA670" i="1" s="1"/>
  <c r="Z671" i="1"/>
  <c r="AA671" i="1" s="1"/>
  <c r="Z672" i="1"/>
  <c r="AA672" i="1" s="1"/>
  <c r="Z673" i="1"/>
  <c r="AA673" i="1" s="1"/>
  <c r="Z674" i="1"/>
  <c r="AA674" i="1" s="1"/>
  <c r="Z675" i="1"/>
  <c r="AA675" i="1" s="1"/>
  <c r="Z676" i="1"/>
  <c r="AA676" i="1" s="1"/>
  <c r="Z677" i="1"/>
  <c r="AA677" i="1" s="1"/>
  <c r="Z678" i="1"/>
  <c r="AA678" i="1" s="1"/>
  <c r="Z679" i="1"/>
  <c r="AA679" i="1" s="1"/>
  <c r="Z680" i="1"/>
  <c r="AA680" i="1" s="1"/>
  <c r="Z681" i="1"/>
  <c r="AA681" i="1" s="1"/>
  <c r="Z682" i="1"/>
  <c r="AA682" i="1" s="1"/>
  <c r="Z683" i="1"/>
  <c r="AA683" i="1" s="1"/>
  <c r="Z684" i="1"/>
  <c r="AA684" i="1" s="1"/>
  <c r="Z685" i="1"/>
  <c r="AA685" i="1" s="1"/>
  <c r="Z686" i="1"/>
  <c r="AA686" i="1" s="1"/>
  <c r="Z687" i="1"/>
  <c r="AA687" i="1" s="1"/>
  <c r="Z688" i="1"/>
  <c r="AA688" i="1" s="1"/>
  <c r="Z689" i="1"/>
  <c r="AA689" i="1" s="1"/>
  <c r="Z690" i="1"/>
  <c r="AA690" i="1" s="1"/>
  <c r="Z691" i="1"/>
  <c r="AA691" i="1" s="1"/>
  <c r="Z692" i="1"/>
  <c r="AA692" i="1" s="1"/>
  <c r="Z693" i="1"/>
  <c r="AA693" i="1" s="1"/>
  <c r="Z694" i="1"/>
  <c r="AA694" i="1" s="1"/>
  <c r="Z695" i="1"/>
  <c r="AA695" i="1" s="1"/>
  <c r="Z696" i="1"/>
  <c r="AA696" i="1" s="1"/>
  <c r="Z697" i="1"/>
  <c r="AA697" i="1" s="1"/>
  <c r="Z698" i="1"/>
  <c r="AA698" i="1" s="1"/>
  <c r="Z699" i="1"/>
  <c r="AA699" i="1" s="1"/>
  <c r="Z700" i="1"/>
  <c r="AA700" i="1" s="1"/>
  <c r="Z701" i="1"/>
  <c r="AA701" i="1" s="1"/>
  <c r="Z702" i="1"/>
  <c r="AA702" i="1" s="1"/>
  <c r="Z703" i="1"/>
  <c r="AA703" i="1" s="1"/>
  <c r="Z704" i="1"/>
  <c r="AA704" i="1" s="1"/>
  <c r="Z705" i="1"/>
  <c r="AA705" i="1" s="1"/>
  <c r="Z706" i="1"/>
  <c r="AA706" i="1" s="1"/>
  <c r="Z707" i="1"/>
  <c r="AA707" i="1" s="1"/>
  <c r="Z708" i="1"/>
  <c r="AA708" i="1" s="1"/>
  <c r="Z709" i="1"/>
  <c r="AA709" i="1" s="1"/>
  <c r="Z710" i="1"/>
  <c r="AA710" i="1" s="1"/>
  <c r="Z711" i="1"/>
  <c r="AA711" i="1" s="1"/>
  <c r="Z712" i="1"/>
  <c r="AA712" i="1" s="1"/>
  <c r="Z713" i="1"/>
  <c r="AA713" i="1" s="1"/>
  <c r="Z714" i="1"/>
  <c r="AA714" i="1" s="1"/>
  <c r="Z715" i="1"/>
  <c r="AA715" i="1" s="1"/>
  <c r="Z716" i="1"/>
  <c r="AA716" i="1" s="1"/>
  <c r="Z717" i="1"/>
  <c r="AA717" i="1" s="1"/>
  <c r="Z718" i="1"/>
  <c r="AA718" i="1" s="1"/>
  <c r="Z719" i="1"/>
  <c r="AA719" i="1" s="1"/>
  <c r="Z720" i="1"/>
  <c r="AA720" i="1" s="1"/>
  <c r="Z721" i="1"/>
  <c r="AA721" i="1" s="1"/>
  <c r="Z722" i="1"/>
  <c r="AA722" i="1" s="1"/>
  <c r="Z723" i="1"/>
  <c r="AA723" i="1" s="1"/>
  <c r="Z724" i="1"/>
  <c r="AA724" i="1" s="1"/>
  <c r="Z725" i="1"/>
  <c r="AA725" i="1" s="1"/>
  <c r="Z726" i="1"/>
  <c r="AA726" i="1" s="1"/>
  <c r="Z727" i="1"/>
  <c r="AA727" i="1" s="1"/>
  <c r="Z728" i="1"/>
  <c r="AA728" i="1" s="1"/>
  <c r="Z729" i="1"/>
  <c r="AA729" i="1" s="1"/>
  <c r="Z730" i="1"/>
  <c r="AA730" i="1" s="1"/>
  <c r="Z731" i="1"/>
  <c r="AA731" i="1" s="1"/>
  <c r="Z732" i="1"/>
  <c r="AA732" i="1" s="1"/>
  <c r="Z733" i="1"/>
  <c r="AA733" i="1" s="1"/>
  <c r="Z734" i="1"/>
  <c r="AA734" i="1" s="1"/>
  <c r="Z735" i="1"/>
  <c r="AA735" i="1" s="1"/>
  <c r="Z736" i="1"/>
  <c r="AA736" i="1" s="1"/>
  <c r="Z737" i="1"/>
  <c r="AA737" i="1" s="1"/>
  <c r="Z738" i="1"/>
  <c r="AA738" i="1" s="1"/>
  <c r="Z739" i="1"/>
  <c r="AA739" i="1" s="1"/>
  <c r="Z740" i="1"/>
  <c r="AA740" i="1" s="1"/>
  <c r="Z741" i="1"/>
  <c r="AA741" i="1" s="1"/>
  <c r="Z742" i="1"/>
  <c r="AA742" i="1" s="1"/>
  <c r="Z743" i="1"/>
  <c r="AA743" i="1" s="1"/>
  <c r="Z744" i="1"/>
  <c r="AA744" i="1" s="1"/>
  <c r="Z745" i="1"/>
  <c r="AA745" i="1" s="1"/>
  <c r="Z746" i="1"/>
  <c r="AA746" i="1" s="1"/>
  <c r="Z747" i="1"/>
  <c r="AA747" i="1" s="1"/>
  <c r="Z748" i="1"/>
  <c r="AA748" i="1" s="1"/>
  <c r="Z749" i="1"/>
  <c r="AA749" i="1" s="1"/>
  <c r="Z750" i="1"/>
  <c r="AA750" i="1" s="1"/>
  <c r="Z751" i="1"/>
  <c r="AA751" i="1" s="1"/>
  <c r="Z752" i="1"/>
  <c r="AA752" i="1" s="1"/>
  <c r="Z753" i="1"/>
  <c r="AA753" i="1" s="1"/>
  <c r="Z754" i="1"/>
  <c r="AA754" i="1" s="1"/>
  <c r="Z755" i="1"/>
  <c r="AA755" i="1" s="1"/>
  <c r="Z756" i="1"/>
  <c r="AA756" i="1" s="1"/>
  <c r="Z757" i="1"/>
  <c r="AA757" i="1" s="1"/>
  <c r="Z758" i="1"/>
  <c r="AA758" i="1" s="1"/>
  <c r="Z759" i="1"/>
  <c r="AA759" i="1" s="1"/>
  <c r="Z760" i="1"/>
  <c r="AA760" i="1" s="1"/>
  <c r="Z761" i="1"/>
  <c r="AA761" i="1" s="1"/>
  <c r="Z762" i="1"/>
  <c r="AA762" i="1" s="1"/>
  <c r="Z763" i="1"/>
  <c r="AA763" i="1" s="1"/>
  <c r="Z764" i="1"/>
  <c r="AA764" i="1" s="1"/>
  <c r="Z765" i="1"/>
  <c r="AA765" i="1" s="1"/>
  <c r="Z766" i="1"/>
  <c r="AA766" i="1" s="1"/>
  <c r="Z767" i="1"/>
  <c r="AA767" i="1" s="1"/>
  <c r="Z768" i="1"/>
  <c r="AA768" i="1" s="1"/>
  <c r="Z769" i="1"/>
  <c r="AA769" i="1" s="1"/>
  <c r="Z770" i="1"/>
  <c r="AA770" i="1" s="1"/>
  <c r="Z771" i="1"/>
  <c r="AA771" i="1" s="1"/>
  <c r="Z772" i="1"/>
  <c r="AA772" i="1" s="1"/>
  <c r="Z773" i="1"/>
  <c r="AA773" i="1" s="1"/>
  <c r="Z774" i="1"/>
  <c r="AA774" i="1" s="1"/>
  <c r="Z775" i="1"/>
  <c r="AA775" i="1" s="1"/>
  <c r="Z776" i="1"/>
  <c r="AA776" i="1" s="1"/>
  <c r="Z777" i="1"/>
  <c r="AA777" i="1" s="1"/>
  <c r="Z778" i="1"/>
  <c r="AA778" i="1" s="1"/>
  <c r="Z779" i="1"/>
  <c r="AA779" i="1" s="1"/>
  <c r="Z780" i="1"/>
  <c r="AA780" i="1" s="1"/>
  <c r="Z781" i="1"/>
  <c r="AA781" i="1" s="1"/>
  <c r="Z782" i="1"/>
  <c r="AA782" i="1" s="1"/>
  <c r="Z783" i="1"/>
  <c r="AA783" i="1" s="1"/>
  <c r="Z784" i="1"/>
  <c r="AA784" i="1" s="1"/>
  <c r="Z785" i="1"/>
  <c r="AA785" i="1" s="1"/>
  <c r="Z786" i="1"/>
  <c r="AA786" i="1" s="1"/>
  <c r="Z787" i="1"/>
  <c r="AA787" i="1" s="1"/>
  <c r="Z788" i="1"/>
  <c r="AA788" i="1" s="1"/>
  <c r="Z789" i="1"/>
  <c r="AA789" i="1" s="1"/>
  <c r="Z790" i="1"/>
  <c r="AA790" i="1" s="1"/>
  <c r="Z791" i="1"/>
  <c r="AA791" i="1" s="1"/>
  <c r="Z792" i="1"/>
  <c r="AA792" i="1" s="1"/>
  <c r="Z793" i="1"/>
  <c r="AA793" i="1" s="1"/>
  <c r="Z794" i="1"/>
  <c r="AA794" i="1" s="1"/>
  <c r="Z795" i="1"/>
  <c r="AA795" i="1" s="1"/>
  <c r="Z796" i="1"/>
  <c r="AA796" i="1" s="1"/>
  <c r="Z797" i="1"/>
  <c r="AA797" i="1" s="1"/>
  <c r="Z798" i="1"/>
  <c r="AA798" i="1" s="1"/>
  <c r="Z799" i="1"/>
  <c r="AA799" i="1" s="1"/>
  <c r="Z800" i="1"/>
  <c r="AA800" i="1" s="1"/>
  <c r="Z801" i="1"/>
  <c r="AA801" i="1" s="1"/>
  <c r="Z802" i="1"/>
  <c r="AA802" i="1" s="1"/>
  <c r="Z803" i="1"/>
  <c r="AA803" i="1" s="1"/>
  <c r="Z804" i="1"/>
  <c r="AA804" i="1" s="1"/>
  <c r="Z805" i="1"/>
  <c r="AA805" i="1" s="1"/>
  <c r="Z806" i="1"/>
  <c r="AA806" i="1" s="1"/>
  <c r="Z807" i="1"/>
  <c r="AA807" i="1" s="1"/>
  <c r="Z808" i="1"/>
  <c r="AA808" i="1" s="1"/>
  <c r="Z809" i="1"/>
  <c r="AA809" i="1" s="1"/>
  <c r="Z810" i="1"/>
  <c r="AA810" i="1" s="1"/>
  <c r="Z811" i="1"/>
  <c r="AA811" i="1" s="1"/>
  <c r="Z812" i="1"/>
  <c r="AA812" i="1" s="1"/>
  <c r="Z813" i="1"/>
  <c r="AA813" i="1" s="1"/>
  <c r="Z814" i="1"/>
  <c r="AA814" i="1" s="1"/>
  <c r="Z815" i="1"/>
  <c r="AA815" i="1" s="1"/>
  <c r="Z816" i="1"/>
  <c r="AA816" i="1" s="1"/>
  <c r="Z817" i="1"/>
  <c r="AA817" i="1" s="1"/>
  <c r="Z818" i="1"/>
  <c r="AA818" i="1" s="1"/>
  <c r="Z819" i="1"/>
  <c r="AA819" i="1" s="1"/>
  <c r="Z820" i="1"/>
  <c r="AA820" i="1" s="1"/>
  <c r="Z821" i="1"/>
  <c r="AA821" i="1" s="1"/>
  <c r="Z822" i="1"/>
  <c r="AA822" i="1" s="1"/>
  <c r="Z823" i="1"/>
  <c r="AA823" i="1" s="1"/>
  <c r="Z824" i="1"/>
  <c r="AA824" i="1" s="1"/>
  <c r="Z825" i="1"/>
  <c r="AA825" i="1" s="1"/>
  <c r="Z826" i="1"/>
  <c r="AA826" i="1" s="1"/>
  <c r="Z827" i="1"/>
  <c r="AA827" i="1" s="1"/>
  <c r="Z828" i="1"/>
  <c r="AA828" i="1" s="1"/>
  <c r="Z829" i="1"/>
  <c r="AA829" i="1" s="1"/>
  <c r="Z830" i="1"/>
  <c r="AA830" i="1" s="1"/>
  <c r="Z831" i="1"/>
  <c r="AA831" i="1" s="1"/>
  <c r="Z832" i="1"/>
  <c r="AA832" i="1" s="1"/>
  <c r="Z833" i="1"/>
  <c r="AA833" i="1" s="1"/>
  <c r="Z834" i="1"/>
  <c r="AA834" i="1" s="1"/>
  <c r="Z835" i="1"/>
  <c r="AA835" i="1" s="1"/>
  <c r="Z836" i="1"/>
  <c r="AA836" i="1" s="1"/>
  <c r="Z837" i="1"/>
  <c r="AA837" i="1" s="1"/>
  <c r="Z838" i="1"/>
  <c r="AA838" i="1" s="1"/>
  <c r="Z839" i="1"/>
  <c r="AA839" i="1" s="1"/>
  <c r="Z840" i="1"/>
  <c r="AA840" i="1" s="1"/>
  <c r="Z841" i="1"/>
  <c r="AA841" i="1" s="1"/>
  <c r="Z842" i="1"/>
  <c r="AA842" i="1" s="1"/>
  <c r="Z843" i="1"/>
  <c r="AA843" i="1" s="1"/>
  <c r="Z844" i="1"/>
  <c r="AA844" i="1" s="1"/>
  <c r="Z845" i="1"/>
  <c r="AA845" i="1" s="1"/>
  <c r="Z846" i="1"/>
  <c r="AA846" i="1" s="1"/>
  <c r="Z847" i="1"/>
  <c r="AA847" i="1" s="1"/>
  <c r="Z848" i="1"/>
  <c r="AA848" i="1" s="1"/>
  <c r="Z849" i="1"/>
  <c r="AA849" i="1" s="1"/>
  <c r="Z850" i="1"/>
  <c r="AA850" i="1" s="1"/>
  <c r="Z851" i="1"/>
  <c r="AA851" i="1" s="1"/>
  <c r="Z852" i="1"/>
  <c r="AA852" i="1" s="1"/>
  <c r="Z853" i="1"/>
  <c r="AA853" i="1" s="1"/>
  <c r="Z854" i="1"/>
  <c r="AA854" i="1" s="1"/>
  <c r="Z855" i="1"/>
  <c r="AA855" i="1" s="1"/>
  <c r="Z856" i="1"/>
  <c r="AA856" i="1" s="1"/>
  <c r="Z857" i="1"/>
  <c r="AA857" i="1" s="1"/>
  <c r="Z858" i="1"/>
  <c r="AA858" i="1" s="1"/>
  <c r="Z859" i="1"/>
  <c r="AA859" i="1" s="1"/>
  <c r="Z860" i="1"/>
  <c r="AA860" i="1" s="1"/>
  <c r="Z861" i="1"/>
  <c r="AA861" i="1" s="1"/>
  <c r="Z862" i="1"/>
  <c r="AA862" i="1" s="1"/>
  <c r="Z863" i="1"/>
  <c r="AA863" i="1" s="1"/>
  <c r="Z864" i="1"/>
  <c r="AA864" i="1" s="1"/>
  <c r="Z865" i="1"/>
  <c r="AA865" i="1" s="1"/>
  <c r="Z866" i="1"/>
  <c r="AA866" i="1" s="1"/>
  <c r="Z867" i="1"/>
  <c r="AA867" i="1" s="1"/>
  <c r="Z868" i="1"/>
  <c r="AA868" i="1" s="1"/>
  <c r="Z869" i="1"/>
  <c r="AA869" i="1" s="1"/>
  <c r="Z870" i="1"/>
  <c r="AA870" i="1" s="1"/>
  <c r="Z871" i="1"/>
  <c r="AA871" i="1" s="1"/>
  <c r="Z872" i="1"/>
  <c r="AA872" i="1" s="1"/>
  <c r="Z873" i="1"/>
  <c r="AA873" i="1" s="1"/>
  <c r="Z874" i="1"/>
  <c r="AA874" i="1" s="1"/>
  <c r="Z875" i="1"/>
  <c r="AA875" i="1" s="1"/>
  <c r="Z876" i="1"/>
  <c r="AA876" i="1" s="1"/>
  <c r="Z877" i="1"/>
  <c r="AA877" i="1" s="1"/>
  <c r="Z878" i="1"/>
  <c r="AA878" i="1" s="1"/>
  <c r="Z879" i="1"/>
  <c r="AA879" i="1" s="1"/>
  <c r="Z880" i="1"/>
  <c r="AA880" i="1" s="1"/>
  <c r="Z881" i="1"/>
  <c r="AA881" i="1" s="1"/>
  <c r="Z882" i="1"/>
  <c r="AA882" i="1" s="1"/>
  <c r="Z883" i="1"/>
  <c r="AA883" i="1" s="1"/>
  <c r="Z884" i="1"/>
  <c r="AA884" i="1" s="1"/>
  <c r="Z885" i="1"/>
  <c r="AA885" i="1" s="1"/>
  <c r="Z886" i="1"/>
  <c r="AA886" i="1" s="1"/>
  <c r="Z887" i="1"/>
  <c r="AA887" i="1" s="1"/>
  <c r="Z888" i="1"/>
  <c r="AA888" i="1" s="1"/>
  <c r="Z889" i="1"/>
  <c r="AA889" i="1" s="1"/>
  <c r="Z890" i="1"/>
  <c r="AA890" i="1" s="1"/>
  <c r="Z891" i="1"/>
  <c r="AA891" i="1" s="1"/>
  <c r="Z892" i="1"/>
  <c r="AA892" i="1" s="1"/>
  <c r="Z893" i="1"/>
  <c r="AA893" i="1" s="1"/>
  <c r="Z894" i="1"/>
  <c r="AA894" i="1" s="1"/>
  <c r="Z895" i="1"/>
  <c r="AA895" i="1" s="1"/>
  <c r="Z896" i="1"/>
  <c r="AA896" i="1" s="1"/>
  <c r="Z897" i="1"/>
  <c r="AA897" i="1" s="1"/>
  <c r="Z898" i="1"/>
  <c r="AA898" i="1" s="1"/>
  <c r="Z899" i="1"/>
  <c r="AA899" i="1" s="1"/>
  <c r="Z900" i="1"/>
  <c r="AA900" i="1" s="1"/>
  <c r="Z901" i="1"/>
  <c r="AA901" i="1" s="1"/>
  <c r="Z902" i="1"/>
  <c r="AA902" i="1" s="1"/>
  <c r="Z903" i="1"/>
  <c r="AA903" i="1" s="1"/>
  <c r="Z904" i="1"/>
  <c r="AA904" i="1" s="1"/>
  <c r="Z905" i="1"/>
  <c r="AA905" i="1" s="1"/>
  <c r="Z906" i="1"/>
  <c r="AA906" i="1" s="1"/>
  <c r="Z907" i="1"/>
  <c r="AA907" i="1" s="1"/>
  <c r="Z908" i="1"/>
  <c r="AA908" i="1" s="1"/>
  <c r="Z909" i="1"/>
  <c r="AA909" i="1" s="1"/>
  <c r="Z910" i="1"/>
  <c r="AA910" i="1" s="1"/>
  <c r="Z911" i="1"/>
  <c r="AA911" i="1" s="1"/>
  <c r="Z912" i="1"/>
  <c r="AA912" i="1" s="1"/>
  <c r="Z913" i="1"/>
  <c r="AA913" i="1" s="1"/>
  <c r="Z914" i="1"/>
  <c r="AA914" i="1" s="1"/>
  <c r="Z915" i="1"/>
  <c r="AA915" i="1" s="1"/>
  <c r="Z916" i="1"/>
  <c r="AA916" i="1" s="1"/>
  <c r="Z917" i="1"/>
  <c r="AA917" i="1" s="1"/>
  <c r="Z918" i="1"/>
  <c r="AA918" i="1" s="1"/>
  <c r="Z919" i="1"/>
  <c r="AA919" i="1" s="1"/>
  <c r="Z920" i="1"/>
  <c r="AA920" i="1" s="1"/>
  <c r="Z921" i="1"/>
  <c r="AA921" i="1" s="1"/>
  <c r="Z922" i="1"/>
  <c r="AA922" i="1" s="1"/>
  <c r="Z923" i="1"/>
  <c r="AA923" i="1" s="1"/>
  <c r="Z924" i="1"/>
  <c r="AA924" i="1" s="1"/>
  <c r="Z925" i="1"/>
  <c r="AA925" i="1" s="1"/>
  <c r="Z926" i="1"/>
  <c r="AA926" i="1" s="1"/>
  <c r="Z927" i="1"/>
  <c r="AA927" i="1" s="1"/>
  <c r="Z928" i="1"/>
  <c r="AA928" i="1" s="1"/>
  <c r="Z929" i="1"/>
  <c r="AA929" i="1" s="1"/>
  <c r="Z930" i="1"/>
  <c r="AA930" i="1" s="1"/>
  <c r="Z931" i="1"/>
  <c r="AA931" i="1" s="1"/>
  <c r="Z932" i="1"/>
  <c r="AA932" i="1" s="1"/>
  <c r="Z933" i="1"/>
  <c r="AA933" i="1" s="1"/>
  <c r="Z934" i="1"/>
  <c r="AA934" i="1" s="1"/>
  <c r="Z935" i="1"/>
  <c r="AA935" i="1" s="1"/>
  <c r="Z936" i="1"/>
  <c r="AA936" i="1" s="1"/>
  <c r="Z937" i="1"/>
  <c r="AA937" i="1" s="1"/>
  <c r="Z938" i="1"/>
  <c r="AA938" i="1" s="1"/>
  <c r="Z939" i="1"/>
  <c r="AA939" i="1" s="1"/>
  <c r="Z940" i="1"/>
  <c r="AA940" i="1" s="1"/>
  <c r="Z941" i="1"/>
  <c r="AA941" i="1" s="1"/>
  <c r="Z942" i="1"/>
  <c r="AA942" i="1" s="1"/>
  <c r="Z943" i="1"/>
  <c r="AA943" i="1" s="1"/>
  <c r="Z944" i="1"/>
  <c r="AA944" i="1" s="1"/>
  <c r="Z945" i="1"/>
  <c r="AA945" i="1" s="1"/>
  <c r="Z946" i="1"/>
  <c r="AA946" i="1" s="1"/>
  <c r="Z947" i="1"/>
  <c r="AA947" i="1" s="1"/>
  <c r="Z948" i="1"/>
  <c r="AA948" i="1" s="1"/>
  <c r="Z949" i="1"/>
  <c r="AA949" i="1" s="1"/>
  <c r="Z950" i="1"/>
  <c r="AA950" i="1" s="1"/>
  <c r="Z951" i="1"/>
  <c r="AA951" i="1" s="1"/>
  <c r="Z952" i="1"/>
  <c r="AA952" i="1" s="1"/>
  <c r="Z953" i="1"/>
  <c r="AA953" i="1" s="1"/>
  <c r="Z954" i="1"/>
  <c r="AA954" i="1" s="1"/>
  <c r="Z955" i="1"/>
  <c r="AA955" i="1" s="1"/>
  <c r="Z956" i="1"/>
  <c r="AA956" i="1" s="1"/>
  <c r="Z957" i="1"/>
  <c r="AA957" i="1" s="1"/>
  <c r="Z958" i="1"/>
  <c r="AA958" i="1" s="1"/>
  <c r="Z959" i="1"/>
  <c r="AA959" i="1" s="1"/>
  <c r="Z960" i="1"/>
  <c r="AA960" i="1" s="1"/>
  <c r="Z961" i="1"/>
  <c r="AA961" i="1" s="1"/>
  <c r="Z962" i="1"/>
  <c r="AA962" i="1" s="1"/>
  <c r="Z963" i="1"/>
  <c r="AA963" i="1" s="1"/>
  <c r="Z964" i="1"/>
  <c r="AA964" i="1" s="1"/>
  <c r="Z965" i="1"/>
  <c r="AA965" i="1" s="1"/>
  <c r="Z966" i="1"/>
  <c r="AA966" i="1" s="1"/>
  <c r="Z967" i="1"/>
  <c r="AA967" i="1" s="1"/>
  <c r="Z968" i="1"/>
  <c r="AA968" i="1" s="1"/>
  <c r="Z969" i="1"/>
  <c r="AA969" i="1" s="1"/>
  <c r="Z970" i="1"/>
  <c r="AA970" i="1" s="1"/>
  <c r="Z971" i="1"/>
  <c r="AA971" i="1" s="1"/>
  <c r="Z972" i="1"/>
  <c r="AA972" i="1" s="1"/>
  <c r="Z973" i="1"/>
  <c r="AA973" i="1" s="1"/>
  <c r="Z974" i="1"/>
  <c r="AA974" i="1" s="1"/>
  <c r="Z975" i="1"/>
  <c r="AA975" i="1" s="1"/>
  <c r="Z976" i="1"/>
  <c r="AA976" i="1" s="1"/>
  <c r="Z977" i="1"/>
  <c r="AA977" i="1" s="1"/>
  <c r="Z978" i="1"/>
  <c r="AA978" i="1" s="1"/>
  <c r="Z979" i="1"/>
  <c r="AA979" i="1" s="1"/>
  <c r="Z980" i="1"/>
  <c r="AA980" i="1" s="1"/>
  <c r="Z981" i="1"/>
  <c r="AA981" i="1" s="1"/>
  <c r="Z982" i="1"/>
  <c r="AA982" i="1" s="1"/>
  <c r="Z983" i="1"/>
  <c r="AA983" i="1" s="1"/>
  <c r="Z984" i="1"/>
  <c r="AA984" i="1" s="1"/>
  <c r="Z985" i="1"/>
  <c r="AA985" i="1" s="1"/>
  <c r="Z986" i="1"/>
  <c r="AA986" i="1" s="1"/>
  <c r="Z987" i="1"/>
  <c r="AA987" i="1" s="1"/>
  <c r="Z988" i="1"/>
  <c r="AA988" i="1" s="1"/>
  <c r="Z989" i="1"/>
  <c r="AA989" i="1" s="1"/>
  <c r="Z990" i="1"/>
  <c r="AA990" i="1" s="1"/>
  <c r="Z991" i="1"/>
  <c r="AA991" i="1" s="1"/>
  <c r="Z992" i="1"/>
  <c r="AA992" i="1" s="1"/>
  <c r="Z993" i="1"/>
  <c r="AA993" i="1" s="1"/>
  <c r="Z994" i="1"/>
  <c r="AA994" i="1" s="1"/>
  <c r="Z995" i="1"/>
  <c r="AA995" i="1" s="1"/>
  <c r="Z996" i="1"/>
  <c r="AA996" i="1" s="1"/>
  <c r="Z997" i="1"/>
  <c r="AA997" i="1" s="1"/>
  <c r="Z998" i="1"/>
  <c r="AA998" i="1" s="1"/>
  <c r="Z999" i="1"/>
  <c r="AA999" i="1" s="1"/>
  <c r="Z1000" i="1"/>
  <c r="AA1000" i="1" s="1"/>
  <c r="Z1001" i="1"/>
  <c r="AA1001" i="1" s="1"/>
  <c r="I13" i="3"/>
  <c r="O12" i="3"/>
  <c r="D25" i="3"/>
  <c r="D23" i="3"/>
  <c r="B39" i="3" a="1"/>
  <c r="B39" i="3" s="1"/>
  <c r="D24" i="3"/>
  <c r="D26" i="3"/>
  <c r="D27" i="3"/>
  <c r="D28" i="3"/>
  <c r="D29" i="3"/>
  <c r="D30" i="3"/>
  <c r="D31" i="3"/>
  <c r="D32" i="3"/>
  <c r="D33" i="3"/>
  <c r="C23" i="3"/>
  <c r="C24" i="3"/>
  <c r="C25" i="3"/>
  <c r="C26" i="3"/>
  <c r="C27" i="3"/>
  <c r="C28" i="3"/>
  <c r="C29" i="3"/>
  <c r="C30" i="3"/>
  <c r="C31" i="3"/>
  <c r="C32" i="3"/>
  <c r="C33" i="3"/>
  <c r="D22" i="3"/>
  <c r="C22" i="3"/>
  <c r="I12" i="3"/>
  <c r="I11" i="3"/>
  <c r="I7" i="3"/>
  <c r="L11" i="3" a="1"/>
  <c r="L11" i="3" s="1"/>
  <c r="L10" i="3" a="1"/>
  <c r="L10" i="3" s="1"/>
  <c r="I6" i="3"/>
  <c r="C16" i="3"/>
  <c r="C14" i="3"/>
  <c r="I9" i="5" s="1"/>
  <c r="C13" i="3"/>
  <c r="O8" i="3" s="1"/>
  <c r="C12" i="3"/>
  <c r="C11" i="3"/>
  <c r="C10" i="3"/>
  <c r="C9" i="3"/>
  <c r="C8" i="3"/>
  <c r="C7" i="3"/>
  <c r="L6" i="3" s="1"/>
  <c r="C6" i="3"/>
  <c r="L7" i="3" s="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G3" i="1"/>
  <c r="AG2"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F207"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M19" i="1" a="1"/>
  <c r="AM19" i="1" s="1"/>
  <c r="AN19" i="1" s="1"/>
  <c r="AM18" i="1" a="1"/>
  <c r="AM18" i="1" s="1"/>
  <c r="AN18" i="1" s="1"/>
  <c r="AM16" i="1" a="1"/>
  <c r="AM16" i="1" s="1"/>
  <c r="AN16" i="1" s="1"/>
  <c r="AM15" i="1" a="1"/>
  <c r="AM15" i="1" s="1"/>
  <c r="AN15" i="1" s="1"/>
  <c r="AM32" i="1"/>
  <c r="AN32" i="1" s="1"/>
  <c r="AM31" i="1"/>
  <c r="AN31" i="1" s="1"/>
  <c r="AM29" i="1"/>
  <c r="AN29" i="1" s="1"/>
  <c r="AM28" i="1"/>
  <c r="AN28" i="1" s="1"/>
  <c r="AM27" i="1"/>
  <c r="AN27" i="1" s="1"/>
  <c r="AM26" i="1"/>
  <c r="AN26" i="1" s="1"/>
  <c r="AM10" i="1"/>
  <c r="AN10" i="1" s="1"/>
  <c r="AM9" i="1"/>
  <c r="AN9" i="1" s="1"/>
  <c r="AM8" i="1"/>
  <c r="AN8" i="1" s="1"/>
  <c r="AM6" i="1"/>
  <c r="AN6" i="1" s="1"/>
  <c r="AM5" i="1"/>
  <c r="AN5" i="1" s="1"/>
  <c r="AM4" i="1"/>
  <c r="AN4" i="1" s="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K50" i="5" l="1"/>
  <c r="F30" i="3"/>
  <c r="AM20" i="1" a="1"/>
  <c r="AM20" i="1" s="1"/>
  <c r="AN20" i="1" s="1"/>
  <c r="AM25" i="1"/>
  <c r="AN25" i="1" s="1"/>
  <c r="AA2" i="1"/>
  <c r="AM17" i="1" a="1"/>
  <c r="AM17" i="1" s="1"/>
  <c r="AN17" i="1" s="1"/>
  <c r="K51" i="5"/>
  <c r="H22" i="3" a="1"/>
  <c r="K34" i="3" s="1"/>
  <c r="F25" i="3"/>
  <c r="F6" i="3"/>
  <c r="O9" i="5"/>
  <c r="L44" i="5"/>
  <c r="D34" i="3"/>
  <c r="D39" i="3"/>
  <c r="A9" i="5"/>
  <c r="L45" i="5"/>
  <c r="F22" i="3"/>
  <c r="C9" i="5"/>
  <c r="C44" i="5"/>
  <c r="C46" i="5" s="1"/>
  <c r="C47" i="5" s="1"/>
  <c r="C45" i="5"/>
  <c r="H44" i="5"/>
  <c r="D40" i="3"/>
  <c r="O6" i="3"/>
  <c r="C39" i="3"/>
  <c r="C43" i="3"/>
  <c r="C42" i="3"/>
  <c r="C41" i="3"/>
  <c r="C40" i="3"/>
  <c r="AA322" i="1"/>
  <c r="AA258" i="1"/>
  <c r="AA250" i="1"/>
  <c r="AA226" i="1"/>
  <c r="AA186" i="1"/>
  <c r="F32" i="3"/>
  <c r="AA170" i="1"/>
  <c r="AA162" i="1"/>
  <c r="AA154" i="1"/>
  <c r="AA146" i="1"/>
  <c r="AA138" i="1"/>
  <c r="AA130" i="1"/>
  <c r="AA122" i="1"/>
  <c r="F27" i="3"/>
  <c r="AA98" i="1"/>
  <c r="F31" i="3"/>
  <c r="AA90" i="1"/>
  <c r="AA74" i="1"/>
  <c r="F28" i="3"/>
  <c r="AA66" i="1"/>
  <c r="F23" i="3"/>
  <c r="AA58" i="1"/>
  <c r="AA34" i="1"/>
  <c r="AA26" i="1"/>
  <c r="AA18" i="1"/>
  <c r="C15" i="3"/>
  <c r="F7" i="3" s="1"/>
  <c r="AA10" i="1"/>
  <c r="D43" i="3"/>
  <c r="F29" i="3"/>
  <c r="D42" i="3"/>
  <c r="F42" i="3" s="1"/>
  <c r="O11" i="3"/>
  <c r="F26" i="3"/>
  <c r="D41" i="3"/>
  <c r="F33" i="3"/>
  <c r="K52" i="5" s="1"/>
  <c r="F24" i="3"/>
  <c r="I9" i="3"/>
  <c r="C34" i="3"/>
  <c r="F11" i="3"/>
  <c r="I8" i="3"/>
  <c r="L8" i="3"/>
  <c r="L9" i="3"/>
  <c r="F12" i="3"/>
  <c r="P47" i="5" s="1"/>
  <c r="F13" i="3"/>
  <c r="F8" i="3"/>
  <c r="F9" i="3"/>
  <c r="F10" i="3"/>
  <c r="L47" i="5" l="1"/>
  <c r="AM30" i="1"/>
  <c r="AN30" i="1" s="1"/>
  <c r="F40" i="3"/>
  <c r="F43" i="3"/>
  <c r="M9" i="5"/>
  <c r="H46" i="5"/>
  <c r="L23" i="3"/>
  <c r="L33" i="3"/>
  <c r="L30" i="3"/>
  <c r="N30" i="3" s="1"/>
  <c r="L41" i="3"/>
  <c r="N41" i="3" s="1"/>
  <c r="K41" i="3"/>
  <c r="I35" i="3"/>
  <c r="K30" i="3"/>
  <c r="I40" i="3"/>
  <c r="I23" i="3"/>
  <c r="L51" i="3"/>
  <c r="E9" i="5"/>
  <c r="L31" i="3"/>
  <c r="L37" i="3"/>
  <c r="L24" i="3"/>
  <c r="L34" i="3"/>
  <c r="N34" i="3" s="1"/>
  <c r="L29" i="3"/>
  <c r="K33" i="3"/>
  <c r="I27" i="3"/>
  <c r="L40" i="3"/>
  <c r="I32" i="3"/>
  <c r="K35" i="3"/>
  <c r="L46" i="5"/>
  <c r="I37" i="3"/>
  <c r="K32" i="3"/>
  <c r="I26" i="3"/>
  <c r="K29" i="3"/>
  <c r="I39" i="3"/>
  <c r="K26" i="3"/>
  <c r="C52" i="5"/>
  <c r="C51" i="5"/>
  <c r="C50" i="5"/>
  <c r="K25" i="3"/>
  <c r="K39" i="3"/>
  <c r="I41" i="3"/>
  <c r="I24" i="3"/>
  <c r="K27" i="3"/>
  <c r="O53" i="5"/>
  <c r="O52" i="5"/>
  <c r="O51" i="5"/>
  <c r="O50" i="5"/>
  <c r="L26" i="3"/>
  <c r="L39" i="3"/>
  <c r="L25" i="3"/>
  <c r="I36" i="3"/>
  <c r="K31" i="3"/>
  <c r="I33" i="3"/>
  <c r="K36" i="3"/>
  <c r="I38" i="3"/>
  <c r="I29" i="3"/>
  <c r="K24" i="3"/>
  <c r="K38" i="3"/>
  <c r="L36" i="3"/>
  <c r="N36" i="3" s="1"/>
  <c r="I31" i="3"/>
  <c r="H22" i="3"/>
  <c r="L22" i="3" s="1"/>
  <c r="O9" i="3"/>
  <c r="G9" i="5"/>
  <c r="L35" i="3"/>
  <c r="F41" i="3"/>
  <c r="I28" i="3"/>
  <c r="K23" i="3"/>
  <c r="I25" i="3"/>
  <c r="K28" i="3"/>
  <c r="I30" i="3"/>
  <c r="N51" i="3"/>
  <c r="H45" i="5"/>
  <c r="K9" i="5"/>
  <c r="L32" i="3"/>
  <c r="N32" i="3" s="1"/>
  <c r="L38" i="3"/>
  <c r="L27" i="3"/>
  <c r="F39" i="3"/>
  <c r="C53" i="5" s="1"/>
  <c r="K40" i="3"/>
  <c r="I34" i="3"/>
  <c r="K37" i="3"/>
  <c r="N37" i="3" s="1"/>
  <c r="L28" i="3"/>
  <c r="O10" i="3"/>
  <c r="O7" i="3"/>
  <c r="G51" i="3"/>
  <c r="C51" i="3"/>
  <c r="B51" i="3"/>
  <c r="I10" i="3"/>
  <c r="K22" i="3"/>
  <c r="E51" i="3"/>
  <c r="F34" i="3"/>
  <c r="I51" i="3"/>
  <c r="N39" i="3" l="1"/>
  <c r="N25" i="3"/>
  <c r="N26" i="3"/>
  <c r="N40" i="3"/>
  <c r="N27" i="3"/>
  <c r="K42" i="3"/>
  <c r="N35" i="3"/>
  <c r="N42" i="3"/>
  <c r="N24" i="3"/>
  <c r="I22" i="3"/>
  <c r="O13" i="3"/>
  <c r="N38" i="3"/>
  <c r="N31" i="3"/>
  <c r="N28" i="3"/>
  <c r="N33" i="3"/>
  <c r="N23" i="3"/>
  <c r="N29" i="3"/>
  <c r="N22" i="3"/>
  <c r="AM7" i="1"/>
  <c r="AN7" i="1" s="1"/>
  <c r="G53" i="5" l="1"/>
  <c r="G52" i="5"/>
  <c r="G51" i="5"/>
  <c r="G50"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<sst xmlns="http://schemas.openxmlformats.org/spreadsheetml/2006/main" count="27408" uniqueCount="1341">
  <si>
    <t>Transaction ID</t>
  </si>
  <si>
    <t>Date</t>
  </si>
  <si>
    <t>Month</t>
  </si>
  <si>
    <t>Quarter</t>
  </si>
  <si>
    <t>Year</t>
  </si>
  <si>
    <t>Region</t>
  </si>
  <si>
    <t>Country</t>
  </si>
  <si>
    <t>State</t>
  </si>
  <si>
    <t>City</t>
  </si>
  <si>
    <t>Branch</t>
  </si>
  <si>
    <t>Department</t>
  </si>
  <si>
    <t>Cost Center</t>
  </si>
  <si>
    <t>Product ID</t>
  </si>
  <si>
    <t>Product Name</t>
  </si>
  <si>
    <t>Category</t>
  </si>
  <si>
    <t>Sub Category</t>
  </si>
  <si>
    <t>Revenue</t>
  </si>
  <si>
    <t>Budget Revenue</t>
  </si>
  <si>
    <t>COGS</t>
  </si>
  <si>
    <t>Operating Expense</t>
  </si>
  <si>
    <t>Marketing Expense</t>
  </si>
  <si>
    <t>Salary Expense</t>
  </si>
  <si>
    <t>Misc Expense</t>
  </si>
  <si>
    <t>Total Expense</t>
  </si>
  <si>
    <t>Gross Profit</t>
  </si>
  <si>
    <t>Net Profit</t>
  </si>
  <si>
    <t>Profit Margin %</t>
  </si>
  <si>
    <t>Budget Variance</t>
  </si>
  <si>
    <t>Discount</t>
  </si>
  <si>
    <t>Tax</t>
  </si>
  <si>
    <t>Net Revenue</t>
  </si>
  <si>
    <t>TXN-00001</t>
  </si>
  <si>
    <t>July</t>
  </si>
  <si>
    <t>Q3</t>
  </si>
  <si>
    <t>West</t>
  </si>
  <si>
    <t>India</t>
  </si>
  <si>
    <t>Goa</t>
  </si>
  <si>
    <t>Vasco da Gama</t>
  </si>
  <si>
    <t>Branch D</t>
  </si>
  <si>
    <t>Operations</t>
  </si>
  <si>
    <t>CC-1002</t>
  </si>
  <si>
    <t>P019</t>
  </si>
  <si>
    <t>Conference Camera</t>
  </si>
  <si>
    <t>Electronics</t>
  </si>
  <si>
    <t>Video Conferencing</t>
  </si>
  <si>
    <t>TXN-00002</t>
  </si>
  <si>
    <t>September</t>
  </si>
  <si>
    <t>South</t>
  </si>
  <si>
    <t>Tamil Nadu</t>
  </si>
  <si>
    <t>Chennai</t>
  </si>
  <si>
    <t>Sales</t>
  </si>
  <si>
    <t>CC-1003</t>
  </si>
  <si>
    <t>P010</t>
  </si>
  <si>
    <t>Mouse</t>
  </si>
  <si>
    <t>Accessories</t>
  </si>
  <si>
    <t>Computer Accessories</t>
  </si>
  <si>
    <t>TXN-00003</t>
  </si>
  <si>
    <t>February</t>
  </si>
  <si>
    <t>Q1</t>
  </si>
  <si>
    <t>North</t>
  </si>
  <si>
    <t>Uttar Pradesh</t>
  </si>
  <si>
    <t>Lucknow</t>
  </si>
  <si>
    <t>P009</t>
  </si>
  <si>
    <t>Keyboard</t>
  </si>
  <si>
    <t>TXN-00004</t>
  </si>
  <si>
    <t>May</t>
  </si>
  <si>
    <t>Q2</t>
  </si>
  <si>
    <t>East</t>
  </si>
  <si>
    <t>Odisha</t>
  </si>
  <si>
    <t>Bhubaneswar</t>
  </si>
  <si>
    <t>Branch C</t>
  </si>
  <si>
    <t>Marketing</t>
  </si>
  <si>
    <t>CC-1004</t>
  </si>
  <si>
    <t>P002</t>
  </si>
  <si>
    <t>Monitor</t>
  </si>
  <si>
    <t>Computing</t>
  </si>
  <si>
    <t>TXN-00005</t>
  </si>
  <si>
    <t>January</t>
  </si>
  <si>
    <t>Kerala</t>
  </si>
  <si>
    <t>Kochi</t>
  </si>
  <si>
    <t>Branch A</t>
  </si>
  <si>
    <t>CC-1005</t>
  </si>
  <si>
    <t>P001</t>
  </si>
  <si>
    <t>Business Laptop</t>
  </si>
  <si>
    <t>TXN-00006</t>
  </si>
  <si>
    <t>Central</t>
  </si>
  <si>
    <t>Madhya Pradesh</t>
  </si>
  <si>
    <t>Indore</t>
  </si>
  <si>
    <t>P003</t>
  </si>
  <si>
    <t>Printer</t>
  </si>
  <si>
    <t>Office Equipment</t>
  </si>
  <si>
    <t>TXN-00007</t>
  </si>
  <si>
    <t>October</t>
  </si>
  <si>
    <t>Q4</t>
  </si>
  <si>
    <t>CC-1001</t>
  </si>
  <si>
    <t>P020</t>
  </si>
  <si>
    <t>Document Scanner</t>
  </si>
  <si>
    <t>TXN-00008</t>
  </si>
  <si>
    <t>Maharashtra</t>
  </si>
  <si>
    <t>Mumbai</t>
  </si>
  <si>
    <t>Branch B</t>
  </si>
  <si>
    <t>Finance</t>
  </si>
  <si>
    <t>P012</t>
  </si>
  <si>
    <t>Accounting Software</t>
  </si>
  <si>
    <t>Software</t>
  </si>
  <si>
    <t>Business Software</t>
  </si>
  <si>
    <t>TXN-00009</t>
  </si>
  <si>
    <t>December</t>
  </si>
  <si>
    <t>Agra</t>
  </si>
  <si>
    <t>TXN-00010</t>
  </si>
  <si>
    <t>P005</t>
  </si>
  <si>
    <t>Office Desk</t>
  </si>
  <si>
    <t>Furniture</t>
  </si>
  <si>
    <t>Office Furniture</t>
  </si>
  <si>
    <t>TXN-00011</t>
  </si>
  <si>
    <t>Thiruvananthapuram</t>
  </si>
  <si>
    <t>TXN-00012</t>
  </si>
  <si>
    <t>August</t>
  </si>
  <si>
    <t>Jharkhand</t>
  </si>
  <si>
    <t>Ranchi</t>
  </si>
  <si>
    <t>P018</t>
  </si>
  <si>
    <t>Projector</t>
  </si>
  <si>
    <t>Presentation</t>
  </si>
  <si>
    <t>TXN-00013</t>
  </si>
  <si>
    <t>TXN-00014</t>
  </si>
  <si>
    <t>March</t>
  </si>
  <si>
    <t>Coimbatore</t>
  </si>
  <si>
    <t>TXN-00015</t>
  </si>
  <si>
    <t>April</t>
  </si>
  <si>
    <t>TXN-00016</t>
  </si>
  <si>
    <t>P017</t>
  </si>
  <si>
    <t>UPS System</t>
  </si>
  <si>
    <t>Power Equipment</t>
  </si>
  <si>
    <t>TXN-00017</t>
  </si>
  <si>
    <t>Rajasthan</t>
  </si>
  <si>
    <t>Jodhpur</t>
  </si>
  <si>
    <t>TXN-00018</t>
  </si>
  <si>
    <t xml:space="preserve">  pune  </t>
  </si>
  <si>
    <t>TXN-00019</t>
  </si>
  <si>
    <t>Haryana</t>
  </si>
  <si>
    <t>Faridabad</t>
  </si>
  <si>
    <t>P008</t>
  </si>
  <si>
    <t>Headset</t>
  </si>
  <si>
    <t>Audio</t>
  </si>
  <si>
    <t>TXN-00020</t>
  </si>
  <si>
    <t>Panaji</t>
  </si>
  <si>
    <t>TXN-00021</t>
  </si>
  <si>
    <t>November</t>
  </si>
  <si>
    <t>TXN-00022</t>
  </si>
  <si>
    <t>Nagpur</t>
  </si>
  <si>
    <t>TXN-00023</t>
  </si>
  <si>
    <t>TXN-00024</t>
  </si>
  <si>
    <t>Panipat</t>
  </si>
  <si>
    <t>TXN-00025</t>
  </si>
  <si>
    <t>Udaipur</t>
  </si>
  <si>
    <t>TXN-00026</t>
  </si>
  <si>
    <t>June</t>
  </si>
  <si>
    <t>Gujarat</t>
  </si>
  <si>
    <t>Ahmedabad</t>
  </si>
  <si>
    <t>TXN-00027</t>
  </si>
  <si>
    <t>IT</t>
  </si>
  <si>
    <t>P007</t>
  </si>
  <si>
    <t>Tablet</t>
  </si>
  <si>
    <t>Mobile</t>
  </si>
  <si>
    <t>TXN-00028</t>
  </si>
  <si>
    <t>TXN-00029</t>
  </si>
  <si>
    <t>Vadodara</t>
  </si>
  <si>
    <t>TXN-00030</t>
  </si>
  <si>
    <t>West Bengal</t>
  </si>
  <si>
    <t>Kolkata</t>
  </si>
  <si>
    <t>TXN-00031</t>
  </si>
  <si>
    <t>P016</t>
  </si>
  <si>
    <t>Network Switch</t>
  </si>
  <si>
    <t>Networking</t>
  </si>
  <si>
    <t>Network Equipment</t>
  </si>
  <si>
    <t>TXN-00032</t>
  </si>
  <si>
    <t>Jaipur</t>
  </si>
  <si>
    <t>TXN-00033</t>
  </si>
  <si>
    <t>Chhattisgarh</t>
  </si>
  <si>
    <t>Bilaspur</t>
  </si>
  <si>
    <t>TXN-00034</t>
  </si>
  <si>
    <t>Bhopal</t>
  </si>
  <si>
    <t>TXN-00035</t>
  </si>
  <si>
    <t>Kozhikode</t>
  </si>
  <si>
    <t>TXN-00036</t>
  </si>
  <si>
    <t>Kanpur</t>
  </si>
  <si>
    <t>P015</t>
  </si>
  <si>
    <t>Network Router</t>
  </si>
  <si>
    <t>TXN-00037</t>
  </si>
  <si>
    <t>P013</t>
  </si>
  <si>
    <t>CRM Software</t>
  </si>
  <si>
    <t>TXN-00038</t>
  </si>
  <si>
    <t>TXN-00039</t>
  </si>
  <si>
    <t>TXN-00040</t>
  </si>
  <si>
    <t>Surat</t>
  </si>
  <si>
    <t>TXN-00041</t>
  </si>
  <si>
    <t>TXN-00042</t>
  </si>
  <si>
    <t>P006</t>
  </si>
  <si>
    <t>Smartphone</t>
  </si>
  <si>
    <t>TXN-00043</t>
  </si>
  <si>
    <t>Gurugram</t>
  </si>
  <si>
    <t>TXN-00044</t>
  </si>
  <si>
    <t>business laptop</t>
  </si>
  <si>
    <t>TXN-00045</t>
  </si>
  <si>
    <t>Cuttack</t>
  </si>
  <si>
    <t>TXN-00046</t>
  </si>
  <si>
    <t>Telangana</t>
  </si>
  <si>
    <t>Nizamabad</t>
  </si>
  <si>
    <t>TXN-00047</t>
  </si>
  <si>
    <t>Jamshedpur</t>
  </si>
  <si>
    <t>TXN-00048</t>
  </si>
  <si>
    <t>P004</t>
  </si>
  <si>
    <t>Office Chair</t>
  </si>
  <si>
    <t>TXN-00049</t>
  </si>
  <si>
    <t>Karnataka</t>
  </si>
  <si>
    <t>Mangaluru</t>
  </si>
  <si>
    <t>TXN-00050</t>
  </si>
  <si>
    <t>Bihar</t>
  </si>
  <si>
    <t>Gaya</t>
  </si>
  <si>
    <t>TXN-00051</t>
  </si>
  <si>
    <t>Mysuru</t>
  </si>
  <si>
    <t>P011</t>
  </si>
  <si>
    <t>Cloud Software</t>
  </si>
  <si>
    <t>Subscription</t>
  </si>
  <si>
    <t>TXN-00052</t>
  </si>
  <si>
    <t>TXN-00053</t>
  </si>
  <si>
    <t>TXN-00054</t>
  </si>
  <si>
    <t>Dhanbad</t>
  </si>
  <si>
    <t>TXN-00055</t>
  </si>
  <si>
    <t>TXN-00056</t>
  </si>
  <si>
    <t>Punjab</t>
  </si>
  <si>
    <t>Ludhiana</t>
  </si>
  <si>
    <t>TXN-00057</t>
  </si>
  <si>
    <t>TXN-00058</t>
  </si>
  <si>
    <t>TXN-00059</t>
  </si>
  <si>
    <t>P014</t>
  </si>
  <si>
    <t>Data Storage</t>
  </si>
  <si>
    <t>Cloud Services</t>
  </si>
  <si>
    <t>TXN-00060</t>
  </si>
  <si>
    <t>TXN-00061</t>
  </si>
  <si>
    <t>TXN-00062</t>
  </si>
  <si>
    <t>Muzaffarpur</t>
  </si>
  <si>
    <t>TXN-00063</t>
  </si>
  <si>
    <t>TXN-00064</t>
  </si>
  <si>
    <t>TXN-00065</t>
  </si>
  <si>
    <t>Margao</t>
  </si>
  <si>
    <t>TXN-00066</t>
  </si>
  <si>
    <t>TXN-00067</t>
  </si>
  <si>
    <t>TXN-00068</t>
  </si>
  <si>
    <t>Bhilai</t>
  </si>
  <si>
    <t>TXN-00069</t>
  </si>
  <si>
    <t>Durgapur</t>
  </si>
  <si>
    <t>TXN-00070</t>
  </si>
  <si>
    <t>TXN-00071</t>
  </si>
  <si>
    <t>Delhi</t>
  </si>
  <si>
    <t>Noida</t>
  </si>
  <si>
    <t>TXN-00072</t>
  </si>
  <si>
    <t>TXN-00073</t>
  </si>
  <si>
    <t>TXN-00074</t>
  </si>
  <si>
    <t>TXN-00075</t>
  </si>
  <si>
    <t>Rourkela</t>
  </si>
  <si>
    <t>TXN-00076</t>
  </si>
  <si>
    <t>Gwalior</t>
  </si>
  <si>
    <t>TXN-00077</t>
  </si>
  <si>
    <t>TXN-00078</t>
  </si>
  <si>
    <t>Madurai</t>
  </si>
  <si>
    <t>TXN-00079</t>
  </si>
  <si>
    <t>TXN-00080</t>
  </si>
  <si>
    <t>TXN-00081</t>
  </si>
  <si>
    <t>TXN-00082</t>
  </si>
  <si>
    <t>TXN-00083</t>
  </si>
  <si>
    <t>TXN-00084</t>
  </si>
  <si>
    <t>TXN-00085</t>
  </si>
  <si>
    <t>TXN-00086</t>
  </si>
  <si>
    <t>TXN-00087</t>
  </si>
  <si>
    <t xml:space="preserve"> sales </t>
  </si>
  <si>
    <t>TXN-00088</t>
  </si>
  <si>
    <t>TXN-00089</t>
  </si>
  <si>
    <t>Siliguri</t>
  </si>
  <si>
    <t>TXN-00090</t>
  </si>
  <si>
    <t>TXN-00091</t>
  </si>
  <si>
    <t>TXN-00092</t>
  </si>
  <si>
    <t>TXN-00093</t>
  </si>
  <si>
    <t>TXN-00094</t>
  </si>
  <si>
    <t>Patna</t>
  </si>
  <si>
    <t>TXN-00095</t>
  </si>
  <si>
    <t>TXN-00096</t>
  </si>
  <si>
    <t>TXN-00097</t>
  </si>
  <si>
    <t>TXN-00098</t>
  </si>
  <si>
    <t>TXN-00099</t>
  </si>
  <si>
    <t>TXN-00100</t>
  </si>
  <si>
    <t>TXN-00101</t>
  </si>
  <si>
    <t>TXN-00102</t>
  </si>
  <si>
    <t>TXN-00103</t>
  </si>
  <si>
    <t>TXN-00104</t>
  </si>
  <si>
    <t>TXN-00105</t>
  </si>
  <si>
    <t>Warangal</t>
  </si>
  <si>
    <t>TXN-00106</t>
  </si>
  <si>
    <t>TXN-00107</t>
  </si>
  <si>
    <t>TXN-00108</t>
  </si>
  <si>
    <t>TXN-00109</t>
  </si>
  <si>
    <t>Amritsar</t>
  </si>
  <si>
    <t>TXN-00110</t>
  </si>
  <si>
    <t>TXN-00111</t>
  </si>
  <si>
    <t>Pune</t>
  </si>
  <si>
    <t>TXN-00112</t>
  </si>
  <si>
    <t>TXN-00113</t>
  </si>
  <si>
    <t>TXN-00114</t>
  </si>
  <si>
    <t>TXN-00115</t>
  </si>
  <si>
    <t>TXN-00116</t>
  </si>
  <si>
    <t>TXN-00117</t>
  </si>
  <si>
    <t>TXN-00118</t>
  </si>
  <si>
    <t>TXN-00119</t>
  </si>
  <si>
    <t>TXN-00120</t>
  </si>
  <si>
    <t>New Delhi</t>
  </si>
  <si>
    <t>TXN-00121</t>
  </si>
  <si>
    <t>TXN-00122</t>
  </si>
  <si>
    <t xml:space="preserve"> maharashtra </t>
  </si>
  <si>
    <t>TXN-00123</t>
  </si>
  <si>
    <t>TXN-00124</t>
  </si>
  <si>
    <t>TXN-00125</t>
  </si>
  <si>
    <t>Bengaluru</t>
  </si>
  <si>
    <t>TXN-00126</t>
  </si>
  <si>
    <t>TXN-00127</t>
  </si>
  <si>
    <t>TXN-00128</t>
  </si>
  <si>
    <t>TXN-00129</t>
  </si>
  <si>
    <t>TXN-00130</t>
  </si>
  <si>
    <t>TXN-00131</t>
  </si>
  <si>
    <t>TXN-00132</t>
  </si>
  <si>
    <t>Raipur</t>
  </si>
  <si>
    <t>TXN-00133</t>
  </si>
  <si>
    <t>TXN-00134</t>
  </si>
  <si>
    <t>TXN-00135</t>
  </si>
  <si>
    <t>TXN-00136</t>
  </si>
  <si>
    <t>TXN-00137</t>
  </si>
  <si>
    <t>TXN-00138</t>
  </si>
  <si>
    <t>TXN-00139</t>
  </si>
  <si>
    <t>TXN-00140</t>
  </si>
  <si>
    <t>TXN-00141</t>
  </si>
  <si>
    <t>TXN-00142</t>
  </si>
  <si>
    <t>TXN-00143</t>
  </si>
  <si>
    <t>TXN-00144</t>
  </si>
  <si>
    <t>TXN-00145</t>
  </si>
  <si>
    <t>TXN-00146</t>
  </si>
  <si>
    <t>Hyderabad</t>
  </si>
  <si>
    <t>TXN-00147</t>
  </si>
  <si>
    <t>TXN-00148</t>
  </si>
  <si>
    <t>TXN-00149</t>
  </si>
  <si>
    <t>TXN-00150</t>
  </si>
  <si>
    <t>TXN-00151</t>
  </si>
  <si>
    <t>TXN-00152</t>
  </si>
  <si>
    <t>TXN-00153</t>
  </si>
  <si>
    <t>TXN-00154</t>
  </si>
  <si>
    <t>TXN-00155</t>
  </si>
  <si>
    <t>TXN-00156</t>
  </si>
  <si>
    <t>TXN-00157</t>
  </si>
  <si>
    <t>TXN-00158</t>
  </si>
  <si>
    <t>TXN-00159</t>
  </si>
  <si>
    <t xml:space="preserve">CC-1001 </t>
  </si>
  <si>
    <t>TXN-00160</t>
  </si>
  <si>
    <t>TXN-00161</t>
  </si>
  <si>
    <t>TXN-00162</t>
  </si>
  <si>
    <t>TXN-00163</t>
  </si>
  <si>
    <t>Jalandhar</t>
  </si>
  <si>
    <t>TXN-00164</t>
  </si>
  <si>
    <t>TXN-00165</t>
  </si>
  <si>
    <t>TXN-00166</t>
  </si>
  <si>
    <t>TXN-00167</t>
  </si>
  <si>
    <t>TXN-00168</t>
  </si>
  <si>
    <t>TXN-00169</t>
  </si>
  <si>
    <t>TXN-00170</t>
  </si>
  <si>
    <t>TXN-00171</t>
  </si>
  <si>
    <t>TXN-00172</t>
  </si>
  <si>
    <t>TXN-00173</t>
  </si>
  <si>
    <t>TXN-00174</t>
  </si>
  <si>
    <t>TXN-00175</t>
  </si>
  <si>
    <t>TXN-00176</t>
  </si>
  <si>
    <t>TXN-00177</t>
  </si>
  <si>
    <t>TXN-00178</t>
  </si>
  <si>
    <t>TXN-00179</t>
  </si>
  <si>
    <t>TXN-00180</t>
  </si>
  <si>
    <t>TXN-00181</t>
  </si>
  <si>
    <t>TXN-00182</t>
  </si>
  <si>
    <t>TXN-00183</t>
  </si>
  <si>
    <t>TXN-00184</t>
  </si>
  <si>
    <t>TXN-00185</t>
  </si>
  <si>
    <t>TXN-00186</t>
  </si>
  <si>
    <t>TXN-00187</t>
  </si>
  <si>
    <t>TXN-00188</t>
  </si>
  <si>
    <t>TXN-00189</t>
  </si>
  <si>
    <t>TXN-00190</t>
  </si>
  <si>
    <t>TXN-00191</t>
  </si>
  <si>
    <t>TXN-00192</t>
  </si>
  <si>
    <t>TXN-00193</t>
  </si>
  <si>
    <t>TXN-00194</t>
  </si>
  <si>
    <t>TXN-00195</t>
  </si>
  <si>
    <t>TXN-00196</t>
  </si>
  <si>
    <t>TXN-00197</t>
  </si>
  <si>
    <t>TXN-00198</t>
  </si>
  <si>
    <t>TXN-00199</t>
  </si>
  <si>
    <t>TXN-00200</t>
  </si>
  <si>
    <t>TXN-00201</t>
  </si>
  <si>
    <t>TXN-00202</t>
  </si>
  <si>
    <t>TXN-00203</t>
  </si>
  <si>
    <t>TXN-00204</t>
  </si>
  <si>
    <t>TXN-00205</t>
  </si>
  <si>
    <t>TXN-00206</t>
  </si>
  <si>
    <t>TXN-00207</t>
  </si>
  <si>
    <t>TXN-00208</t>
  </si>
  <si>
    <t>TXN-00209</t>
  </si>
  <si>
    <t>TXN-00210</t>
  </si>
  <si>
    <t>TXN-00211</t>
  </si>
  <si>
    <t>TXN-00212</t>
  </si>
  <si>
    <t>TXN-00213</t>
  </si>
  <si>
    <t>TXN-00214</t>
  </si>
  <si>
    <t>TXN-00215</t>
  </si>
  <si>
    <t>TXN-00216</t>
  </si>
  <si>
    <t>TXN-00217</t>
  </si>
  <si>
    <t>TXN-00218</t>
  </si>
  <si>
    <t>TXN-00219</t>
  </si>
  <si>
    <t>TXN-00220</t>
  </si>
  <si>
    <t>TXN-00221</t>
  </si>
  <si>
    <t>TXN-00222</t>
  </si>
  <si>
    <t>TXN-00223</t>
  </si>
  <si>
    <t>TXN-00224</t>
  </si>
  <si>
    <t>TXN-00225</t>
  </si>
  <si>
    <t>TXN-00226</t>
  </si>
  <si>
    <t>TXN-00227</t>
  </si>
  <si>
    <t>TXN-00228</t>
  </si>
  <si>
    <t>TXN-00229</t>
  </si>
  <si>
    <t>TXN-00230</t>
  </si>
  <si>
    <t>TXN-00231</t>
  </si>
  <si>
    <t>TXN-00232</t>
  </si>
  <si>
    <t>TXN-00233</t>
  </si>
  <si>
    <t>TXN-00234</t>
  </si>
  <si>
    <t>TXN-00235</t>
  </si>
  <si>
    <t>TXN-00236</t>
  </si>
  <si>
    <t>TXN-00237</t>
  </si>
  <si>
    <t>TXN-00238</t>
  </si>
  <si>
    <t>TXN-00239</t>
  </si>
  <si>
    <t>TXN-00240</t>
  </si>
  <si>
    <t>TXN-00241</t>
  </si>
  <si>
    <t>TXN-00242</t>
  </si>
  <si>
    <t>TXN-00243</t>
  </si>
  <si>
    <t>TXN-00244</t>
  </si>
  <si>
    <t>TXN-00245</t>
  </si>
  <si>
    <t>TXN-00246</t>
  </si>
  <si>
    <t>TXN-00247</t>
  </si>
  <si>
    <t>TXN-00248</t>
  </si>
  <si>
    <t>TXN-00249</t>
  </si>
  <si>
    <t>TXN-00250</t>
  </si>
  <si>
    <t>TXN-00251</t>
  </si>
  <si>
    <t>TXN-00252</t>
  </si>
  <si>
    <t>TXN-00253</t>
  </si>
  <si>
    <t>TXN-00254</t>
  </si>
  <si>
    <t>TXN-00255</t>
  </si>
  <si>
    <t>TXN-00256</t>
  </si>
  <si>
    <t>TXN-00257</t>
  </si>
  <si>
    <t>TXN-00258</t>
  </si>
  <si>
    <t>TXN-00259</t>
  </si>
  <si>
    <t>TXN-00260</t>
  </si>
  <si>
    <t>TXN-00261</t>
  </si>
  <si>
    <t>TXN-00262</t>
  </si>
  <si>
    <t>TXN-00263</t>
  </si>
  <si>
    <t>TXN-00264</t>
  </si>
  <si>
    <t>TXN-00265</t>
  </si>
  <si>
    <t>TXN-00266</t>
  </si>
  <si>
    <t>TXN-00267</t>
  </si>
  <si>
    <t>TXN-00268</t>
  </si>
  <si>
    <t>TXN-00269</t>
  </si>
  <si>
    <t>TXN-00270</t>
  </si>
  <si>
    <t>TXN-00271</t>
  </si>
  <si>
    <t>TXN-00272</t>
  </si>
  <si>
    <t>TXN-00273</t>
  </si>
  <si>
    <t>TXN-00274</t>
  </si>
  <si>
    <t>TXN-00275</t>
  </si>
  <si>
    <t>TXN-00276</t>
  </si>
  <si>
    <t>TXN-00277</t>
  </si>
  <si>
    <t>TXN-00278</t>
  </si>
  <si>
    <t>TXN-00279</t>
  </si>
  <si>
    <t>TXN-00280</t>
  </si>
  <si>
    <t>TXN-00281</t>
  </si>
  <si>
    <t>TXN-00282</t>
  </si>
  <si>
    <t>TXN-00283</t>
  </si>
  <si>
    <t>TXN-00284</t>
  </si>
  <si>
    <t>TXN-00285</t>
  </si>
  <si>
    <t>TXN-00286</t>
  </si>
  <si>
    <t>TXN-00287</t>
  </si>
  <si>
    <t>TXN-00288</t>
  </si>
  <si>
    <t>TXN-00289</t>
  </si>
  <si>
    <t>TXN-00290</t>
  </si>
  <si>
    <t>TXN-00291</t>
  </si>
  <si>
    <t>TXN-00292</t>
  </si>
  <si>
    <t>TXN-00293</t>
  </si>
  <si>
    <t>TXN-00294</t>
  </si>
  <si>
    <t>TXN-00295</t>
  </si>
  <si>
    <t>TXN-00296</t>
  </si>
  <si>
    <t>TXN-00297</t>
  </si>
  <si>
    <t>TXN-00298</t>
  </si>
  <si>
    <t>TXN-00299</t>
  </si>
  <si>
    <t>TXN-00300</t>
  </si>
  <si>
    <t>TXN-00301</t>
  </si>
  <si>
    <t>TXN-00302</t>
  </si>
  <si>
    <t>TXN-00303</t>
  </si>
  <si>
    <t>TXN-00304</t>
  </si>
  <si>
    <t>TXN-00305</t>
  </si>
  <si>
    <t>TXN-00306</t>
  </si>
  <si>
    <t>TXN-00307</t>
  </si>
  <si>
    <t>TXN-00308</t>
  </si>
  <si>
    <t>TXN-00309</t>
  </si>
  <si>
    <t>TXN-00310</t>
  </si>
  <si>
    <t>TXN-00311</t>
  </si>
  <si>
    <t>TXN-00312</t>
  </si>
  <si>
    <t>TXN-00313</t>
  </si>
  <si>
    <t>TXN-00314</t>
  </si>
  <si>
    <t>TXN-00315</t>
  </si>
  <si>
    <t>TXN-00316</t>
  </si>
  <si>
    <t>TXN-00317</t>
  </si>
  <si>
    <t>TXN-00318</t>
  </si>
  <si>
    <t>TXN-00319</t>
  </si>
  <si>
    <t>TXN-00320</t>
  </si>
  <si>
    <t xml:space="preserve">Monitor </t>
  </si>
  <si>
    <t>TXN-00321</t>
  </si>
  <si>
    <t>TXN-00322</t>
  </si>
  <si>
    <t>TXN-00323</t>
  </si>
  <si>
    <t>TXN-00324</t>
  </si>
  <si>
    <t>TXN-00325</t>
  </si>
  <si>
    <t>TXN-00326</t>
  </si>
  <si>
    <t>TXN-00327</t>
  </si>
  <si>
    <t>TXN-00328</t>
  </si>
  <si>
    <t>TXN-00329</t>
  </si>
  <si>
    <t>TXN-00330</t>
  </si>
  <si>
    <t>TXN-00331</t>
  </si>
  <si>
    <t>TXN-00332</t>
  </si>
  <si>
    <t>TXN-00333</t>
  </si>
  <si>
    <t>TXN-00334</t>
  </si>
  <si>
    <t>TXN-00335</t>
  </si>
  <si>
    <t>TXN-00336</t>
  </si>
  <si>
    <t>TXN-00337</t>
  </si>
  <si>
    <t>TXN-00338</t>
  </si>
  <si>
    <t>TXN-00339</t>
  </si>
  <si>
    <t>TXN-00340</t>
  </si>
  <si>
    <t>TXN-00341</t>
  </si>
  <si>
    <t>TXN-00342</t>
  </si>
  <si>
    <t>TXN-00343</t>
  </si>
  <si>
    <t>TXN-00344</t>
  </si>
  <si>
    <t>TXN-00345</t>
  </si>
  <si>
    <t>TXN-00346</t>
  </si>
  <si>
    <t>TXN-00347</t>
  </si>
  <si>
    <t>TXN-00348</t>
  </si>
  <si>
    <t>TXN-00349</t>
  </si>
  <si>
    <t>TXN-00350</t>
  </si>
  <si>
    <t>TXN-00351</t>
  </si>
  <si>
    <t>TXN-00352</t>
  </si>
  <si>
    <t>TXN-00353</t>
  </si>
  <si>
    <t>TXN-00354</t>
  </si>
  <si>
    <t>TXN-00355</t>
  </si>
  <si>
    <t>TXN-00356</t>
  </si>
  <si>
    <t>TXN-00357</t>
  </si>
  <si>
    <t>TXN-00358</t>
  </si>
  <si>
    <t>TXN-00359</t>
  </si>
  <si>
    <t>TXN-00360</t>
  </si>
  <si>
    <t>TXN-00361</t>
  </si>
  <si>
    <t>TXN-00362</t>
  </si>
  <si>
    <t>TXN-00363</t>
  </si>
  <si>
    <t>TXN-00364</t>
  </si>
  <si>
    <t>TXN-00365</t>
  </si>
  <si>
    <t>TXN-00366</t>
  </si>
  <si>
    <t>TXN-00367</t>
  </si>
  <si>
    <t>TXN-00368</t>
  </si>
  <si>
    <t>TXN-00369</t>
  </si>
  <si>
    <t>TXN-00370</t>
  </si>
  <si>
    <t>TXN-00371</t>
  </si>
  <si>
    <t>TXN-00372</t>
  </si>
  <si>
    <t>TXN-00373</t>
  </si>
  <si>
    <t>TXN-00374</t>
  </si>
  <si>
    <t>TXN-00375</t>
  </si>
  <si>
    <t>TXN-00376</t>
  </si>
  <si>
    <t>TXN-00377</t>
  </si>
  <si>
    <t>TXN-00378</t>
  </si>
  <si>
    <t>TXN-00379</t>
  </si>
  <si>
    <t>TXN-00380</t>
  </si>
  <si>
    <t>TXN-00381</t>
  </si>
  <si>
    <t>TXN-00382</t>
  </si>
  <si>
    <t>TXN-00383</t>
  </si>
  <si>
    <t>TXN-00384</t>
  </si>
  <si>
    <t>TXN-00385</t>
  </si>
  <si>
    <t>TXN-00386</t>
  </si>
  <si>
    <t>TXN-00387</t>
  </si>
  <si>
    <t>TXN-00388</t>
  </si>
  <si>
    <t>TXN-00389</t>
  </si>
  <si>
    <t>TXN-00390</t>
  </si>
  <si>
    <t>TXN-00391</t>
  </si>
  <si>
    <t>TXN-00392</t>
  </si>
  <si>
    <t>TXN-00393</t>
  </si>
  <si>
    <t>TXN-00394</t>
  </si>
  <si>
    <t>TXN-00395</t>
  </si>
  <si>
    <t>TXN-00396</t>
  </si>
  <si>
    <t>TXN-00397</t>
  </si>
  <si>
    <t>TXN-00398</t>
  </si>
  <si>
    <t>TXN-00399</t>
  </si>
  <si>
    <t>TXN-00400</t>
  </si>
  <si>
    <t>TXN-00401</t>
  </si>
  <si>
    <t>TXN-00402</t>
  </si>
  <si>
    <t>TXN-00403</t>
  </si>
  <si>
    <t>TXN-00404</t>
  </si>
  <si>
    <t>TXN-00405</t>
  </si>
  <si>
    <t>TXN-00406</t>
  </si>
  <si>
    <t>TXN-00407</t>
  </si>
  <si>
    <t>TXN-00408</t>
  </si>
  <si>
    <t>MARKETING</t>
  </si>
  <si>
    <t>TXN-00409</t>
  </si>
  <si>
    <t>TXN-00410</t>
  </si>
  <si>
    <t>TXN-00411</t>
  </si>
  <si>
    <t>TXN-00412</t>
  </si>
  <si>
    <t>TXN-00413</t>
  </si>
  <si>
    <t>TXN-00414</t>
  </si>
  <si>
    <t>TXN-00415</t>
  </si>
  <si>
    <t>TXN-00416</t>
  </si>
  <si>
    <t>TXN-00417</t>
  </si>
  <si>
    <t>TXN-00418</t>
  </si>
  <si>
    <t>TXN-00419</t>
  </si>
  <si>
    <t>TXN-00420</t>
  </si>
  <si>
    <t>TXN-00421</t>
  </si>
  <si>
    <t>TXN-00422</t>
  </si>
  <si>
    <t>TXN-00423</t>
  </si>
  <si>
    <t>TXN-00424</t>
  </si>
  <si>
    <t>TXN-00425</t>
  </si>
  <si>
    <t>TXN-00426</t>
  </si>
  <si>
    <t>TXN-00427</t>
  </si>
  <si>
    <t>TXN-00428</t>
  </si>
  <si>
    <t>TXN-00429</t>
  </si>
  <si>
    <t>TXN-00430</t>
  </si>
  <si>
    <t>TXN-00431</t>
  </si>
  <si>
    <t>TXN-00432</t>
  </si>
  <si>
    <t>TXN-00433</t>
  </si>
  <si>
    <t>TXN-00434</t>
  </si>
  <si>
    <t>TXN-00435</t>
  </si>
  <si>
    <t>TXN-00436</t>
  </si>
  <si>
    <t>TXN-00437</t>
  </si>
  <si>
    <t>TXN-00438</t>
  </si>
  <si>
    <t>TXN-00439</t>
  </si>
  <si>
    <t>TXN-00440</t>
  </si>
  <si>
    <t>TXN-00441</t>
  </si>
  <si>
    <t>TXN-00442</t>
  </si>
  <si>
    <t>TXN-00443</t>
  </si>
  <si>
    <t>TXN-00444</t>
  </si>
  <si>
    <t>TXN-00445</t>
  </si>
  <si>
    <t>TXN-00446</t>
  </si>
  <si>
    <t>TXN-00447</t>
  </si>
  <si>
    <t>TXN-00448</t>
  </si>
  <si>
    <t>TXN-00449</t>
  </si>
  <si>
    <t>TXN-00450</t>
  </si>
  <si>
    <t>TXN-00451</t>
  </si>
  <si>
    <t>TXN-00452</t>
  </si>
  <si>
    <t>TXN-00453</t>
  </si>
  <si>
    <t>TXN-00454</t>
  </si>
  <si>
    <t>TXN-00455</t>
  </si>
  <si>
    <t>TXN-00456</t>
  </si>
  <si>
    <t>TXN-00457</t>
  </si>
  <si>
    <t>TXN-00458</t>
  </si>
  <si>
    <t>TXN-00459</t>
  </si>
  <si>
    <t>TXN-00460</t>
  </si>
  <si>
    <t>TXN-00461</t>
  </si>
  <si>
    <t>TXN-00462</t>
  </si>
  <si>
    <t>TXN-00463</t>
  </si>
  <si>
    <t>TXN-00464</t>
  </si>
  <si>
    <t>TXN-00465</t>
  </si>
  <si>
    <t>TXN-00466</t>
  </si>
  <si>
    <t>TXN-00467</t>
  </si>
  <si>
    <t>TXN-00468</t>
  </si>
  <si>
    <t>TXN-00469</t>
  </si>
  <si>
    <t>TXN-00470</t>
  </si>
  <si>
    <t>TXN-00471</t>
  </si>
  <si>
    <t>TXN-00472</t>
  </si>
  <si>
    <t>TXN-00473</t>
  </si>
  <si>
    <t>TXN-00474</t>
  </si>
  <si>
    <t>TXN-00475</t>
  </si>
  <si>
    <t>TXN-00476</t>
  </si>
  <si>
    <t>TXN-00477</t>
  </si>
  <si>
    <t>TXN-00478</t>
  </si>
  <si>
    <t>TXN-00479</t>
  </si>
  <si>
    <t>TXN-00480</t>
  </si>
  <si>
    <t>TXN-00481</t>
  </si>
  <si>
    <t>TXN-00482</t>
  </si>
  <si>
    <t>TXN-00483</t>
  </si>
  <si>
    <t>TXN-00484</t>
  </si>
  <si>
    <t>TXN-00485</t>
  </si>
  <si>
    <t>TXN-00486</t>
  </si>
  <si>
    <t>TXN-00487</t>
  </si>
  <si>
    <t>TXN-00488</t>
  </si>
  <si>
    <t>TXN-00489</t>
  </si>
  <si>
    <t>TXN-00490</t>
  </si>
  <si>
    <t>TXN-00491</t>
  </si>
  <si>
    <t>TXN-00492</t>
  </si>
  <si>
    <t>TXN-00493</t>
  </si>
  <si>
    <t>TXN-00494</t>
  </si>
  <si>
    <t>TXN-00495</t>
  </si>
  <si>
    <t>TXN-00496</t>
  </si>
  <si>
    <t>TXN-00497</t>
  </si>
  <si>
    <t>TXN-00498</t>
  </si>
  <si>
    <t>TXN-00499</t>
  </si>
  <si>
    <t>TXN-00500</t>
  </si>
  <si>
    <t>TXN-00501</t>
  </si>
  <si>
    <t>TXN-00502</t>
  </si>
  <si>
    <t>TXN-00503</t>
  </si>
  <si>
    <t>TXN-00504</t>
  </si>
  <si>
    <t>TXN-00505</t>
  </si>
  <si>
    <t>TXN-00506</t>
  </si>
  <si>
    <t>TXN-00507</t>
  </si>
  <si>
    <t>TXN-00508</t>
  </si>
  <si>
    <t>TXN-00509</t>
  </si>
  <si>
    <t>TXN-00510</t>
  </si>
  <si>
    <t>TXN-00511</t>
  </si>
  <si>
    <t>TXN-00512</t>
  </si>
  <si>
    <t>TXN-00513</t>
  </si>
  <si>
    <t>KARNATAKA</t>
  </si>
  <si>
    <t>TXN-00514</t>
  </si>
  <si>
    <t>TXN-00515</t>
  </si>
  <si>
    <t>TXN-00516</t>
  </si>
  <si>
    <t>TXN-00517</t>
  </si>
  <si>
    <t>TXN-00518</t>
  </si>
  <si>
    <t>TXN-00519</t>
  </si>
  <si>
    <t>TXN-00520</t>
  </si>
  <si>
    <t>TXN-00521</t>
  </si>
  <si>
    <t>TXN-00522</t>
  </si>
  <si>
    <t>TXN-00523</t>
  </si>
  <si>
    <t>TXN-00524</t>
  </si>
  <si>
    <t>TXN-00525</t>
  </si>
  <si>
    <t>TXN-00526</t>
  </si>
  <si>
    <t>TXN-00527</t>
  </si>
  <si>
    <t>TXN-00528</t>
  </si>
  <si>
    <t>TXN-00529</t>
  </si>
  <si>
    <t>TXN-00530</t>
  </si>
  <si>
    <t>TXN-00531</t>
  </si>
  <si>
    <t>TXN-00532</t>
  </si>
  <si>
    <t>TXN-00533</t>
  </si>
  <si>
    <t>TXN-00534</t>
  </si>
  <si>
    <t>TXN-00535</t>
  </si>
  <si>
    <t>TXN-00536</t>
  </si>
  <si>
    <t>TXN-00537</t>
  </si>
  <si>
    <t>TXN-00538</t>
  </si>
  <si>
    <t>TXN-00539</t>
  </si>
  <si>
    <t>TXN-00540</t>
  </si>
  <si>
    <t>TXN-00541</t>
  </si>
  <si>
    <t>TXN-00542</t>
  </si>
  <si>
    <t>TXN-00543</t>
  </si>
  <si>
    <t>TXN-00544</t>
  </si>
  <si>
    <t>TXN-00545</t>
  </si>
  <si>
    <t>TXN-00546</t>
  </si>
  <si>
    <t>TXN-00547</t>
  </si>
  <si>
    <t>TXN-00548</t>
  </si>
  <si>
    <t>TXN-00549</t>
  </si>
  <si>
    <t>TXN-00550</t>
  </si>
  <si>
    <t>TXN-00551</t>
  </si>
  <si>
    <t>TXN-00552</t>
  </si>
  <si>
    <t>TXN-00553</t>
  </si>
  <si>
    <t>TXN-00554</t>
  </si>
  <si>
    <t>TXN-00555</t>
  </si>
  <si>
    <t>TXN-00556</t>
  </si>
  <si>
    <t>TXN-00557</t>
  </si>
  <si>
    <t>TXN-00558</t>
  </si>
  <si>
    <t>TXN-00559</t>
  </si>
  <si>
    <t>TXN-00560</t>
  </si>
  <si>
    <t>TXN-00561</t>
  </si>
  <si>
    <t>TXN-00562</t>
  </si>
  <si>
    <t>TXN-00563</t>
  </si>
  <si>
    <t>TXN-00564</t>
  </si>
  <si>
    <t>TXN-00565</t>
  </si>
  <si>
    <t>TXN-00566</t>
  </si>
  <si>
    <t>TXN-00567</t>
  </si>
  <si>
    <t>TXN-00568</t>
  </si>
  <si>
    <t>TXN-00569</t>
  </si>
  <si>
    <t>TXN-00570</t>
  </si>
  <si>
    <t>TXN-00571</t>
  </si>
  <si>
    <t>TXN-00572</t>
  </si>
  <si>
    <t>TXN-00573</t>
  </si>
  <si>
    <t>TXN-00574</t>
  </si>
  <si>
    <t>TXN-00575</t>
  </si>
  <si>
    <t>TXN-00576</t>
  </si>
  <si>
    <t>TXN-00577</t>
  </si>
  <si>
    <t>TXN-00578</t>
  </si>
  <si>
    <t>TXN-00579</t>
  </si>
  <si>
    <t>TXN-00580</t>
  </si>
  <si>
    <t>TXN-00581</t>
  </si>
  <si>
    <t>TXN-00582</t>
  </si>
  <si>
    <t>TXN-00583</t>
  </si>
  <si>
    <t>TXN-00584</t>
  </si>
  <si>
    <t>TXN-00585</t>
  </si>
  <si>
    <t>TXN-00586</t>
  </si>
  <si>
    <t>TXN-00587</t>
  </si>
  <si>
    <t>TXN-00588</t>
  </si>
  <si>
    <t>TXN-00589</t>
  </si>
  <si>
    <t>TXN-00590</t>
  </si>
  <si>
    <t>TXN-00591</t>
  </si>
  <si>
    <t>TXN-00592</t>
  </si>
  <si>
    <t>TXN-00593</t>
  </si>
  <si>
    <t>TXN-00594</t>
  </si>
  <si>
    <t>TXN-00595</t>
  </si>
  <si>
    <t>TXN-00596</t>
  </si>
  <si>
    <t>TXN-00597</t>
  </si>
  <si>
    <t>TXN-00598</t>
  </si>
  <si>
    <t>TXN-00599</t>
  </si>
  <si>
    <t>TXN-00600</t>
  </si>
  <si>
    <t>TXN-00601</t>
  </si>
  <si>
    <t>TXN-00602</t>
  </si>
  <si>
    <t>TXN-00603</t>
  </si>
  <si>
    <t>TXN-00604</t>
  </si>
  <si>
    <t>TXN-00605</t>
  </si>
  <si>
    <t>TXN-00606</t>
  </si>
  <si>
    <t>TXN-00607</t>
  </si>
  <si>
    <t>TXN-00608</t>
  </si>
  <si>
    <t>TXN-00609</t>
  </si>
  <si>
    <t>TXN-00610</t>
  </si>
  <si>
    <t>TXN-00611</t>
  </si>
  <si>
    <t>TXN-00612</t>
  </si>
  <si>
    <t>TXN-00613</t>
  </si>
  <si>
    <t>TXN-00614</t>
  </si>
  <si>
    <t>TXN-00615</t>
  </si>
  <si>
    <t>TXN-00616</t>
  </si>
  <si>
    <t>TXN-00617</t>
  </si>
  <si>
    <t>TXN-00618</t>
  </si>
  <si>
    <t>TXN-00619</t>
  </si>
  <si>
    <t>TXN-00620</t>
  </si>
  <si>
    <t>TXN-00621</t>
  </si>
  <si>
    <t>TXN-00622</t>
  </si>
  <si>
    <t>TXN-00623</t>
  </si>
  <si>
    <t>TXN-00624</t>
  </si>
  <si>
    <t>TXN-00625</t>
  </si>
  <si>
    <t>TXN-00626</t>
  </si>
  <si>
    <t>TXN-00627</t>
  </si>
  <si>
    <t>TXN-00628</t>
  </si>
  <si>
    <t>TXN-00629</t>
  </si>
  <si>
    <t>TXN-00630</t>
  </si>
  <si>
    <t>TXN-00631</t>
  </si>
  <si>
    <t>TXN-00632</t>
  </si>
  <si>
    <t>TXN-00633</t>
  </si>
  <si>
    <t>TXN-00634</t>
  </si>
  <si>
    <t>TXN-00635</t>
  </si>
  <si>
    <t>TXN-00636</t>
  </si>
  <si>
    <t>TXN-00637</t>
  </si>
  <si>
    <t>TXN-00638</t>
  </si>
  <si>
    <t>TXN-00639</t>
  </si>
  <si>
    <t>TXN-00640</t>
  </si>
  <si>
    <t>TXN-00641</t>
  </si>
  <si>
    <t>TXN-00642</t>
  </si>
  <si>
    <t>TXN-00643</t>
  </si>
  <si>
    <t>TXN-00644</t>
  </si>
  <si>
    <t>TXN-00645</t>
  </si>
  <si>
    <t>TXN-00646</t>
  </si>
  <si>
    <t>TXN-00647</t>
  </si>
  <si>
    <t>TXN-00648</t>
  </si>
  <si>
    <t>TXN-00649</t>
  </si>
  <si>
    <t>TXN-00650</t>
  </si>
  <si>
    <t>TXN-00651</t>
  </si>
  <si>
    <t>TXN-00652</t>
  </si>
  <si>
    <t>TXN-00653</t>
  </si>
  <si>
    <t>TXN-00654</t>
  </si>
  <si>
    <t>TXN-00655</t>
  </si>
  <si>
    <t>TXN-00656</t>
  </si>
  <si>
    <t>TXN-00657</t>
  </si>
  <si>
    <t>TXN-00658</t>
  </si>
  <si>
    <t>TXN-00659</t>
  </si>
  <si>
    <t>TXN-00660</t>
  </si>
  <si>
    <t>TXN-00661</t>
  </si>
  <si>
    <t>TXN-00662</t>
  </si>
  <si>
    <t>TXN-00663</t>
  </si>
  <si>
    <t>TXN-00664</t>
  </si>
  <si>
    <t>TXN-00665</t>
  </si>
  <si>
    <t>TXN-00666</t>
  </si>
  <si>
    <t>TXN-00667</t>
  </si>
  <si>
    <t>TXN-00668</t>
  </si>
  <si>
    <t>TXN-00669</t>
  </si>
  <si>
    <t>TXN-00670</t>
  </si>
  <si>
    <t>TXN-00671</t>
  </si>
  <si>
    <t>TXN-00672</t>
  </si>
  <si>
    <t>TXN-00673</t>
  </si>
  <si>
    <t>TXN-00674</t>
  </si>
  <si>
    <t>TXN-00675</t>
  </si>
  <si>
    <t>TXN-00676</t>
  </si>
  <si>
    <t>TXN-00677</t>
  </si>
  <si>
    <t>TXN-00678</t>
  </si>
  <si>
    <t>TXN-00679</t>
  </si>
  <si>
    <t>TXN-00680</t>
  </si>
  <si>
    <t>TXN-00681</t>
  </si>
  <si>
    <t>TXN-00682</t>
  </si>
  <si>
    <t>TXN-00683</t>
  </si>
  <si>
    <t>TXN-00684</t>
  </si>
  <si>
    <t>TXN-00685</t>
  </si>
  <si>
    <t>TXN-00686</t>
  </si>
  <si>
    <t>TXN-00687</t>
  </si>
  <si>
    <t>TXN-00688</t>
  </si>
  <si>
    <t>TXN-00689</t>
  </si>
  <si>
    <t>TXN-00690</t>
  </si>
  <si>
    <t>TXN-00691</t>
  </si>
  <si>
    <t>TXN-00692</t>
  </si>
  <si>
    <t>TXN-00693</t>
  </si>
  <si>
    <t>TXN-00694</t>
  </si>
  <si>
    <t>TXN-00695</t>
  </si>
  <si>
    <t>TXN-00696</t>
  </si>
  <si>
    <t>TXN-00697</t>
  </si>
  <si>
    <t>TXN-00698</t>
  </si>
  <si>
    <t>TXN-00699</t>
  </si>
  <si>
    <t>TXN-00700</t>
  </si>
  <si>
    <t>TXN-00701</t>
  </si>
  <si>
    <t>TXN-00702</t>
  </si>
  <si>
    <t>TXN-00703</t>
  </si>
  <si>
    <t>TXN-00704</t>
  </si>
  <si>
    <t>TXN-00705</t>
  </si>
  <si>
    <t>TXN-00706</t>
  </si>
  <si>
    <t>TXN-00707</t>
  </si>
  <si>
    <t>TXN-00708</t>
  </si>
  <si>
    <t>TXN-00709</t>
  </si>
  <si>
    <t>TXN-00710</t>
  </si>
  <si>
    <t>TXN-00711</t>
  </si>
  <si>
    <t>TXN-00712</t>
  </si>
  <si>
    <t>TXN-00713</t>
  </si>
  <si>
    <t>TXN-00714</t>
  </si>
  <si>
    <t>TXN-00715</t>
  </si>
  <si>
    <t>TXN-00716</t>
  </si>
  <si>
    <t>TXN-00717</t>
  </si>
  <si>
    <t>TXN-00718</t>
  </si>
  <si>
    <t>TXN-00719</t>
  </si>
  <si>
    <t>TXN-00720</t>
  </si>
  <si>
    <t>TXN-00721</t>
  </si>
  <si>
    <t>TXN-00722</t>
  </si>
  <si>
    <t>TXN-00723</t>
  </si>
  <si>
    <t>TXN-00724</t>
  </si>
  <si>
    <t>TXN-00725</t>
  </si>
  <si>
    <t>TXN-00726</t>
  </si>
  <si>
    <t>TXN-00727</t>
  </si>
  <si>
    <t>TXN-00728</t>
  </si>
  <si>
    <t>TXN-00729</t>
  </si>
  <si>
    <t>TXN-00730</t>
  </si>
  <si>
    <t>TXN-00731</t>
  </si>
  <si>
    <t>TXN-00732</t>
  </si>
  <si>
    <t>TXN-00733</t>
  </si>
  <si>
    <t>TXN-00734</t>
  </si>
  <si>
    <t xml:space="preserve">  Mumbai</t>
  </si>
  <si>
    <t>TXN-00735</t>
  </si>
  <si>
    <t>TXN-00736</t>
  </si>
  <si>
    <t>TXN-00737</t>
  </si>
  <si>
    <t>TXN-00738</t>
  </si>
  <si>
    <t>TXN-00739</t>
  </si>
  <si>
    <t>TXN-00740</t>
  </si>
  <si>
    <t>TXN-00741</t>
  </si>
  <si>
    <t>TXN-00742</t>
  </si>
  <si>
    <t>TXN-00743</t>
  </si>
  <si>
    <t>TXN-00744</t>
  </si>
  <si>
    <t>TXN-00745</t>
  </si>
  <si>
    <t>TXN-00746</t>
  </si>
  <si>
    <t>TXN-00747</t>
  </si>
  <si>
    <t>TXN-00748</t>
  </si>
  <si>
    <t>TXN-00749</t>
  </si>
  <si>
    <t>TXN-00750</t>
  </si>
  <si>
    <t>TXN-00751</t>
  </si>
  <si>
    <t>TXN-00752</t>
  </si>
  <si>
    <t>TXN-00753</t>
  </si>
  <si>
    <t>TXN-00754</t>
  </si>
  <si>
    <t>TXN-00755</t>
  </si>
  <si>
    <t>TXN-00756</t>
  </si>
  <si>
    <t>TXN-00757</t>
  </si>
  <si>
    <t>TXN-00758</t>
  </si>
  <si>
    <t>TXN-00759</t>
  </si>
  <si>
    <t>TXN-00760</t>
  </si>
  <si>
    <t>TXN-00761</t>
  </si>
  <si>
    <t>TXN-00762</t>
  </si>
  <si>
    <t>TXN-00763</t>
  </si>
  <si>
    <t>TXN-00764</t>
  </si>
  <si>
    <t>TXN-00765</t>
  </si>
  <si>
    <t>TXN-00766</t>
  </si>
  <si>
    <t>TXN-00767</t>
  </si>
  <si>
    <t>TXN-00768</t>
  </si>
  <si>
    <t>TXN-00769</t>
  </si>
  <si>
    <t>TXN-00770</t>
  </si>
  <si>
    <t>TXN-00771</t>
  </si>
  <si>
    <t>TXN-00772</t>
  </si>
  <si>
    <t>TXN-00773</t>
  </si>
  <si>
    <t>TXN-00774</t>
  </si>
  <si>
    <t>TXN-00775</t>
  </si>
  <si>
    <t>TXN-00776</t>
  </si>
  <si>
    <t>TXN-00777</t>
  </si>
  <si>
    <t>TXN-00778</t>
  </si>
  <si>
    <t>TXN-00779</t>
  </si>
  <si>
    <t>TXN-00780</t>
  </si>
  <si>
    <t>TXN-00781</t>
  </si>
  <si>
    <t>TXN-00782</t>
  </si>
  <si>
    <t>TXN-00783</t>
  </si>
  <si>
    <t>TXN-00784</t>
  </si>
  <si>
    <t>TXN-00785</t>
  </si>
  <si>
    <t>TXN-00786</t>
  </si>
  <si>
    <t>TXN-00787</t>
  </si>
  <si>
    <t>TXN-00788</t>
  </si>
  <si>
    <t>TXN-00789</t>
  </si>
  <si>
    <t>TXN-00790</t>
  </si>
  <si>
    <t>TXN-00791</t>
  </si>
  <si>
    <t>TXN-00792</t>
  </si>
  <si>
    <t>TXN-00793</t>
  </si>
  <si>
    <t>TXN-00794</t>
  </si>
  <si>
    <t>TXN-00795</t>
  </si>
  <si>
    <t>TXN-00796</t>
  </si>
  <si>
    <t>TXN-00797</t>
  </si>
  <si>
    <t>TXN-00798</t>
  </si>
  <si>
    <t>TXN-00799</t>
  </si>
  <si>
    <t>TXN-00800</t>
  </si>
  <si>
    <t>TXN-00801</t>
  </si>
  <si>
    <t>TXN-00802</t>
  </si>
  <si>
    <t>TXN-00803</t>
  </si>
  <si>
    <t>TXN-00804</t>
  </si>
  <si>
    <t>TXN-00805</t>
  </si>
  <si>
    <t>TXN-00806</t>
  </si>
  <si>
    <t>TXN-00807</t>
  </si>
  <si>
    <t>TXN-00808</t>
  </si>
  <si>
    <t>TXN-00809</t>
  </si>
  <si>
    <t>TXN-00810</t>
  </si>
  <si>
    <t>TXN-00811</t>
  </si>
  <si>
    <t>TXN-00812</t>
  </si>
  <si>
    <t>TXN-00813</t>
  </si>
  <si>
    <t>TXN-00814</t>
  </si>
  <si>
    <t>TXN-00815</t>
  </si>
  <si>
    <t>TXN-00816</t>
  </si>
  <si>
    <t>TXN-00817</t>
  </si>
  <si>
    <t>TXN-00818</t>
  </si>
  <si>
    <t>TXN-00819</t>
  </si>
  <si>
    <t>TXN-00820</t>
  </si>
  <si>
    <t>TXN-00821</t>
  </si>
  <si>
    <t>TXN-00822</t>
  </si>
  <si>
    <t xml:space="preserve"> cc-1003</t>
  </si>
  <si>
    <t>TXN-00823</t>
  </si>
  <si>
    <t>TXN-00824</t>
  </si>
  <si>
    <t>TXN-00825</t>
  </si>
  <si>
    <t>TXN-00826</t>
  </si>
  <si>
    <t>TXN-00827</t>
  </si>
  <si>
    <t>TXN-00828</t>
  </si>
  <si>
    <t>TXN-00829</t>
  </si>
  <si>
    <t>TXN-00830</t>
  </si>
  <si>
    <t>TXN-00831</t>
  </si>
  <si>
    <t>TXN-00832</t>
  </si>
  <si>
    <t>TXN-00833</t>
  </si>
  <si>
    <t>TXN-00834</t>
  </si>
  <si>
    <t>TXN-00835</t>
  </si>
  <si>
    <t>TXN-00836</t>
  </si>
  <si>
    <t>TXN-00837</t>
  </si>
  <si>
    <t>TXN-00838</t>
  </si>
  <si>
    <t>TXN-00839</t>
  </si>
  <si>
    <t>TXN-00840</t>
  </si>
  <si>
    <t>TXN-00841</t>
  </si>
  <si>
    <t>TXN-00842</t>
  </si>
  <si>
    <t>TXN-00843</t>
  </si>
  <si>
    <t>TXN-00844</t>
  </si>
  <si>
    <t>TXN-00845</t>
  </si>
  <si>
    <t>TXN-00846</t>
  </si>
  <si>
    <t>TXN-00847</t>
  </si>
  <si>
    <t>TXN-00848</t>
  </si>
  <si>
    <t>TXN-00849</t>
  </si>
  <si>
    <t>TXN-00850</t>
  </si>
  <si>
    <t>TXN-00851</t>
  </si>
  <si>
    <t>TXN-00852</t>
  </si>
  <si>
    <t>TXN-00853</t>
  </si>
  <si>
    <t>TXN-00854</t>
  </si>
  <si>
    <t>TXN-00855</t>
  </si>
  <si>
    <t>TXN-00856</t>
  </si>
  <si>
    <t>TXN-00857</t>
  </si>
  <si>
    <t>TXN-00858</t>
  </si>
  <si>
    <t>TXN-00859</t>
  </si>
  <si>
    <t>TXN-00860</t>
  </si>
  <si>
    <t>TXN-00861</t>
  </si>
  <si>
    <t>TXN-00862</t>
  </si>
  <si>
    <t>TXN-00863</t>
  </si>
  <si>
    <t>TXN-00864</t>
  </si>
  <si>
    <t>TXN-00865</t>
  </si>
  <si>
    <t>TXN-00866</t>
  </si>
  <si>
    <t>TXN-00867</t>
  </si>
  <si>
    <t>TXN-00868</t>
  </si>
  <si>
    <t>TXN-00869</t>
  </si>
  <si>
    <t>TXN-00870</t>
  </si>
  <si>
    <t>TXN-00871</t>
  </si>
  <si>
    <t>TXN-00872</t>
  </si>
  <si>
    <t>TXN-00873</t>
  </si>
  <si>
    <t>TXN-00874</t>
  </si>
  <si>
    <t>TXN-00875</t>
  </si>
  <si>
    <t>TXN-00876</t>
  </si>
  <si>
    <t>TXN-00877</t>
  </si>
  <si>
    <t>TXN-00878</t>
  </si>
  <si>
    <t>TXN-00879</t>
  </si>
  <si>
    <t>TXN-00880</t>
  </si>
  <si>
    <t>TXN-00881</t>
  </si>
  <si>
    <t>TXN-00882</t>
  </si>
  <si>
    <t>TXN-00883</t>
  </si>
  <si>
    <t>TXN-00884</t>
  </si>
  <si>
    <t>TXN-00885</t>
  </si>
  <si>
    <t>TXN-00886</t>
  </si>
  <si>
    <t>TXN-00887</t>
  </si>
  <si>
    <t>TXN-00888</t>
  </si>
  <si>
    <t>TXN-00889</t>
  </si>
  <si>
    <t>TXN-00890</t>
  </si>
  <si>
    <t>TXN-00891</t>
  </si>
  <si>
    <t>TXN-00892</t>
  </si>
  <si>
    <t>TXN-00893</t>
  </si>
  <si>
    <t>TXN-00894</t>
  </si>
  <si>
    <t>TXN-00895</t>
  </si>
  <si>
    <t>TXN-00896</t>
  </si>
  <si>
    <t>TXN-00897</t>
  </si>
  <si>
    <t>TXN-00898</t>
  </si>
  <si>
    <t>TXN-00899</t>
  </si>
  <si>
    <t>TXN-00900</t>
  </si>
  <si>
    <t>TXN-00901</t>
  </si>
  <si>
    <t>TXN-00902</t>
  </si>
  <si>
    <t>TXN-00903</t>
  </si>
  <si>
    <t>TXN-00904</t>
  </si>
  <si>
    <t>TXN-00905</t>
  </si>
  <si>
    <t>TXN-00906</t>
  </si>
  <si>
    <t>TXN-00907</t>
  </si>
  <si>
    <t>TXN-00908</t>
  </si>
  <si>
    <t>TXN-00909</t>
  </si>
  <si>
    <t>TXN-00910</t>
  </si>
  <si>
    <t>TXN-00911</t>
  </si>
  <si>
    <t>TXN-00912</t>
  </si>
  <si>
    <t>TXN-00913</t>
  </si>
  <si>
    <t>TXN-00914</t>
  </si>
  <si>
    <t>TXN-00915</t>
  </si>
  <si>
    <t>TXN-00916</t>
  </si>
  <si>
    <t>TXN-00917</t>
  </si>
  <si>
    <t>TXN-00918</t>
  </si>
  <si>
    <t>TXN-00919</t>
  </si>
  <si>
    <t>TXN-00920</t>
  </si>
  <si>
    <t>TXN-00921</t>
  </si>
  <si>
    <t>TXN-00922</t>
  </si>
  <si>
    <t>TXN-00923</t>
  </si>
  <si>
    <t>TXN-00924</t>
  </si>
  <si>
    <t>TXN-00925</t>
  </si>
  <si>
    <t>TXN-00926</t>
  </si>
  <si>
    <t>TXN-00927</t>
  </si>
  <si>
    <t>TXN-00928</t>
  </si>
  <si>
    <t>TXN-00929</t>
  </si>
  <si>
    <t>TXN-00930</t>
  </si>
  <si>
    <t>TXN-00931</t>
  </si>
  <si>
    <t>TXN-00932</t>
  </si>
  <si>
    <t>TXN-00933</t>
  </si>
  <si>
    <t>TXN-00934</t>
  </si>
  <si>
    <t>TXN-00935</t>
  </si>
  <si>
    <t>TXN-00936</t>
  </si>
  <si>
    <t>TXN-00937</t>
  </si>
  <si>
    <t>TXN-00938</t>
  </si>
  <si>
    <t>TXN-00939</t>
  </si>
  <si>
    <t>TXN-00940</t>
  </si>
  <si>
    <t>TXN-00941</t>
  </si>
  <si>
    <t>TXN-00942</t>
  </si>
  <si>
    <t>TXN-00943</t>
  </si>
  <si>
    <t>TXN-00944</t>
  </si>
  <si>
    <t>TXN-00945</t>
  </si>
  <si>
    <t>TXN-00946</t>
  </si>
  <si>
    <t>TXN-00947</t>
  </si>
  <si>
    <t>TXN-00948</t>
  </si>
  <si>
    <t>TXN-00949</t>
  </si>
  <si>
    <t>TXN-00950</t>
  </si>
  <si>
    <t>TXN-00951</t>
  </si>
  <si>
    <t>TXN-00952</t>
  </si>
  <si>
    <t>TXN-00953</t>
  </si>
  <si>
    <t>TXN-00954</t>
  </si>
  <si>
    <t>TXN-00955</t>
  </si>
  <si>
    <t>TXN-00956</t>
  </si>
  <si>
    <t>TXN-00957</t>
  </si>
  <si>
    <t>TXN-00958</t>
  </si>
  <si>
    <t>TXN-00959</t>
  </si>
  <si>
    <t>TXN-00960</t>
  </si>
  <si>
    <t>TXN-00961</t>
  </si>
  <si>
    <t>TXN-00962</t>
  </si>
  <si>
    <t>TXN-00963</t>
  </si>
  <si>
    <t>TXN-00964</t>
  </si>
  <si>
    <t>TXN-00965</t>
  </si>
  <si>
    <t>TXN-00966</t>
  </si>
  <si>
    <t>TXN-00967</t>
  </si>
  <si>
    <t>TXN-00968</t>
  </si>
  <si>
    <t>TXN-00969</t>
  </si>
  <si>
    <t>TXN-00970</t>
  </si>
  <si>
    <t>TXN-00971</t>
  </si>
  <si>
    <t>TXN-00972</t>
  </si>
  <si>
    <t>TXN-00973</t>
  </si>
  <si>
    <t>TXN-00974</t>
  </si>
  <si>
    <t>TXN-00975</t>
  </si>
  <si>
    <t>TXN-00976</t>
  </si>
  <si>
    <t>TXN-00977</t>
  </si>
  <si>
    <t>TXN-00978</t>
  </si>
  <si>
    <t>TXN-00979</t>
  </si>
  <si>
    <t>TXN-00980</t>
  </si>
  <si>
    <t>TXN-00981</t>
  </si>
  <si>
    <t>TXN-00982</t>
  </si>
  <si>
    <t>TXN-00983</t>
  </si>
  <si>
    <t>TXN-00984</t>
  </si>
  <si>
    <t>TXN-00985</t>
  </si>
  <si>
    <t>TXN-00986</t>
  </si>
  <si>
    <t>TXN-00987</t>
  </si>
  <si>
    <t>TXN-00988</t>
  </si>
  <si>
    <t>TXN-00989</t>
  </si>
  <si>
    <t>TXN-00990</t>
  </si>
  <si>
    <t>TXN-00991</t>
  </si>
  <si>
    <t>TXN-00992</t>
  </si>
  <si>
    <t>TXN-00993</t>
  </si>
  <si>
    <t>TXN-00994</t>
  </si>
  <si>
    <t>TXN-00995</t>
  </si>
  <si>
    <t>TXN-00996</t>
  </si>
  <si>
    <t>TXN-00997</t>
  </si>
  <si>
    <t>TXN-00998</t>
  </si>
  <si>
    <t>TXN-00999</t>
  </si>
  <si>
    <t>TXN-01000</t>
  </si>
  <si>
    <t>Duplicate Transaction IDs</t>
  </si>
  <si>
    <t>Blank Dates</t>
  </si>
  <si>
    <t>Blank Revenue</t>
  </si>
  <si>
    <t>Negative Revenue</t>
  </si>
  <si>
    <t>Negative Budget Revenue</t>
  </si>
  <si>
    <t>Clean City</t>
  </si>
  <si>
    <t>Clean State</t>
  </si>
  <si>
    <t>Clean Department</t>
  </si>
  <si>
    <t>Clean Product Name</t>
  </si>
  <si>
    <t>Clean Cost Center</t>
  </si>
  <si>
    <t>DATA QUALITY CHECKS</t>
  </si>
  <si>
    <t>Total Records</t>
  </si>
  <si>
    <t>Blank Transaction IDs</t>
  </si>
  <si>
    <t>Check</t>
  </si>
  <si>
    <t>Result</t>
  </si>
  <si>
    <t>Status</t>
  </si>
  <si>
    <t>FINANCIAL VALIDATION</t>
  </si>
  <si>
    <t>Validation Check</t>
  </si>
  <si>
    <t>Invalid Rows</t>
  </si>
  <si>
    <t>Total Expense Calculation</t>
  </si>
  <si>
    <t>Gross Profit Calculation</t>
  </si>
  <si>
    <t>Net Profit Calculation</t>
  </si>
  <si>
    <t>Budget Variance Calculation</t>
  </si>
  <si>
    <t>Net Revenue Calculation</t>
  </si>
  <si>
    <t>Profit Margin Calculation</t>
  </si>
  <si>
    <t>FINAL CLEANING VALIDATION</t>
  </si>
  <si>
    <t>Blank City</t>
  </si>
  <si>
    <t>Blank State</t>
  </si>
  <si>
    <t>Blank Department</t>
  </si>
  <si>
    <t>Blank Product Name</t>
  </si>
  <si>
    <t>Blank Cost Center</t>
  </si>
  <si>
    <t>Invalid Profit Margin</t>
  </si>
  <si>
    <t>Negative Net Revenue</t>
  </si>
  <si>
    <t>Negative Total Expense</t>
  </si>
  <si>
    <t>FINANCIAL PERFORMANCE CALCULATION</t>
  </si>
  <si>
    <t>CORE FINANCIAL KPIs</t>
  </si>
  <si>
    <t>PROFITABILITY KPIs</t>
  </si>
  <si>
    <t>BUDGET PERFORMANCE</t>
  </si>
  <si>
    <t>SALES &amp; ORDER KPIs</t>
  </si>
  <si>
    <t>Metric</t>
  </si>
  <si>
    <t>Total Revenue</t>
  </si>
  <si>
    <t>Total Budget Revenue</t>
  </si>
  <si>
    <t>Total COGS</t>
  </si>
  <si>
    <t>Total Operating Expense</t>
  </si>
  <si>
    <t>Total Marketing Expense</t>
  </si>
  <si>
    <t>Total Salary Expense</t>
  </si>
  <si>
    <t>Total Misc Expense</t>
  </si>
  <si>
    <t>Value</t>
  </si>
  <si>
    <t>Gross Profit Margin %</t>
  </si>
  <si>
    <t>Net Profit Margin %</t>
  </si>
  <si>
    <t>COGS % of Revenue</t>
  </si>
  <si>
    <t>Operating Expense %</t>
  </si>
  <si>
    <t>Marketing Expense %</t>
  </si>
  <si>
    <t>Salary Expense %</t>
  </si>
  <si>
    <t>Expense Ratio %</t>
  </si>
  <si>
    <t xml:space="preserve"> </t>
  </si>
  <si>
    <t>Tax % of Revenue</t>
  </si>
  <si>
    <t>Actual Revenue</t>
  </si>
  <si>
    <t>Budget Achievement %</t>
  </si>
  <si>
    <t>Above Budget Transactions</t>
  </si>
  <si>
    <t>Below Budget Transactions</t>
  </si>
  <si>
    <t>Total Transactions</t>
  </si>
  <si>
    <t>Average Revenue / Transaction</t>
  </si>
  <si>
    <t>Average Net Revenue</t>
  </si>
  <si>
    <t>Average Profit / Transaction</t>
  </si>
  <si>
    <t>Maximum Revenue</t>
  </si>
  <si>
    <t>Minimum Revenue</t>
  </si>
  <si>
    <t>Total Tax</t>
  </si>
  <si>
    <t>MONTHLY PERFORMANCE</t>
  </si>
  <si>
    <t>Total</t>
  </si>
  <si>
    <t>REGIONAL PERFORMANCE</t>
  </si>
  <si>
    <t>PRODUCT PERFORMANCE</t>
  </si>
  <si>
    <t>MANAGEMENT INSIGHTS</t>
  </si>
  <si>
    <t>FINANCIAL CONTROL CHECK</t>
  </si>
  <si>
    <t>Revenue Check</t>
  </si>
  <si>
    <t>Profit Check</t>
  </si>
  <si>
    <t>Expense Check</t>
  </si>
  <si>
    <t>Budget Variance Check</t>
  </si>
  <si>
    <t>Profit Margin Check</t>
  </si>
  <si>
    <t>Negative Profit Check</t>
  </si>
  <si>
    <t>Missing Revenue</t>
  </si>
  <si>
    <t>Overall Data Status</t>
  </si>
  <si>
    <t>Average Discount Amount</t>
  </si>
  <si>
    <t>FINANCIAL PERFORMANCE DASHBOARD – PIVOT ANALYSIS</t>
  </si>
  <si>
    <t>Row Labels</t>
  </si>
  <si>
    <t>Grand Total</t>
  </si>
  <si>
    <t>Sum of Revenue</t>
  </si>
  <si>
    <t>Sum of Budget Revenue</t>
  </si>
  <si>
    <t>Sum of Net Profit</t>
  </si>
  <si>
    <t>Sum of Category Profit Margin %</t>
  </si>
  <si>
    <t>Product Category Performance</t>
  </si>
  <si>
    <t>MONTHLY REVENUE PERFORMANCE</t>
  </si>
  <si>
    <t>QUARTERLY PERFORMANCE</t>
  </si>
  <si>
    <t>DEPARTMENT PERFORMANCE</t>
  </si>
  <si>
    <t>Sum of Total Expense</t>
  </si>
  <si>
    <t>COUNTRY PERFORMANCE</t>
  </si>
  <si>
    <t>Sum of COGS</t>
  </si>
  <si>
    <t>Sum of Operating Expense</t>
  </si>
  <si>
    <t>Sum of Marketing Expense</t>
  </si>
  <si>
    <t>Values</t>
  </si>
  <si>
    <t>Sum of Salary Expense</t>
  </si>
  <si>
    <t>Sum of Misc Expense</t>
  </si>
  <si>
    <t>EXPENSE PERFORMANCE</t>
  </si>
  <si>
    <t>Sum of Budget Variance</t>
  </si>
  <si>
    <t>BUDGET VS ACTUAL PERFORMANCE</t>
  </si>
  <si>
    <t>Unknown</t>
  </si>
  <si>
    <t>Vasco Da Gama</t>
  </si>
  <si>
    <t>CLEAN CITY PERFORMANCE</t>
  </si>
  <si>
    <t>FINANCIAL PERFORMANCE DASHBOARD</t>
  </si>
  <si>
    <t>Executive MIS | Revenue • Profitability • Budget • Expense • Regional Performance | FY 2026</t>
  </si>
  <si>
    <t>TOTAL REVENUE</t>
  </si>
  <si>
    <t>BUDGET REVENUE</t>
  </si>
  <si>
    <t>BUDGET ACHIEVEMENT</t>
  </si>
  <si>
    <t>BUDGET VARIANCE</t>
  </si>
  <si>
    <t>GROSS PROFIT</t>
  </si>
  <si>
    <t>NET PROFIT</t>
  </si>
  <si>
    <t>NET PROFIT MARGIN</t>
  </si>
  <si>
    <t>TOTAL EXPENSE</t>
  </si>
  <si>
    <t>MANAGEMENT INSIGHTS &amp; BUSINESS ACTION CENTER</t>
  </si>
  <si>
    <t>REVENUE PERFORMANCE</t>
  </si>
  <si>
    <t>Variance</t>
  </si>
  <si>
    <t>Variance %</t>
  </si>
  <si>
    <t>PROFITABILITY PERFORMANCE</t>
  </si>
  <si>
    <t>Profit Margin</t>
  </si>
  <si>
    <t>Margin Target</t>
  </si>
  <si>
    <t>Achievement %</t>
  </si>
  <si>
    <t xml:space="preserve">Actual Revenue </t>
  </si>
  <si>
    <t>Expense Ratio</t>
  </si>
  <si>
    <t xml:space="preserve">COGS </t>
  </si>
  <si>
    <t>BEST PERFORMING REGION</t>
  </si>
  <si>
    <t xml:space="preserve">BEST PERFORMING PRODUCT </t>
  </si>
  <si>
    <t>Product</t>
  </si>
  <si>
    <t>BEST PERFORMING MONTH</t>
  </si>
  <si>
    <t>LOWEST PERFORMING REGION</t>
  </si>
  <si>
    <t>EXPENSE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</si>
</sst>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quot;₹&quot;\ * #,##0.00_ ;_ &quot;₹&quot;\ * \-#,##0.00_ ;_ &quot;₹&quot;\ * &quot;-&quot;??_ ;_ @_ "/>
    <numFmt numFmtId="164" formatCode="yyyy\-mm\-dd\ hh:mm:ss"/>
    <numFmt numFmtId="165" formatCode="&quot;₹&quot;\ #,##0.00"/>
    <numFmt numFmtId="166" formatCode="&quot;₹&quot;0.00,,&quot;M&quot;"/>
    <numFmt numFmtId="167" formatCode="0.0%"/>
    <numFmt numFmtId="168" formatCode="&quot;₹&quot;#,##0.0,,&quot;M&quot;"/>
  </numFmts>
  <fonts count="30" x14ac:knownFonts="1">
    <font>
      <sz val="11"/>
      <color theme="1"/>
      <name val="Aptos Narrow"/>
      <family val="2"/>
      <scheme val="minor"/>
    </font>
    <font>
      <b/>
      <sz val="11"/>
      <name val="Calibri"/>
    </font>
    <font>
      <b/>
      <sz val="11"/>
      <color theme="1"/>
      <name val="Aptos Narrow"/>
      <family val="2"/>
      <scheme val="minor"/>
    </font>
    <font>
      <b/>
      <sz val="11"/>
      <color theme="0"/>
      <name val="Calibri"/>
      <family val="2"/>
    </font>
    <font>
      <sz val="11"/>
      <color theme="1"/>
      <name val="Aptos Narrow"/>
      <family val="2"/>
      <scheme val="minor"/>
    </font>
    <font>
      <b/>
      <sz val="11"/>
      <color theme="0"/>
      <name val="Aptos Narrow"/>
      <family val="2"/>
      <scheme val="minor"/>
    </font>
    <font>
      <b/>
      <sz val="20"/>
      <color theme="0"/>
      <name val="Aptos Narrow"/>
      <family val="2"/>
      <scheme val="minor"/>
    </font>
    <font>
      <b/>
      <sz val="14"/>
      <color theme="0"/>
      <name val="Aptos Narrow"/>
      <family val="2"/>
      <scheme val="minor"/>
    </font>
    <font>
      <b/>
      <sz val="18"/>
      <color theme="6" tint="-0.499984740745262"/>
      <name val="Aptos Narrow"/>
      <family val="2"/>
      <scheme val="minor"/>
    </font>
    <font>
      <b/>
      <sz val="18"/>
      <color rgb="FFC00000"/>
      <name val="Aptos Narrow"/>
      <family val="2"/>
      <scheme val="minor"/>
    </font>
    <font>
      <b/>
      <sz val="18"/>
      <color theme="8" tint="-0.499984740745262"/>
      <name val="Aptos Narrow"/>
      <family val="2"/>
      <scheme val="minor"/>
    </font>
    <font>
      <b/>
      <sz val="16"/>
      <color theme="5" tint="-0.249977111117893"/>
      <name val="Aptos Narrow"/>
      <family val="2"/>
      <scheme val="minor"/>
    </font>
    <font>
      <b/>
      <sz val="18"/>
      <color theme="4" tint="0.39997558519241921"/>
      <name val="Aptos Narrow"/>
      <family val="2"/>
      <scheme val="minor"/>
    </font>
    <font>
      <b/>
      <sz val="18"/>
      <color theme="3" tint="0.249977111117893"/>
      <name val="Aptos Narrow"/>
      <family val="2"/>
      <scheme val="minor"/>
    </font>
    <font>
      <b/>
      <sz val="12"/>
      <color theme="1"/>
      <name val="Aptos Narrow"/>
      <family val="2"/>
      <scheme val="minor"/>
    </font>
    <font>
      <b/>
      <sz val="12"/>
      <color theme="9" tint="-0.499984740745262"/>
      <name val="Aptos Narrow"/>
      <family val="2"/>
      <scheme val="minor"/>
    </font>
    <font>
      <b/>
      <sz val="12"/>
      <color rgb="FFC00000"/>
      <name val="Aptos Narrow"/>
      <family val="2"/>
      <scheme val="minor"/>
    </font>
    <font>
      <b/>
      <sz val="12"/>
      <color theme="3" tint="0.249977111117893"/>
      <name val="Aptos Narrow"/>
      <family val="2"/>
      <scheme val="minor"/>
    </font>
    <font>
      <b/>
      <sz val="12"/>
      <color theme="8" tint="-0.249977111117893"/>
      <name val="Aptos Narrow"/>
      <family val="2"/>
      <scheme val="minor"/>
    </font>
    <font>
      <sz val="12"/>
      <color theme="9" tint="-0.499984740745262"/>
      <name val="Aptos Narrow"/>
      <family val="2"/>
      <scheme val="minor"/>
    </font>
    <font>
      <b/>
      <sz val="12"/>
      <color theme="5" tint="-0.249977111117893"/>
      <name val="Aptos Narrow"/>
      <family val="2"/>
      <scheme val="minor"/>
    </font>
    <font>
      <b/>
      <sz val="24"/>
      <color theme="4" tint="-0.499984740745262"/>
      <name val="Aptos Narrow"/>
      <family val="2"/>
      <scheme val="minor"/>
    </font>
    <font>
      <b/>
      <sz val="12"/>
      <color theme="1" tint="0.249977111117893"/>
      <name val="Aptos Narrow"/>
      <family val="2"/>
      <scheme val="minor"/>
    </font>
    <font>
      <b/>
      <sz val="14"/>
      <color theme="4" tint="-0.499984740745262"/>
      <name val="Aptos Narrow"/>
      <family val="2"/>
      <scheme val="minor"/>
    </font>
    <font>
      <b/>
      <sz val="20"/>
      <color theme="4" tint="-0.499984740745262"/>
      <name val="Aptos Narrow"/>
      <family val="2"/>
      <scheme val="minor"/>
    </font>
    <font>
      <b/>
      <sz val="11"/>
      <color theme="4" tint="-0.499984740745262"/>
      <name val="Aptos Narrow"/>
      <family val="2"/>
      <scheme val="minor"/>
    </font>
    <font>
      <b/>
      <sz val="18"/>
      <color theme="4"/>
      <name val="Aptos Narrow"/>
      <family val="2"/>
      <scheme val="minor"/>
    </font>
    <font>
      <b/>
      <sz val="12"/>
      <color theme="4"/>
      <name val="Aptos Narrow"/>
      <family val="2"/>
      <scheme val="minor"/>
    </font>
    <font>
      <sz val="12"/>
      <color theme="4"/>
      <name val="Aptos Narrow"/>
      <family val="2"/>
      <scheme val="minor"/>
    </font>
    <font>
      <sz val="11"/>
      <color theme="0"/>
      <name val="Aptos Narrow"/>
      <family val="2"/>
      <scheme val="minor"/>
    </font>
  </fonts>
  <fills count="14">
    <fill>
      <patternFill patternType="none"/>
    </fill>
    <fill>
      <patternFill patternType="gray125"/>
    </fill>
    <fill>
      <patternFill patternType="solid">
        <fgColor theme="8" tint="-0.249977111117893"/>
        <bgColor indexed="64"/>
      </patternFill>
    </fill>
    <fill>
      <patternFill patternType="solid">
        <fgColor theme="4" tint="-0.499984740745262"/>
        <bgColor indexed="64"/>
      </patternFill>
    </fill>
    <fill>
      <patternFill patternType="solid">
        <fgColor theme="3" tint="9.9978637043366805E-2"/>
        <bgColor indexed="64"/>
      </patternFill>
    </fill>
    <fill>
      <patternFill patternType="solid">
        <fgColor theme="6" tint="-0.249977111117893"/>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6" tint="-0.49998474074526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2F2F2"/>
        <bgColor indexed="64"/>
      </patternFill>
    </fill>
    <fill>
      <patternFill patternType="solid">
        <fgColor theme="0"/>
        <bgColor indexed="64"/>
      </patternFill>
    </fill>
    <fill>
      <patternFill patternType="solid">
        <fgColor theme="3" tint="0.89999084444715716"/>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theme="2" tint="-0.249977111117893"/>
      </right>
      <top/>
      <bottom/>
      <diagonal/>
    </border>
    <border>
      <left style="thin">
        <color theme="2" tint="-0.249977111117893"/>
      </left>
      <right/>
      <top/>
      <bottom/>
      <diagonal/>
    </border>
    <border>
      <left style="thin">
        <color theme="2" tint="-0.249977111117893"/>
      </left>
      <right/>
      <top/>
      <bottom style="medium">
        <color theme="2" tint="-0.249977111117893"/>
      </bottom>
      <diagonal/>
    </border>
    <border>
      <left/>
      <right/>
      <top/>
      <bottom style="medium">
        <color theme="2" tint="-0.249977111117893"/>
      </bottom>
      <diagonal/>
    </border>
    <border>
      <left/>
      <right style="thin">
        <color theme="2" tint="-0.249977111117893"/>
      </right>
      <top/>
      <bottom style="medium">
        <color theme="2" tint="-0.249977111117893"/>
      </bottom>
      <diagonal/>
    </border>
    <border>
      <left style="medium">
        <color theme="2" tint="-0.249977111117893"/>
      </left>
      <right/>
      <top style="medium">
        <color theme="2" tint="-0.249977111117893"/>
      </top>
      <bottom/>
      <diagonal/>
    </border>
    <border>
      <left/>
      <right/>
      <top style="medium">
        <color theme="2" tint="-0.249977111117893"/>
      </top>
      <bottom/>
      <diagonal/>
    </border>
    <border>
      <left/>
      <right style="medium">
        <color theme="2" tint="-0.249977111117893"/>
      </right>
      <top style="medium">
        <color theme="2" tint="-0.249977111117893"/>
      </top>
      <bottom/>
      <diagonal/>
    </border>
    <border>
      <left style="medium">
        <color theme="2" tint="-0.249977111117893"/>
      </left>
      <right/>
      <top/>
      <bottom/>
      <diagonal/>
    </border>
    <border>
      <left/>
      <right style="medium">
        <color theme="2" tint="-0.249977111117893"/>
      </right>
      <top/>
      <bottom/>
      <diagonal/>
    </border>
    <border>
      <left style="medium">
        <color theme="2" tint="-0.249977111117893"/>
      </left>
      <right/>
      <top/>
      <bottom style="medium">
        <color theme="2" tint="-0.249977111117893"/>
      </bottom>
      <diagonal/>
    </border>
    <border>
      <left/>
      <right style="medium">
        <color theme="2" tint="-0.249977111117893"/>
      </right>
      <top/>
      <bottom style="medium">
        <color theme="2" tint="-0.249977111117893"/>
      </bottom>
      <diagonal/>
    </border>
    <border>
      <left/>
      <right style="thin">
        <color theme="9" tint="-0.499984740745262"/>
      </right>
      <top style="medium">
        <color theme="2" tint="-0.249977111117893"/>
      </top>
      <bottom/>
      <diagonal/>
    </border>
    <border>
      <left/>
      <right style="thin">
        <color theme="9" tint="-0.499984740745262"/>
      </right>
      <top/>
      <bottom/>
      <diagonal/>
    </border>
    <border>
      <left style="thin">
        <color theme="9" tint="-0.499984740745262"/>
      </left>
      <right/>
      <top style="medium">
        <color theme="2" tint="-0.249977111117893"/>
      </top>
      <bottom/>
      <diagonal/>
    </border>
    <border>
      <left style="thin">
        <color theme="9" tint="-0.499984740745262"/>
      </left>
      <right/>
      <top/>
      <bottom/>
      <diagonal/>
    </border>
    <border>
      <left style="thin">
        <color theme="9" tint="-0.499984740745262"/>
      </left>
      <right/>
      <top/>
      <bottom style="medium">
        <color theme="2" tint="-0.249977111117893"/>
      </bottom>
      <diagonal/>
    </border>
    <border>
      <left/>
      <right style="thin">
        <color theme="9" tint="-0.499984740745262"/>
      </right>
      <top/>
      <bottom style="medium">
        <color theme="2" tint="-0.249977111117893"/>
      </bottom>
      <diagonal/>
    </border>
    <border>
      <left/>
      <right style="thin">
        <color theme="2" tint="-0.249977111117893"/>
      </right>
      <top style="medium">
        <color theme="2" tint="-0.249977111117893"/>
      </top>
      <bottom/>
      <diagonal/>
    </border>
    <border>
      <left style="thin">
        <color theme="2" tint="-0.249977111117893"/>
      </left>
      <right/>
      <top style="medium">
        <color theme="2" tint="-0.249977111117893"/>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4" fillId="0" borderId="0" applyFont="0" applyFill="0" applyBorder="0" applyAlignment="0" applyProtection="0"/>
  </cellStyleXfs>
  <cellXfs count="162">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Alignment="1">
      <alignment horizontal="center"/>
    </xf>
    <xf numFmtId="0" fontId="0" fillId="0" borderId="1" xfId="0" applyBorder="1"/>
    <xf numFmtId="0" fontId="0" fillId="0" borderId="1" xfId="0" applyBorder="1" applyAlignment="1">
      <alignment horizontal="center"/>
    </xf>
    <xf numFmtId="0" fontId="3" fillId="0" borderId="2" xfId="0" applyFont="1" applyBorder="1" applyAlignment="1">
      <alignment horizontal="center" vertical="top"/>
    </xf>
    <xf numFmtId="0" fontId="3" fillId="0" borderId="2"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left"/>
    </xf>
    <xf numFmtId="0" fontId="0" fillId="0" borderId="0" xfId="0" applyAlignment="1">
      <alignment horizontal="left" vertical="center"/>
    </xf>
    <xf numFmtId="0" fontId="2" fillId="0" borderId="0" xfId="0" applyFont="1" applyAlignment="1">
      <alignment horizontal="center" vertical="center" wrapText="1"/>
    </xf>
    <xf numFmtId="4" fontId="0" fillId="0" borderId="0" xfId="0" applyNumberFormat="1" applyAlignment="1">
      <alignment horizontal="center"/>
    </xf>
    <xf numFmtId="0" fontId="5" fillId="0" borderId="0" xfId="0" applyFont="1" applyAlignment="1">
      <alignment horizontal="center"/>
    </xf>
    <xf numFmtId="10" fontId="0" fillId="0" borderId="0" xfId="1" applyNumberFormat="1" applyFont="1" applyAlignment="1">
      <alignment horizontal="center" vertical="center"/>
    </xf>
    <xf numFmtId="4" fontId="0" fillId="0" borderId="0" xfId="0" applyNumberFormat="1"/>
    <xf numFmtId="10" fontId="0" fillId="0" borderId="0" xfId="1" applyNumberFormat="1" applyFont="1"/>
    <xf numFmtId="4" fontId="0" fillId="0" borderId="1" xfId="0" applyNumberFormat="1" applyBorder="1" applyAlignment="1">
      <alignment horizontal="center"/>
    </xf>
    <xf numFmtId="0" fontId="5" fillId="7" borderId="1" xfId="0" applyFont="1" applyFill="1" applyBorder="1" applyAlignment="1">
      <alignment horizontal="center" vertical="center"/>
    </xf>
    <xf numFmtId="0" fontId="0" fillId="0" borderId="1" xfId="0" applyBorder="1" applyAlignment="1">
      <alignment horizontal="left"/>
    </xf>
    <xf numFmtId="0" fontId="5" fillId="0" borderId="0" xfId="0" applyFont="1" applyAlignment="1">
      <alignment horizontal="center" vertical="center"/>
    </xf>
    <xf numFmtId="0" fontId="5" fillId="7" borderId="1" xfId="0" applyFont="1" applyFill="1" applyBorder="1"/>
    <xf numFmtId="0" fontId="5" fillId="7" borderId="1" xfId="0" applyFont="1" applyFill="1" applyBorder="1" applyAlignment="1">
      <alignment vertical="center" wrapText="1"/>
    </xf>
    <xf numFmtId="0" fontId="5" fillId="7" borderId="1" xfId="0" applyFont="1" applyFill="1" applyBorder="1" applyAlignment="1">
      <alignment horizontal="center" vertical="center" wrapText="1"/>
    </xf>
    <xf numFmtId="0" fontId="5" fillId="0" borderId="0" xfId="0" applyFont="1"/>
    <xf numFmtId="0" fontId="0" fillId="0" borderId="1" xfId="0" applyBorder="1" applyAlignment="1">
      <alignment horizontal="center" vertical="center"/>
    </xf>
    <xf numFmtId="9" fontId="0" fillId="0" borderId="1" xfId="1" applyFont="1" applyBorder="1" applyAlignment="1">
      <alignment horizontal="center" vertical="center"/>
    </xf>
    <xf numFmtId="2" fontId="0" fillId="0" borderId="1" xfId="0" applyNumberFormat="1" applyBorder="1" applyAlignment="1">
      <alignment horizontal="center" vertical="center"/>
    </xf>
    <xf numFmtId="0" fontId="8" fillId="0" borderId="0" xfId="0" applyFont="1" applyAlignment="1">
      <alignment horizontal="center" vertical="center"/>
    </xf>
    <xf numFmtId="0" fontId="10" fillId="0" borderId="0" xfId="0" applyFont="1"/>
    <xf numFmtId="0" fontId="11" fillId="0" borderId="0" xfId="0" applyFont="1" applyAlignment="1">
      <alignment horizontal="left" indent="1"/>
    </xf>
    <xf numFmtId="10" fontId="0" fillId="0" borderId="1" xfId="1" applyNumberFormat="1" applyFont="1" applyBorder="1" applyAlignment="1">
      <alignment horizontal="center"/>
    </xf>
    <xf numFmtId="44" fontId="0" fillId="0" borderId="0" xfId="0" applyNumberFormat="1"/>
    <xf numFmtId="0" fontId="6" fillId="0" borderId="0" xfId="0" applyFont="1" applyAlignment="1">
      <alignment horizontal="center" vertical="center"/>
    </xf>
    <xf numFmtId="10" fontId="0" fillId="0" borderId="0" xfId="1" applyNumberFormat="1" applyFont="1" applyAlignment="1">
      <alignment horizontal="center"/>
    </xf>
    <xf numFmtId="0" fontId="6" fillId="0" borderId="0" xfId="0" applyFont="1" applyAlignment="1">
      <alignment vertical="center"/>
    </xf>
    <xf numFmtId="0" fontId="14" fillId="0" borderId="0" xfId="0" applyFont="1"/>
    <xf numFmtId="0" fontId="14" fillId="0" borderId="0" xfId="0" applyFont="1" applyAlignment="1">
      <alignment horizontal="center" vertical="center"/>
    </xf>
    <xf numFmtId="44" fontId="0" fillId="0" borderId="0" xfId="0" applyNumberFormat="1" applyAlignment="1">
      <alignment horizontal="center" vertical="center"/>
    </xf>
    <xf numFmtId="0" fontId="0" fillId="0" borderId="0" xfId="0" applyAlignment="1">
      <alignment horizontal="left" vertical="top"/>
    </xf>
    <xf numFmtId="0" fontId="14" fillId="0" borderId="0" xfId="0" applyFont="1" applyAlignment="1">
      <alignment horizontal="center"/>
    </xf>
    <xf numFmtId="10" fontId="0" fillId="0" borderId="0" xfId="0" applyNumberFormat="1" applyAlignment="1">
      <alignment horizontal="center" vertical="center"/>
    </xf>
    <xf numFmtId="44" fontId="0" fillId="0" borderId="0" xfId="0" applyNumberFormat="1" applyAlignment="1">
      <alignment vertical="center"/>
    </xf>
    <xf numFmtId="0" fontId="0" fillId="9" borderId="0" xfId="0" applyFill="1" applyAlignment="1">
      <alignment horizontal="left" vertical="top"/>
    </xf>
    <xf numFmtId="44" fontId="0" fillId="9" borderId="0" xfId="0" applyNumberFormat="1" applyFill="1" applyAlignment="1">
      <alignment vertical="center"/>
    </xf>
    <xf numFmtId="44" fontId="0" fillId="9" borderId="0" xfId="0" applyNumberFormat="1" applyFill="1" applyAlignment="1">
      <alignment horizontal="center" vertical="center"/>
    </xf>
    <xf numFmtId="10" fontId="0" fillId="9" borderId="0" xfId="0" applyNumberFormat="1" applyFill="1" applyAlignment="1">
      <alignment horizontal="center" vertical="center"/>
    </xf>
    <xf numFmtId="44" fontId="0" fillId="9" borderId="0" xfId="0" applyNumberFormat="1" applyFill="1"/>
    <xf numFmtId="0" fontId="0" fillId="10" borderId="0" xfId="0" applyFill="1"/>
    <xf numFmtId="0" fontId="0" fillId="11" borderId="0" xfId="0" applyFill="1"/>
    <xf numFmtId="0" fontId="25" fillId="9" borderId="0" xfId="0" applyFont="1" applyFill="1"/>
    <xf numFmtId="0" fontId="25" fillId="9" borderId="1" xfId="0" applyFont="1" applyFill="1" applyBorder="1"/>
    <xf numFmtId="0" fontId="25" fillId="9" borderId="1" xfId="0" applyFont="1" applyFill="1" applyBorder="1" applyAlignment="1">
      <alignment horizontal="center"/>
    </xf>
    <xf numFmtId="0" fontId="27" fillId="10" borderId="0" xfId="0" applyFont="1" applyFill="1"/>
    <xf numFmtId="0" fontId="14" fillId="10" borderId="0" xfId="0" applyFont="1" applyFill="1"/>
    <xf numFmtId="0" fontId="0" fillId="10" borderId="0" xfId="0" applyFill="1" applyAlignment="1">
      <alignment vertical="center" wrapText="1"/>
    </xf>
    <xf numFmtId="168" fontId="2" fillId="10" borderId="25" xfId="0" applyNumberFormat="1" applyFont="1" applyFill="1" applyBorder="1"/>
    <xf numFmtId="167" fontId="2" fillId="10" borderId="25" xfId="0" applyNumberFormat="1" applyFont="1" applyFill="1" applyBorder="1"/>
    <xf numFmtId="167" fontId="2" fillId="10" borderId="25" xfId="1" applyNumberFormat="1" applyFont="1" applyFill="1" applyBorder="1"/>
    <xf numFmtId="168" fontId="2" fillId="10" borderId="25" xfId="0" applyNumberFormat="1" applyFont="1" applyFill="1" applyBorder="1" applyAlignment="1">
      <alignment horizontal="right"/>
    </xf>
    <xf numFmtId="167" fontId="2" fillId="10" borderId="25" xfId="1" applyNumberFormat="1" applyFont="1" applyFill="1" applyBorder="1" applyAlignment="1">
      <alignment horizontal="right"/>
    </xf>
    <xf numFmtId="0" fontId="2" fillId="10" borderId="25" xfId="0" applyFont="1" applyFill="1" applyBorder="1"/>
    <xf numFmtId="0" fontId="2" fillId="10" borderId="25" xfId="0" applyFont="1" applyFill="1" applyBorder="1" applyAlignment="1">
      <alignment horizontal="left" vertical="top"/>
    </xf>
    <xf numFmtId="0" fontId="2" fillId="10" borderId="25" xfId="0" applyFont="1" applyFill="1" applyBorder="1" applyAlignment="1">
      <alignment horizontal="left" vertical="top" wrapText="1"/>
    </xf>
    <xf numFmtId="0" fontId="29" fillId="0" borderId="0" xfId="0" applyFont="1"/>
    <xf numFmtId="0" fontId="7" fillId="0" borderId="0" xfId="0" applyFont="1" applyAlignment="1">
      <alignment horizontal="center"/>
    </xf>
    <xf numFmtId="0" fontId="14" fillId="0" borderId="0" xfId="0" applyFont="1" applyAlignment="1">
      <alignment horizontal="right"/>
    </xf>
    <xf numFmtId="0" fontId="14" fillId="0" borderId="0" xfId="0" pivotButton="1" applyFont="1" applyAlignment="1">
      <alignment horizontal="left" vertical="top"/>
    </xf>
    <xf numFmtId="0" fontId="6" fillId="0" borderId="0" xfId="0" applyFont="1" applyAlignment="1">
      <alignment horizontal="left" vertical="top"/>
    </xf>
    <xf numFmtId="0" fontId="29" fillId="0" borderId="0" xfId="0" applyFont="1" applyAlignment="1">
      <alignment horizontal="left" vertical="top"/>
    </xf>
    <xf numFmtId="0" fontId="7" fillId="0" borderId="0" xfId="0" applyFont="1" applyAlignment="1">
      <alignment horizontal="left" vertical="top"/>
    </xf>
    <xf numFmtId="0" fontId="29" fillId="0" borderId="0" xfId="0" applyFont="1" applyAlignment="1">
      <alignment horizontal="center" vertical="center"/>
    </xf>
    <xf numFmtId="0" fontId="21" fillId="13" borderId="0" xfId="0" applyFont="1" applyFill="1" applyAlignment="1">
      <alignment horizontal="center" vertical="center"/>
    </xf>
    <xf numFmtId="0" fontId="22" fillId="13" borderId="0" xfId="0" applyFont="1" applyFill="1" applyAlignment="1">
      <alignment horizontal="center" vertical="center"/>
    </xf>
    <xf numFmtId="0" fontId="15" fillId="12" borderId="10" xfId="0" applyFont="1" applyFill="1" applyBorder="1" applyAlignment="1">
      <alignment horizontal="center" vertical="center"/>
    </xf>
    <xf numFmtId="0" fontId="19" fillId="12" borderId="23" xfId="0" applyFont="1" applyFill="1" applyBorder="1" applyAlignment="1">
      <alignment horizontal="center" vertical="center"/>
    </xf>
    <xf numFmtId="166" fontId="15" fillId="12" borderId="13" xfId="0" applyNumberFormat="1" applyFont="1" applyFill="1" applyBorder="1" applyAlignment="1">
      <alignment horizontal="center" vertical="center"/>
    </xf>
    <xf numFmtId="166" fontId="15" fillId="12" borderId="5" xfId="0" applyNumberFormat="1" applyFont="1" applyFill="1" applyBorder="1" applyAlignment="1">
      <alignment horizontal="center" vertical="center"/>
    </xf>
    <xf numFmtId="166" fontId="15" fillId="12" borderId="15" xfId="0" applyNumberFormat="1" applyFont="1" applyFill="1" applyBorder="1" applyAlignment="1">
      <alignment horizontal="center" vertical="center"/>
    </xf>
    <xf numFmtId="166" fontId="15" fillId="12" borderId="9" xfId="0" applyNumberFormat="1" applyFont="1" applyFill="1" applyBorder="1" applyAlignment="1">
      <alignment horizontal="center" vertical="center"/>
    </xf>
    <xf numFmtId="0" fontId="17" fillId="12" borderId="24" xfId="0" applyFont="1" applyFill="1" applyBorder="1" applyAlignment="1">
      <alignment horizontal="center" vertical="center"/>
    </xf>
    <xf numFmtId="0" fontId="17" fillId="12" borderId="23" xfId="0" applyFont="1" applyFill="1" applyBorder="1" applyAlignment="1">
      <alignment horizontal="center" vertical="center"/>
    </xf>
    <xf numFmtId="166" fontId="17" fillId="12" borderId="6" xfId="0" applyNumberFormat="1" applyFont="1" applyFill="1" applyBorder="1" applyAlignment="1">
      <alignment horizontal="center" vertical="center"/>
    </xf>
    <xf numFmtId="166" fontId="17" fillId="12" borderId="5" xfId="0" applyNumberFormat="1" applyFont="1" applyFill="1" applyBorder="1" applyAlignment="1">
      <alignment horizontal="center" vertical="center"/>
    </xf>
    <xf numFmtId="166" fontId="17" fillId="12" borderId="7" xfId="0" applyNumberFormat="1" applyFont="1" applyFill="1" applyBorder="1" applyAlignment="1">
      <alignment horizontal="center" vertical="center"/>
    </xf>
    <xf numFmtId="166" fontId="17" fillId="12" borderId="9" xfId="0" applyNumberFormat="1" applyFont="1" applyFill="1" applyBorder="1" applyAlignment="1">
      <alignment horizontal="center" vertical="center"/>
    </xf>
    <xf numFmtId="0" fontId="18" fillId="12" borderId="24" xfId="0" applyFont="1" applyFill="1" applyBorder="1" applyAlignment="1">
      <alignment horizontal="center"/>
    </xf>
    <xf numFmtId="0" fontId="18" fillId="12" borderId="23" xfId="0" applyFont="1" applyFill="1" applyBorder="1" applyAlignment="1">
      <alignment horizontal="center"/>
    </xf>
    <xf numFmtId="0" fontId="18" fillId="12" borderId="19" xfId="0" applyFont="1" applyFill="1" applyBorder="1" applyAlignment="1">
      <alignment horizontal="center"/>
    </xf>
    <xf numFmtId="0" fontId="18" fillId="12" borderId="17" xfId="0" applyFont="1" applyFill="1" applyBorder="1" applyAlignment="1">
      <alignment horizontal="center"/>
    </xf>
    <xf numFmtId="167" fontId="18" fillId="12" borderId="20" xfId="0" applyNumberFormat="1" applyFont="1" applyFill="1" applyBorder="1" applyAlignment="1">
      <alignment horizontal="center" vertical="center"/>
    </xf>
    <xf numFmtId="167" fontId="18" fillId="12" borderId="18" xfId="0" applyNumberFormat="1" applyFont="1" applyFill="1" applyBorder="1" applyAlignment="1">
      <alignment horizontal="center" vertical="center"/>
    </xf>
    <xf numFmtId="167" fontId="18" fillId="12" borderId="21" xfId="0" applyNumberFormat="1" applyFont="1" applyFill="1" applyBorder="1" applyAlignment="1">
      <alignment horizontal="center" vertical="center"/>
    </xf>
    <xf numFmtId="167" fontId="18" fillId="12" borderId="22" xfId="0" applyNumberFormat="1" applyFont="1" applyFill="1" applyBorder="1" applyAlignment="1">
      <alignment horizontal="center" vertical="center"/>
    </xf>
    <xf numFmtId="0" fontId="20" fillId="12" borderId="11" xfId="0" applyFont="1" applyFill="1" applyBorder="1" applyAlignment="1">
      <alignment horizontal="center"/>
    </xf>
    <xf numFmtId="0" fontId="20" fillId="12" borderId="12" xfId="0" applyFont="1" applyFill="1" applyBorder="1" applyAlignment="1">
      <alignment horizontal="center"/>
    </xf>
    <xf numFmtId="166" fontId="20" fillId="12" borderId="0" xfId="0" applyNumberFormat="1" applyFont="1" applyFill="1" applyAlignment="1">
      <alignment horizontal="center" vertical="center"/>
    </xf>
    <xf numFmtId="166" fontId="20" fillId="12" borderId="14" xfId="0" applyNumberFormat="1" applyFont="1" applyFill="1" applyBorder="1" applyAlignment="1">
      <alignment horizontal="center" vertical="center"/>
    </xf>
    <xf numFmtId="166" fontId="20" fillId="12" borderId="8" xfId="0" applyNumberFormat="1" applyFont="1" applyFill="1" applyBorder="1" applyAlignment="1">
      <alignment horizontal="center" vertical="center"/>
    </xf>
    <xf numFmtId="166" fontId="20" fillId="12" borderId="16" xfId="0" applyNumberFormat="1" applyFont="1" applyFill="1" applyBorder="1" applyAlignment="1">
      <alignment horizontal="center" vertical="center"/>
    </xf>
    <xf numFmtId="167" fontId="18" fillId="12" borderId="6" xfId="0" applyNumberFormat="1" applyFont="1" applyFill="1" applyBorder="1" applyAlignment="1">
      <alignment horizontal="center" vertical="center"/>
    </xf>
    <xf numFmtId="167" fontId="18" fillId="12" borderId="5" xfId="0" applyNumberFormat="1" applyFont="1" applyFill="1" applyBorder="1" applyAlignment="1">
      <alignment horizontal="center" vertical="center"/>
    </xf>
    <xf numFmtId="167" fontId="18" fillId="12" borderId="7" xfId="0" applyNumberFormat="1" applyFont="1" applyFill="1" applyBorder="1" applyAlignment="1">
      <alignment horizontal="center" vertical="center"/>
    </xf>
    <xf numFmtId="167" fontId="18" fillId="12" borderId="9" xfId="0" applyNumberFormat="1" applyFont="1" applyFill="1" applyBorder="1" applyAlignment="1">
      <alignment horizontal="center" vertical="center"/>
    </xf>
    <xf numFmtId="0" fontId="16" fillId="12" borderId="24" xfId="0" applyFont="1" applyFill="1" applyBorder="1" applyAlignment="1">
      <alignment horizontal="center"/>
    </xf>
    <xf numFmtId="0" fontId="16" fillId="12" borderId="23" xfId="0" applyFont="1" applyFill="1" applyBorder="1" applyAlignment="1">
      <alignment horizontal="center"/>
    </xf>
    <xf numFmtId="166" fontId="16" fillId="12" borderId="6" xfId="0" applyNumberFormat="1" applyFont="1" applyFill="1" applyBorder="1" applyAlignment="1">
      <alignment horizontal="center" vertical="center"/>
    </xf>
    <xf numFmtId="166" fontId="16" fillId="12" borderId="5" xfId="0" applyNumberFormat="1" applyFont="1" applyFill="1" applyBorder="1" applyAlignment="1">
      <alignment horizontal="center" vertical="center"/>
    </xf>
    <xf numFmtId="166" fontId="16" fillId="12" borderId="7" xfId="0" applyNumberFormat="1" applyFont="1" applyFill="1" applyBorder="1" applyAlignment="1">
      <alignment horizontal="center" vertical="center"/>
    </xf>
    <xf numFmtId="166" fontId="16" fillId="12" borderId="9" xfId="0" applyNumberFormat="1" applyFont="1" applyFill="1" applyBorder="1" applyAlignment="1">
      <alignment horizontal="center" vertical="center"/>
    </xf>
    <xf numFmtId="0" fontId="26" fillId="13" borderId="0" xfId="0" applyFont="1" applyFill="1" applyAlignment="1">
      <alignment horizontal="center" vertical="center"/>
    </xf>
    <xf numFmtId="0" fontId="27" fillId="13" borderId="26" xfId="0" applyFont="1" applyFill="1" applyBorder="1" applyAlignment="1">
      <alignment horizontal="center"/>
    </xf>
    <xf numFmtId="0" fontId="28" fillId="13" borderId="27" xfId="0" applyFont="1" applyFill="1" applyBorder="1" applyAlignment="1">
      <alignment horizontal="center"/>
    </xf>
    <xf numFmtId="0" fontId="28" fillId="13" borderId="28" xfId="0" applyFont="1" applyFill="1" applyBorder="1" applyAlignment="1">
      <alignment horizontal="center"/>
    </xf>
    <xf numFmtId="0" fontId="15" fillId="12" borderId="24" xfId="0" applyFont="1" applyFill="1" applyBorder="1" applyAlignment="1">
      <alignment horizontal="center" vertical="center"/>
    </xf>
    <xf numFmtId="0" fontId="15" fillId="12" borderId="23" xfId="0" applyFont="1" applyFill="1" applyBorder="1" applyAlignment="1">
      <alignment horizontal="center" vertical="center"/>
    </xf>
    <xf numFmtId="166" fontId="15" fillId="12" borderId="6" xfId="0" applyNumberFormat="1" applyFont="1" applyFill="1" applyBorder="1" applyAlignment="1">
      <alignment horizontal="center" vertical="center"/>
    </xf>
    <xf numFmtId="166" fontId="15" fillId="12" borderId="7" xfId="0" applyNumberFormat="1" applyFont="1" applyFill="1" applyBorder="1" applyAlignment="1">
      <alignment horizontal="center" vertical="center"/>
    </xf>
    <xf numFmtId="0" fontId="15" fillId="12" borderId="11" xfId="0" applyFont="1" applyFill="1" applyBorder="1" applyAlignment="1">
      <alignment horizontal="center" vertical="center"/>
    </xf>
    <xf numFmtId="0" fontId="15" fillId="12" borderId="17" xfId="0" applyFont="1" applyFill="1" applyBorder="1" applyAlignment="1">
      <alignment horizontal="center" vertical="center"/>
    </xf>
    <xf numFmtId="166" fontId="15" fillId="12" borderId="0" xfId="0" applyNumberFormat="1" applyFont="1" applyFill="1" applyAlignment="1">
      <alignment horizontal="center" vertical="center"/>
    </xf>
    <xf numFmtId="166" fontId="15" fillId="12" borderId="18" xfId="0" applyNumberFormat="1" applyFont="1" applyFill="1" applyBorder="1" applyAlignment="1">
      <alignment horizontal="center" vertical="center"/>
    </xf>
    <xf numFmtId="166" fontId="15" fillId="12" borderId="8" xfId="0" applyNumberFormat="1" applyFont="1" applyFill="1" applyBorder="1" applyAlignment="1">
      <alignment horizontal="center" vertical="center"/>
    </xf>
    <xf numFmtId="166" fontId="15" fillId="12" borderId="22" xfId="0" applyNumberFormat="1" applyFont="1" applyFill="1" applyBorder="1" applyAlignment="1">
      <alignment horizontal="center" vertical="center"/>
    </xf>
    <xf numFmtId="0" fontId="27" fillId="13" borderId="25" xfId="0" applyFont="1" applyFill="1" applyBorder="1" applyAlignment="1">
      <alignment horizontal="center"/>
    </xf>
    <xf numFmtId="0" fontId="28" fillId="13" borderId="25" xfId="0" applyFont="1" applyFill="1" applyBorder="1" applyAlignment="1">
      <alignment horizontal="center"/>
    </xf>
    <xf numFmtId="0" fontId="2" fillId="10" borderId="25" xfId="0" applyFont="1" applyFill="1" applyBorder="1" applyAlignment="1">
      <alignment horizontal="center"/>
    </xf>
    <xf numFmtId="168" fontId="2" fillId="10" borderId="25" xfId="0" applyNumberFormat="1" applyFont="1" applyFill="1" applyBorder="1" applyAlignment="1">
      <alignment horizontal="center"/>
    </xf>
    <xf numFmtId="167" fontId="2" fillId="10" borderId="25" xfId="1" applyNumberFormat="1" applyFont="1" applyFill="1" applyBorder="1" applyAlignment="1">
      <alignment horizontal="center"/>
    </xf>
    <xf numFmtId="0" fontId="17" fillId="13" borderId="25" xfId="0" applyFont="1" applyFill="1" applyBorder="1" applyAlignment="1">
      <alignment horizontal="center"/>
    </xf>
    <xf numFmtId="168" fontId="2" fillId="10" borderId="25" xfId="0" applyNumberFormat="1" applyFont="1" applyFill="1" applyBorder="1" applyAlignment="1">
      <alignment horizontal="center" vertical="center" wrapText="1"/>
    </xf>
    <xf numFmtId="167" fontId="2" fillId="10" borderId="25" xfId="1" applyNumberFormat="1" applyFont="1" applyFill="1" applyBorder="1" applyAlignment="1">
      <alignment horizontal="center" vertical="center" wrapText="1"/>
    </xf>
    <xf numFmtId="4" fontId="0" fillId="0" borderId="3" xfId="0" applyNumberFormat="1" applyBorder="1" applyAlignment="1">
      <alignment horizontal="center"/>
    </xf>
    <xf numFmtId="4" fontId="0" fillId="0" borderId="4" xfId="0" applyNumberFormat="1" applyBorder="1" applyAlignment="1">
      <alignment horizontal="center"/>
    </xf>
    <xf numFmtId="10" fontId="13" fillId="0" borderId="0" xfId="1" applyNumberFormat="1" applyFont="1" applyAlignment="1">
      <alignment horizontal="left" indent="14"/>
    </xf>
    <xf numFmtId="0" fontId="8" fillId="0" borderId="0" xfId="0" applyFont="1" applyAlignment="1">
      <alignment horizontal="center"/>
    </xf>
    <xf numFmtId="0" fontId="9" fillId="0" borderId="0" xfId="0" applyFont="1" applyAlignment="1">
      <alignment horizontal="left" indent="6"/>
    </xf>
    <xf numFmtId="0" fontId="9" fillId="0" borderId="0" xfId="0" applyFont="1" applyAlignment="1">
      <alignment horizontal="left" indent="1"/>
    </xf>
    <xf numFmtId="0" fontId="0" fillId="0" borderId="1" xfId="0" applyBorder="1" applyAlignment="1">
      <alignment horizontal="center" vertical="center"/>
    </xf>
    <xf numFmtId="0" fontId="6" fillId="3" borderId="0" xfId="0" applyFont="1" applyFill="1" applyAlignment="1">
      <alignment horizontal="center" vertical="center"/>
    </xf>
    <xf numFmtId="10" fontId="12" fillId="0" borderId="0" xfId="0" applyNumberFormat="1" applyFont="1" applyAlignment="1">
      <alignment horizontal="left" vertical="center" indent="4"/>
    </xf>
    <xf numFmtId="0" fontId="5" fillId="7" borderId="1" xfId="0" applyFont="1" applyFill="1" applyBorder="1" applyAlignment="1">
      <alignment horizontal="center" vertical="center"/>
    </xf>
    <xf numFmtId="0" fontId="0" fillId="0" borderId="1" xfId="0" applyBorder="1" applyAlignment="1">
      <alignment horizontal="center"/>
    </xf>
    <xf numFmtId="0" fontId="5" fillId="7" borderId="3" xfId="0" applyFont="1" applyFill="1" applyBorder="1" applyAlignment="1">
      <alignment horizontal="center" vertical="center"/>
    </xf>
    <xf numFmtId="0" fontId="5" fillId="7" borderId="4" xfId="0" applyFont="1" applyFill="1" applyBorder="1" applyAlignment="1">
      <alignment horizontal="center" vertical="center"/>
    </xf>
    <xf numFmtId="0" fontId="7" fillId="4" borderId="0" xfId="0" applyFont="1" applyFill="1" applyAlignment="1">
      <alignment horizontal="center"/>
    </xf>
    <xf numFmtId="0" fontId="7" fillId="8" borderId="0" xfId="0" applyFont="1" applyFill="1" applyAlignment="1">
      <alignment horizontal="center"/>
    </xf>
    <xf numFmtId="0" fontId="5" fillId="7" borderId="3" xfId="0" applyFont="1" applyFill="1" applyBorder="1" applyAlignment="1">
      <alignment horizontal="center" vertical="center" wrapText="1"/>
    </xf>
    <xf numFmtId="0" fontId="5" fillId="7" borderId="4" xfId="0" applyFont="1" applyFill="1" applyBorder="1" applyAlignment="1">
      <alignment horizontal="center" vertical="center" wrapText="1"/>
    </xf>
    <xf numFmtId="0" fontId="24" fillId="9" borderId="0" xfId="0" applyFont="1" applyFill="1" applyAlignment="1">
      <alignment horizontal="center" vertical="center"/>
    </xf>
    <xf numFmtId="0" fontId="7" fillId="2" borderId="0" xfId="0" applyFont="1" applyFill="1" applyAlignment="1">
      <alignment horizontal="center"/>
    </xf>
    <xf numFmtId="0" fontId="7" fillId="6" borderId="0" xfId="0" applyFont="1" applyFill="1" applyAlignment="1">
      <alignment horizontal="center"/>
    </xf>
    <xf numFmtId="0" fontId="7" fillId="4" borderId="0" xfId="0" applyFont="1" applyFill="1" applyAlignment="1">
      <alignment horizontal="center" vertical="center"/>
    </xf>
    <xf numFmtId="0" fontId="7" fillId="5" borderId="0" xfId="0" applyFont="1" applyFill="1" applyAlignment="1">
      <alignment horizontal="center"/>
    </xf>
    <xf numFmtId="0" fontId="5" fillId="0" borderId="0" xfId="0" applyFont="1" applyAlignment="1">
      <alignment horizontal="center"/>
    </xf>
    <xf numFmtId="0" fontId="0" fillId="0" borderId="0" xfId="0" applyAlignment="1">
      <alignment horizontal="center"/>
    </xf>
    <xf numFmtId="0" fontId="5" fillId="0" borderId="0" xfId="0" applyFont="1" applyAlignment="1">
      <alignment horizontal="center" vertical="center"/>
    </xf>
    <xf numFmtId="0" fontId="23" fillId="9" borderId="0" xfId="0" applyFont="1" applyFill="1" applyAlignment="1">
      <alignment horizontal="center" vertical="center"/>
    </xf>
    <xf numFmtId="0" fontId="23" fillId="9" borderId="0" xfId="0" applyFont="1" applyFill="1" applyAlignment="1">
      <alignment horizontal="center"/>
    </xf>
  </cellXfs>
  <cellStyles count="2">
    <cellStyle name="Normal" xfId="0" builtinId="0"/>
    <cellStyle name="Percent" xfId="1" builtinId="5"/>
  </cellStyles>
  <dxfs count="2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left"/>
    </dxf>
    <dxf>
      <alignment horizontal="left"/>
    </dxf>
    <dxf>
      <alignment horizontal="left"/>
    </dxf>
    <dxf>
      <alignment vertical="top"/>
    </dxf>
    <dxf>
      <alignment vertical="top"/>
    </dxf>
    <dxf>
      <alignment vertical="top"/>
    </dxf>
    <dxf>
      <fill>
        <patternFill patternType="solid">
          <bgColor theme="4" tint="0.79998168889431442"/>
        </patternFill>
      </fill>
    </dxf>
    <dxf>
      <fill>
        <patternFill patternType="solid">
          <bgColor theme="4" tint="0.79998168889431442"/>
        </patternFill>
      </fill>
    </dxf>
    <dxf>
      <font>
        <sz val="12"/>
      </font>
    </dxf>
    <dxf>
      <font>
        <sz val="12"/>
      </font>
    </dxf>
    <dxf>
      <font>
        <b/>
      </font>
    </dxf>
    <dxf>
      <font>
        <b/>
      </font>
    </dxf>
    <dxf>
      <numFmt numFmtId="34" formatCode="_ &quot;₹&quot;\ * #,##0.00_ ;_ &quot;₹&quot;\ * \-#,##0.00_ ;_ &quot;₹&quot;\ * &quot;-&quot;??_ ;_ @_ "/>
    </dxf>
    <dxf>
      <alignment vertical="top"/>
    </dxf>
    <dxf>
      <alignment vertical="top"/>
    </dxf>
    <dxf>
      <alignment vertical="top"/>
    </dxf>
    <dxf>
      <alignment horizontal="left"/>
    </dxf>
    <dxf>
      <alignment horizontal="left"/>
    </dxf>
    <dxf>
      <alignment horizontal="left"/>
    </dxf>
    <dxf>
      <fill>
        <patternFill patternType="solid">
          <bgColor theme="4" tint="0.79998168889431442"/>
        </patternFill>
      </fill>
    </dxf>
    <dxf>
      <font>
        <sz val="12"/>
      </font>
    </dxf>
    <dxf>
      <font>
        <b/>
      </font>
    </dxf>
    <dxf>
      <alignment horizontal="center"/>
    </dxf>
    <dxf>
      <alignment horizontal="center"/>
    </dxf>
    <dxf>
      <numFmt numFmtId="34" formatCode="_ &quot;₹&quot;\ * #,##0.00_ ;_ &quot;₹&quot;\ * \-#,##0.00_ ;_ &quot;₹&quot;\ * &quot;-&quot;??_ ;_ @_ "/>
    </dxf>
    <dxf>
      <alignment vertical="center"/>
    </dxf>
    <dxf>
      <alignment horizontal="center"/>
    </dxf>
    <dxf>
      <font>
        <sz val="12"/>
      </font>
    </dxf>
    <dxf>
      <font>
        <sz val="12"/>
      </font>
    </dxf>
    <dxf>
      <font>
        <b/>
      </font>
    </dxf>
    <dxf>
      <font>
        <b/>
      </font>
    </dxf>
    <dxf>
      <numFmt numFmtId="165" formatCode="&quot;₹&quot;\ #,##0.00"/>
    </dxf>
    <dxf>
      <alignment vertical="top"/>
    </dxf>
    <dxf>
      <alignment vertical="top"/>
    </dxf>
    <dxf>
      <alignment vertical="top"/>
    </dxf>
    <dxf>
      <alignment vertical="top"/>
    </dxf>
    <dxf>
      <alignment horizontal="left"/>
    </dxf>
    <dxf>
      <alignment horizontal="left"/>
    </dxf>
    <dxf>
      <alignment horizontal="left"/>
    </dxf>
    <dxf>
      <alignment horizontal="left"/>
    </dxf>
    <dxf>
      <fill>
        <patternFill patternType="solid">
          <bgColor theme="4" tint="0.79998168889431442"/>
        </patternFill>
      </fill>
    </dxf>
    <dxf>
      <fill>
        <patternFill patternType="solid">
          <bgColor theme="4" tint="0.79998168889431442"/>
        </patternFill>
      </fill>
    </dxf>
    <dxf>
      <font>
        <sz val="12"/>
      </font>
    </dxf>
    <dxf>
      <font>
        <sz val="12"/>
      </font>
    </dxf>
    <dxf>
      <font>
        <b/>
      </font>
    </dxf>
    <dxf>
      <font>
        <b/>
      </font>
    </dxf>
    <dxf>
      <numFmt numFmtId="34" formatCode="_ &quot;₹&quot;\ * #,##0.00_ ;_ &quot;₹&quot;\ * \-#,##0.00_ ;_ &quot;₹&quot;\ * &quot;-&quot;??_ ;_ @_ "/>
    </dxf>
    <dxf>
      <alignment vertical="center"/>
    </dxf>
    <dxf>
      <alignment vertical="center"/>
    </dxf>
    <dxf>
      <alignment horizontal="center"/>
    </dxf>
    <dxf>
      <alignment horizontal="center"/>
    </dxf>
    <dxf>
      <alignment vertical="top"/>
    </dxf>
    <dxf>
      <alignment vertical="top"/>
    </dxf>
    <dxf>
      <alignment vertical="top"/>
    </dxf>
    <dxf>
      <alignment horizontal="left"/>
    </dxf>
    <dxf>
      <alignment horizontal="left"/>
    </dxf>
    <dxf>
      <alignment horizontal="left"/>
    </dxf>
    <dxf>
      <fill>
        <patternFill patternType="solid">
          <bgColor theme="4" tint="0.79998168889431442"/>
        </patternFill>
      </fill>
    </dxf>
    <dxf>
      <fill>
        <patternFill patternType="solid">
          <bgColor theme="4" tint="0.79998168889431442"/>
        </patternFill>
      </fill>
    </dxf>
    <dxf>
      <alignment horizontal="center"/>
    </dxf>
    <dxf>
      <numFmt numFmtId="34" formatCode="_ &quot;₹&quot;\ * #,##0.00_ ;_ &quot;₹&quot;\ * \-#,##0.00_ ;_ &quot;₹&quot;\ * &quot;-&quot;??_ ;_ @_ "/>
    </dxf>
    <dxf>
      <alignment vertical="center"/>
    </dxf>
    <dxf>
      <alignment horizontal="center"/>
    </dxf>
    <dxf>
      <font>
        <sz val="12"/>
      </font>
    </dxf>
    <dxf>
      <font>
        <sz val="12"/>
      </font>
    </dxf>
    <dxf>
      <font>
        <b/>
      </font>
    </dxf>
    <dxf>
      <font>
        <b/>
      </font>
    </dxf>
    <dxf>
      <numFmt numFmtId="165" formatCode="&quot;₹&quot;\ #,##0.00"/>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left"/>
    </dxf>
    <dxf>
      <alignment horizontal="left"/>
    </dxf>
    <dxf>
      <alignment horizontal="left"/>
    </dxf>
    <dxf>
      <alignment vertical="top"/>
    </dxf>
    <dxf>
      <alignment vertical="top"/>
    </dxf>
    <dxf>
      <alignment vertical="top"/>
    </dxf>
    <dxf>
      <fill>
        <patternFill patternType="solid">
          <bgColor theme="4" tint="0.79998168889431442"/>
        </patternFill>
      </fill>
    </dxf>
    <dxf>
      <alignment horizontal="center"/>
    </dxf>
    <dxf>
      <alignment horizontal="center"/>
    </dxf>
    <dxf>
      <numFmt numFmtId="14" formatCode="0.00%"/>
    </dxf>
    <dxf>
      <numFmt numFmtId="34" formatCode="_ &quot;₹&quot;\ * #,##0.00_ ;_ &quot;₹&quot;\ * \-#,##0.00_ ;_ &quot;₹&quot;\ * &quot;-&quot;??_ ;_ @_ "/>
    </dxf>
    <dxf>
      <alignment vertical="center"/>
    </dxf>
    <dxf>
      <alignment horizontal="center"/>
    </dxf>
    <dxf>
      <font>
        <sz val="12"/>
      </font>
    </dxf>
    <dxf>
      <font>
        <sz val="12"/>
      </font>
    </dxf>
    <dxf>
      <font>
        <b/>
      </font>
    </dxf>
    <dxf>
      <font>
        <b/>
      </font>
    </dxf>
    <dxf>
      <numFmt numFmtId="165" formatCode="&quot;₹&quot;\ #,##0.00"/>
    </dxf>
    <dxf>
      <alignment vertical="center"/>
    </dxf>
    <dxf>
      <alignment vertical="center"/>
    </dxf>
    <dxf>
      <alignment horizontal="center"/>
    </dxf>
    <dxf>
      <alignment horizontal="center"/>
    </dxf>
    <dxf>
      <alignment vertical="top"/>
    </dxf>
    <dxf>
      <alignment vertical="top"/>
    </dxf>
    <dxf>
      <alignment horizontal="left"/>
    </dxf>
    <dxf>
      <alignment horizontal="left"/>
    </dxf>
    <dxf>
      <font>
        <sz val="12"/>
      </font>
    </dxf>
    <dxf>
      <font>
        <sz val="12"/>
      </font>
    </dxf>
    <dxf>
      <font>
        <b/>
      </font>
    </dxf>
    <dxf>
      <font>
        <b/>
      </font>
    </dxf>
    <dxf>
      <numFmt numFmtId="34" formatCode="_ &quot;₹&quot;\ * #,##0.00_ ;_ &quot;₹&quot;\ * \-#,##0.00_ ;_ &quot;₹&quot;\ * &quot;-&quot;??_ ;_ @_ "/>
    </dxf>
    <dxf>
      <alignment vertical="top"/>
    </dxf>
    <dxf>
      <alignment vertical="top"/>
    </dxf>
    <dxf>
      <alignment vertical="top"/>
    </dxf>
    <dxf>
      <alignment horizontal="left"/>
    </dxf>
    <dxf>
      <alignment horizontal="left"/>
    </dxf>
    <dxf>
      <alignment horizontal="left"/>
    </dxf>
    <dxf>
      <fill>
        <patternFill patternType="solid">
          <bgColor theme="4" tint="0.79998168889431442"/>
        </patternFill>
      </fill>
    </dxf>
    <dxf>
      <fill>
        <patternFill patternType="solid">
          <bgColor theme="4" tint="0.79998168889431442"/>
        </patternFill>
      </fill>
    </dxf>
    <dxf>
      <numFmt numFmtId="34" formatCode="_ &quot;₹&quot;\ * #,##0.00_ ;_ &quot;₹&quot;\ * \-#,##0.00_ ;_ &quot;₹&quot;\ * &quot;-&quot;??_ ;_ @_ "/>
    </dxf>
    <dxf>
      <font>
        <sz val="12"/>
      </font>
    </dxf>
    <dxf>
      <font>
        <sz val="12"/>
      </font>
    </dxf>
    <dxf>
      <font>
        <b/>
      </font>
    </dxf>
    <dxf>
      <font>
        <b/>
      </font>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left"/>
    </dxf>
    <dxf>
      <alignment horizontal="left"/>
    </dxf>
    <dxf>
      <alignment horizontal="left"/>
    </dxf>
    <dxf>
      <alignment vertical="top"/>
    </dxf>
    <dxf>
      <alignment vertical="top"/>
    </dxf>
    <dxf>
      <alignment vertical="top"/>
    </dxf>
    <dxf>
      <fill>
        <patternFill patternType="solid">
          <bgColor theme="4" tint="0.79998168889431442"/>
        </patternFill>
      </fill>
    </dxf>
    <dxf>
      <alignment horizontal="center"/>
    </dxf>
    <dxf>
      <alignment vertical="center"/>
    </dxf>
    <dxf>
      <alignment horizontal="center"/>
    </dxf>
    <dxf>
      <font>
        <sz val="12"/>
      </font>
    </dxf>
    <dxf>
      <font>
        <sz val="12"/>
      </font>
    </dxf>
    <dxf>
      <font>
        <b/>
      </font>
    </dxf>
    <dxf>
      <font>
        <b/>
      </font>
    </dxf>
    <dxf>
      <numFmt numFmtId="34" formatCode="_ &quot;₹&quot;\ * #,##0.00_ ;_ &quot;₹&quot;\ * \-#,##0.00_ ;_ &quot;₹&quot;\ * &quot;-&quot;??_ ;_ @_ "/>
    </dxf>
    <dxf>
      <alignment vertical="top"/>
    </dxf>
    <dxf>
      <alignment vertical="top"/>
    </dxf>
    <dxf>
      <alignment vertical="top"/>
    </dxf>
    <dxf>
      <alignment horizontal="left"/>
    </dxf>
    <dxf>
      <alignment horizontal="left"/>
    </dxf>
    <dxf>
      <alignment horizontal="left"/>
    </dxf>
    <dxf>
      <alignment vertical="bottom"/>
    </dxf>
    <dxf>
      <alignment horizontal="right"/>
    </dxf>
    <dxf>
      <fill>
        <patternFill patternType="solid">
          <bgColor theme="4" tint="0.79998168889431442"/>
        </patternFill>
      </fill>
    </dxf>
    <dxf>
      <fill>
        <patternFill patternType="solid">
          <bgColor theme="4" tint="0.79998168889431442"/>
        </patternFill>
      </fill>
    </dxf>
    <dxf>
      <alignment vertical="top"/>
    </dxf>
    <dxf>
      <alignment horizontal="left"/>
    </dxf>
    <dxf>
      <alignment vertical="center"/>
    </dxf>
    <dxf>
      <alignment horizontal="general"/>
    </dxf>
    <dxf>
      <alignment vertical="center"/>
    </dxf>
    <dxf>
      <alignment horizontal="center"/>
    </dxf>
    <dxf>
      <font>
        <sz val="12"/>
      </font>
    </dxf>
    <dxf>
      <font>
        <sz val="12"/>
      </font>
    </dxf>
    <dxf>
      <font>
        <b/>
      </font>
    </dxf>
    <dxf>
      <font>
        <b/>
      </font>
    </dxf>
    <dxf>
      <numFmt numFmtId="34" formatCode="_ &quot;₹&quot;\ * #,##0.00_ ;_ &quot;₹&quot;\ * \-#,##0.00_ ;_ &quot;₹&quot;\ * &quot;-&quot;??_ ;_ @_ "/>
    </dxf>
    <dxf>
      <numFmt numFmtId="34" formatCode="_ &quot;₹&quot;\ * #,##0.00_ ;_ &quot;₹&quot;\ * \-#,##0.00_ ;_ &quot;₹&quot;\ * &quot;-&quot;??_ ;_ @_ "/>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left"/>
    </dxf>
    <dxf>
      <alignment horizontal="left"/>
    </dxf>
    <dxf>
      <alignment horizontal="left"/>
    </dxf>
    <dxf>
      <alignment vertical="top"/>
    </dxf>
    <dxf>
      <alignment vertical="top"/>
    </dxf>
    <dxf>
      <alignment vertical="top"/>
    </dxf>
    <dxf>
      <font>
        <sz val="12"/>
      </font>
    </dxf>
    <dxf>
      <font>
        <sz val="12"/>
      </font>
    </dxf>
    <dxf>
      <font>
        <b/>
      </font>
    </dxf>
    <dxf>
      <font>
        <b/>
      </font>
    </dxf>
    <dxf>
      <numFmt numFmtId="34" formatCode="_ &quot;₹&quot;\ * #,##0.00_ ;_ &quot;₹&quot;\ * \-#,##0.00_ ;_ &quot;₹&quot;\ * &quot;-&quot;??_ ;_ @_ "/>
    </dxf>
    <dxf>
      <numFmt numFmtId="0" formatCode="General"/>
      <alignment horizontal="center" vertical="center" textRotation="0" wrapText="0" indent="0" justifyLastLine="0" shrinkToFit="0" readingOrder="0"/>
    </dxf>
    <dxf>
      <numFmt numFmtId="4" formatCode="#,##0.0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4" formatCode="0.00%"/>
      <alignment horizontal="center" vertical="center" textRotation="0" wrapText="0" indent="0" justifyLastLine="0" shrinkToFit="0" readingOrder="0"/>
    </dxf>
    <dxf>
      <alignment horizontal="general" vertical="center" textRotation="0" wrapText="0" indent="0" justifyLastLine="0" shrinkToFit="0" readingOrder="0"/>
    </dxf>
    <dxf>
      <numFmt numFmtId="4" formatCode="#,##0.00"/>
      <alignment horizontal="center" vertical="bottom" textRotation="0" wrapText="0" indent="0" justifyLastLine="0" shrinkToFit="0" readingOrder="0"/>
    </dxf>
    <dxf>
      <alignment horizontal="left" vertical="center" textRotation="0" wrapText="0" indent="0" justifyLastLine="0" shrinkToFit="0" readingOrder="0"/>
    </dxf>
    <dxf>
      <numFmt numFmtId="0" formatCode="General"/>
      <alignment horizontal="center" textRotation="0" wrapText="0" indent="0" justifyLastLine="0" shrinkToFit="0" readingOrder="0"/>
    </dxf>
    <dxf>
      <numFmt numFmtId="0" formatCode="General"/>
    </dxf>
    <dxf>
      <numFmt numFmtId="0" formatCode="General"/>
    </dxf>
    <dxf>
      <numFmt numFmtId="0" formatCode="General"/>
    </dxf>
    <dxf>
      <numFmt numFmtId="0" formatCode="General"/>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4" formatCode="0.00%"/>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textRotation="0" wrapText="0" indent="0" justifyLastLine="0" shrinkToFit="0" readingOrder="0"/>
    </dxf>
    <dxf>
      <numFmt numFmtId="0" formatCode="General"/>
      <alignment horizontal="center" textRotation="0" wrapText="0" indent="0" justifyLastLine="0" shrinkToFit="0" readingOrder="0"/>
    </dxf>
    <dxf>
      <numFmt numFmtId="164" formatCode="yyyy\-mm\-dd\ hh:mm:ss"/>
    </dxf>
    <dxf>
      <alignment horizont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4"/>
        </bottom>
        <vertical/>
        <horizontal/>
      </border>
    </dxf>
    <dxf>
      <font>
        <color theme="1"/>
      </font>
      <fill>
        <patternFill patternType="solid">
          <bgColor theme="0" tint="-4.9989318521683403E-2"/>
        </patternFill>
      </fill>
      <border diagonalUp="0" diagonalDown="0">
        <left/>
        <right/>
        <top/>
        <bottom/>
        <vertical/>
        <horizontal/>
      </border>
    </dxf>
    <dxf>
      <font>
        <b/>
        <color theme="1"/>
      </font>
      <border>
        <bottom style="thin">
          <color theme="4"/>
        </bottom>
        <vertical/>
        <horizontal/>
      </border>
    </dxf>
    <dxf>
      <font>
        <b/>
        <i val="0"/>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SlicerStyleDark1 2" pivot="0" table="0" count="10" xr9:uid="{40493C21-3FC4-439E-925A-C48B50DD7B10}">
      <tableStyleElement type="wholeTable" dxfId="262"/>
      <tableStyleElement type="headerRow" dxfId="261"/>
    </tableStyle>
    <tableStyle name="SlicerStyleLight1 2" pivot="0" table="0" count="10" xr9:uid="{98FCA4C2-3C1F-47F7-8749-BCBBD7EFC3D5}">
      <tableStyleElement type="wholeTable" dxfId="260"/>
      <tableStyleElement type="headerRow" dxfId="259"/>
    </tableStyle>
  </tableStyles>
  <colors>
    <mruColors>
      <color rgb="FFFEBAF9"/>
      <color rgb="FF0B3040"/>
      <color rgb="FFF2F2F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[Financial_Performance_Dashboard_Advanced_Excel.xlsx.xlsx]Pivot_Analysis!Regional Pivot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Pivot_Analysis!$B$5</c:f>
              <c:strCache>
                <c:ptCount val="1"/>
                <c:pt idx="0">
                  <c:v>Sum of Revenue</c:v>
                </c:pt>
              </c:strCache>
            </c:strRef>
          </c:tx>
          <c:spPr>
            <a:solidFill>
              <a:schemeClr val="accent1"/>
            </a:solidFill>
            <a:ln>
              <a:noFill/>
            </a:ln>
            <a:effectLst/>
          </c:spPr>
          <c:invertIfNegative val="0"/>
          <c:cat>
            <c:strRef>
              <c:f>Pivot_Analysis!$A$6:$A$11</c:f>
              <c:strCache>
                <c:ptCount val="5"/>
                <c:pt idx="0">
                  <c:v>Central</c:v>
                </c:pt>
                <c:pt idx="1">
                  <c:v>East</c:v>
                </c:pt>
                <c:pt idx="2">
                  <c:v>North</c:v>
                </c:pt>
                <c:pt idx="3">
                  <c:v>South</c:v>
                </c:pt>
                <c:pt idx="4">
                  <c:v>West</c:v>
                </c:pt>
              </c:strCache>
            </c:strRef>
          </c:cat>
          <c:val>
            <c:numRef>
              <c:f>Pivot_Analysis!$B$6:$B$11</c:f>
              <c:numCache>
                <c:formatCode>_("₹"* #,##0.00_);_("₹"* \(#,##0.00\);_("₹"* "-"??_);_(@_)</c:formatCode>
                <c:ptCount val="5"/>
                <c:pt idx="0">
                  <c:v>3662391.2900000005</c:v>
                </c:pt>
                <c:pt idx="1">
                  <c:v>5352186.6099999985</c:v>
                </c:pt>
                <c:pt idx="2">
                  <c:v>5755442.330000001</c:v>
                </c:pt>
                <c:pt idx="3">
                  <c:v>5236399.6099999994</c:v>
                </c:pt>
                <c:pt idx="4">
                  <c:v>8068950.3199999966</c:v>
                </c:pt>
              </c:numCache>
            </c:numRef>
          </c:val>
          <c:extLst>
            <c:ext xmlns:c16="http://schemas.microsoft.com/office/drawing/2014/chart" uri="{C3380CC4-5D6E-409C-BE32-E72D297353CC}">
              <c16:uniqueId val="{00000000-9862-495F-9725-F0C0D09D4D3E}"/>
            </c:ext>
          </c:extLst>
        </c:ser>
        <c:ser>
          <c:idx val="1"/>
          <c:order val="1"/>
          <c:tx>
            <c:strRef>
              <c:f>Pivot_Analysis!$C$5</c:f>
              <c:strCache>
                <c:ptCount val="1"/>
                <c:pt idx="0">
                  <c:v>Sum of Budget Revenue</c:v>
                </c:pt>
              </c:strCache>
            </c:strRef>
          </c:tx>
          <c:spPr>
            <a:solidFill>
              <a:schemeClr val="accent2"/>
            </a:solidFill>
            <a:ln>
              <a:noFill/>
            </a:ln>
            <a:effectLst/>
          </c:spPr>
          <c:invertIfNegative val="0"/>
          <c:cat>
            <c:strRef>
              <c:f>Pivot_Analysis!$A$6:$A$11</c:f>
              <c:strCache>
                <c:ptCount val="5"/>
                <c:pt idx="0">
                  <c:v>Central</c:v>
                </c:pt>
                <c:pt idx="1">
                  <c:v>East</c:v>
                </c:pt>
                <c:pt idx="2">
                  <c:v>North</c:v>
                </c:pt>
                <c:pt idx="3">
                  <c:v>South</c:v>
                </c:pt>
                <c:pt idx="4">
                  <c:v>West</c:v>
                </c:pt>
              </c:strCache>
            </c:strRef>
          </c:cat>
          <c:val>
            <c:numRef>
              <c:f>Pivot_Analysis!$C$6:$C$11</c:f>
              <c:numCache>
                <c:formatCode>_("₹"* #,##0.00_);_("₹"* \(#,##0.00\);_("₹"* "-"??_);_(@_)</c:formatCode>
                <c:ptCount val="5"/>
                <c:pt idx="0">
                  <c:v>3801955.4599999995</c:v>
                </c:pt>
                <c:pt idx="1">
                  <c:v>5499615.8700000029</c:v>
                </c:pt>
                <c:pt idx="2">
                  <c:v>6052506.7800000012</c:v>
                </c:pt>
                <c:pt idx="3">
                  <c:v>5380990.8899999987</c:v>
                </c:pt>
                <c:pt idx="4">
                  <c:v>8390805.7100000028</c:v>
                </c:pt>
              </c:numCache>
            </c:numRef>
          </c:val>
          <c:extLst>
            <c:ext xmlns:c16="http://schemas.microsoft.com/office/drawing/2014/chart" uri="{C3380CC4-5D6E-409C-BE32-E72D297353CC}">
              <c16:uniqueId val="{00000001-9862-495F-9725-F0C0D09D4D3E}"/>
            </c:ext>
          </c:extLst>
        </c:ser>
        <c:ser>
          <c:idx val="2"/>
          <c:order val="2"/>
          <c:tx>
            <c:strRef>
              <c:f>Pivot_Analysis!$D$5</c:f>
              <c:strCache>
                <c:ptCount val="1"/>
                <c:pt idx="0">
                  <c:v>Sum of Net Profit</c:v>
                </c:pt>
              </c:strCache>
            </c:strRef>
          </c:tx>
          <c:spPr>
            <a:solidFill>
              <a:schemeClr val="accent3"/>
            </a:solidFill>
            <a:ln>
              <a:noFill/>
            </a:ln>
            <a:effectLst/>
          </c:spPr>
          <c:invertIfNegative val="0"/>
          <c:cat>
            <c:strRef>
              <c:f>Pivot_Analysis!$A$6:$A$11</c:f>
              <c:strCache>
                <c:ptCount val="5"/>
                <c:pt idx="0">
                  <c:v>Central</c:v>
                </c:pt>
                <c:pt idx="1">
                  <c:v>East</c:v>
                </c:pt>
                <c:pt idx="2">
                  <c:v>North</c:v>
                </c:pt>
                <c:pt idx="3">
                  <c:v>South</c:v>
                </c:pt>
                <c:pt idx="4">
                  <c:v>West</c:v>
                </c:pt>
              </c:strCache>
            </c:strRef>
          </c:cat>
          <c:val>
            <c:numRef>
              <c:f>Pivot_Analysis!$D$6:$D$11</c:f>
              <c:numCache>
                <c:formatCode>_("₹"* #,##0.00_);_("₹"* \(#,##0.00\);_("₹"* "-"??_);_(@_)</c:formatCode>
                <c:ptCount val="5"/>
                <c:pt idx="0">
                  <c:v>528905.51999999979</c:v>
                </c:pt>
                <c:pt idx="1">
                  <c:v>797440.02000000025</c:v>
                </c:pt>
                <c:pt idx="2">
                  <c:v>803367.79999999946</c:v>
                </c:pt>
                <c:pt idx="3">
                  <c:v>766054.10999999975</c:v>
                </c:pt>
                <c:pt idx="4">
                  <c:v>1153460.6700000004</c:v>
                </c:pt>
              </c:numCache>
            </c:numRef>
          </c:val>
          <c:extLst>
            <c:ext xmlns:c16="http://schemas.microsoft.com/office/drawing/2014/chart" uri="{C3380CC4-5D6E-409C-BE32-E72D297353CC}">
              <c16:uniqueId val="{00000002-9862-495F-9725-F0C0D09D4D3E}"/>
            </c:ext>
          </c:extLst>
        </c:ser>
        <c:dLbls>
          <c:showLegendKey val="0"/>
          <c:showVal val="0"/>
          <c:showCatName val="0"/>
          <c:showSerName val="0"/>
          <c:showPercent val="0"/>
          <c:showBubbleSize val="0"/>
        </c:dLbls>
        <c:gapWidth val="219"/>
        <c:overlap val="-27"/>
        <c:axId val="1743439504"/>
        <c:axId val="1824940528"/>
      </c:barChart>
      <c:catAx>
        <c:axId val="1743439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4940528"/>
        <c:crosses val="autoZero"/>
        <c:auto val="1"/>
        <c:lblAlgn val="ctr"/>
        <c:lblOffset val="100"/>
        <c:noMultiLvlLbl val="0"/>
      </c:catAx>
      <c:valAx>
        <c:axId val="18249405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3439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[Financial_Performance_Dashboard_Advanced_Excel.xlsx.xlsx]Pivot_Analysis!Monthly Revenue Performance Pivot</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Pivot_Analysis!$L$5</c:f>
              <c:strCache>
                <c:ptCount val="1"/>
                <c:pt idx="0">
                  <c:v>Sum of Revenue</c:v>
                </c:pt>
              </c:strCache>
            </c:strRef>
          </c:tx>
          <c:spPr>
            <a:ln w="28575" cap="rnd">
              <a:solidFill>
                <a:schemeClr val="accent1"/>
              </a:solidFill>
              <a:round/>
            </a:ln>
            <a:effectLst/>
          </c:spPr>
          <c:marker>
            <c:symbol val="none"/>
          </c:marker>
          <c:cat>
            <c:strRef>
              <c:f>Pivot_Analysis!$K$6:$K$18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Pivot_Analysis!$L$6:$L$18</c:f>
              <c:numCache>
                <c:formatCode>_("₹"* #,##0.00_);_("₹"* \(#,##0.00\);_("₹"* "-"??_);_(@_)</c:formatCode>
                <c:ptCount val="12"/>
                <c:pt idx="0">
                  <c:v>2181355.64</c:v>
                </c:pt>
                <c:pt idx="1">
                  <c:v>1911886.88</c:v>
                </c:pt>
                <c:pt idx="2">
                  <c:v>2601921.38</c:v>
                </c:pt>
                <c:pt idx="3">
                  <c:v>2623230.9700000007</c:v>
                </c:pt>
                <c:pt idx="4">
                  <c:v>2589723.3199999989</c:v>
                </c:pt>
                <c:pt idx="5">
                  <c:v>1864173.1099999996</c:v>
                </c:pt>
                <c:pt idx="6">
                  <c:v>2377772.3900000006</c:v>
                </c:pt>
                <c:pt idx="7">
                  <c:v>2205648.2700000005</c:v>
                </c:pt>
                <c:pt idx="8">
                  <c:v>2117877.86</c:v>
                </c:pt>
                <c:pt idx="9">
                  <c:v>2173483.1400000006</c:v>
                </c:pt>
                <c:pt idx="10">
                  <c:v>2665320.71</c:v>
                </c:pt>
                <c:pt idx="11">
                  <c:v>2762976.4899999988</c:v>
                </c:pt>
              </c:numCache>
            </c:numRef>
          </c:val>
          <c:smooth val="0"/>
          <c:extLst>
            <c:ext xmlns:c16="http://schemas.microsoft.com/office/drawing/2014/chart" uri="{C3380CC4-5D6E-409C-BE32-E72D297353CC}">
              <c16:uniqueId val="{00000000-66B1-4D82-94FE-21CF196303EE}"/>
            </c:ext>
          </c:extLst>
        </c:ser>
        <c:ser>
          <c:idx val="1"/>
          <c:order val="1"/>
          <c:tx>
            <c:strRef>
              <c:f>Pivot_Analysis!$M$5</c:f>
              <c:strCache>
                <c:ptCount val="1"/>
                <c:pt idx="0">
                  <c:v>Sum of Budget Revenue</c:v>
                </c:pt>
              </c:strCache>
            </c:strRef>
          </c:tx>
          <c:spPr>
            <a:ln w="28575" cap="rnd">
              <a:solidFill>
                <a:schemeClr val="accent2"/>
              </a:solidFill>
              <a:round/>
            </a:ln>
            <a:effectLst/>
          </c:spPr>
          <c:marker>
            <c:symbol val="none"/>
          </c:marker>
          <c:cat>
            <c:strRef>
              <c:f>Pivot_Analysis!$K$6:$K$18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Pivot_Analysis!$M$6:$M$18</c:f>
              <c:numCache>
                <c:formatCode>_("₹"* #,##0.00_);_("₹"* \(#,##0.00\);_("₹"* "-"??_);_(@_)</c:formatCode>
                <c:ptCount val="12"/>
                <c:pt idx="0">
                  <c:v>2276512.06</c:v>
                </c:pt>
                <c:pt idx="1">
                  <c:v>1968499.2399999998</c:v>
                </c:pt>
                <c:pt idx="2">
                  <c:v>2683466.8999999994</c:v>
                </c:pt>
                <c:pt idx="3">
                  <c:v>2718448.2700000014</c:v>
                </c:pt>
                <c:pt idx="4">
                  <c:v>2707793.3</c:v>
                </c:pt>
                <c:pt idx="5">
                  <c:v>1904464.2100000009</c:v>
                </c:pt>
                <c:pt idx="6">
                  <c:v>2489475.1100000003</c:v>
                </c:pt>
                <c:pt idx="7">
                  <c:v>2253578.56</c:v>
                </c:pt>
                <c:pt idx="8">
                  <c:v>2200483.0299999998</c:v>
                </c:pt>
                <c:pt idx="9">
                  <c:v>2284313.09</c:v>
                </c:pt>
                <c:pt idx="10">
                  <c:v>2766859.120000001</c:v>
                </c:pt>
                <c:pt idx="11">
                  <c:v>2871981.8199999994</c:v>
                </c:pt>
              </c:numCache>
            </c:numRef>
          </c:val>
          <c:smooth val="0"/>
          <c:extLst>
            <c:ext xmlns:c16="http://schemas.microsoft.com/office/drawing/2014/chart" uri="{C3380CC4-5D6E-409C-BE32-E72D297353CC}">
              <c16:uniqueId val="{00000001-66B1-4D82-94FE-21CF196303EE}"/>
            </c:ext>
          </c:extLst>
        </c:ser>
        <c:dLbls>
          <c:showLegendKey val="0"/>
          <c:showVal val="0"/>
          <c:showCatName val="0"/>
          <c:showSerName val="0"/>
          <c:showPercent val="0"/>
          <c:showBubbleSize val="0"/>
        </c:dLbls>
        <c:smooth val="0"/>
        <c:axId val="1743335568"/>
        <c:axId val="1825014928"/>
      </c:lineChart>
      <c:catAx>
        <c:axId val="174333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25014928"/>
        <c:crosses val="autoZero"/>
        <c:auto val="1"/>
        <c:lblAlgn val="ctr"/>
        <c:lblOffset val="100"/>
        <c:noMultiLvlLbl val="0"/>
      </c:catAx>
      <c:valAx>
        <c:axId val="18250149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4333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[Financial_Performance_Dashboard_Advanced_Excel.xlsx.xlsx]Pivot_Analysis!Product Category Performance Pivot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Pivot_Analysis!$G$5</c:f>
              <c:strCache>
                <c:ptCount val="1"/>
                <c:pt idx="0">
                  <c:v>Sum of Revenue</c:v>
                </c:pt>
              </c:strCache>
            </c:strRef>
          </c:tx>
          <c:spPr>
            <a:solidFill>
              <a:schemeClr val="accent1"/>
            </a:solidFill>
            <a:ln>
              <a:noFill/>
            </a:ln>
            <a:effectLst/>
          </c:spPr>
          <c:invertIfNegative val="0"/>
          <c:cat>
            <c:strRef>
              <c:f>Pivot_Analysis!$F$6:$F$11</c:f>
              <c:strCache>
                <c:ptCount val="5"/>
                <c:pt idx="0">
                  <c:v>Electronics</c:v>
                </c:pt>
                <c:pt idx="1">
                  <c:v>Software</c:v>
                </c:pt>
                <c:pt idx="2">
                  <c:v>Networking</c:v>
                </c:pt>
                <c:pt idx="3">
                  <c:v>Furniture</c:v>
                </c:pt>
                <c:pt idx="4">
                  <c:v>Accessories</c:v>
                </c:pt>
              </c:strCache>
            </c:strRef>
          </c:cat>
          <c:val>
            <c:numRef>
              <c:f>Pivot_Analysis!$G$6:$G$11</c:f>
              <c:numCache>
                <c:formatCode>_("₹"* #,##0.00_);_("₹"* \(#,##0.00\);_("₹"* "-"??_);_(@_)</c:formatCode>
                <c:ptCount val="5"/>
                <c:pt idx="0">
                  <c:v>19548291.090000011</c:v>
                </c:pt>
                <c:pt idx="1">
                  <c:v>3176536.4099999997</c:v>
                </c:pt>
                <c:pt idx="2">
                  <c:v>2471392.9500000002</c:v>
                </c:pt>
                <c:pt idx="3">
                  <c:v>2025777.6399999992</c:v>
                </c:pt>
                <c:pt idx="4">
                  <c:v>853372.07000000007</c:v>
                </c:pt>
              </c:numCache>
            </c:numRef>
          </c:val>
          <c:extLst>
            <c:ext xmlns:c16="http://schemas.microsoft.com/office/drawing/2014/chart" uri="{C3380CC4-5D6E-409C-BE32-E72D297353CC}">
              <c16:uniqueId val="{00000000-B007-4D48-A1C1-CBF4E6EEA675}"/>
            </c:ext>
          </c:extLst>
        </c:ser>
        <c:ser>
          <c:idx val="1"/>
          <c:order val="1"/>
          <c:tx>
            <c:strRef>
              <c:f>Pivot_Analysis!$H$5</c:f>
              <c:strCache>
                <c:ptCount val="1"/>
                <c:pt idx="0">
                  <c:v>Sum of Net Profit</c:v>
                </c:pt>
              </c:strCache>
            </c:strRef>
          </c:tx>
          <c:spPr>
            <a:solidFill>
              <a:schemeClr val="accent2"/>
            </a:solidFill>
            <a:ln>
              <a:noFill/>
            </a:ln>
            <a:effectLst/>
          </c:spPr>
          <c:invertIfNegative val="0"/>
          <c:cat>
            <c:strRef>
              <c:f>Pivot_Analysis!$F$6:$F$11</c:f>
              <c:strCache>
                <c:ptCount val="5"/>
                <c:pt idx="0">
                  <c:v>Electronics</c:v>
                </c:pt>
                <c:pt idx="1">
                  <c:v>Software</c:v>
                </c:pt>
                <c:pt idx="2">
                  <c:v>Networking</c:v>
                </c:pt>
                <c:pt idx="3">
                  <c:v>Furniture</c:v>
                </c:pt>
                <c:pt idx="4">
                  <c:v>Accessories</c:v>
                </c:pt>
              </c:strCache>
            </c:strRef>
          </c:cat>
          <c:val>
            <c:numRef>
              <c:f>Pivot_Analysis!$H$6:$H$11</c:f>
              <c:numCache>
                <c:formatCode>_("₹"* #,##0.00_);_("₹"* \(#,##0.00\);_("₹"* "-"??_);_(@_)</c:formatCode>
                <c:ptCount val="5"/>
                <c:pt idx="0">
                  <c:v>2820172.98</c:v>
                </c:pt>
                <c:pt idx="1">
                  <c:v>452751.06999999977</c:v>
                </c:pt>
                <c:pt idx="2">
                  <c:v>343514.6399999999</c:v>
                </c:pt>
                <c:pt idx="3">
                  <c:v>306364.63</c:v>
                </c:pt>
                <c:pt idx="4">
                  <c:v>126424.79999999999</c:v>
                </c:pt>
              </c:numCache>
            </c:numRef>
          </c:val>
          <c:extLst>
            <c:ext xmlns:c16="http://schemas.microsoft.com/office/drawing/2014/chart" uri="{C3380CC4-5D6E-409C-BE32-E72D297353CC}">
              <c16:uniqueId val="{00000001-B007-4D48-A1C1-CBF4E6EEA675}"/>
            </c:ext>
          </c:extLst>
        </c:ser>
        <c:ser>
          <c:idx val="2"/>
          <c:order val="2"/>
          <c:tx>
            <c:strRef>
              <c:f>Pivot_Analysis!$I$5</c:f>
              <c:strCache>
                <c:ptCount val="1"/>
                <c:pt idx="0">
                  <c:v>Sum of Category Profit Margin %</c:v>
                </c:pt>
              </c:strCache>
            </c:strRef>
          </c:tx>
          <c:spPr>
            <a:solidFill>
              <a:schemeClr val="accent3"/>
            </a:solidFill>
            <a:ln>
              <a:noFill/>
            </a:ln>
            <a:effectLst/>
          </c:spPr>
          <c:invertIfNegative val="0"/>
          <c:cat>
            <c:strRef>
              <c:f>Pivot_Analysis!$F$6:$F$11</c:f>
              <c:strCache>
                <c:ptCount val="5"/>
                <c:pt idx="0">
                  <c:v>Electronics</c:v>
                </c:pt>
                <c:pt idx="1">
                  <c:v>Software</c:v>
                </c:pt>
                <c:pt idx="2">
                  <c:v>Networking</c:v>
                </c:pt>
                <c:pt idx="3">
                  <c:v>Furniture</c:v>
                </c:pt>
                <c:pt idx="4">
                  <c:v>Accessories</c:v>
                </c:pt>
              </c:strCache>
            </c:strRef>
          </c:cat>
          <c:val>
            <c:numRef>
              <c:f>Pivot_Analysis!$I$6:$I$11</c:f>
              <c:numCache>
                <c:formatCode>0.00%</c:formatCode>
                <c:ptCount val="5"/>
                <c:pt idx="0">
                  <c:v>0.14426698308389055</c:v>
                </c:pt>
                <c:pt idx="1">
                  <c:v>0.14252979080444408</c:v>
                </c:pt>
                <c:pt idx="2">
                  <c:v>0.13899636640138505</c:v>
                </c:pt>
                <c:pt idx="3">
                  <c:v>0.151233098811378</c:v>
                </c:pt>
                <c:pt idx="4">
                  <c:v>0.14814733742106181</c:v>
                </c:pt>
              </c:numCache>
            </c:numRef>
          </c:val>
          <c:extLst>
            <c:ext xmlns:c16="http://schemas.microsoft.com/office/drawing/2014/chart" uri="{C3380CC4-5D6E-409C-BE32-E72D297353CC}">
              <c16:uniqueId val="{00000002-B007-4D48-A1C1-CBF4E6EEA675}"/>
            </c:ext>
          </c:extLst>
        </c:ser>
        <c:dLbls>
          <c:showLegendKey val="0"/>
          <c:showVal val="0"/>
          <c:showCatName val="0"/>
          <c:showSerName val="0"/>
          <c:showPercent val="0"/>
          <c:showBubbleSize val="0"/>
        </c:dLbls>
        <c:gapWidth val="219"/>
        <c:overlap val="-27"/>
        <c:axId val="1999170016"/>
        <c:axId val="1697748944"/>
      </c:barChart>
      <c:catAx>
        <c:axId val="199917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7748944"/>
        <c:crosses val="autoZero"/>
        <c:auto val="1"/>
        <c:lblAlgn val="ctr"/>
        <c:lblOffset val="100"/>
        <c:noMultiLvlLbl val="0"/>
      </c:catAx>
      <c:valAx>
        <c:axId val="16977489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917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[Financial_Performance_Dashboard_Advanced_Excel.xlsx.xlsx]Pivot_Analysis!Budget Vs Actual Performance Pivot</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Pivot_Analysis!$G$15</c:f>
              <c:strCache>
                <c:ptCount val="1"/>
                <c:pt idx="0">
                  <c:v>Sum of Revenue</c:v>
                </c:pt>
              </c:strCache>
            </c:strRef>
          </c:tx>
          <c:spPr>
            <a:solidFill>
              <a:schemeClr val="accent1"/>
            </a:solidFill>
            <a:ln>
              <a:noFill/>
            </a:ln>
            <a:effectLst/>
          </c:spPr>
          <c:invertIfNegative val="0"/>
          <c:cat>
            <c:strRef>
              <c:f>Pivot_Analysis!$F$16:$F$21</c:f>
              <c:strCache>
                <c:ptCount val="5"/>
                <c:pt idx="0">
                  <c:v>Central</c:v>
                </c:pt>
                <c:pt idx="1">
                  <c:v>East</c:v>
                </c:pt>
                <c:pt idx="2">
                  <c:v>North</c:v>
                </c:pt>
                <c:pt idx="3">
                  <c:v>South</c:v>
                </c:pt>
                <c:pt idx="4">
                  <c:v>West</c:v>
                </c:pt>
              </c:strCache>
            </c:strRef>
          </c:cat>
          <c:val>
            <c:numRef>
              <c:f>Pivot_Analysis!$G$16:$G$21</c:f>
              <c:numCache>
                <c:formatCode>_("₹"* #,##0.00_);_("₹"* \(#,##0.00\);_("₹"* "-"??_);_(@_)</c:formatCode>
                <c:ptCount val="5"/>
                <c:pt idx="0">
                  <c:v>3662391.2900000005</c:v>
                </c:pt>
                <c:pt idx="1">
                  <c:v>5352186.6099999985</c:v>
                </c:pt>
                <c:pt idx="2">
                  <c:v>5755442.330000001</c:v>
                </c:pt>
                <c:pt idx="3">
                  <c:v>5236399.6099999994</c:v>
                </c:pt>
                <c:pt idx="4">
                  <c:v>8068950.3199999966</c:v>
                </c:pt>
              </c:numCache>
            </c:numRef>
          </c:val>
          <c:extLst>
            <c:ext xmlns:c16="http://schemas.microsoft.com/office/drawing/2014/chart" uri="{C3380CC4-5D6E-409C-BE32-E72D297353CC}">
              <c16:uniqueId val="{00000000-B368-448F-B465-E89A1B42C076}"/>
            </c:ext>
          </c:extLst>
        </c:ser>
        <c:ser>
          <c:idx val="1"/>
          <c:order val="1"/>
          <c:tx>
            <c:strRef>
              <c:f>Pivot_Analysis!$H$15</c:f>
              <c:strCache>
                <c:ptCount val="1"/>
                <c:pt idx="0">
                  <c:v>Sum of Budget Revenue</c:v>
                </c:pt>
              </c:strCache>
            </c:strRef>
          </c:tx>
          <c:spPr>
            <a:solidFill>
              <a:schemeClr val="accent2"/>
            </a:solidFill>
            <a:ln>
              <a:noFill/>
            </a:ln>
            <a:effectLst/>
          </c:spPr>
          <c:invertIfNegative val="0"/>
          <c:cat>
            <c:strRef>
              <c:f>Pivot_Analysis!$F$16:$F$21</c:f>
              <c:strCache>
                <c:ptCount val="5"/>
                <c:pt idx="0">
                  <c:v>Central</c:v>
                </c:pt>
                <c:pt idx="1">
                  <c:v>East</c:v>
                </c:pt>
                <c:pt idx="2">
                  <c:v>North</c:v>
                </c:pt>
                <c:pt idx="3">
                  <c:v>South</c:v>
                </c:pt>
                <c:pt idx="4">
                  <c:v>West</c:v>
                </c:pt>
              </c:strCache>
            </c:strRef>
          </c:cat>
          <c:val>
            <c:numRef>
              <c:f>Pivot_Analysis!$H$16:$H$21</c:f>
              <c:numCache>
                <c:formatCode>_("₹"* #,##0.00_);_("₹"* \(#,##0.00\);_("₹"* "-"??_);_(@_)</c:formatCode>
                <c:ptCount val="5"/>
                <c:pt idx="0">
                  <c:v>3801955.4599999995</c:v>
                </c:pt>
                <c:pt idx="1">
                  <c:v>5499615.8700000029</c:v>
                </c:pt>
                <c:pt idx="2">
                  <c:v>6052506.7800000012</c:v>
                </c:pt>
                <c:pt idx="3">
                  <c:v>5380990.8899999987</c:v>
                </c:pt>
                <c:pt idx="4">
                  <c:v>8390805.7100000028</c:v>
                </c:pt>
              </c:numCache>
            </c:numRef>
          </c:val>
          <c:extLst>
            <c:ext xmlns:c16="http://schemas.microsoft.com/office/drawing/2014/chart" uri="{C3380CC4-5D6E-409C-BE32-E72D297353CC}">
              <c16:uniqueId val="{00000001-B368-448F-B465-E89A1B42C076}"/>
            </c:ext>
          </c:extLst>
        </c:ser>
        <c:ser>
          <c:idx val="2"/>
          <c:order val="2"/>
          <c:tx>
            <c:strRef>
              <c:f>Pivot_Analysis!$I$15</c:f>
              <c:strCache>
                <c:ptCount val="1"/>
                <c:pt idx="0">
                  <c:v>Sum of Budget Variance</c:v>
                </c:pt>
              </c:strCache>
            </c:strRef>
          </c:tx>
          <c:spPr>
            <a:solidFill>
              <a:schemeClr val="accent3"/>
            </a:solidFill>
            <a:ln>
              <a:noFill/>
            </a:ln>
            <a:effectLst/>
          </c:spPr>
          <c:invertIfNegative val="0"/>
          <c:cat>
            <c:strRef>
              <c:f>Pivot_Analysis!$F$16:$F$21</c:f>
              <c:strCache>
                <c:ptCount val="5"/>
                <c:pt idx="0">
                  <c:v>Central</c:v>
                </c:pt>
                <c:pt idx="1">
                  <c:v>East</c:v>
                </c:pt>
                <c:pt idx="2">
                  <c:v>North</c:v>
                </c:pt>
                <c:pt idx="3">
                  <c:v>South</c:v>
                </c:pt>
                <c:pt idx="4">
                  <c:v>West</c:v>
                </c:pt>
              </c:strCache>
            </c:strRef>
          </c:cat>
          <c:val>
            <c:numRef>
              <c:f>Pivot_Analysis!$I$16:$I$21</c:f>
              <c:numCache>
                <c:formatCode>_("₹"* #,##0.00_);_("₹"* \(#,##0.00\);_("₹"* "-"??_);_(@_)</c:formatCode>
                <c:ptCount val="5"/>
                <c:pt idx="0">
                  <c:v>-139564.1700000001</c:v>
                </c:pt>
                <c:pt idx="1">
                  <c:v>-147429.27000000014</c:v>
                </c:pt>
                <c:pt idx="2">
                  <c:v>-297064.4599999999</c:v>
                </c:pt>
                <c:pt idx="3">
                  <c:v>-144591.28000000006</c:v>
                </c:pt>
                <c:pt idx="4">
                  <c:v>-321855.45999999985</c:v>
                </c:pt>
              </c:numCache>
            </c:numRef>
          </c:val>
          <c:extLst>
            <c:ext xmlns:c16="http://schemas.microsoft.com/office/drawing/2014/chart" uri="{C3380CC4-5D6E-409C-BE32-E72D297353CC}">
              <c16:uniqueId val="{00000002-B368-448F-B465-E89A1B42C076}"/>
            </c:ext>
          </c:extLst>
        </c:ser>
        <c:dLbls>
          <c:showLegendKey val="0"/>
          <c:showVal val="0"/>
          <c:showCatName val="0"/>
          <c:showSerName val="0"/>
          <c:showPercent val="0"/>
          <c:showBubbleSize val="0"/>
        </c:dLbls>
        <c:gapWidth val="219"/>
        <c:overlap val="-27"/>
        <c:axId val="1999143568"/>
        <c:axId val="1697715344"/>
      </c:barChart>
      <c:catAx>
        <c:axId val="199914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7715344"/>
        <c:crosses val="autoZero"/>
        <c:auto val="1"/>
        <c:lblAlgn val="ctr"/>
        <c:lblOffset val="100"/>
        <c:noMultiLvlLbl val="0"/>
      </c:catAx>
      <c:valAx>
        <c:axId val="16977153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914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[Financial_Performance_Dashboard_Advanced_Excel.xlsx.xlsx]Pivot_Analysis!Expense Performance Pivot</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60000"/>
                  <a:lumOff val="40000"/>
                </a:schemeClr>
              </a:gs>
              <a:gs pos="100000">
                <a:schemeClr val="accent1">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Pivot_Analysis!$L$26</c:f>
              <c:strCache>
                <c:ptCount val="1"/>
                <c:pt idx="0">
                  <c:v>Total</c:v>
                </c:pt>
              </c:strCache>
            </c:strRef>
          </c:tx>
          <c:spPr>
            <a:gradFill>
              <a:gsLst>
                <a:gs pos="0">
                  <a:schemeClr val="accent1">
                    <a:lumMod val="60000"/>
                    <a:lumOff val="40000"/>
                  </a:schemeClr>
                </a:gs>
                <a:gs pos="100000">
                  <a:schemeClr val="accent1">
                    <a:lumMod val="50000"/>
                  </a:schemeClr>
                </a:gs>
              </a:gsLst>
              <a:lin ang="5400000" scaled="0"/>
            </a:gradFill>
            <a:ln>
              <a:noFill/>
            </a:ln>
            <a:effectLst/>
          </c:spPr>
          <c:cat>
            <c:strRef>
              <c:f>Pivot_Analysis!$K$27:$K$31</c:f>
              <c:strCache>
                <c:ptCount val="5"/>
                <c:pt idx="0">
                  <c:v>Sum of COGS</c:v>
                </c:pt>
                <c:pt idx="1">
                  <c:v>Sum of Operating Expense</c:v>
                </c:pt>
                <c:pt idx="2">
                  <c:v>Sum of Marketing Expense</c:v>
                </c:pt>
                <c:pt idx="3">
                  <c:v>Sum of Salary Expense</c:v>
                </c:pt>
                <c:pt idx="4">
                  <c:v>Sum of Misc Expense</c:v>
                </c:pt>
              </c:strCache>
            </c:strRef>
          </c:cat>
          <c:val>
            <c:numRef>
              <c:f>Pivot_Analysis!$L$27:$L$31</c:f>
              <c:numCache>
                <c:formatCode>_("₹"* #,##0.00_);_("₹"* \(#,##0.00\);_("₹"* "-"??_);_(@_)</c:formatCode>
                <c:ptCount val="5"/>
                <c:pt idx="0">
                  <c:v>16885274.510000005</c:v>
                </c:pt>
                <c:pt idx="1">
                  <c:v>2553433.5199999991</c:v>
                </c:pt>
                <c:pt idx="2">
                  <c:v>1601652.5799999994</c:v>
                </c:pt>
                <c:pt idx="3">
                  <c:v>2240126.7199999974</c:v>
                </c:pt>
                <c:pt idx="4">
                  <c:v>745654.55000000016</c:v>
                </c:pt>
              </c:numCache>
            </c:numRef>
          </c:val>
          <c:extLst>
            <c:ext xmlns:c16="http://schemas.microsoft.com/office/drawing/2014/chart" uri="{C3380CC4-5D6E-409C-BE32-E72D297353CC}">
              <c16:uniqueId val="{00000000-1D50-4CDF-BC38-1D259F86E7CC}"/>
            </c:ext>
          </c:extLst>
        </c:ser>
        <c:dLbls>
          <c:showLegendKey val="0"/>
          <c:showVal val="0"/>
          <c:showCatName val="0"/>
          <c:showSerName val="0"/>
          <c:showPercent val="0"/>
          <c:showBubbleSize val="0"/>
        </c:dLbls>
        <c:axId val="908539712"/>
        <c:axId val="776827760"/>
      </c:areaChart>
      <c:catAx>
        <c:axId val="908539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76827760"/>
        <c:crosses val="autoZero"/>
        <c:auto val="1"/>
        <c:lblAlgn val="ctr"/>
        <c:lblOffset val="100"/>
        <c:noMultiLvlLbl val="0"/>
      </c:catAx>
      <c:valAx>
        <c:axId val="7768277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85397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85000"/>
          </a:schemeClr>
        </a:gs>
        <a:gs pos="100000">
          <a:schemeClr val="tx2">
            <a:lumMod val="10000"/>
            <a:lumOff val="90000"/>
          </a:schemeClr>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[Financial_Performance_Dashboard_Advanced_Excel.xlsx.xlsx]Pivot_Analysis!Product Category Performance Pivot</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1">
                  <a:lumMod val="50000"/>
                </a:schemeClr>
              </a:gs>
              <a:gs pos="100000">
                <a:schemeClr val="tx2">
                  <a:lumMod val="50000"/>
                  <a:lumOff val="50000"/>
                </a:schemeClr>
              </a:gs>
            </a:gsLst>
            <a:lin ang="5400000" scaled="1"/>
          </a:gradFill>
          <a:ln>
            <a:noFill/>
          </a:ln>
          <a:effectLst/>
        </c:spPr>
      </c:pivotFmt>
      <c:pivotFmt>
        <c:idx val="10"/>
        <c:spPr>
          <a:gradFill>
            <a:gsLst>
              <a:gs pos="0">
                <a:schemeClr val="accent2">
                  <a:lumMod val="50000"/>
                </a:schemeClr>
              </a:gs>
              <a:gs pos="100000">
                <a:schemeClr val="accent2">
                  <a:lumMod val="60000"/>
                  <a:lumOff val="40000"/>
                </a:schemeClr>
              </a:gs>
            </a:gsLst>
            <a:lin ang="5400000" scaled="1"/>
          </a:gradFill>
          <a:ln>
            <a:noFill/>
          </a:ln>
          <a:effectLst/>
        </c:spPr>
      </c:pivotFmt>
      <c:pivotFmt>
        <c:idx val="11"/>
        <c:spPr>
          <a:gradFill>
            <a:gsLst>
              <a:gs pos="0">
                <a:schemeClr val="accent3">
                  <a:lumMod val="50000"/>
                </a:schemeClr>
              </a:gs>
              <a:gs pos="100000">
                <a:schemeClr val="accent3">
                  <a:lumMod val="60000"/>
                  <a:lumOff val="40000"/>
                </a:schemeClr>
              </a:gs>
            </a:gsLst>
            <a:lin ang="5400000" scaled="1"/>
          </a:gradFill>
          <a:ln>
            <a:noFill/>
          </a:ln>
          <a:effectLst/>
        </c:spPr>
      </c:pivotFmt>
      <c:pivotFmt>
        <c:idx val="12"/>
        <c:spPr>
          <a:gradFill>
            <a:gsLst>
              <a:gs pos="0">
                <a:schemeClr val="accent1">
                  <a:lumMod val="60000"/>
                  <a:lumOff val="40000"/>
                </a:schemeClr>
              </a:gs>
              <a:gs pos="100000">
                <a:schemeClr val="tx2">
                  <a:lumMod val="10000"/>
                  <a:lumOff val="90000"/>
                </a:schemeClr>
              </a:gs>
            </a:gsLst>
            <a:lin ang="5400000" scaled="1"/>
          </a:gradFill>
          <a:ln>
            <a:noFill/>
          </a:ln>
          <a:effectLst/>
        </c:spPr>
      </c:pivotFmt>
      <c:pivotFmt>
        <c:idx val="13"/>
        <c:spPr>
          <a:gradFill>
            <a:gsLst>
              <a:gs pos="0">
                <a:schemeClr val="accent5">
                  <a:lumMod val="50000"/>
                </a:schemeClr>
              </a:gs>
              <a:gs pos="100000">
                <a:schemeClr val="accent5">
                  <a:lumMod val="60000"/>
                  <a:lumOff val="40000"/>
                </a:schemeClr>
              </a:gs>
            </a:gsLst>
            <a:lin ang="5400000" scaled="1"/>
          </a:gra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s>
    <c:plotArea>
      <c:layout>
        <c:manualLayout>
          <c:layoutTarget val="inner"/>
          <c:xMode val="edge"/>
          <c:yMode val="edge"/>
          <c:x val="0.16426710744092396"/>
          <c:y val="0.18715438836677317"/>
          <c:w val="0.45242996597998159"/>
          <c:h val="0.67799889783199108"/>
        </c:manualLayout>
      </c:layout>
      <c:pieChart>
        <c:varyColors val="1"/>
        <c:ser>
          <c:idx val="0"/>
          <c:order val="0"/>
          <c:tx>
            <c:strRef>
              <c:f>Pivot_Analysis!$G$5</c:f>
              <c:strCache>
                <c:ptCount val="1"/>
                <c:pt idx="0">
                  <c:v>Sum of Revenue</c:v>
                </c:pt>
              </c:strCache>
            </c:strRef>
          </c:tx>
          <c:dPt>
            <c:idx val="0"/>
            <c:bubble3D val="0"/>
            <c:spPr>
              <a:gradFill>
                <a:gsLst>
                  <a:gs pos="0">
                    <a:schemeClr val="accent1">
                      <a:lumMod val="50000"/>
                    </a:schemeClr>
                  </a:gs>
                  <a:gs pos="100000">
                    <a:schemeClr val="tx2">
                      <a:lumMod val="50000"/>
                      <a:lumOff val="50000"/>
                    </a:schemeClr>
                  </a:gs>
                </a:gsLst>
                <a:lin ang="5400000" scaled="1"/>
              </a:gradFill>
              <a:ln>
                <a:noFill/>
              </a:ln>
              <a:effectLst/>
            </c:spPr>
            <c:extLst>
              <c:ext xmlns:c16="http://schemas.microsoft.com/office/drawing/2014/chart" uri="{C3380CC4-5D6E-409C-BE32-E72D297353CC}">
                <c16:uniqueId val="{00000003-269B-433E-B1B2-87D4A082E620}"/>
              </c:ext>
            </c:extLst>
          </c:dPt>
          <c:dPt>
            <c:idx val="1"/>
            <c:bubble3D val="0"/>
            <c:spPr>
              <a:gradFill>
                <a:gsLst>
                  <a:gs pos="0">
                    <a:schemeClr val="accent2">
                      <a:lumMod val="50000"/>
                    </a:schemeClr>
                  </a:gs>
                  <a:gs pos="100000">
                    <a:schemeClr val="accent2">
                      <a:lumMod val="60000"/>
                      <a:lumOff val="40000"/>
                    </a:schemeClr>
                  </a:gs>
                </a:gsLst>
                <a:lin ang="5400000" scaled="1"/>
              </a:gradFill>
              <a:ln>
                <a:noFill/>
              </a:ln>
              <a:effectLst/>
            </c:spPr>
            <c:extLst>
              <c:ext xmlns:c16="http://schemas.microsoft.com/office/drawing/2014/chart" uri="{C3380CC4-5D6E-409C-BE32-E72D297353CC}">
                <c16:uniqueId val="{00000004-269B-433E-B1B2-87D4A082E620}"/>
              </c:ext>
            </c:extLst>
          </c:dPt>
          <c:dPt>
            <c:idx val="2"/>
            <c:bubble3D val="0"/>
            <c:spPr>
              <a:gradFill>
                <a:gsLst>
                  <a:gs pos="0">
                    <a:schemeClr val="accent3">
                      <a:lumMod val="50000"/>
                    </a:schemeClr>
                  </a:gs>
                  <a:gs pos="100000">
                    <a:schemeClr val="accent3">
                      <a:lumMod val="60000"/>
                      <a:lumOff val="40000"/>
                    </a:schemeClr>
                  </a:gs>
                </a:gsLst>
                <a:lin ang="5400000" scaled="1"/>
              </a:gradFill>
              <a:ln>
                <a:noFill/>
              </a:ln>
              <a:effectLst/>
            </c:spPr>
            <c:extLst>
              <c:ext xmlns:c16="http://schemas.microsoft.com/office/drawing/2014/chart" uri="{C3380CC4-5D6E-409C-BE32-E72D297353CC}">
                <c16:uniqueId val="{00000005-269B-433E-B1B2-87D4A082E620}"/>
              </c:ext>
            </c:extLst>
          </c:dPt>
          <c:dPt>
            <c:idx val="3"/>
            <c:bubble3D val="0"/>
            <c:spPr>
              <a:gradFill>
                <a:gsLst>
                  <a:gs pos="0">
                    <a:schemeClr val="accent1">
                      <a:lumMod val="60000"/>
                      <a:lumOff val="40000"/>
                    </a:schemeClr>
                  </a:gs>
                  <a:gs pos="100000">
                    <a:schemeClr val="tx2">
                      <a:lumMod val="10000"/>
                      <a:lumOff val="90000"/>
                    </a:schemeClr>
                  </a:gs>
                </a:gsLst>
                <a:lin ang="5400000" scaled="1"/>
              </a:gradFill>
              <a:ln>
                <a:noFill/>
              </a:ln>
              <a:effectLst/>
            </c:spPr>
            <c:extLst>
              <c:ext xmlns:c16="http://schemas.microsoft.com/office/drawing/2014/chart" uri="{C3380CC4-5D6E-409C-BE32-E72D297353CC}">
                <c16:uniqueId val="{00000006-269B-433E-B1B2-87D4A082E620}"/>
              </c:ext>
            </c:extLst>
          </c:dPt>
          <c:dPt>
            <c:idx val="4"/>
            <c:bubble3D val="0"/>
            <c:spPr>
              <a:gradFill>
                <a:gsLst>
                  <a:gs pos="0">
                    <a:schemeClr val="accent5">
                      <a:lumMod val="50000"/>
                    </a:schemeClr>
                  </a:gs>
                  <a:gs pos="100000">
                    <a:schemeClr val="accent5">
                      <a:lumMod val="60000"/>
                      <a:lumOff val="40000"/>
                    </a:schemeClr>
                  </a:gs>
                </a:gsLst>
                <a:lin ang="5400000" scaled="1"/>
              </a:gradFill>
              <a:ln>
                <a:noFill/>
              </a:ln>
              <a:effectLst/>
            </c:spPr>
            <c:extLst>
              <c:ext xmlns:c16="http://schemas.microsoft.com/office/drawing/2014/chart" uri="{C3380CC4-5D6E-409C-BE32-E72D297353CC}">
                <c16:uniqueId val="{00000007-269B-433E-B1B2-87D4A082E620}"/>
              </c:ext>
            </c:extLst>
          </c:dPt>
          <c:cat>
            <c:strRef>
              <c:f>Pivot_Analysis!$F$6:$F$11</c:f>
              <c:strCache>
                <c:ptCount val="5"/>
                <c:pt idx="0">
                  <c:v>Electronics</c:v>
                </c:pt>
                <c:pt idx="1">
                  <c:v>Software</c:v>
                </c:pt>
                <c:pt idx="2">
                  <c:v>Networking</c:v>
                </c:pt>
                <c:pt idx="3">
                  <c:v>Furniture</c:v>
                </c:pt>
                <c:pt idx="4">
                  <c:v>Accessories</c:v>
                </c:pt>
              </c:strCache>
            </c:strRef>
          </c:cat>
          <c:val>
            <c:numRef>
              <c:f>Pivot_Analysis!$G$6:$G$11</c:f>
              <c:numCache>
                <c:formatCode>_("₹"* #,##0.00_);_("₹"* \(#,##0.00\);_("₹"* "-"??_);_(@_)</c:formatCode>
                <c:ptCount val="5"/>
                <c:pt idx="0">
                  <c:v>19548291.090000011</c:v>
                </c:pt>
                <c:pt idx="1">
                  <c:v>3176536.4099999997</c:v>
                </c:pt>
                <c:pt idx="2">
                  <c:v>2471392.9500000002</c:v>
                </c:pt>
                <c:pt idx="3">
                  <c:v>2025777.6399999992</c:v>
                </c:pt>
                <c:pt idx="4">
                  <c:v>853372.07000000007</c:v>
                </c:pt>
              </c:numCache>
            </c:numRef>
          </c:val>
          <c:extLst>
            <c:ext xmlns:c16="http://schemas.microsoft.com/office/drawing/2014/chart" uri="{C3380CC4-5D6E-409C-BE32-E72D297353CC}">
              <c16:uniqueId val="{00000000-269B-433E-B1B2-87D4A082E620}"/>
            </c:ext>
          </c:extLst>
        </c:ser>
        <c:ser>
          <c:idx val="1"/>
          <c:order val="1"/>
          <c:tx>
            <c:strRef>
              <c:f>Pivot_Analysis!$H$5</c:f>
              <c:strCache>
                <c:ptCount val="1"/>
                <c:pt idx="0">
                  <c:v>Sum of Net Profit</c:v>
                </c:pt>
              </c:strCache>
            </c:strRef>
          </c:tx>
          <c:dPt>
            <c:idx val="0"/>
            <c:bubble3D val="0"/>
            <c:spPr>
              <a:solidFill>
                <a:schemeClr val="accent1"/>
              </a:solidFill>
              <a:ln>
                <a:noFill/>
              </a:ln>
              <a:effectLst/>
            </c:spPr>
            <c:extLst>
              <c:ext xmlns:c16="http://schemas.microsoft.com/office/drawing/2014/chart" uri="{C3380CC4-5D6E-409C-BE32-E72D297353CC}">
                <c16:uniqueId val="{0000000B-1BA6-4BC1-B7A1-F0CEF2CCEE92}"/>
              </c:ext>
            </c:extLst>
          </c:dPt>
          <c:dPt>
            <c:idx val="1"/>
            <c:bubble3D val="0"/>
            <c:spPr>
              <a:solidFill>
                <a:schemeClr val="accent2"/>
              </a:solidFill>
              <a:ln>
                <a:noFill/>
              </a:ln>
              <a:effectLst/>
            </c:spPr>
            <c:extLst>
              <c:ext xmlns:c16="http://schemas.microsoft.com/office/drawing/2014/chart" uri="{C3380CC4-5D6E-409C-BE32-E72D297353CC}">
                <c16:uniqueId val="{0000000D-1BA6-4BC1-B7A1-F0CEF2CCEE92}"/>
              </c:ext>
            </c:extLst>
          </c:dPt>
          <c:dPt>
            <c:idx val="2"/>
            <c:bubble3D val="0"/>
            <c:spPr>
              <a:solidFill>
                <a:schemeClr val="accent3"/>
              </a:solidFill>
              <a:ln>
                <a:noFill/>
              </a:ln>
              <a:effectLst/>
            </c:spPr>
            <c:extLst>
              <c:ext xmlns:c16="http://schemas.microsoft.com/office/drawing/2014/chart" uri="{C3380CC4-5D6E-409C-BE32-E72D297353CC}">
                <c16:uniqueId val="{0000000F-1BA6-4BC1-B7A1-F0CEF2CCEE92}"/>
              </c:ext>
            </c:extLst>
          </c:dPt>
          <c:dPt>
            <c:idx val="3"/>
            <c:bubble3D val="0"/>
            <c:spPr>
              <a:solidFill>
                <a:schemeClr val="accent4"/>
              </a:solidFill>
              <a:ln>
                <a:noFill/>
              </a:ln>
              <a:effectLst/>
            </c:spPr>
            <c:extLst>
              <c:ext xmlns:c16="http://schemas.microsoft.com/office/drawing/2014/chart" uri="{C3380CC4-5D6E-409C-BE32-E72D297353CC}">
                <c16:uniqueId val="{00000011-1BA6-4BC1-B7A1-F0CEF2CCEE92}"/>
              </c:ext>
            </c:extLst>
          </c:dPt>
          <c:dPt>
            <c:idx val="4"/>
            <c:bubble3D val="0"/>
            <c:spPr>
              <a:solidFill>
                <a:schemeClr val="accent5"/>
              </a:solidFill>
              <a:ln>
                <a:noFill/>
              </a:ln>
              <a:effectLst/>
            </c:spPr>
            <c:extLst>
              <c:ext xmlns:c16="http://schemas.microsoft.com/office/drawing/2014/chart" uri="{C3380CC4-5D6E-409C-BE32-E72D297353CC}">
                <c16:uniqueId val="{00000013-1BA6-4BC1-B7A1-F0CEF2CCEE92}"/>
              </c:ext>
            </c:extLst>
          </c:dPt>
          <c:cat>
            <c:strRef>
              <c:f>Pivot_Analysis!$F$6:$F$11</c:f>
              <c:strCache>
                <c:ptCount val="5"/>
                <c:pt idx="0">
                  <c:v>Electronics</c:v>
                </c:pt>
                <c:pt idx="1">
                  <c:v>Software</c:v>
                </c:pt>
                <c:pt idx="2">
                  <c:v>Networking</c:v>
                </c:pt>
                <c:pt idx="3">
                  <c:v>Furniture</c:v>
                </c:pt>
                <c:pt idx="4">
                  <c:v>Accessories</c:v>
                </c:pt>
              </c:strCache>
            </c:strRef>
          </c:cat>
          <c:val>
            <c:numRef>
              <c:f>Pivot_Analysis!$H$6:$H$11</c:f>
              <c:numCache>
                <c:formatCode>_("₹"* #,##0.00_);_("₹"* \(#,##0.00\);_("₹"* "-"??_);_(@_)</c:formatCode>
                <c:ptCount val="5"/>
                <c:pt idx="0">
                  <c:v>2820172.98</c:v>
                </c:pt>
                <c:pt idx="1">
                  <c:v>452751.06999999977</c:v>
                </c:pt>
                <c:pt idx="2">
                  <c:v>343514.6399999999</c:v>
                </c:pt>
                <c:pt idx="3">
                  <c:v>306364.63</c:v>
                </c:pt>
                <c:pt idx="4">
                  <c:v>126424.79999999999</c:v>
                </c:pt>
              </c:numCache>
            </c:numRef>
          </c:val>
          <c:extLst>
            <c:ext xmlns:c16="http://schemas.microsoft.com/office/drawing/2014/chart" uri="{C3380CC4-5D6E-409C-BE32-E72D297353CC}">
              <c16:uniqueId val="{00000001-269B-433E-B1B2-87D4A082E620}"/>
            </c:ext>
          </c:extLst>
        </c:ser>
        <c:ser>
          <c:idx val="2"/>
          <c:order val="2"/>
          <c:tx>
            <c:strRef>
              <c:f>Pivot_Analysis!$I$5</c:f>
              <c:strCache>
                <c:ptCount val="1"/>
                <c:pt idx="0">
                  <c:v>Sum of Category Profit Margin %</c:v>
                </c:pt>
              </c:strCache>
            </c:strRef>
          </c:tx>
          <c:dPt>
            <c:idx val="0"/>
            <c:bubble3D val="0"/>
            <c:spPr>
              <a:solidFill>
                <a:schemeClr val="accent1"/>
              </a:solidFill>
              <a:ln>
                <a:noFill/>
              </a:ln>
              <a:effectLst/>
            </c:spPr>
            <c:extLst>
              <c:ext xmlns:c16="http://schemas.microsoft.com/office/drawing/2014/chart" uri="{C3380CC4-5D6E-409C-BE32-E72D297353CC}">
                <c16:uniqueId val="{00000015-1BA6-4BC1-B7A1-F0CEF2CCEE92}"/>
              </c:ext>
            </c:extLst>
          </c:dPt>
          <c:dPt>
            <c:idx val="1"/>
            <c:bubble3D val="0"/>
            <c:spPr>
              <a:solidFill>
                <a:schemeClr val="accent2"/>
              </a:solidFill>
              <a:ln>
                <a:noFill/>
              </a:ln>
              <a:effectLst/>
            </c:spPr>
            <c:extLst>
              <c:ext xmlns:c16="http://schemas.microsoft.com/office/drawing/2014/chart" uri="{C3380CC4-5D6E-409C-BE32-E72D297353CC}">
                <c16:uniqueId val="{00000017-1BA6-4BC1-B7A1-F0CEF2CCEE92}"/>
              </c:ext>
            </c:extLst>
          </c:dPt>
          <c:dPt>
            <c:idx val="2"/>
            <c:bubble3D val="0"/>
            <c:spPr>
              <a:solidFill>
                <a:schemeClr val="accent3"/>
              </a:solidFill>
              <a:ln>
                <a:noFill/>
              </a:ln>
              <a:effectLst/>
            </c:spPr>
            <c:extLst>
              <c:ext xmlns:c16="http://schemas.microsoft.com/office/drawing/2014/chart" uri="{C3380CC4-5D6E-409C-BE32-E72D297353CC}">
                <c16:uniqueId val="{00000019-1BA6-4BC1-B7A1-F0CEF2CCEE92}"/>
              </c:ext>
            </c:extLst>
          </c:dPt>
          <c:dPt>
            <c:idx val="3"/>
            <c:bubble3D val="0"/>
            <c:spPr>
              <a:solidFill>
                <a:schemeClr val="accent4"/>
              </a:solidFill>
              <a:ln>
                <a:noFill/>
              </a:ln>
              <a:effectLst/>
            </c:spPr>
            <c:extLst>
              <c:ext xmlns:c16="http://schemas.microsoft.com/office/drawing/2014/chart" uri="{C3380CC4-5D6E-409C-BE32-E72D297353CC}">
                <c16:uniqueId val="{0000001B-1BA6-4BC1-B7A1-F0CEF2CCEE92}"/>
              </c:ext>
            </c:extLst>
          </c:dPt>
          <c:dPt>
            <c:idx val="4"/>
            <c:bubble3D val="0"/>
            <c:spPr>
              <a:solidFill>
                <a:schemeClr val="accent5"/>
              </a:solidFill>
              <a:ln>
                <a:noFill/>
              </a:ln>
              <a:effectLst/>
            </c:spPr>
            <c:extLst>
              <c:ext xmlns:c16="http://schemas.microsoft.com/office/drawing/2014/chart" uri="{C3380CC4-5D6E-409C-BE32-E72D297353CC}">
                <c16:uniqueId val="{0000001D-1BA6-4BC1-B7A1-F0CEF2CCEE92}"/>
              </c:ext>
            </c:extLst>
          </c:dPt>
          <c:cat>
            <c:strRef>
              <c:f>Pivot_Analysis!$F$6:$F$11</c:f>
              <c:strCache>
                <c:ptCount val="5"/>
                <c:pt idx="0">
                  <c:v>Electronics</c:v>
                </c:pt>
                <c:pt idx="1">
                  <c:v>Software</c:v>
                </c:pt>
                <c:pt idx="2">
                  <c:v>Networking</c:v>
                </c:pt>
                <c:pt idx="3">
                  <c:v>Furniture</c:v>
                </c:pt>
                <c:pt idx="4">
                  <c:v>Accessories</c:v>
                </c:pt>
              </c:strCache>
            </c:strRef>
          </c:cat>
          <c:val>
            <c:numRef>
              <c:f>Pivot_Analysis!$I$6:$I$11</c:f>
              <c:numCache>
                <c:formatCode>0.00%</c:formatCode>
                <c:ptCount val="5"/>
                <c:pt idx="0">
                  <c:v>0.14426698308389055</c:v>
                </c:pt>
                <c:pt idx="1">
                  <c:v>0.14252979080444408</c:v>
                </c:pt>
                <c:pt idx="2">
                  <c:v>0.13899636640138505</c:v>
                </c:pt>
                <c:pt idx="3">
                  <c:v>0.151233098811378</c:v>
                </c:pt>
                <c:pt idx="4">
                  <c:v>0.14814733742106181</c:v>
                </c:pt>
              </c:numCache>
            </c:numRef>
          </c:val>
          <c:extLst>
            <c:ext xmlns:c16="http://schemas.microsoft.com/office/drawing/2014/chart" uri="{C3380CC4-5D6E-409C-BE32-E72D297353CC}">
              <c16:uniqueId val="{00000002-269B-433E-B1B2-87D4A082E6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lumMod val="10000"/>
            <a:lumOff val="90000"/>
          </a:schemeClr>
        </a:gs>
        <a:gs pos="100000">
          <a:schemeClr val="bg1">
            <a:lumMod val="8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[Financial_Performance_Dashboard_Advanced_Excel.xlsx.xlsx]Pivot_Analysis!Dept Performance Pivot</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gradFill>
            <a:gsLst>
              <a:gs pos="0">
                <a:schemeClr val="accent1">
                  <a:lumMod val="50000"/>
                </a:schemeClr>
              </a:gs>
              <a:gs pos="100000">
                <a:schemeClr val="tx2">
                  <a:lumMod val="50000"/>
                  <a:lumOff val="5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a:gsLst>
              <a:gs pos="0">
                <a:schemeClr val="accent1">
                  <a:lumMod val="50000"/>
                </a:schemeClr>
              </a:gs>
              <a:gs pos="100000">
                <a:schemeClr val="tx2">
                  <a:lumMod val="50000"/>
                  <a:lumOff val="50000"/>
                </a:schemeClr>
              </a:gs>
            </a:gsLst>
            <a:lin ang="5400000" scaled="1"/>
          </a:gradFill>
          <a:ln w="19050">
            <a:solidFill>
              <a:schemeClr val="lt1"/>
            </a:solidFill>
          </a:ln>
          <a:effectLst/>
        </c:spPr>
      </c:pivotFmt>
      <c:pivotFmt>
        <c:idx val="23"/>
        <c:spPr>
          <a:gradFill>
            <a:gsLst>
              <a:gs pos="0">
                <a:schemeClr val="accent1">
                  <a:lumMod val="50000"/>
                </a:schemeClr>
              </a:gs>
              <a:gs pos="100000">
                <a:schemeClr val="tx2">
                  <a:lumMod val="50000"/>
                  <a:lumOff val="50000"/>
                </a:schemeClr>
              </a:gs>
            </a:gsLst>
            <a:lin ang="5400000" scaled="1"/>
          </a:gradFill>
          <a:ln w="19050">
            <a:solidFill>
              <a:schemeClr val="lt1"/>
            </a:solidFill>
          </a:ln>
          <a:effectLst/>
        </c:spPr>
      </c:pivotFmt>
      <c:pivotFmt>
        <c:idx val="24"/>
        <c:spPr>
          <a:gradFill>
            <a:gsLst>
              <a:gs pos="0">
                <a:schemeClr val="accent1">
                  <a:lumMod val="50000"/>
                </a:schemeClr>
              </a:gs>
              <a:gs pos="100000">
                <a:schemeClr val="tx2">
                  <a:lumMod val="50000"/>
                  <a:lumOff val="50000"/>
                </a:schemeClr>
              </a:gs>
            </a:gsLst>
            <a:lin ang="5400000" scaled="1"/>
          </a:gradFill>
          <a:ln w="19050">
            <a:solidFill>
              <a:schemeClr val="lt1"/>
            </a:solidFill>
          </a:ln>
          <a:effectLst/>
        </c:spPr>
      </c:pivotFmt>
      <c:pivotFmt>
        <c:idx val="25"/>
        <c:spPr>
          <a:gradFill>
            <a:gsLst>
              <a:gs pos="0">
                <a:schemeClr val="accent1">
                  <a:lumMod val="50000"/>
                </a:schemeClr>
              </a:gs>
              <a:gs pos="100000">
                <a:schemeClr val="tx2">
                  <a:lumMod val="50000"/>
                  <a:lumOff val="50000"/>
                </a:schemeClr>
              </a:gs>
            </a:gsLst>
            <a:lin ang="5400000" scaled="1"/>
          </a:gradFill>
          <a:ln w="19050">
            <a:solidFill>
              <a:schemeClr val="lt1"/>
            </a:solidFill>
          </a:ln>
          <a:effectLst/>
        </c:spPr>
      </c:pivotFmt>
      <c:pivotFmt>
        <c:idx val="26"/>
        <c:spPr>
          <a:gradFill>
            <a:gsLst>
              <a:gs pos="0">
                <a:schemeClr val="accent1">
                  <a:lumMod val="50000"/>
                </a:schemeClr>
              </a:gs>
              <a:gs pos="100000">
                <a:schemeClr val="tx2">
                  <a:lumMod val="50000"/>
                  <a:lumOff val="50000"/>
                </a:schemeClr>
              </a:gs>
            </a:gsLst>
            <a:lin ang="5400000" scaled="1"/>
          </a:gradFill>
          <a:ln w="19050">
            <a:solidFill>
              <a:schemeClr val="lt1"/>
            </a:solidFill>
          </a:ln>
          <a:effectLst/>
        </c:spPr>
      </c:pivotFmt>
      <c:pivotFmt>
        <c:idx val="27"/>
        <c:spPr>
          <a:gradFill>
            <a:gsLst>
              <a:gs pos="0">
                <a:schemeClr val="accent2">
                  <a:lumMod val="50000"/>
                </a:schemeClr>
              </a:gs>
              <a:gs pos="100000">
                <a:schemeClr val="accent2">
                  <a:lumMod val="60000"/>
                  <a:lumOff val="40000"/>
                </a:schemeClr>
              </a:gs>
            </a:gsLst>
            <a:lin ang="5400000" scaled="1"/>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a:gsLst>
              <a:gs pos="0">
                <a:schemeClr val="accent2">
                  <a:lumMod val="50000"/>
                </a:schemeClr>
              </a:gs>
              <a:gs pos="100000">
                <a:schemeClr val="accent2">
                  <a:lumMod val="60000"/>
                  <a:lumOff val="40000"/>
                </a:schemeClr>
              </a:gs>
            </a:gsLst>
            <a:lin ang="5400000" scaled="1"/>
          </a:gradFill>
          <a:ln w="19050">
            <a:solidFill>
              <a:schemeClr val="lt1"/>
            </a:solidFill>
          </a:ln>
          <a:effectLst/>
        </c:spPr>
      </c:pivotFmt>
      <c:pivotFmt>
        <c:idx val="29"/>
        <c:spPr>
          <a:gradFill>
            <a:gsLst>
              <a:gs pos="0">
                <a:schemeClr val="accent2">
                  <a:lumMod val="50000"/>
                </a:schemeClr>
              </a:gs>
              <a:gs pos="100000">
                <a:schemeClr val="accent2">
                  <a:lumMod val="60000"/>
                  <a:lumOff val="40000"/>
                </a:schemeClr>
              </a:gs>
            </a:gsLst>
            <a:lin ang="5400000" scaled="1"/>
          </a:gradFill>
          <a:ln w="19050">
            <a:solidFill>
              <a:schemeClr val="lt1"/>
            </a:solidFill>
          </a:ln>
          <a:effectLst/>
        </c:spPr>
      </c:pivotFmt>
      <c:pivotFmt>
        <c:idx val="30"/>
        <c:spPr>
          <a:gradFill>
            <a:gsLst>
              <a:gs pos="0">
                <a:schemeClr val="accent2">
                  <a:lumMod val="50000"/>
                </a:schemeClr>
              </a:gs>
              <a:gs pos="100000">
                <a:schemeClr val="accent2">
                  <a:lumMod val="60000"/>
                  <a:lumOff val="40000"/>
                </a:schemeClr>
              </a:gs>
            </a:gsLst>
            <a:lin ang="5400000" scaled="1"/>
          </a:gradFill>
          <a:ln w="19050">
            <a:solidFill>
              <a:schemeClr val="lt1"/>
            </a:solidFill>
          </a:ln>
          <a:effectLst/>
        </c:spPr>
      </c:pivotFmt>
      <c:pivotFmt>
        <c:idx val="31"/>
        <c:spPr>
          <a:gradFill>
            <a:gsLst>
              <a:gs pos="0">
                <a:schemeClr val="accent2">
                  <a:lumMod val="50000"/>
                </a:schemeClr>
              </a:gs>
              <a:gs pos="100000">
                <a:schemeClr val="accent2">
                  <a:lumMod val="60000"/>
                  <a:lumOff val="40000"/>
                </a:schemeClr>
              </a:gs>
            </a:gsLst>
            <a:lin ang="5400000" scaled="1"/>
          </a:gradFill>
          <a:ln w="19050">
            <a:solidFill>
              <a:schemeClr val="lt1"/>
            </a:solidFill>
          </a:ln>
          <a:effectLst/>
        </c:spPr>
      </c:pivotFmt>
      <c:pivotFmt>
        <c:idx val="32"/>
        <c:spPr>
          <a:gradFill>
            <a:gsLst>
              <a:gs pos="0">
                <a:schemeClr val="accent2">
                  <a:lumMod val="50000"/>
                </a:schemeClr>
              </a:gs>
              <a:gs pos="100000">
                <a:schemeClr val="accent2">
                  <a:lumMod val="60000"/>
                  <a:lumOff val="40000"/>
                </a:schemeClr>
              </a:gs>
            </a:gsLst>
            <a:lin ang="5400000" scaled="1"/>
          </a:gradFill>
          <a:ln w="19050">
            <a:solidFill>
              <a:schemeClr val="lt1"/>
            </a:solidFill>
          </a:ln>
          <a:effectLst/>
        </c:spPr>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3"/>
          </a:solidFill>
          <a:ln w="19050">
            <a:solidFill>
              <a:schemeClr val="lt1"/>
            </a:solidFill>
          </a:ln>
          <a:effectLst/>
        </c:spPr>
      </c:pivotFmt>
      <c:pivotFmt>
        <c:idx val="35"/>
        <c:spPr>
          <a:solidFill>
            <a:schemeClr val="accent3"/>
          </a:solidFill>
          <a:ln w="19050">
            <a:solidFill>
              <a:schemeClr val="lt1"/>
            </a:solidFill>
          </a:ln>
          <a:effectLst/>
        </c:spPr>
      </c:pivotFmt>
      <c:pivotFmt>
        <c:idx val="36"/>
        <c:spPr>
          <a:solidFill>
            <a:schemeClr val="accent3"/>
          </a:solidFill>
          <a:ln w="19050">
            <a:solidFill>
              <a:schemeClr val="lt1"/>
            </a:solidFill>
          </a:ln>
          <a:effectLst/>
        </c:spPr>
      </c:pivotFmt>
      <c:pivotFmt>
        <c:idx val="37"/>
        <c:spPr>
          <a:solidFill>
            <a:schemeClr val="accent3"/>
          </a:solidFill>
          <a:ln w="19050">
            <a:solidFill>
              <a:schemeClr val="lt1"/>
            </a:solidFill>
          </a:ln>
          <a:effectLst/>
        </c:spPr>
      </c:pivotFmt>
      <c:pivotFmt>
        <c:idx val="38"/>
        <c:spPr>
          <a:solidFill>
            <a:schemeClr val="accent3"/>
          </a:solidFill>
          <a:ln w="19050">
            <a:solidFill>
              <a:schemeClr val="lt1"/>
            </a:solidFill>
          </a:ln>
          <a:effectLst/>
        </c:spPr>
      </c:pivotFmt>
    </c:pivotFmts>
    <c:plotArea>
      <c:layout/>
      <c:barChart>
        <c:barDir val="bar"/>
        <c:grouping val="clustered"/>
        <c:varyColors val="0"/>
        <c:ser>
          <c:idx val="0"/>
          <c:order val="0"/>
          <c:tx>
            <c:strRef>
              <c:f>Pivot_Analysis!$B$15</c:f>
              <c:strCache>
                <c:ptCount val="1"/>
                <c:pt idx="0">
                  <c:v>Sum of Revenue</c:v>
                </c:pt>
              </c:strCache>
            </c:strRef>
          </c:tx>
          <c:spPr>
            <a:gradFill>
              <a:gsLst>
                <a:gs pos="0">
                  <a:schemeClr val="accent1">
                    <a:lumMod val="50000"/>
                  </a:schemeClr>
                </a:gs>
                <a:gs pos="100000">
                  <a:schemeClr val="tx2">
                    <a:lumMod val="50000"/>
                    <a:lumOff val="50000"/>
                  </a:schemeClr>
                </a:gs>
              </a:gsLst>
              <a:lin ang="5400000" scaled="1"/>
            </a:gradFill>
            <a:ln w="19050">
              <a:solidFill>
                <a:schemeClr val="lt1"/>
              </a:solidFill>
            </a:ln>
            <a:effectLst/>
          </c:spPr>
          <c:invertIfNegative val="0"/>
          <c:dPt>
            <c:idx val="0"/>
            <c:invertIfNegative val="0"/>
            <c:bubble3D val="0"/>
            <c:spPr>
              <a:gradFill>
                <a:gsLst>
                  <a:gs pos="0">
                    <a:schemeClr val="accent1">
                      <a:lumMod val="50000"/>
                    </a:schemeClr>
                  </a:gs>
                  <a:gs pos="100000">
                    <a:schemeClr val="tx2">
                      <a:lumMod val="50000"/>
                      <a:lumOff val="50000"/>
                    </a:schemeClr>
                  </a:gs>
                </a:gsLst>
                <a:lin ang="5400000" scaled="1"/>
              </a:gradFill>
              <a:ln w="19050">
                <a:solidFill>
                  <a:schemeClr val="lt1"/>
                </a:solidFill>
              </a:ln>
              <a:effectLst/>
            </c:spPr>
            <c:extLst>
              <c:ext xmlns:c16="http://schemas.microsoft.com/office/drawing/2014/chart" uri="{C3380CC4-5D6E-409C-BE32-E72D297353CC}">
                <c16:uniqueId val="{00000001-FE1D-4BE1-AB36-251AC1E1FFCC}"/>
              </c:ext>
            </c:extLst>
          </c:dPt>
          <c:dPt>
            <c:idx val="1"/>
            <c:invertIfNegative val="0"/>
            <c:bubble3D val="0"/>
            <c:spPr>
              <a:gradFill>
                <a:gsLst>
                  <a:gs pos="0">
                    <a:schemeClr val="accent1">
                      <a:lumMod val="50000"/>
                    </a:schemeClr>
                  </a:gs>
                  <a:gs pos="100000">
                    <a:schemeClr val="tx2">
                      <a:lumMod val="50000"/>
                      <a:lumOff val="50000"/>
                    </a:schemeClr>
                  </a:gs>
                </a:gsLst>
                <a:lin ang="5400000" scaled="1"/>
              </a:gradFill>
              <a:ln w="19050">
                <a:solidFill>
                  <a:schemeClr val="lt1"/>
                </a:solidFill>
              </a:ln>
              <a:effectLst/>
            </c:spPr>
            <c:extLst>
              <c:ext xmlns:c16="http://schemas.microsoft.com/office/drawing/2014/chart" uri="{C3380CC4-5D6E-409C-BE32-E72D297353CC}">
                <c16:uniqueId val="{00000003-FE1D-4BE1-AB36-251AC1E1FFCC}"/>
              </c:ext>
            </c:extLst>
          </c:dPt>
          <c:dPt>
            <c:idx val="2"/>
            <c:invertIfNegative val="0"/>
            <c:bubble3D val="0"/>
            <c:spPr>
              <a:gradFill>
                <a:gsLst>
                  <a:gs pos="0">
                    <a:schemeClr val="accent1">
                      <a:lumMod val="50000"/>
                    </a:schemeClr>
                  </a:gs>
                  <a:gs pos="100000">
                    <a:schemeClr val="tx2">
                      <a:lumMod val="50000"/>
                      <a:lumOff val="50000"/>
                    </a:schemeClr>
                  </a:gs>
                </a:gsLst>
                <a:lin ang="5400000" scaled="1"/>
              </a:gradFill>
              <a:ln w="19050">
                <a:solidFill>
                  <a:schemeClr val="lt1"/>
                </a:solidFill>
              </a:ln>
              <a:effectLst/>
            </c:spPr>
            <c:extLst>
              <c:ext xmlns:c16="http://schemas.microsoft.com/office/drawing/2014/chart" uri="{C3380CC4-5D6E-409C-BE32-E72D297353CC}">
                <c16:uniqueId val="{00000005-FE1D-4BE1-AB36-251AC1E1FFCC}"/>
              </c:ext>
            </c:extLst>
          </c:dPt>
          <c:dPt>
            <c:idx val="3"/>
            <c:invertIfNegative val="0"/>
            <c:bubble3D val="0"/>
            <c:spPr>
              <a:gradFill>
                <a:gsLst>
                  <a:gs pos="0">
                    <a:schemeClr val="accent1">
                      <a:lumMod val="50000"/>
                    </a:schemeClr>
                  </a:gs>
                  <a:gs pos="100000">
                    <a:schemeClr val="tx2">
                      <a:lumMod val="50000"/>
                      <a:lumOff val="50000"/>
                    </a:schemeClr>
                  </a:gs>
                </a:gsLst>
                <a:lin ang="5400000" scaled="1"/>
              </a:gradFill>
              <a:ln w="19050">
                <a:solidFill>
                  <a:schemeClr val="lt1"/>
                </a:solidFill>
              </a:ln>
              <a:effectLst/>
            </c:spPr>
            <c:extLst>
              <c:ext xmlns:c16="http://schemas.microsoft.com/office/drawing/2014/chart" uri="{C3380CC4-5D6E-409C-BE32-E72D297353CC}">
                <c16:uniqueId val="{00000007-FE1D-4BE1-AB36-251AC1E1FFCC}"/>
              </c:ext>
            </c:extLst>
          </c:dPt>
          <c:dPt>
            <c:idx val="4"/>
            <c:invertIfNegative val="0"/>
            <c:bubble3D val="0"/>
            <c:spPr>
              <a:gradFill>
                <a:gsLst>
                  <a:gs pos="0">
                    <a:schemeClr val="accent1">
                      <a:lumMod val="50000"/>
                    </a:schemeClr>
                  </a:gs>
                  <a:gs pos="100000">
                    <a:schemeClr val="tx2">
                      <a:lumMod val="50000"/>
                      <a:lumOff val="50000"/>
                    </a:schemeClr>
                  </a:gs>
                </a:gsLst>
                <a:lin ang="5400000" scaled="1"/>
              </a:gradFill>
              <a:ln w="19050">
                <a:solidFill>
                  <a:schemeClr val="lt1"/>
                </a:solidFill>
              </a:ln>
              <a:effectLst/>
            </c:spPr>
            <c:extLst>
              <c:ext xmlns:c16="http://schemas.microsoft.com/office/drawing/2014/chart" uri="{C3380CC4-5D6E-409C-BE32-E72D297353CC}">
                <c16:uniqueId val="{00000009-FE1D-4BE1-AB36-251AC1E1FFCC}"/>
              </c:ext>
            </c:extLst>
          </c:dPt>
          <c:cat>
            <c:strRef>
              <c:f>Pivot_Analysis!$A$16:$A$21</c:f>
              <c:strCache>
                <c:ptCount val="5"/>
                <c:pt idx="0">
                  <c:v>Sales</c:v>
                </c:pt>
                <c:pt idx="1">
                  <c:v>Operations</c:v>
                </c:pt>
                <c:pt idx="2">
                  <c:v>Marketing</c:v>
                </c:pt>
                <c:pt idx="3">
                  <c:v>Finance</c:v>
                </c:pt>
                <c:pt idx="4">
                  <c:v>IT</c:v>
                </c:pt>
              </c:strCache>
            </c:strRef>
          </c:cat>
          <c:val>
            <c:numRef>
              <c:f>Pivot_Analysis!$B$16:$B$21</c:f>
              <c:numCache>
                <c:formatCode>_("₹"* #,##0.00_);_("₹"* \(#,##0.00\);_("₹"* "-"??_);_(@_)</c:formatCode>
                <c:ptCount val="5"/>
                <c:pt idx="0">
                  <c:v>11324025.960000006</c:v>
                </c:pt>
                <c:pt idx="1">
                  <c:v>5525491.1100000013</c:v>
                </c:pt>
                <c:pt idx="2">
                  <c:v>4440019.1399999997</c:v>
                </c:pt>
                <c:pt idx="3">
                  <c:v>3360643.6099999994</c:v>
                </c:pt>
                <c:pt idx="4">
                  <c:v>3425190.3399999994</c:v>
                </c:pt>
              </c:numCache>
            </c:numRef>
          </c:val>
          <c:extLst>
            <c:ext xmlns:c16="http://schemas.microsoft.com/office/drawing/2014/chart" uri="{C3380CC4-5D6E-409C-BE32-E72D297353CC}">
              <c16:uniqueId val="{0000000A-FE1D-4BE1-AB36-251AC1E1FFCC}"/>
            </c:ext>
          </c:extLst>
        </c:ser>
        <c:ser>
          <c:idx val="1"/>
          <c:order val="1"/>
          <c:tx>
            <c:strRef>
              <c:f>Pivot_Analysis!$C$15</c:f>
              <c:strCache>
                <c:ptCount val="1"/>
                <c:pt idx="0">
                  <c:v>Sum of Total Expense</c:v>
                </c:pt>
              </c:strCache>
            </c:strRef>
          </c:tx>
          <c:spPr>
            <a:gradFill>
              <a:gsLst>
                <a:gs pos="0">
                  <a:schemeClr val="accent2">
                    <a:lumMod val="50000"/>
                  </a:schemeClr>
                </a:gs>
                <a:gs pos="100000">
                  <a:schemeClr val="accent2">
                    <a:lumMod val="60000"/>
                    <a:lumOff val="40000"/>
                  </a:schemeClr>
                </a:gs>
              </a:gsLst>
              <a:lin ang="5400000" scaled="1"/>
            </a:gradFill>
            <a:ln w="19050">
              <a:solidFill>
                <a:schemeClr val="lt1"/>
              </a:solidFill>
            </a:ln>
            <a:effectLst/>
          </c:spPr>
          <c:invertIfNegative val="0"/>
          <c:dPt>
            <c:idx val="0"/>
            <c:invertIfNegative val="0"/>
            <c:bubble3D val="0"/>
            <c:spPr>
              <a:gradFill>
                <a:gsLst>
                  <a:gs pos="0">
                    <a:schemeClr val="accent2">
                      <a:lumMod val="50000"/>
                    </a:schemeClr>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C-FE1D-4BE1-AB36-251AC1E1FFCC}"/>
              </c:ext>
            </c:extLst>
          </c:dPt>
          <c:dPt>
            <c:idx val="1"/>
            <c:invertIfNegative val="0"/>
            <c:bubble3D val="0"/>
            <c:spPr>
              <a:gradFill>
                <a:gsLst>
                  <a:gs pos="0">
                    <a:schemeClr val="accent2">
                      <a:lumMod val="50000"/>
                    </a:schemeClr>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0E-FE1D-4BE1-AB36-251AC1E1FFCC}"/>
              </c:ext>
            </c:extLst>
          </c:dPt>
          <c:dPt>
            <c:idx val="2"/>
            <c:invertIfNegative val="0"/>
            <c:bubble3D val="0"/>
            <c:spPr>
              <a:gradFill>
                <a:gsLst>
                  <a:gs pos="0">
                    <a:schemeClr val="accent2">
                      <a:lumMod val="50000"/>
                    </a:schemeClr>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10-FE1D-4BE1-AB36-251AC1E1FFCC}"/>
              </c:ext>
            </c:extLst>
          </c:dPt>
          <c:dPt>
            <c:idx val="3"/>
            <c:invertIfNegative val="0"/>
            <c:bubble3D val="0"/>
            <c:spPr>
              <a:gradFill>
                <a:gsLst>
                  <a:gs pos="0">
                    <a:schemeClr val="accent2">
                      <a:lumMod val="50000"/>
                    </a:schemeClr>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12-FE1D-4BE1-AB36-251AC1E1FFCC}"/>
              </c:ext>
            </c:extLst>
          </c:dPt>
          <c:dPt>
            <c:idx val="4"/>
            <c:invertIfNegative val="0"/>
            <c:bubble3D val="0"/>
            <c:spPr>
              <a:gradFill>
                <a:gsLst>
                  <a:gs pos="0">
                    <a:schemeClr val="accent2">
                      <a:lumMod val="50000"/>
                    </a:schemeClr>
                  </a:gs>
                  <a:gs pos="100000">
                    <a:schemeClr val="accent2">
                      <a:lumMod val="60000"/>
                      <a:lumOff val="40000"/>
                    </a:schemeClr>
                  </a:gs>
                </a:gsLst>
                <a:lin ang="5400000" scaled="1"/>
              </a:gradFill>
              <a:ln w="19050">
                <a:solidFill>
                  <a:schemeClr val="lt1"/>
                </a:solidFill>
              </a:ln>
              <a:effectLst/>
            </c:spPr>
            <c:extLst>
              <c:ext xmlns:c16="http://schemas.microsoft.com/office/drawing/2014/chart" uri="{C3380CC4-5D6E-409C-BE32-E72D297353CC}">
                <c16:uniqueId val="{00000014-FE1D-4BE1-AB36-251AC1E1FFCC}"/>
              </c:ext>
            </c:extLst>
          </c:dPt>
          <c:cat>
            <c:strRef>
              <c:f>Pivot_Analysis!$A$16:$A$21</c:f>
              <c:strCache>
                <c:ptCount val="5"/>
                <c:pt idx="0">
                  <c:v>Sales</c:v>
                </c:pt>
                <c:pt idx="1">
                  <c:v>Operations</c:v>
                </c:pt>
                <c:pt idx="2">
                  <c:v>Marketing</c:v>
                </c:pt>
                <c:pt idx="3">
                  <c:v>Finance</c:v>
                </c:pt>
                <c:pt idx="4">
                  <c:v>IT</c:v>
                </c:pt>
              </c:strCache>
            </c:strRef>
          </c:cat>
          <c:val>
            <c:numRef>
              <c:f>Pivot_Analysis!$C$16:$C$21</c:f>
              <c:numCache>
                <c:formatCode>_("₹"* #,##0.00_);_("₹"* \(#,##0.00\);_("₹"* "-"??_);_(@_)</c:formatCode>
                <c:ptCount val="5"/>
                <c:pt idx="0">
                  <c:v>9704157.5100000072</c:v>
                </c:pt>
                <c:pt idx="1">
                  <c:v>4701121.6100000022</c:v>
                </c:pt>
                <c:pt idx="2">
                  <c:v>3787513.379999999</c:v>
                </c:pt>
                <c:pt idx="3">
                  <c:v>2877531.05</c:v>
                </c:pt>
                <c:pt idx="4">
                  <c:v>2955818.4900000007</c:v>
                </c:pt>
              </c:numCache>
            </c:numRef>
          </c:val>
          <c:extLst>
            <c:ext xmlns:c16="http://schemas.microsoft.com/office/drawing/2014/chart" uri="{C3380CC4-5D6E-409C-BE32-E72D297353CC}">
              <c16:uniqueId val="{00000015-FE1D-4BE1-AB36-251AC1E1FFCC}"/>
            </c:ext>
          </c:extLst>
        </c:ser>
        <c:ser>
          <c:idx val="2"/>
          <c:order val="2"/>
          <c:tx>
            <c:strRef>
              <c:f>Pivot_Analysis!$D$15</c:f>
              <c:strCache>
                <c:ptCount val="1"/>
                <c:pt idx="0">
                  <c:v>Sum of Net Profit</c:v>
                </c:pt>
              </c:strCache>
            </c:strRef>
          </c:tx>
          <c:spPr>
            <a:solidFill>
              <a:schemeClr val="accent3"/>
            </a:solidFill>
            <a:ln w="19050">
              <a:solidFill>
                <a:schemeClr val="lt1"/>
              </a:solidFill>
            </a:ln>
            <a:effectLst/>
          </c:spPr>
          <c:invertIfNegative val="0"/>
          <c:dPt>
            <c:idx val="0"/>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17-FE1D-4BE1-AB36-251AC1E1FFCC}"/>
              </c:ext>
            </c:extLst>
          </c:dPt>
          <c:dPt>
            <c:idx val="1"/>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19-FE1D-4BE1-AB36-251AC1E1FFCC}"/>
              </c:ext>
            </c:extLst>
          </c:dPt>
          <c:dPt>
            <c:idx val="2"/>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1B-FE1D-4BE1-AB36-251AC1E1FFCC}"/>
              </c:ext>
            </c:extLst>
          </c:dPt>
          <c:dPt>
            <c:idx val="3"/>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1D-FE1D-4BE1-AB36-251AC1E1FFCC}"/>
              </c:ext>
            </c:extLst>
          </c:dPt>
          <c:dPt>
            <c:idx val="4"/>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1F-FE1D-4BE1-AB36-251AC1E1FFCC}"/>
              </c:ext>
            </c:extLst>
          </c:dPt>
          <c:cat>
            <c:strRef>
              <c:f>Pivot_Analysis!$A$16:$A$21</c:f>
              <c:strCache>
                <c:ptCount val="5"/>
                <c:pt idx="0">
                  <c:v>Sales</c:v>
                </c:pt>
                <c:pt idx="1">
                  <c:v>Operations</c:v>
                </c:pt>
                <c:pt idx="2">
                  <c:v>Marketing</c:v>
                </c:pt>
                <c:pt idx="3">
                  <c:v>Finance</c:v>
                </c:pt>
                <c:pt idx="4">
                  <c:v>IT</c:v>
                </c:pt>
              </c:strCache>
            </c:strRef>
          </c:cat>
          <c:val>
            <c:numRef>
              <c:f>Pivot_Analysis!$D$16:$D$21</c:f>
              <c:numCache>
                <c:formatCode>_("₹"* #,##0.00_);_("₹"* \(#,##0.00\);_("₹"* "-"??_);_(@_)</c:formatCode>
                <c:ptCount val="5"/>
                <c:pt idx="0">
                  <c:v>1619868.4499999993</c:v>
                </c:pt>
                <c:pt idx="1">
                  <c:v>824369.5</c:v>
                </c:pt>
                <c:pt idx="2">
                  <c:v>652505.75999999978</c:v>
                </c:pt>
                <c:pt idx="3">
                  <c:v>483112.55999999988</c:v>
                </c:pt>
                <c:pt idx="4">
                  <c:v>469371.85</c:v>
                </c:pt>
              </c:numCache>
            </c:numRef>
          </c:val>
          <c:extLst>
            <c:ext xmlns:c16="http://schemas.microsoft.com/office/drawing/2014/chart" uri="{C3380CC4-5D6E-409C-BE32-E72D297353CC}">
              <c16:uniqueId val="{00000020-FE1D-4BE1-AB36-251AC1E1FFCC}"/>
            </c:ext>
          </c:extLst>
        </c:ser>
        <c:dLbls>
          <c:showLegendKey val="0"/>
          <c:showVal val="0"/>
          <c:showCatName val="0"/>
          <c:showSerName val="0"/>
          <c:showPercent val="0"/>
          <c:showBubbleSize val="0"/>
        </c:dLbls>
        <c:gapWidth val="100"/>
        <c:axId val="1900462480"/>
        <c:axId val="1783323248"/>
      </c:barChart>
      <c:valAx>
        <c:axId val="178332324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0462480"/>
        <c:crosses val="autoZero"/>
        <c:crossBetween val="between"/>
      </c:valAx>
      <c:catAx>
        <c:axId val="1900462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33232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tx2">
            <a:lumMod val="10000"/>
            <a:lumOff val="90000"/>
          </a:schemeClr>
        </a:gs>
        <a:gs pos="100000">
          <a:schemeClr val="bg1">
            <a:lumMod val="8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[Financial_Performance_Dashboard_Advanced_Excel.xlsx.xlsx]Pivot_Analysis!Budget Vs Actual Performance Pivot</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0"/>
                </a:schemeClr>
              </a:gs>
              <a:gs pos="100000">
                <a:schemeClr val="tx2">
                  <a:lumMod val="50000"/>
                  <a:lumOff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0">
                <a:schemeClr val="accent2">
                  <a:lumMod val="50000"/>
                </a:schemeClr>
              </a:gs>
              <a:gs pos="100000">
                <a:schemeClr val="accent2">
                  <a:lumMod val="60000"/>
                  <a:lumOff val="4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0">
                <a:schemeClr val="accent1">
                  <a:lumMod val="50000"/>
                </a:schemeClr>
              </a:gs>
              <a:gs pos="100000">
                <a:schemeClr val="tx2">
                  <a:lumMod val="50000"/>
                  <a:lumOff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chemeClr val="accent2">
                  <a:lumMod val="50000"/>
                </a:schemeClr>
              </a:gs>
              <a:gs pos="100000">
                <a:schemeClr val="accent2">
                  <a:lumMod val="60000"/>
                  <a:lumOff val="4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0">
                <a:schemeClr val="accent1">
                  <a:lumMod val="50000"/>
                </a:schemeClr>
              </a:gs>
              <a:gs pos="100000">
                <a:schemeClr val="tx2">
                  <a:lumMod val="50000"/>
                  <a:lumOff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0">
                <a:schemeClr val="accent2">
                  <a:lumMod val="50000"/>
                </a:schemeClr>
              </a:gs>
              <a:gs pos="100000">
                <a:schemeClr val="accent2">
                  <a:lumMod val="60000"/>
                  <a:lumOff val="4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Pivot_Analysis!$G$15</c:f>
              <c:strCache>
                <c:ptCount val="1"/>
                <c:pt idx="0">
                  <c:v>Sum of Revenue</c:v>
                </c:pt>
              </c:strCache>
            </c:strRef>
          </c:tx>
          <c:spPr>
            <a:gradFill>
              <a:gsLst>
                <a:gs pos="0">
                  <a:schemeClr val="accent1">
                    <a:lumMod val="50000"/>
                  </a:schemeClr>
                </a:gs>
                <a:gs pos="100000">
                  <a:schemeClr val="tx2">
                    <a:lumMod val="50000"/>
                    <a:lumOff val="50000"/>
                  </a:schemeClr>
                </a:gs>
              </a:gsLst>
              <a:lin ang="5400000" scaled="0"/>
            </a:gradFill>
            <a:ln>
              <a:noFill/>
            </a:ln>
            <a:effectLst/>
          </c:spPr>
          <c:invertIfNegative val="0"/>
          <c:cat>
            <c:strRef>
              <c:f>Pivot_Analysis!$F$16:$F$21</c:f>
              <c:strCache>
                <c:ptCount val="5"/>
                <c:pt idx="0">
                  <c:v>Central</c:v>
                </c:pt>
                <c:pt idx="1">
                  <c:v>East</c:v>
                </c:pt>
                <c:pt idx="2">
                  <c:v>North</c:v>
                </c:pt>
                <c:pt idx="3">
                  <c:v>South</c:v>
                </c:pt>
                <c:pt idx="4">
                  <c:v>West</c:v>
                </c:pt>
              </c:strCache>
            </c:strRef>
          </c:cat>
          <c:val>
            <c:numRef>
              <c:f>Pivot_Analysis!$G$16:$G$21</c:f>
              <c:numCache>
                <c:formatCode>_("₹"* #,##0.00_);_("₹"* \(#,##0.00\);_("₹"* "-"??_);_(@_)</c:formatCode>
                <c:ptCount val="5"/>
                <c:pt idx="0">
                  <c:v>3662391.2900000005</c:v>
                </c:pt>
                <c:pt idx="1">
                  <c:v>5352186.6099999985</c:v>
                </c:pt>
                <c:pt idx="2">
                  <c:v>5755442.330000001</c:v>
                </c:pt>
                <c:pt idx="3">
                  <c:v>5236399.6099999994</c:v>
                </c:pt>
                <c:pt idx="4">
                  <c:v>8068950.3199999966</c:v>
                </c:pt>
              </c:numCache>
            </c:numRef>
          </c:val>
          <c:extLst>
            <c:ext xmlns:c16="http://schemas.microsoft.com/office/drawing/2014/chart" uri="{C3380CC4-5D6E-409C-BE32-E72D297353CC}">
              <c16:uniqueId val="{00000000-82FA-4525-908D-881DC3EDA03D}"/>
            </c:ext>
          </c:extLst>
        </c:ser>
        <c:ser>
          <c:idx val="1"/>
          <c:order val="1"/>
          <c:tx>
            <c:strRef>
              <c:f>Pivot_Analysis!$H$15</c:f>
              <c:strCache>
                <c:ptCount val="1"/>
                <c:pt idx="0">
                  <c:v>Sum of Budget Revenue</c:v>
                </c:pt>
              </c:strCache>
            </c:strRef>
          </c:tx>
          <c:spPr>
            <a:gradFill>
              <a:gsLst>
                <a:gs pos="0">
                  <a:schemeClr val="accent2">
                    <a:lumMod val="50000"/>
                  </a:schemeClr>
                </a:gs>
                <a:gs pos="100000">
                  <a:schemeClr val="accent2">
                    <a:lumMod val="60000"/>
                    <a:lumOff val="40000"/>
                  </a:schemeClr>
                </a:gs>
              </a:gsLst>
              <a:lin ang="5400000" scaled="0"/>
            </a:gradFill>
            <a:ln>
              <a:noFill/>
            </a:ln>
            <a:effectLst/>
          </c:spPr>
          <c:invertIfNegative val="0"/>
          <c:cat>
            <c:strRef>
              <c:f>Pivot_Analysis!$F$16:$F$21</c:f>
              <c:strCache>
                <c:ptCount val="5"/>
                <c:pt idx="0">
                  <c:v>Central</c:v>
                </c:pt>
                <c:pt idx="1">
                  <c:v>East</c:v>
                </c:pt>
                <c:pt idx="2">
                  <c:v>North</c:v>
                </c:pt>
                <c:pt idx="3">
                  <c:v>South</c:v>
                </c:pt>
                <c:pt idx="4">
                  <c:v>West</c:v>
                </c:pt>
              </c:strCache>
            </c:strRef>
          </c:cat>
          <c:val>
            <c:numRef>
              <c:f>Pivot_Analysis!$H$16:$H$21</c:f>
              <c:numCache>
                <c:formatCode>_("₹"* #,##0.00_);_("₹"* \(#,##0.00\);_("₹"* "-"??_);_(@_)</c:formatCode>
                <c:ptCount val="5"/>
                <c:pt idx="0">
                  <c:v>3801955.4599999995</c:v>
                </c:pt>
                <c:pt idx="1">
                  <c:v>5499615.8700000029</c:v>
                </c:pt>
                <c:pt idx="2">
                  <c:v>6052506.7800000012</c:v>
                </c:pt>
                <c:pt idx="3">
                  <c:v>5380990.8899999987</c:v>
                </c:pt>
                <c:pt idx="4">
                  <c:v>8390805.7100000028</c:v>
                </c:pt>
              </c:numCache>
            </c:numRef>
          </c:val>
          <c:extLst>
            <c:ext xmlns:c16="http://schemas.microsoft.com/office/drawing/2014/chart" uri="{C3380CC4-5D6E-409C-BE32-E72D297353CC}">
              <c16:uniqueId val="{00000001-82FA-4525-908D-881DC3EDA03D}"/>
            </c:ext>
          </c:extLst>
        </c:ser>
        <c:ser>
          <c:idx val="2"/>
          <c:order val="2"/>
          <c:tx>
            <c:strRef>
              <c:f>Pivot_Analysis!$I$15</c:f>
              <c:strCache>
                <c:ptCount val="1"/>
                <c:pt idx="0">
                  <c:v>Sum of Budget Variance</c:v>
                </c:pt>
              </c:strCache>
            </c:strRef>
          </c:tx>
          <c:spPr>
            <a:solidFill>
              <a:schemeClr val="accent3"/>
            </a:solidFill>
            <a:ln>
              <a:noFill/>
            </a:ln>
            <a:effectLst/>
          </c:spPr>
          <c:invertIfNegative val="0"/>
          <c:cat>
            <c:strRef>
              <c:f>Pivot_Analysis!$F$16:$F$21</c:f>
              <c:strCache>
                <c:ptCount val="5"/>
                <c:pt idx="0">
                  <c:v>Central</c:v>
                </c:pt>
                <c:pt idx="1">
                  <c:v>East</c:v>
                </c:pt>
                <c:pt idx="2">
                  <c:v>North</c:v>
                </c:pt>
                <c:pt idx="3">
                  <c:v>South</c:v>
                </c:pt>
                <c:pt idx="4">
                  <c:v>West</c:v>
                </c:pt>
              </c:strCache>
            </c:strRef>
          </c:cat>
          <c:val>
            <c:numRef>
              <c:f>Pivot_Analysis!$I$16:$I$21</c:f>
              <c:numCache>
                <c:formatCode>_("₹"* #,##0.00_);_("₹"* \(#,##0.00\);_("₹"* "-"??_);_(@_)</c:formatCode>
                <c:ptCount val="5"/>
                <c:pt idx="0">
                  <c:v>-139564.1700000001</c:v>
                </c:pt>
                <c:pt idx="1">
                  <c:v>-147429.27000000014</c:v>
                </c:pt>
                <c:pt idx="2">
                  <c:v>-297064.4599999999</c:v>
                </c:pt>
                <c:pt idx="3">
                  <c:v>-144591.28000000006</c:v>
                </c:pt>
                <c:pt idx="4">
                  <c:v>-321855.45999999985</c:v>
                </c:pt>
              </c:numCache>
            </c:numRef>
          </c:val>
          <c:extLst>
            <c:ext xmlns:c16="http://schemas.microsoft.com/office/drawing/2014/chart" uri="{C3380CC4-5D6E-409C-BE32-E72D297353CC}">
              <c16:uniqueId val="{00000002-82FA-4525-908D-881DC3EDA03D}"/>
            </c:ext>
          </c:extLst>
        </c:ser>
        <c:dLbls>
          <c:showLegendKey val="0"/>
          <c:showVal val="0"/>
          <c:showCatName val="0"/>
          <c:showSerName val="0"/>
          <c:showPercent val="0"/>
          <c:showBubbleSize val="0"/>
        </c:dLbls>
        <c:gapWidth val="219"/>
        <c:overlap val="100"/>
        <c:axId val="1232425344"/>
        <c:axId val="879373744"/>
      </c:barChart>
      <c:catAx>
        <c:axId val="1232425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Regional</a:t>
                </a:r>
                <a:r>
                  <a:rPr lang="en-IN" b="1" baseline="0"/>
                  <a:t> Performance</a:t>
                </a:r>
                <a:endParaRPr lang="en-IN" b="1"/>
              </a:p>
            </c:rich>
          </c:tx>
          <c:layout>
            <c:manualLayout>
              <c:xMode val="edge"/>
              <c:yMode val="edge"/>
              <c:x val="0.35317306227918266"/>
              <c:y val="0.81837513638093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79373744"/>
        <c:crosses val="autoZero"/>
        <c:auto val="1"/>
        <c:lblAlgn val="ctr"/>
        <c:lblOffset val="100"/>
        <c:noMultiLvlLbl val="0"/>
      </c:catAx>
      <c:valAx>
        <c:axId val="8793737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242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85000"/>
          </a:schemeClr>
        </a:gs>
        <a:gs pos="100000">
          <a:schemeClr val="tx2">
            <a:lumMod val="10000"/>
            <a:lumOff val="90000"/>
          </a:schemeClr>
        </a:gs>
      </a:gsLst>
      <a:lin ang="54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[Financial_Performance_Dashboard_Advanced_Excel.xlsx.xlsx]Pivot_Analysis!Monthly Revenue Performance Pivot</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gradFill>
              <a:gsLst>
                <a:gs pos="0">
                  <a:schemeClr val="tx2">
                    <a:lumMod val="90000"/>
                    <a:lumOff val="10000"/>
                  </a:schemeClr>
                </a:gs>
                <a:gs pos="100000">
                  <a:schemeClr val="tx2">
                    <a:lumMod val="50000"/>
                    <a:lumOff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gradFill>
              <a:gsLst>
                <a:gs pos="0">
                  <a:schemeClr val="accent5">
                    <a:lumMod val="75000"/>
                  </a:schemeClr>
                </a:gs>
                <a:gs pos="100000">
                  <a:schemeClr val="accent5">
                    <a:lumMod val="40000"/>
                    <a:lumOff val="60000"/>
                  </a:schemeClr>
                </a:gs>
              </a:gsLst>
              <a:lin ang="7200000" scaled="0"/>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gradFill>
              <a:gsLst>
                <a:gs pos="0">
                  <a:schemeClr val="tx2">
                    <a:lumMod val="90000"/>
                    <a:lumOff val="10000"/>
                  </a:schemeClr>
                </a:gs>
                <a:gs pos="100000">
                  <a:schemeClr val="tx2">
                    <a:lumMod val="50000"/>
                    <a:lumOff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gradFill>
              <a:gsLst>
                <a:gs pos="0">
                  <a:schemeClr val="accent5">
                    <a:lumMod val="75000"/>
                  </a:schemeClr>
                </a:gs>
                <a:gs pos="100000">
                  <a:schemeClr val="accent5">
                    <a:lumMod val="40000"/>
                    <a:lumOff val="60000"/>
                  </a:schemeClr>
                </a:gs>
              </a:gsLst>
              <a:lin ang="7200000" scaled="0"/>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gradFill>
              <a:gsLst>
                <a:gs pos="0">
                  <a:schemeClr val="tx2">
                    <a:lumMod val="90000"/>
                    <a:lumOff val="10000"/>
                  </a:schemeClr>
                </a:gs>
                <a:gs pos="100000">
                  <a:schemeClr val="tx2">
                    <a:lumMod val="50000"/>
                    <a:lumOff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gradFill>
              <a:gsLst>
                <a:gs pos="0">
                  <a:schemeClr val="accent5">
                    <a:lumMod val="75000"/>
                  </a:schemeClr>
                </a:gs>
                <a:gs pos="100000">
                  <a:schemeClr val="accent5">
                    <a:lumMod val="40000"/>
                    <a:lumOff val="60000"/>
                  </a:schemeClr>
                </a:gs>
              </a:gsLst>
              <a:lin ang="7200000" scaled="0"/>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gradFill>
              <a:gsLst>
                <a:gs pos="0">
                  <a:schemeClr val="tx2">
                    <a:lumMod val="90000"/>
                    <a:lumOff val="10000"/>
                  </a:schemeClr>
                </a:gs>
                <a:gs pos="100000">
                  <a:schemeClr val="tx2">
                    <a:lumMod val="50000"/>
                    <a:lumOff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gradFill>
              <a:gsLst>
                <a:gs pos="0">
                  <a:schemeClr val="accent5">
                    <a:lumMod val="75000"/>
                  </a:schemeClr>
                </a:gs>
                <a:gs pos="100000">
                  <a:schemeClr val="accent5">
                    <a:lumMod val="40000"/>
                    <a:lumOff val="60000"/>
                  </a:schemeClr>
                </a:gs>
              </a:gsLst>
              <a:lin ang="7200000" scaled="0"/>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gradFill>
              <a:gsLst>
                <a:gs pos="0">
                  <a:schemeClr val="tx2">
                    <a:lumMod val="90000"/>
                    <a:lumOff val="10000"/>
                  </a:schemeClr>
                </a:gs>
                <a:gs pos="100000">
                  <a:schemeClr val="tx2">
                    <a:lumMod val="50000"/>
                    <a:lumOff val="5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gradFill>
              <a:gsLst>
                <a:gs pos="0">
                  <a:schemeClr val="accent5">
                    <a:lumMod val="75000"/>
                  </a:schemeClr>
                </a:gs>
                <a:gs pos="100000">
                  <a:schemeClr val="accent5">
                    <a:lumMod val="40000"/>
                    <a:lumOff val="60000"/>
                  </a:schemeClr>
                </a:gs>
              </a:gsLst>
              <a:lin ang="7200000" scaled="0"/>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Pivot_Analysis!$L$5</c:f>
              <c:strCache>
                <c:ptCount val="1"/>
                <c:pt idx="0">
                  <c:v>Sum of Revenue</c:v>
                </c:pt>
              </c:strCache>
            </c:strRef>
          </c:tx>
          <c:spPr>
            <a:ln w="28575" cap="rnd">
              <a:gradFill>
                <a:gsLst>
                  <a:gs pos="0">
                    <a:schemeClr val="tx2">
                      <a:lumMod val="90000"/>
                      <a:lumOff val="10000"/>
                    </a:schemeClr>
                  </a:gs>
                  <a:gs pos="100000">
                    <a:schemeClr val="tx2">
                      <a:lumMod val="50000"/>
                      <a:lumOff val="50000"/>
                    </a:schemeClr>
                  </a:gs>
                </a:gsLst>
                <a:lin ang="5400000" scaled="1"/>
              </a:gradFill>
              <a:round/>
            </a:ln>
            <a:effectLst/>
          </c:spPr>
          <c:marker>
            <c:symbol val="none"/>
          </c:marker>
          <c:cat>
            <c:strRef>
              <c:f>Pivot_Analysis!$K$6:$K$18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Pivot_Analysis!$L$6:$L$18</c:f>
              <c:numCache>
                <c:formatCode>_("₹"* #,##0.00_);_("₹"* \(#,##0.00\);_("₹"* "-"??_);_(@_)</c:formatCode>
                <c:ptCount val="12"/>
                <c:pt idx="0">
                  <c:v>2181355.64</c:v>
                </c:pt>
                <c:pt idx="1">
                  <c:v>1911886.88</c:v>
                </c:pt>
                <c:pt idx="2">
                  <c:v>2601921.38</c:v>
                </c:pt>
                <c:pt idx="3">
                  <c:v>2623230.9700000007</c:v>
                </c:pt>
                <c:pt idx="4">
                  <c:v>2589723.3199999989</c:v>
                </c:pt>
                <c:pt idx="5">
                  <c:v>1864173.1099999996</c:v>
                </c:pt>
                <c:pt idx="6">
                  <c:v>2377772.3900000006</c:v>
                </c:pt>
                <c:pt idx="7">
                  <c:v>2205648.2700000005</c:v>
                </c:pt>
                <c:pt idx="8">
                  <c:v>2117877.86</c:v>
                </c:pt>
                <c:pt idx="9">
                  <c:v>2173483.1400000006</c:v>
                </c:pt>
                <c:pt idx="10">
                  <c:v>2665320.71</c:v>
                </c:pt>
                <c:pt idx="11">
                  <c:v>2762976.4899999988</c:v>
                </c:pt>
              </c:numCache>
            </c:numRef>
          </c:val>
          <c:smooth val="0"/>
          <c:extLst>
            <c:ext xmlns:c16="http://schemas.microsoft.com/office/drawing/2014/chart" uri="{C3380CC4-5D6E-409C-BE32-E72D297353CC}">
              <c16:uniqueId val="{00000000-FC71-42C8-AA40-B9D0D147AB65}"/>
            </c:ext>
          </c:extLst>
        </c:ser>
        <c:ser>
          <c:idx val="1"/>
          <c:order val="1"/>
          <c:tx>
            <c:strRef>
              <c:f>Pivot_Analysis!$M$5</c:f>
              <c:strCache>
                <c:ptCount val="1"/>
                <c:pt idx="0">
                  <c:v>Sum of Budget Revenue</c:v>
                </c:pt>
              </c:strCache>
            </c:strRef>
          </c:tx>
          <c:spPr>
            <a:ln w="28575" cap="rnd">
              <a:gradFill>
                <a:gsLst>
                  <a:gs pos="0">
                    <a:schemeClr val="accent5">
                      <a:lumMod val="75000"/>
                    </a:schemeClr>
                  </a:gs>
                  <a:gs pos="100000">
                    <a:schemeClr val="accent5">
                      <a:lumMod val="40000"/>
                      <a:lumOff val="60000"/>
                    </a:schemeClr>
                  </a:gs>
                </a:gsLst>
                <a:lin ang="7200000" scaled="0"/>
              </a:gradFill>
              <a:round/>
            </a:ln>
            <a:effectLst/>
          </c:spPr>
          <c:marker>
            <c:symbol val="none"/>
          </c:marker>
          <c:cat>
            <c:strRef>
              <c:f>Pivot_Analysis!$K$6:$K$18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Pivot_Analysis!$M$6:$M$18</c:f>
              <c:numCache>
                <c:formatCode>_("₹"* #,##0.00_);_("₹"* \(#,##0.00\);_("₹"* "-"??_);_(@_)</c:formatCode>
                <c:ptCount val="12"/>
                <c:pt idx="0">
                  <c:v>2276512.06</c:v>
                </c:pt>
                <c:pt idx="1">
                  <c:v>1968499.2399999998</c:v>
                </c:pt>
                <c:pt idx="2">
                  <c:v>2683466.8999999994</c:v>
                </c:pt>
                <c:pt idx="3">
                  <c:v>2718448.2700000014</c:v>
                </c:pt>
                <c:pt idx="4">
                  <c:v>2707793.3</c:v>
                </c:pt>
                <c:pt idx="5">
                  <c:v>1904464.2100000009</c:v>
                </c:pt>
                <c:pt idx="6">
                  <c:v>2489475.1100000003</c:v>
                </c:pt>
                <c:pt idx="7">
                  <c:v>2253578.56</c:v>
                </c:pt>
                <c:pt idx="8">
                  <c:v>2200483.0299999998</c:v>
                </c:pt>
                <c:pt idx="9">
                  <c:v>2284313.09</c:v>
                </c:pt>
                <c:pt idx="10">
                  <c:v>2766859.120000001</c:v>
                </c:pt>
                <c:pt idx="11">
                  <c:v>2871981.8199999994</c:v>
                </c:pt>
              </c:numCache>
            </c:numRef>
          </c:val>
          <c:smooth val="0"/>
          <c:extLst>
            <c:ext xmlns:c16="http://schemas.microsoft.com/office/drawing/2014/chart" uri="{C3380CC4-5D6E-409C-BE32-E72D297353CC}">
              <c16:uniqueId val="{00000001-FC71-42C8-AA40-B9D0D147AB65}"/>
            </c:ext>
          </c:extLst>
        </c:ser>
        <c:dLbls>
          <c:showLegendKey val="0"/>
          <c:showVal val="0"/>
          <c:showCatName val="0"/>
          <c:showSerName val="0"/>
          <c:showPercent val="0"/>
          <c:showBubbleSize val="0"/>
        </c:dLbls>
        <c:smooth val="0"/>
        <c:axId val="1732317328"/>
        <c:axId val="1696892208"/>
      </c:lineChart>
      <c:catAx>
        <c:axId val="1732317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MONTHLY REVENUE PERFORMANCE</a:t>
                </a:r>
              </a:p>
            </c:rich>
          </c:tx>
          <c:layout>
            <c:manualLayout>
              <c:xMode val="edge"/>
              <c:yMode val="edge"/>
              <c:x val="0.30051109345615301"/>
              <c:y val="0.803520553396227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6892208"/>
        <c:crosses val="autoZero"/>
        <c:auto val="1"/>
        <c:lblAlgn val="ctr"/>
        <c:lblOffset val="100"/>
        <c:noMultiLvlLbl val="0"/>
      </c:catAx>
      <c:valAx>
        <c:axId val="16968922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231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lumMod val="85000"/>
          </a:schemeClr>
        </a:gs>
        <a:gs pos="100000">
          <a:schemeClr val="tx2">
            <a:lumMod val="10000"/>
            <a:lumOff val="9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image" Target="../media/image26.sv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32" Type="http://schemas.openxmlformats.org/officeDocument/2006/relationships/image" Target="../media/image32.sv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svg"/><Relationship Id="rId10" Type="http://schemas.openxmlformats.org/officeDocument/2006/relationships/image" Target="../media/image10.sv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 Id="rId27" Type="http://schemas.openxmlformats.org/officeDocument/2006/relationships/image" Target="../media/image27.png"/><Relationship Id="rId30" Type="http://schemas.openxmlformats.org/officeDocument/2006/relationships/image" Target="../media/image30.sv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5</xdr:col>
      <xdr:colOff>117691</xdr:colOff>
      <xdr:row>0</xdr:row>
      <xdr:rowOff>17393</xdr:rowOff>
    </xdr:from>
    <xdr:to>
      <xdr:col>5</xdr:col>
      <xdr:colOff>509034</xdr:colOff>
      <xdr:row>1</xdr:row>
      <xdr:rowOff>2251</xdr:rowOff>
    </xdr:to>
    <xdr:pic>
      <xdr:nvPicPr>
        <xdr:cNvPr id="3" name="Graphic 2" descr="Bar graph with upward trend with solid fill">
          <a:extLst>
            <a:ext uri="{FF2B5EF4-FFF2-40B4-BE49-F238E27FC236}">
              <a16:creationId xmlns:a16="http://schemas.microsoft.com/office/drawing/2014/main" id="{D91D7CCB-214F-77A4-57D9-9DBFBD734A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27856" y="17393"/>
          <a:ext cx="391343" cy="361671"/>
        </a:xfrm>
        <a:prstGeom prst="rect">
          <a:avLst/>
        </a:prstGeom>
      </xdr:spPr>
    </xdr:pic>
    <xdr:clientData/>
  </xdr:twoCellAnchor>
  <xdr:twoCellAnchor>
    <xdr:from>
      <xdr:col>1</xdr:col>
      <xdr:colOff>39054</xdr:colOff>
      <xdr:row>46</xdr:row>
      <xdr:rowOff>94196</xdr:rowOff>
    </xdr:from>
    <xdr:to>
      <xdr:col>14</xdr:col>
      <xdr:colOff>762127</xdr:colOff>
      <xdr:row>50</xdr:row>
      <xdr:rowOff>20959</xdr:rowOff>
    </xdr:to>
    <xdr:grpSp>
      <xdr:nvGrpSpPr>
        <xdr:cNvPr id="11" name="Group 10">
          <a:extLst>
            <a:ext uri="{FF2B5EF4-FFF2-40B4-BE49-F238E27FC236}">
              <a16:creationId xmlns:a16="http://schemas.microsoft.com/office/drawing/2014/main" id="{2B4A1DA3-460E-DC70-ADB9-FDF587FA05B4}"/>
            </a:ext>
          </a:extLst>
        </xdr:cNvPr>
        <xdr:cNvGrpSpPr/>
      </xdr:nvGrpSpPr>
      <xdr:grpSpPr>
        <a:xfrm>
          <a:off x="424335" y="9373044"/>
          <a:ext cx="13758410" cy="665218"/>
          <a:chOff x="422356" y="9431191"/>
          <a:chExt cx="13121648" cy="581172"/>
        </a:xfrm>
      </xdr:grpSpPr>
      <xdr:sp macro="" textlink="">
        <xdr:nvSpPr>
          <xdr:cNvPr id="2" name="TextBox 1">
            <a:extLst>
              <a:ext uri="{FF2B5EF4-FFF2-40B4-BE49-F238E27FC236}">
                <a16:creationId xmlns:a16="http://schemas.microsoft.com/office/drawing/2014/main" id="{A08FC3DA-09D7-FAAF-D908-C95AD236594C}"/>
              </a:ext>
            </a:extLst>
          </xdr:cNvPr>
          <xdr:cNvSpPr txBox="1"/>
        </xdr:nvSpPr>
        <xdr:spPr>
          <a:xfrm>
            <a:off x="422356" y="9467608"/>
            <a:ext cx="1556880" cy="544755"/>
          </a:xfrm>
          <a:prstGeom prst="rect">
            <a:avLst/>
          </a:prstGeom>
          <a:solidFill>
            <a:schemeClr val="bg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accent3">
                    <a:lumMod val="75000"/>
                  </a:schemeClr>
                </a:solidFill>
              </a:rPr>
              <a:t> Highest Revenue</a:t>
            </a:r>
          </a:p>
          <a:p>
            <a:r>
              <a:rPr lang="en-IN" sz="1400" b="1">
                <a:solidFill>
                  <a:schemeClr val="accent3">
                    <a:lumMod val="75000"/>
                  </a:schemeClr>
                </a:solidFill>
              </a:rPr>
              <a:t>          </a:t>
            </a:r>
            <a:r>
              <a:rPr lang="en-IN" sz="1400" b="1" baseline="0">
                <a:solidFill>
                  <a:schemeClr val="accent3">
                    <a:lumMod val="75000"/>
                  </a:schemeClr>
                </a:solidFill>
              </a:rPr>
              <a:t> Region</a:t>
            </a:r>
          </a:p>
          <a:p>
            <a:endParaRPr lang="en-IN" sz="1400" b="1">
              <a:solidFill>
                <a:schemeClr val="accent3">
                  <a:lumMod val="75000"/>
                </a:schemeClr>
              </a:solidFill>
            </a:endParaRPr>
          </a:p>
        </xdr:txBody>
      </xdr:sp>
      <xdr:sp macro="" textlink="">
        <xdr:nvSpPr>
          <xdr:cNvPr id="4" name="TextBox 3">
            <a:extLst>
              <a:ext uri="{FF2B5EF4-FFF2-40B4-BE49-F238E27FC236}">
                <a16:creationId xmlns:a16="http://schemas.microsoft.com/office/drawing/2014/main" id="{D1CC710C-BE89-4C11-BCDD-D4F0DDC8F3B1}"/>
              </a:ext>
            </a:extLst>
          </xdr:cNvPr>
          <xdr:cNvSpPr txBox="1"/>
        </xdr:nvSpPr>
        <xdr:spPr>
          <a:xfrm>
            <a:off x="2102119" y="9467608"/>
            <a:ext cx="1518047" cy="528693"/>
          </a:xfrm>
          <a:prstGeom prst="rect">
            <a:avLst/>
          </a:prstGeom>
          <a:solidFill>
            <a:schemeClr val="bg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C00000"/>
                </a:solidFill>
              </a:rPr>
              <a:t> Lowest Revenue</a:t>
            </a:r>
          </a:p>
          <a:p>
            <a:r>
              <a:rPr lang="en-IN" sz="1400" b="1">
                <a:solidFill>
                  <a:srgbClr val="C00000"/>
                </a:solidFill>
              </a:rPr>
              <a:t>           Region</a:t>
            </a:r>
          </a:p>
        </xdr:txBody>
      </xdr:sp>
      <xdr:sp macro="" textlink="">
        <xdr:nvSpPr>
          <xdr:cNvPr id="5" name="TextBox 4">
            <a:extLst>
              <a:ext uri="{FF2B5EF4-FFF2-40B4-BE49-F238E27FC236}">
                <a16:creationId xmlns:a16="http://schemas.microsoft.com/office/drawing/2014/main" id="{721D31ED-B629-4C03-902E-88E6C73EF0B4}"/>
              </a:ext>
            </a:extLst>
          </xdr:cNvPr>
          <xdr:cNvSpPr txBox="1"/>
        </xdr:nvSpPr>
        <xdr:spPr>
          <a:xfrm>
            <a:off x="3744011" y="9440148"/>
            <a:ext cx="1518047" cy="556149"/>
          </a:xfrm>
          <a:prstGeom prst="rect">
            <a:avLst/>
          </a:prstGeom>
          <a:solidFill>
            <a:schemeClr val="bg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accent3">
                    <a:lumMod val="75000"/>
                  </a:schemeClr>
                </a:solidFill>
              </a:rPr>
              <a:t>  Highest</a:t>
            </a:r>
            <a:r>
              <a:rPr lang="en-IN" sz="1400" b="1" baseline="0">
                <a:solidFill>
                  <a:schemeClr val="accent3">
                    <a:lumMod val="75000"/>
                  </a:schemeClr>
                </a:solidFill>
              </a:rPr>
              <a:t> Profit </a:t>
            </a:r>
          </a:p>
          <a:p>
            <a:r>
              <a:rPr lang="en-IN" sz="1400" b="1" baseline="0">
                <a:solidFill>
                  <a:schemeClr val="accent3">
                    <a:lumMod val="75000"/>
                  </a:schemeClr>
                </a:solidFill>
              </a:rPr>
              <a:t>            Month</a:t>
            </a:r>
            <a:endParaRPr lang="en-IN" sz="1400" b="1">
              <a:solidFill>
                <a:schemeClr val="accent3">
                  <a:lumMod val="75000"/>
                </a:schemeClr>
              </a:solidFill>
            </a:endParaRPr>
          </a:p>
        </xdr:txBody>
      </xdr:sp>
      <xdr:sp macro="" textlink="">
        <xdr:nvSpPr>
          <xdr:cNvPr id="6" name="TextBox 5">
            <a:extLst>
              <a:ext uri="{FF2B5EF4-FFF2-40B4-BE49-F238E27FC236}">
                <a16:creationId xmlns:a16="http://schemas.microsoft.com/office/drawing/2014/main" id="{58B65ADB-3E22-466E-A598-1136C30CDCDC}"/>
              </a:ext>
            </a:extLst>
          </xdr:cNvPr>
          <xdr:cNvSpPr txBox="1"/>
        </xdr:nvSpPr>
        <xdr:spPr>
          <a:xfrm>
            <a:off x="5388509" y="9449942"/>
            <a:ext cx="1518047" cy="543650"/>
          </a:xfrm>
          <a:prstGeom prst="rect">
            <a:avLst/>
          </a:prstGeom>
          <a:solidFill>
            <a:schemeClr val="bg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C00000"/>
                </a:solidFill>
              </a:rPr>
              <a:t>  Lowest Profit</a:t>
            </a:r>
          </a:p>
          <a:p>
            <a:r>
              <a:rPr lang="en-IN" sz="1400" b="1">
                <a:solidFill>
                  <a:srgbClr val="C00000"/>
                </a:solidFill>
              </a:rPr>
              <a:t>           Month</a:t>
            </a:r>
          </a:p>
        </xdr:txBody>
      </xdr:sp>
      <xdr:sp macro="" textlink="">
        <xdr:nvSpPr>
          <xdr:cNvPr id="7" name="TextBox 6">
            <a:extLst>
              <a:ext uri="{FF2B5EF4-FFF2-40B4-BE49-F238E27FC236}">
                <a16:creationId xmlns:a16="http://schemas.microsoft.com/office/drawing/2014/main" id="{1FAA3C08-80DB-418F-B076-2BA0A676C0A5}"/>
              </a:ext>
            </a:extLst>
          </xdr:cNvPr>
          <xdr:cNvSpPr txBox="1"/>
        </xdr:nvSpPr>
        <xdr:spPr>
          <a:xfrm>
            <a:off x="10302989" y="9431191"/>
            <a:ext cx="1518047" cy="562403"/>
          </a:xfrm>
          <a:prstGeom prst="rect">
            <a:avLst/>
          </a:prstGeom>
          <a:solidFill>
            <a:schemeClr val="bg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a:t>          </a:t>
            </a:r>
            <a:r>
              <a:rPr lang="en-IN" sz="1400" baseline="0"/>
              <a:t> </a:t>
            </a:r>
            <a:r>
              <a:rPr lang="en-IN" sz="1400" b="1">
                <a:solidFill>
                  <a:schemeClr val="accent1">
                    <a:lumMod val="60000"/>
                    <a:lumOff val="40000"/>
                  </a:schemeClr>
                </a:solidFill>
              </a:rPr>
              <a:t> Budget </a:t>
            </a:r>
          </a:p>
          <a:p>
            <a:r>
              <a:rPr lang="en-IN" sz="1400" b="1">
                <a:solidFill>
                  <a:schemeClr val="accent1">
                    <a:lumMod val="60000"/>
                    <a:lumOff val="40000"/>
                  </a:schemeClr>
                </a:solidFill>
                <a:effectLst/>
                <a:latin typeface="+mn-lt"/>
                <a:ea typeface="+mn-ea"/>
                <a:cs typeface="+mn-cs"/>
              </a:rPr>
              <a:t>       Achievement</a:t>
            </a:r>
            <a:r>
              <a:rPr lang="en-IN" sz="1400" b="1" baseline="0">
                <a:solidFill>
                  <a:schemeClr val="accent1">
                    <a:lumMod val="60000"/>
                    <a:lumOff val="40000"/>
                  </a:schemeClr>
                </a:solidFill>
                <a:effectLst/>
                <a:latin typeface="+mn-lt"/>
                <a:ea typeface="+mn-ea"/>
                <a:cs typeface="+mn-cs"/>
              </a:rPr>
              <a:t> %</a:t>
            </a:r>
            <a:r>
              <a:rPr lang="en-IN" sz="1400" b="1">
                <a:solidFill>
                  <a:schemeClr val="accent1">
                    <a:lumMod val="60000"/>
                    <a:lumOff val="40000"/>
                  </a:schemeClr>
                </a:solidFill>
              </a:rPr>
              <a:t>             </a:t>
            </a:r>
          </a:p>
          <a:p>
            <a:r>
              <a:rPr lang="en-IN" sz="1400" b="1"/>
              <a:t>    </a:t>
            </a:r>
          </a:p>
        </xdr:txBody>
      </xdr:sp>
      <xdr:sp macro="" textlink="">
        <xdr:nvSpPr>
          <xdr:cNvPr id="8" name="TextBox 7">
            <a:extLst>
              <a:ext uri="{FF2B5EF4-FFF2-40B4-BE49-F238E27FC236}">
                <a16:creationId xmlns:a16="http://schemas.microsoft.com/office/drawing/2014/main" id="{AE957233-966D-463A-9BBB-D90C1A9D7D51}"/>
              </a:ext>
            </a:extLst>
          </xdr:cNvPr>
          <xdr:cNvSpPr txBox="1"/>
        </xdr:nvSpPr>
        <xdr:spPr>
          <a:xfrm>
            <a:off x="12025957" y="9440571"/>
            <a:ext cx="1518047" cy="571461"/>
          </a:xfrm>
          <a:prstGeom prst="rect">
            <a:avLst/>
          </a:prstGeom>
          <a:solidFill>
            <a:schemeClr val="bg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accent4">
                    <a:lumMod val="75000"/>
                  </a:schemeClr>
                </a:solidFill>
              </a:rPr>
              <a:t>     Overall Profit </a:t>
            </a:r>
          </a:p>
          <a:p>
            <a:r>
              <a:rPr lang="en-IN" sz="1400" b="1">
                <a:solidFill>
                  <a:schemeClr val="accent4">
                    <a:lumMod val="75000"/>
                  </a:schemeClr>
                </a:solidFill>
              </a:rPr>
              <a:t>        Margin %</a:t>
            </a:r>
          </a:p>
        </xdr:txBody>
      </xdr:sp>
      <xdr:sp macro="" textlink="">
        <xdr:nvSpPr>
          <xdr:cNvPr id="9" name="TextBox 8">
            <a:extLst>
              <a:ext uri="{FF2B5EF4-FFF2-40B4-BE49-F238E27FC236}">
                <a16:creationId xmlns:a16="http://schemas.microsoft.com/office/drawing/2014/main" id="{8A7E9483-D139-4BFF-ADF8-78B4BCCA63F2}"/>
              </a:ext>
            </a:extLst>
          </xdr:cNvPr>
          <xdr:cNvSpPr txBox="1"/>
        </xdr:nvSpPr>
        <xdr:spPr>
          <a:xfrm>
            <a:off x="7041167" y="9440564"/>
            <a:ext cx="1518047" cy="553024"/>
          </a:xfrm>
          <a:prstGeom prst="rect">
            <a:avLst/>
          </a:prstGeom>
          <a:solidFill>
            <a:schemeClr val="bg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accent5">
                    <a:lumMod val="75000"/>
                  </a:schemeClr>
                </a:solidFill>
              </a:rPr>
              <a:t>  Best Performing</a:t>
            </a:r>
          </a:p>
          <a:p>
            <a:r>
              <a:rPr lang="en-IN" sz="1400" b="1" baseline="0">
                <a:solidFill>
                  <a:schemeClr val="accent5">
                    <a:lumMod val="75000"/>
                  </a:schemeClr>
                </a:solidFill>
              </a:rPr>
              <a:t>         Region</a:t>
            </a:r>
            <a:endParaRPr lang="en-IN" sz="1400" b="1">
              <a:solidFill>
                <a:schemeClr val="accent5">
                  <a:lumMod val="75000"/>
                </a:schemeClr>
              </a:solidFill>
            </a:endParaRPr>
          </a:p>
        </xdr:txBody>
      </xdr:sp>
      <xdr:sp macro="" textlink="">
        <xdr:nvSpPr>
          <xdr:cNvPr id="10" name="TextBox 9">
            <a:extLst>
              <a:ext uri="{FF2B5EF4-FFF2-40B4-BE49-F238E27FC236}">
                <a16:creationId xmlns:a16="http://schemas.microsoft.com/office/drawing/2014/main" id="{B45602D9-2AAA-4B90-8E2D-24B3A11E2A6A}"/>
              </a:ext>
            </a:extLst>
          </xdr:cNvPr>
          <xdr:cNvSpPr txBox="1"/>
        </xdr:nvSpPr>
        <xdr:spPr>
          <a:xfrm>
            <a:off x="8677640" y="9431191"/>
            <a:ext cx="1518047" cy="571766"/>
          </a:xfrm>
          <a:prstGeom prst="rect">
            <a:avLst/>
          </a:prstGeom>
          <a:solidFill>
            <a:schemeClr val="bg2"/>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accent2">
                    <a:lumMod val="75000"/>
                  </a:schemeClr>
                </a:solidFill>
              </a:rPr>
              <a:t> Best Performing</a:t>
            </a:r>
          </a:p>
          <a:p>
            <a:r>
              <a:rPr lang="en-IN" sz="1400" b="1" baseline="0">
                <a:solidFill>
                  <a:schemeClr val="accent2">
                    <a:lumMod val="75000"/>
                  </a:schemeClr>
                </a:solidFill>
              </a:rPr>
              <a:t>         Product</a:t>
            </a:r>
            <a:endParaRPr lang="en-IN" sz="1400" b="1">
              <a:solidFill>
                <a:schemeClr val="accent2">
                  <a:lumMod val="75000"/>
                </a:schemeClr>
              </a:solidFill>
            </a:endParaRPr>
          </a:p>
        </xdr:txBody>
      </xdr:sp>
    </xdr:grpSp>
    <xdr:clientData/>
  </xdr:twoCellAnchor>
  <xdr:twoCellAnchor editAs="oneCell">
    <xdr:from>
      <xdr:col>1</xdr:col>
      <xdr:colOff>1349691</xdr:colOff>
      <xdr:row>17</xdr:row>
      <xdr:rowOff>162128</xdr:rowOff>
    </xdr:from>
    <xdr:to>
      <xdr:col>2</xdr:col>
      <xdr:colOff>20156</xdr:colOff>
      <xdr:row>19</xdr:row>
      <xdr:rowOff>20266</xdr:rowOff>
    </xdr:to>
    <xdr:pic>
      <xdr:nvPicPr>
        <xdr:cNvPr id="13" name="Graphic 12" descr="Daily calendar with solid fill">
          <a:extLst>
            <a:ext uri="{FF2B5EF4-FFF2-40B4-BE49-F238E27FC236}">
              <a16:creationId xmlns:a16="http://schemas.microsoft.com/office/drawing/2014/main" id="{91BDBADC-E0DC-105D-8F9A-B438AF7695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26504" y="3605782"/>
          <a:ext cx="324256" cy="287286"/>
        </a:xfrm>
        <a:prstGeom prst="rect">
          <a:avLst/>
        </a:prstGeom>
      </xdr:spPr>
    </xdr:pic>
    <xdr:clientData/>
  </xdr:twoCellAnchor>
  <xdr:twoCellAnchor editAs="oneCell">
    <xdr:from>
      <xdr:col>8</xdr:col>
      <xdr:colOff>716324</xdr:colOff>
      <xdr:row>17</xdr:row>
      <xdr:rowOff>162127</xdr:rowOff>
    </xdr:from>
    <xdr:to>
      <xdr:col>9</xdr:col>
      <xdr:colOff>58349</xdr:colOff>
      <xdr:row>19</xdr:row>
      <xdr:rowOff>40532</xdr:rowOff>
    </xdr:to>
    <xdr:pic>
      <xdr:nvPicPr>
        <xdr:cNvPr id="18" name="Graphic 17" descr="Internet with solid fill">
          <a:extLst>
            <a:ext uri="{FF2B5EF4-FFF2-40B4-BE49-F238E27FC236}">
              <a16:creationId xmlns:a16="http://schemas.microsoft.com/office/drawing/2014/main" id="{B3108174-537D-B360-EEB2-BD7A6D9345F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336324" y="3605781"/>
          <a:ext cx="273591" cy="307553"/>
        </a:xfrm>
        <a:prstGeom prst="rect">
          <a:avLst/>
        </a:prstGeom>
      </xdr:spPr>
    </xdr:pic>
    <xdr:clientData/>
  </xdr:twoCellAnchor>
  <xdr:twoCellAnchor editAs="oneCell">
    <xdr:from>
      <xdr:col>1</xdr:col>
      <xdr:colOff>223594</xdr:colOff>
      <xdr:row>2</xdr:row>
      <xdr:rowOff>14921</xdr:rowOff>
    </xdr:from>
    <xdr:to>
      <xdr:col>1</xdr:col>
      <xdr:colOff>514366</xdr:colOff>
      <xdr:row>2</xdr:row>
      <xdr:rowOff>233726</xdr:rowOff>
    </xdr:to>
    <xdr:pic>
      <xdr:nvPicPr>
        <xdr:cNvPr id="20" name="Graphic 19" descr="Bank with solid fill">
          <a:extLst>
            <a:ext uri="{FF2B5EF4-FFF2-40B4-BE49-F238E27FC236}">
              <a16:creationId xmlns:a16="http://schemas.microsoft.com/office/drawing/2014/main" id="{85156940-25F3-9EE2-6166-0548A2EBE45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0407" y="580141"/>
          <a:ext cx="290772" cy="218805"/>
        </a:xfrm>
        <a:prstGeom prst="rect">
          <a:avLst/>
        </a:prstGeom>
      </xdr:spPr>
    </xdr:pic>
    <xdr:clientData/>
  </xdr:twoCellAnchor>
  <xdr:twoCellAnchor editAs="oneCell">
    <xdr:from>
      <xdr:col>4</xdr:col>
      <xdr:colOff>212793</xdr:colOff>
      <xdr:row>1</xdr:row>
      <xdr:rowOff>182394</xdr:rowOff>
    </xdr:from>
    <xdr:to>
      <xdr:col>4</xdr:col>
      <xdr:colOff>415452</xdr:colOff>
      <xdr:row>3</xdr:row>
      <xdr:rowOff>460</xdr:rowOff>
    </xdr:to>
    <xdr:pic>
      <xdr:nvPicPr>
        <xdr:cNvPr id="22" name="Graphic 21" descr="Pie chart with solid fill">
          <a:extLst>
            <a:ext uri="{FF2B5EF4-FFF2-40B4-BE49-F238E27FC236}">
              <a16:creationId xmlns:a16="http://schemas.microsoft.com/office/drawing/2014/main" id="{B98CCE45-2906-1472-B39B-530B6770E8F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65479" y="567447"/>
          <a:ext cx="202659" cy="248718"/>
        </a:xfrm>
        <a:prstGeom prst="rect">
          <a:avLst/>
        </a:prstGeom>
      </xdr:spPr>
    </xdr:pic>
    <xdr:clientData/>
  </xdr:twoCellAnchor>
  <xdr:twoCellAnchor editAs="oneCell">
    <xdr:from>
      <xdr:col>10</xdr:col>
      <xdr:colOff>243192</xdr:colOff>
      <xdr:row>1</xdr:row>
      <xdr:rowOff>182394</xdr:rowOff>
    </xdr:from>
    <xdr:to>
      <xdr:col>10</xdr:col>
      <xdr:colOff>466118</xdr:colOff>
      <xdr:row>3</xdr:row>
      <xdr:rowOff>10133</xdr:rowOff>
    </xdr:to>
    <xdr:pic>
      <xdr:nvPicPr>
        <xdr:cNvPr id="26" name="Graphic 25" descr="Bullseye with solid fill">
          <a:extLst>
            <a:ext uri="{FF2B5EF4-FFF2-40B4-BE49-F238E27FC236}">
              <a16:creationId xmlns:a16="http://schemas.microsoft.com/office/drawing/2014/main" id="{F865D8BA-BBE3-CDA5-0D89-6A21DC07EEB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917022" y="567447"/>
          <a:ext cx="222926" cy="263457"/>
        </a:xfrm>
        <a:prstGeom prst="rect">
          <a:avLst/>
        </a:prstGeom>
      </xdr:spPr>
    </xdr:pic>
    <xdr:clientData/>
  </xdr:twoCellAnchor>
  <xdr:twoCellAnchor editAs="oneCell">
    <xdr:from>
      <xdr:col>7</xdr:col>
      <xdr:colOff>283723</xdr:colOff>
      <xdr:row>1</xdr:row>
      <xdr:rowOff>182395</xdr:rowOff>
    </xdr:from>
    <xdr:to>
      <xdr:col>7</xdr:col>
      <xdr:colOff>516782</xdr:colOff>
      <xdr:row>3</xdr:row>
      <xdr:rowOff>60799</xdr:rowOff>
    </xdr:to>
    <xdr:pic>
      <xdr:nvPicPr>
        <xdr:cNvPr id="28" name="Graphic 27" descr="Handshake with solid fill">
          <a:extLst>
            <a:ext uri="{FF2B5EF4-FFF2-40B4-BE49-F238E27FC236}">
              <a16:creationId xmlns:a16="http://schemas.microsoft.com/office/drawing/2014/main" id="{C0A25EDE-3AAD-E69D-B0B1-938F693906C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110186" y="567448"/>
          <a:ext cx="233059" cy="314122"/>
        </a:xfrm>
        <a:prstGeom prst="rect">
          <a:avLst/>
        </a:prstGeom>
      </xdr:spPr>
    </xdr:pic>
    <xdr:clientData/>
  </xdr:twoCellAnchor>
  <xdr:twoCellAnchor editAs="oneCell">
    <xdr:from>
      <xdr:col>1</xdr:col>
      <xdr:colOff>1398351</xdr:colOff>
      <xdr:row>34</xdr:row>
      <xdr:rowOff>162130</xdr:rowOff>
    </xdr:from>
    <xdr:to>
      <xdr:col>2</xdr:col>
      <xdr:colOff>10133</xdr:colOff>
      <xdr:row>36</xdr:row>
      <xdr:rowOff>30400</xdr:rowOff>
    </xdr:to>
    <xdr:pic>
      <xdr:nvPicPr>
        <xdr:cNvPr id="30" name="Graphic 29" descr="Arrow circle with solid fill">
          <a:extLst>
            <a:ext uri="{FF2B5EF4-FFF2-40B4-BE49-F238E27FC236}">
              <a16:creationId xmlns:a16="http://schemas.microsoft.com/office/drawing/2014/main" id="{A43486B7-32A2-BC4D-7655-C446AD3384FD}"/>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783404" y="7001891"/>
          <a:ext cx="273591" cy="263456"/>
        </a:xfrm>
        <a:prstGeom prst="rect">
          <a:avLst/>
        </a:prstGeom>
      </xdr:spPr>
    </xdr:pic>
    <xdr:clientData/>
  </xdr:twoCellAnchor>
  <xdr:twoCellAnchor editAs="oneCell">
    <xdr:from>
      <xdr:col>5</xdr:col>
      <xdr:colOff>800506</xdr:colOff>
      <xdr:row>45</xdr:row>
      <xdr:rowOff>0</xdr:rowOff>
    </xdr:from>
    <xdr:to>
      <xdr:col>6</xdr:col>
      <xdr:colOff>81065</xdr:colOff>
      <xdr:row>46</xdr:row>
      <xdr:rowOff>1</xdr:rowOff>
    </xdr:to>
    <xdr:pic>
      <xdr:nvPicPr>
        <xdr:cNvPr id="36" name="Graphic 35" descr="Lightbulb and gear with solid fill">
          <a:extLst>
            <a:ext uri="{FF2B5EF4-FFF2-40B4-BE49-F238E27FC236}">
              <a16:creationId xmlns:a16="http://schemas.microsoft.com/office/drawing/2014/main" id="{8AA9E119-A36B-9478-0147-B430A5304D5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400878" y="9008218"/>
          <a:ext cx="263458" cy="324256"/>
        </a:xfrm>
        <a:prstGeom prst="rect">
          <a:avLst/>
        </a:prstGeom>
      </xdr:spPr>
    </xdr:pic>
    <xdr:clientData/>
  </xdr:twoCellAnchor>
  <xdr:twoCellAnchor editAs="oneCell">
    <xdr:from>
      <xdr:col>1</xdr:col>
      <xdr:colOff>122932</xdr:colOff>
      <xdr:row>47</xdr:row>
      <xdr:rowOff>182394</xdr:rowOff>
    </xdr:from>
    <xdr:to>
      <xdr:col>1</xdr:col>
      <xdr:colOff>467453</xdr:colOff>
      <xdr:row>49</xdr:row>
      <xdr:rowOff>60798</xdr:rowOff>
    </xdr:to>
    <xdr:pic>
      <xdr:nvPicPr>
        <xdr:cNvPr id="14" name="Graphic 13" descr="Bar graph with upward trend with solid fill">
          <a:extLst>
            <a:ext uri="{FF2B5EF4-FFF2-40B4-BE49-F238E27FC236}">
              <a16:creationId xmlns:a16="http://schemas.microsoft.com/office/drawing/2014/main" id="{B98707EA-647A-1404-81D6-2255B0FC429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99745" y="9477119"/>
          <a:ext cx="344521" cy="255217"/>
        </a:xfrm>
        <a:prstGeom prst="rect">
          <a:avLst/>
        </a:prstGeom>
      </xdr:spPr>
    </xdr:pic>
    <xdr:clientData/>
  </xdr:twoCellAnchor>
  <xdr:twoCellAnchor editAs="oneCell">
    <xdr:from>
      <xdr:col>2</xdr:col>
      <xdr:colOff>253324</xdr:colOff>
      <xdr:row>47</xdr:row>
      <xdr:rowOff>182393</xdr:rowOff>
    </xdr:from>
    <xdr:to>
      <xdr:col>2</xdr:col>
      <xdr:colOff>577579</xdr:colOff>
      <xdr:row>49</xdr:row>
      <xdr:rowOff>70931</xdr:rowOff>
    </xdr:to>
    <xdr:pic>
      <xdr:nvPicPr>
        <xdr:cNvPr id="16" name="Graphic 15" descr="Bar graph with downward trend with solid fill">
          <a:extLst>
            <a:ext uri="{FF2B5EF4-FFF2-40B4-BE49-F238E27FC236}">
              <a16:creationId xmlns:a16="http://schemas.microsoft.com/office/drawing/2014/main" id="{C6FAE1A3-755A-A1D0-4D03-EAE7B3D173B7}"/>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300186" y="9666861"/>
          <a:ext cx="324255" cy="273591"/>
        </a:xfrm>
        <a:prstGeom prst="rect">
          <a:avLst/>
        </a:prstGeom>
      </xdr:spPr>
    </xdr:pic>
    <xdr:clientData/>
  </xdr:twoCellAnchor>
  <xdr:twoCellAnchor editAs="oneCell">
    <xdr:from>
      <xdr:col>4</xdr:col>
      <xdr:colOff>670445</xdr:colOff>
      <xdr:row>47</xdr:row>
      <xdr:rowOff>182728</xdr:rowOff>
    </xdr:from>
    <xdr:to>
      <xdr:col>4</xdr:col>
      <xdr:colOff>1004834</xdr:colOff>
      <xdr:row>49</xdr:row>
      <xdr:rowOff>20602</xdr:rowOff>
    </xdr:to>
    <xdr:pic>
      <xdr:nvPicPr>
        <xdr:cNvPr id="19" name="Graphic 18" descr="Bar graph with upward trend with solid fill">
          <a:extLst>
            <a:ext uri="{FF2B5EF4-FFF2-40B4-BE49-F238E27FC236}">
              <a16:creationId xmlns:a16="http://schemas.microsoft.com/office/drawing/2014/main" id="{BADBDFEB-155D-7659-0F67-228D1422185B}"/>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4040830" y="9477453"/>
          <a:ext cx="334389" cy="214687"/>
        </a:xfrm>
        <a:prstGeom prst="rect">
          <a:avLst/>
        </a:prstGeom>
      </xdr:spPr>
    </xdr:pic>
    <xdr:clientData/>
  </xdr:twoCellAnchor>
  <xdr:twoCellAnchor editAs="oneCell">
    <xdr:from>
      <xdr:col>6</xdr:col>
      <xdr:colOff>41535</xdr:colOff>
      <xdr:row>47</xdr:row>
      <xdr:rowOff>164132</xdr:rowOff>
    </xdr:from>
    <xdr:to>
      <xdr:col>7</xdr:col>
      <xdr:colOff>103335</xdr:colOff>
      <xdr:row>49</xdr:row>
      <xdr:rowOff>26391</xdr:rowOff>
    </xdr:to>
    <xdr:pic>
      <xdr:nvPicPr>
        <xdr:cNvPr id="23" name="Graphic 22" descr="Bar graph with downward trend with solid fill">
          <a:extLst>
            <a:ext uri="{FF2B5EF4-FFF2-40B4-BE49-F238E27FC236}">
              <a16:creationId xmlns:a16="http://schemas.microsoft.com/office/drawing/2014/main" id="{45C9F1A7-F051-BC0D-0198-FB485E3B3978}"/>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5735601" y="9458857"/>
          <a:ext cx="313009" cy="239072"/>
        </a:xfrm>
        <a:prstGeom prst="rect">
          <a:avLst/>
        </a:prstGeom>
      </xdr:spPr>
    </xdr:pic>
    <xdr:clientData/>
  </xdr:twoCellAnchor>
  <xdr:twoCellAnchor editAs="oneCell">
    <xdr:from>
      <xdr:col>7</xdr:col>
      <xdr:colOff>1533419</xdr:colOff>
      <xdr:row>47</xdr:row>
      <xdr:rowOff>153666</xdr:rowOff>
    </xdr:from>
    <xdr:to>
      <xdr:col>8</xdr:col>
      <xdr:colOff>124936</xdr:colOff>
      <xdr:row>49</xdr:row>
      <xdr:rowOff>26057</xdr:rowOff>
    </xdr:to>
    <xdr:pic>
      <xdr:nvPicPr>
        <xdr:cNvPr id="15" name="Graphic 14" descr="Ribbon with solid fill">
          <a:extLst>
            <a:ext uri="{FF2B5EF4-FFF2-40B4-BE49-F238E27FC236}">
              <a16:creationId xmlns:a16="http://schemas.microsoft.com/office/drawing/2014/main" id="{5464D3C0-110A-FF11-5125-9411F9FE858F}"/>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7478694" y="9448391"/>
          <a:ext cx="266242" cy="249204"/>
        </a:xfrm>
        <a:prstGeom prst="rect">
          <a:avLst/>
        </a:prstGeom>
      </xdr:spPr>
    </xdr:pic>
    <xdr:clientData/>
  </xdr:twoCellAnchor>
  <xdr:twoCellAnchor editAs="oneCell">
    <xdr:from>
      <xdr:col>10</xdr:col>
      <xdr:colOff>316794</xdr:colOff>
      <xdr:row>47</xdr:row>
      <xdr:rowOff>173265</xdr:rowOff>
    </xdr:from>
    <xdr:to>
      <xdr:col>10</xdr:col>
      <xdr:colOff>623317</xdr:colOff>
      <xdr:row>48</xdr:row>
      <xdr:rowOff>173264</xdr:rowOff>
    </xdr:to>
    <xdr:pic>
      <xdr:nvPicPr>
        <xdr:cNvPr id="21" name="Graphic 20" descr="Trophy with solid fill">
          <a:extLst>
            <a:ext uri="{FF2B5EF4-FFF2-40B4-BE49-F238E27FC236}">
              <a16:creationId xmlns:a16="http://schemas.microsoft.com/office/drawing/2014/main" id="{EAABE7F6-401E-FAB1-87BC-2DB8CA233BDF}"/>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119569" y="9467990"/>
          <a:ext cx="306523" cy="188406"/>
        </a:xfrm>
        <a:prstGeom prst="rect">
          <a:avLst/>
        </a:prstGeom>
      </xdr:spPr>
    </xdr:pic>
    <xdr:clientData/>
  </xdr:twoCellAnchor>
  <xdr:twoCellAnchor editAs="oneCell">
    <xdr:from>
      <xdr:col>11</xdr:col>
      <xdr:colOff>92867</xdr:colOff>
      <xdr:row>47</xdr:row>
      <xdr:rowOff>132731</xdr:rowOff>
    </xdr:from>
    <xdr:to>
      <xdr:col>11</xdr:col>
      <xdr:colOff>376591</xdr:colOff>
      <xdr:row>49</xdr:row>
      <xdr:rowOff>31401</xdr:rowOff>
    </xdr:to>
    <xdr:pic>
      <xdr:nvPicPr>
        <xdr:cNvPr id="25" name="Graphic 24" descr="Bullseye with solid fill">
          <a:extLst>
            <a:ext uri="{FF2B5EF4-FFF2-40B4-BE49-F238E27FC236}">
              <a16:creationId xmlns:a16="http://schemas.microsoft.com/office/drawing/2014/main" id="{2C5D24E5-BF9D-6E6F-C81F-FEE3E95CFFF8}"/>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0779708" y="9427456"/>
          <a:ext cx="283724" cy="275483"/>
        </a:xfrm>
        <a:prstGeom prst="rect">
          <a:avLst/>
        </a:prstGeom>
      </xdr:spPr>
    </xdr:pic>
    <xdr:clientData/>
  </xdr:twoCellAnchor>
  <xdr:twoCellAnchor editAs="oneCell">
    <xdr:from>
      <xdr:col>13</xdr:col>
      <xdr:colOff>795718</xdr:colOff>
      <xdr:row>47</xdr:row>
      <xdr:rowOff>140860</xdr:rowOff>
    </xdr:from>
    <xdr:to>
      <xdr:col>13</xdr:col>
      <xdr:colOff>1069309</xdr:colOff>
      <xdr:row>49</xdr:row>
      <xdr:rowOff>52095</xdr:rowOff>
    </xdr:to>
    <xdr:pic>
      <xdr:nvPicPr>
        <xdr:cNvPr id="29" name="Graphic 28" descr="Pie chart with solid fill">
          <a:extLst>
            <a:ext uri="{FF2B5EF4-FFF2-40B4-BE49-F238E27FC236}">
              <a16:creationId xmlns:a16="http://schemas.microsoft.com/office/drawing/2014/main" id="{DCCA4569-0E08-11B1-C99C-D8CE2CDBA24A}"/>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12623465" y="9435585"/>
          <a:ext cx="273591" cy="288048"/>
        </a:xfrm>
        <a:prstGeom prst="rect">
          <a:avLst/>
        </a:prstGeom>
      </xdr:spPr>
    </xdr:pic>
    <xdr:clientData/>
  </xdr:twoCellAnchor>
  <xdr:twoCellAnchor editAs="oneCell">
    <xdr:from>
      <xdr:col>13</xdr:col>
      <xdr:colOff>15979</xdr:colOff>
      <xdr:row>2</xdr:row>
      <xdr:rowOff>31401</xdr:rowOff>
    </xdr:from>
    <xdr:to>
      <xdr:col>13</xdr:col>
      <xdr:colOff>273796</xdr:colOff>
      <xdr:row>2</xdr:row>
      <xdr:rowOff>219807</xdr:rowOff>
    </xdr:to>
    <xdr:pic>
      <xdr:nvPicPr>
        <xdr:cNvPr id="17" name="Graphic 16" descr="Checklist with solid fill">
          <a:extLst>
            <a:ext uri="{FF2B5EF4-FFF2-40B4-BE49-F238E27FC236}">
              <a16:creationId xmlns:a16="http://schemas.microsoft.com/office/drawing/2014/main" id="{BECC6C76-DCF7-CBC3-367C-5A40D8E7672E}"/>
            </a:ext>
          </a:extLst>
        </xdr:cNvPr>
        <xdr:cNvPicPr>
          <a:picLocks noChangeAspect="1"/>
        </xdr:cNvPicPr>
      </xdr:nvPicPr>
      <xdr:blipFill>
        <a:blip xmlns:r="http://schemas.openxmlformats.org/officeDocument/2006/relationships" r:embed="rId31">
          <a:extLst>
            <a:ext uri="{96DAC541-7B7A-43D3-8B79-37D633B846F1}">
              <asvg:svgBlip xmlns:asvg="http://schemas.microsoft.com/office/drawing/2016/SVG/main" r:embed="rId32"/>
            </a:ext>
          </a:extLst>
        </a:blip>
        <a:stretch>
          <a:fillRect/>
        </a:stretch>
      </xdr:blipFill>
      <xdr:spPr>
        <a:xfrm>
          <a:off x="11843726" y="596621"/>
          <a:ext cx="257817" cy="1884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51770</xdr:colOff>
      <xdr:row>0</xdr:row>
      <xdr:rowOff>85929</xdr:rowOff>
    </xdr:from>
    <xdr:to>
      <xdr:col>20</xdr:col>
      <xdr:colOff>228600</xdr:colOff>
      <xdr:row>12</xdr:row>
      <xdr:rowOff>66675</xdr:rowOff>
    </xdr:to>
    <xdr:graphicFrame macro="">
      <xdr:nvGraphicFramePr>
        <xdr:cNvPr id="2" name="Rgion Chart">
          <a:extLst>
            <a:ext uri="{FF2B5EF4-FFF2-40B4-BE49-F238E27FC236}">
              <a16:creationId xmlns:a16="http://schemas.microsoft.com/office/drawing/2014/main" id="{8E8DF0EF-EEA9-A392-D2AB-E914FBAD1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414415</xdr:colOff>
      <xdr:row>0</xdr:row>
      <xdr:rowOff>95250</xdr:rowOff>
    </xdr:from>
    <xdr:to>
      <xdr:col>25</xdr:col>
      <xdr:colOff>521369</xdr:colOff>
      <xdr:row>12</xdr:row>
      <xdr:rowOff>19050</xdr:rowOff>
    </xdr:to>
    <xdr:graphicFrame macro="">
      <xdr:nvGraphicFramePr>
        <xdr:cNvPr id="3" name="Month Chart">
          <a:extLst>
            <a:ext uri="{FF2B5EF4-FFF2-40B4-BE49-F238E27FC236}">
              <a16:creationId xmlns:a16="http://schemas.microsoft.com/office/drawing/2014/main" id="{025B37E8-BA90-FD76-E90A-519C5F8D6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416986</xdr:colOff>
      <xdr:row>12</xdr:row>
      <xdr:rowOff>228308</xdr:rowOff>
    </xdr:from>
    <xdr:to>
      <xdr:col>25</xdr:col>
      <xdr:colOff>447676</xdr:colOff>
      <xdr:row>24</xdr:row>
      <xdr:rowOff>85724</xdr:rowOff>
    </xdr:to>
    <xdr:graphicFrame macro="">
      <xdr:nvGraphicFramePr>
        <xdr:cNvPr id="4" name="Product category Chart">
          <a:extLst>
            <a:ext uri="{FF2B5EF4-FFF2-40B4-BE49-F238E27FC236}">
              <a16:creationId xmlns:a16="http://schemas.microsoft.com/office/drawing/2014/main" id="{DFE0F492-7D04-AF07-341E-7CCEAB3BE2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13379</xdr:colOff>
      <xdr:row>12</xdr:row>
      <xdr:rowOff>230965</xdr:rowOff>
    </xdr:from>
    <xdr:to>
      <xdr:col>20</xdr:col>
      <xdr:colOff>228600</xdr:colOff>
      <xdr:row>24</xdr:row>
      <xdr:rowOff>72269</xdr:rowOff>
    </xdr:to>
    <xdr:graphicFrame macro="">
      <xdr:nvGraphicFramePr>
        <xdr:cNvPr id="5" name="Budget VS Actual Performance">
          <a:extLst>
            <a:ext uri="{FF2B5EF4-FFF2-40B4-BE49-F238E27FC236}">
              <a16:creationId xmlns:a16="http://schemas.microsoft.com/office/drawing/2014/main" id="{97191BE1-D898-237B-FED8-10CDBC89B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19050</xdr:colOff>
      <xdr:row>25</xdr:row>
      <xdr:rowOff>19049</xdr:rowOff>
    </xdr:from>
    <xdr:to>
      <xdr:col>25</xdr:col>
      <xdr:colOff>504826</xdr:colOff>
      <xdr:row>30</xdr:row>
      <xdr:rowOff>2505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4B3940C7-BB0F-870F-90F9-18B9158040F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1383625" y="5124449"/>
              <a:ext cx="1095376"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85725</xdr:colOff>
      <xdr:row>25</xdr:row>
      <xdr:rowOff>9526</xdr:rowOff>
    </xdr:from>
    <xdr:to>
      <xdr:col>20</xdr:col>
      <xdr:colOff>466726</xdr:colOff>
      <xdr:row>30</xdr:row>
      <xdr:rowOff>9525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DB0EB55-EE73-4F4F-86F6-778EBAE26C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792700" y="5114926"/>
              <a:ext cx="1600200" cy="9620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xdr:colOff>
      <xdr:row>25</xdr:row>
      <xdr:rowOff>19049</xdr:rowOff>
    </xdr:from>
    <xdr:to>
      <xdr:col>18</xdr:col>
      <xdr:colOff>9525</xdr:colOff>
      <xdr:row>30</xdr:row>
      <xdr:rowOff>28575</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E2A9FD7B-CE2D-C551-9AF6-2C94770E6B9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887700" y="5124449"/>
              <a:ext cx="1828800" cy="971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542925</xdr:colOff>
      <xdr:row>25</xdr:row>
      <xdr:rowOff>9525</xdr:rowOff>
    </xdr:from>
    <xdr:to>
      <xdr:col>23</xdr:col>
      <xdr:colOff>542924</xdr:colOff>
      <xdr:row>30</xdr:row>
      <xdr:rowOff>9525</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D223E4B2-EBB2-4EE4-DE43-999FFE8488C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469100" y="5114925"/>
              <a:ext cx="1828800"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195650</xdr:colOff>
      <xdr:row>4</xdr:row>
      <xdr:rowOff>57476</xdr:rowOff>
    </xdr:from>
    <xdr:to>
      <xdr:col>15</xdr:col>
      <xdr:colOff>980792</xdr:colOff>
      <xdr:row>6</xdr:row>
      <xdr:rowOff>125270</xdr:rowOff>
    </xdr:to>
    <xdr:grpSp>
      <xdr:nvGrpSpPr>
        <xdr:cNvPr id="2" name="Group 1">
          <a:extLst>
            <a:ext uri="{FF2B5EF4-FFF2-40B4-BE49-F238E27FC236}">
              <a16:creationId xmlns:a16="http://schemas.microsoft.com/office/drawing/2014/main" id="{0AE9166B-6B5D-5B96-093C-16CE4301F196}"/>
            </a:ext>
          </a:extLst>
        </xdr:cNvPr>
        <xdr:cNvGrpSpPr/>
      </xdr:nvGrpSpPr>
      <xdr:grpSpPr>
        <a:xfrm>
          <a:off x="195650" y="813873"/>
          <a:ext cx="12308524" cy="441323"/>
          <a:chOff x="233261" y="821362"/>
          <a:chExt cx="12304315" cy="445022"/>
        </a:xfrm>
      </xdr:grpSpPr>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28CBC2A1-91C6-4410-8526-46A5669546D5}"/>
                  </a:ext>
                </a:extLst>
              </xdr:cNvPr>
              <xdr:cNvGraphicFramePr/>
            </xdr:nvGraphicFramePr>
            <xdr:xfrm>
              <a:off x="233261" y="841531"/>
              <a:ext cx="1603409" cy="424853"/>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95650" y="841531"/>
                <a:ext cx="1605307" cy="424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Quarter">
                <a:extLst>
                  <a:ext uri="{FF2B5EF4-FFF2-40B4-BE49-F238E27FC236}">
                    <a16:creationId xmlns:a16="http://schemas.microsoft.com/office/drawing/2014/main" id="{38C5211C-1BA6-4F85-A520-B01817AD22DA}"/>
                  </a:ext>
                </a:extLst>
              </xdr:cNvPr>
              <xdr:cNvGraphicFramePr/>
            </xdr:nvGraphicFramePr>
            <xdr:xfrm>
              <a:off x="1845566" y="836864"/>
              <a:ext cx="1650292" cy="420089"/>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809863" y="836864"/>
                <a:ext cx="1652245" cy="4200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F73B48DC-1E6A-4C40-BD84-1411EA9528DC}"/>
                  </a:ext>
                </a:extLst>
              </xdr:cNvPr>
              <xdr:cNvGraphicFramePr/>
            </xdr:nvGraphicFramePr>
            <xdr:xfrm>
              <a:off x="3371748" y="832100"/>
              <a:ext cx="1841720" cy="424853"/>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337851" y="832100"/>
                <a:ext cx="1843900" cy="424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Region 1">
                <a:extLst>
                  <a:ext uri="{FF2B5EF4-FFF2-40B4-BE49-F238E27FC236}">
                    <a16:creationId xmlns:a16="http://schemas.microsoft.com/office/drawing/2014/main" id="{1EC32D3F-2F19-4D84-9104-F0B56B13CB00}"/>
                  </a:ext>
                </a:extLst>
              </xdr:cNvPr>
              <xdr:cNvGraphicFramePr/>
            </xdr:nvGraphicFramePr>
            <xdr:xfrm>
              <a:off x="5097575" y="830696"/>
              <a:ext cx="1594069" cy="426257"/>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065721" y="830696"/>
                <a:ext cx="1595956" cy="426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9" name="Category 1">
                <a:extLst>
                  <a:ext uri="{FF2B5EF4-FFF2-40B4-BE49-F238E27FC236}">
                    <a16:creationId xmlns:a16="http://schemas.microsoft.com/office/drawing/2014/main" id="{DA017DBC-DC0F-4750-BE58-D3D6EC9DF088}"/>
                  </a:ext>
                </a:extLst>
              </xdr:cNvPr>
              <xdr:cNvGraphicFramePr/>
            </xdr:nvGraphicFramePr>
            <xdr:xfrm>
              <a:off x="6585835" y="821362"/>
              <a:ext cx="2214894" cy="435591"/>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555743" y="821362"/>
                <a:ext cx="2217516" cy="435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 name="Department 1">
                <a:extLst>
                  <a:ext uri="{FF2B5EF4-FFF2-40B4-BE49-F238E27FC236}">
                    <a16:creationId xmlns:a16="http://schemas.microsoft.com/office/drawing/2014/main" id="{75163F7A-A35F-45A0-ABEB-C7D3BC943C2F}"/>
                  </a:ext>
                </a:extLst>
              </xdr:cNvPr>
              <xdr:cNvGraphicFramePr/>
            </xdr:nvGraphicFramePr>
            <xdr:xfrm>
              <a:off x="8680639" y="839870"/>
              <a:ext cx="1852015" cy="417083"/>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653027" y="839870"/>
                <a:ext cx="1854207" cy="417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Sub Category">
                <a:extLst>
                  <a:ext uri="{FF2B5EF4-FFF2-40B4-BE49-F238E27FC236}">
                    <a16:creationId xmlns:a16="http://schemas.microsoft.com/office/drawing/2014/main" id="{DB2C2E40-9F8C-4216-A71A-2BA22324B620}"/>
                  </a:ext>
                </a:extLst>
              </xdr:cNvPr>
              <xdr:cNvGraphicFramePr/>
            </xdr:nvGraphicFramePr>
            <xdr:xfrm>
              <a:off x="10419630" y="827335"/>
              <a:ext cx="2117946" cy="429618"/>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10394076" y="827335"/>
                <a:ext cx="2120453" cy="429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58918</xdr:colOff>
      <xdr:row>24</xdr:row>
      <xdr:rowOff>119609</xdr:rowOff>
    </xdr:from>
    <xdr:to>
      <xdr:col>5</xdr:col>
      <xdr:colOff>298824</xdr:colOff>
      <xdr:row>37</xdr:row>
      <xdr:rowOff>138660</xdr:rowOff>
    </xdr:to>
    <xdr:graphicFrame macro="">
      <xdr:nvGraphicFramePr>
        <xdr:cNvPr id="23" name="Expense Performance">
          <a:extLst>
            <a:ext uri="{FF2B5EF4-FFF2-40B4-BE49-F238E27FC236}">
              <a16:creationId xmlns:a16="http://schemas.microsoft.com/office/drawing/2014/main" id="{12C2B575-318E-4AF8-BB04-7CB4A9469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392207</xdr:colOff>
      <xdr:row>24</xdr:row>
      <xdr:rowOff>100866</xdr:rowOff>
    </xdr:from>
    <xdr:to>
      <xdr:col>15</xdr:col>
      <xdr:colOff>961838</xdr:colOff>
      <xdr:row>37</xdr:row>
      <xdr:rowOff>100867</xdr:rowOff>
    </xdr:to>
    <xdr:graphicFrame macro="">
      <xdr:nvGraphicFramePr>
        <xdr:cNvPr id="4" name="Product Category Performance">
          <a:extLst>
            <a:ext uri="{FF2B5EF4-FFF2-40B4-BE49-F238E27FC236}">
              <a16:creationId xmlns:a16="http://schemas.microsoft.com/office/drawing/2014/main" id="{1B6ACC80-C566-42EA-9A32-74C13F803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443150</xdr:colOff>
      <xdr:row>24</xdr:row>
      <xdr:rowOff>127173</xdr:rowOff>
    </xdr:from>
    <xdr:to>
      <xdr:col>11</xdr:col>
      <xdr:colOff>246756</xdr:colOff>
      <xdr:row>37</xdr:row>
      <xdr:rowOff>146812</xdr:rowOff>
    </xdr:to>
    <xdr:graphicFrame macro="">
      <xdr:nvGraphicFramePr>
        <xdr:cNvPr id="5" name="Dept Wise performance">
          <a:extLst>
            <a:ext uri="{FF2B5EF4-FFF2-40B4-BE49-F238E27FC236}">
              <a16:creationId xmlns:a16="http://schemas.microsoft.com/office/drawing/2014/main" id="{D8D70254-2ACF-499D-83CA-770C86EE2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18677</xdr:colOff>
      <xdr:row>10</xdr:row>
      <xdr:rowOff>102722</xdr:rowOff>
    </xdr:from>
    <xdr:to>
      <xdr:col>7</xdr:col>
      <xdr:colOff>663015</xdr:colOff>
      <xdr:row>23</xdr:row>
      <xdr:rowOff>158407</xdr:rowOff>
    </xdr:to>
    <xdr:graphicFrame macro="">
      <xdr:nvGraphicFramePr>
        <xdr:cNvPr id="6" name="Region Performance">
          <a:extLst>
            <a:ext uri="{FF2B5EF4-FFF2-40B4-BE49-F238E27FC236}">
              <a16:creationId xmlns:a16="http://schemas.microsoft.com/office/drawing/2014/main" id="{FEC7897B-D553-4EEB-9CDE-C276073C0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65366</xdr:colOff>
      <xdr:row>10</xdr:row>
      <xdr:rowOff>102720</xdr:rowOff>
    </xdr:from>
    <xdr:to>
      <xdr:col>15</xdr:col>
      <xdr:colOff>961837</xdr:colOff>
      <xdr:row>23</xdr:row>
      <xdr:rowOff>167371</xdr:rowOff>
    </xdr:to>
    <xdr:graphicFrame macro="">
      <xdr:nvGraphicFramePr>
        <xdr:cNvPr id="7" name="Monthly Revenue Performance">
          <a:extLst>
            <a:ext uri="{FF2B5EF4-FFF2-40B4-BE49-F238E27FC236}">
              <a16:creationId xmlns:a16="http://schemas.microsoft.com/office/drawing/2014/main" id="{F699EAD2-ED01-419A-91C6-EF43EBAAF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48.608485069446" createdVersion="8" refreshedVersion="8" minRefreshableVersion="3" recordCount="1000" xr:uid="{9969877A-A15E-41DF-BCCA-5EEF6B117284}">
  <cacheSource type="worksheet">
    <worksheetSource name="tbl_FinancialData"/>
  </cacheSource>
  <cacheFields count="37">
    <cacheField name="Transaction ID" numFmtId="0">
      <sharedItems/>
    </cacheField>
    <cacheField name="Date" numFmtId="164">
      <sharedItems containsSemiMixedTypes="0" containsNonDate="0" containsDate="1" containsString="0" minDate="2025-04-01T00:00:00" maxDate="2026-04-01T00:00:00"/>
    </cacheField>
    <cacheField name="Month" numFmtId="0">
      <sharedItems count="12">
        <s v="July"/>
        <s v="September"/>
        <s v="February"/>
        <s v="May"/>
        <s v="January"/>
        <s v="October"/>
        <s v="December"/>
        <s v="August"/>
        <s v="March"/>
        <s v="April"/>
        <s v="November"/>
        <s v="June"/>
      </sharedItems>
    </cacheField>
    <cacheField name="Quarter" numFmtId="0">
      <sharedItems count="5">
        <s v="Q2"/>
        <s v="Q4"/>
        <s v="Q1"/>
        <s v="Q3"/>
        <s v="Q5" u="1"/>
      </sharedItems>
    </cacheField>
    <cacheField name="Year" numFmtId="0">
      <sharedItems containsMixedTypes="1" containsNumber="1" containsInteger="1" minValue="2025" maxValue="2026" count="3">
        <s v="FY2026"/>
        <n v="2025" u="1"/>
        <n v="2026" u="1"/>
      </sharedItems>
    </cacheField>
    <cacheField name="Region" numFmtId="0">
      <sharedItems count="5">
        <s v="West"/>
        <s v="South"/>
        <s v="North"/>
        <s v="East"/>
        <s v="Central"/>
      </sharedItems>
    </cacheField>
    <cacheField name="Country" numFmtId="0">
      <sharedItems count="1">
        <s v="India"/>
      </sharedItems>
    </cacheField>
    <cacheField name="State" numFmtId="0">
      <sharedItems/>
    </cacheField>
    <cacheField name="City" numFmtId="0">
      <sharedItems containsBlank="1"/>
    </cacheField>
    <cacheField name="Branch" numFmtId="0">
      <sharedItems/>
    </cacheField>
    <cacheField name="Department" numFmtId="0">
      <sharedItems count="6">
        <s v="Operations"/>
        <s v="Sales"/>
        <s v="Marketing"/>
        <s v="Finance"/>
        <s v="IT"/>
        <s v=" sales "/>
      </sharedItems>
    </cacheField>
    <cacheField name="Cost Center" numFmtId="0">
      <sharedItems/>
    </cacheField>
    <cacheField name="Product ID" numFmtId="0">
      <sharedItems/>
    </cacheField>
    <cacheField name="Product Name" numFmtId="0">
      <sharedItems/>
    </cacheField>
    <cacheField name="Category" numFmtId="0">
      <sharedItems count="5">
        <s v="Electronics"/>
        <s v="Accessories"/>
        <s v="Software"/>
        <s v="Furniture"/>
        <s v="Networking"/>
      </sharedItems>
    </cacheField>
    <cacheField name="Sub Category" numFmtId="0">
      <sharedItems count="13">
        <s v="Video Conferencing"/>
        <s v="Computer Accessories"/>
        <s v="Computing"/>
        <s v="Office Equipment"/>
        <s v="Business Software"/>
        <s v="Office Furniture"/>
        <s v="Presentation"/>
        <s v="Power Equipment"/>
        <s v="Audio"/>
        <s v="Mobile"/>
        <s v="Network Equipment"/>
        <s v="Subscription"/>
        <s v="Cloud Services"/>
      </sharedItems>
    </cacheField>
    <cacheField name="Revenue" numFmtId="0">
      <sharedItems containsSemiMixedTypes="0" containsString="0" containsNumber="1" minValue="997.19" maxValue="82566.39"/>
    </cacheField>
    <cacheField name="Budget Revenue" numFmtId="0">
      <sharedItems containsSemiMixedTypes="0" containsString="0" containsNumber="1" minValue="1087.6400000000001" maxValue="96779.42"/>
    </cacheField>
    <cacheField name="COGS" numFmtId="0">
      <sharedItems containsSemiMixedTypes="0" containsString="0" containsNumber="1" minValue="545.44000000000005" maxValue="54746.48"/>
    </cacheField>
    <cacheField name="Operating Expense" numFmtId="0">
      <sharedItems containsSemiMixedTypes="0" containsString="0" containsNumber="1" minValue="78.97" maxValue="10378.25"/>
    </cacheField>
    <cacheField name="Marketing Expense" numFmtId="0">
      <sharedItems containsSemiMixedTypes="0" containsString="0" containsNumber="1" minValue="38.04" maxValue="7417.1"/>
    </cacheField>
    <cacheField name="Salary Expense" numFmtId="0">
      <sharedItems containsSemiMixedTypes="0" containsString="0" containsNumber="1" minValue="61.45" maxValue="9527.69"/>
    </cacheField>
    <cacheField name="Misc Expense" numFmtId="0">
      <sharedItems containsSemiMixedTypes="0" containsString="0" containsNumber="1" minValue="14.16" maxValue="3400.65"/>
    </cacheField>
    <cacheField name="Total Expense" numFmtId="0">
      <sharedItems containsSemiMixedTypes="0" containsString="0" containsNumber="1" minValue="768.6" maxValue="76012.92"/>
    </cacheField>
    <cacheField name="Gross Profit" numFmtId="0">
      <sharedItems containsSemiMixedTypes="0" containsString="0" containsNumber="1" minValue="419" maxValue="42159.23"/>
    </cacheField>
    <cacheField name="Net Profit" numFmtId="0">
      <sharedItems containsSemiMixedTypes="0" containsString="0" containsNumber="1" minValue="-2771.2099999999991" maxValue="21142.189999999995"/>
    </cacheField>
    <cacheField name="Profit Margin %" numFmtId="10">
      <sharedItems containsSemiMixedTypes="0" containsString="0" containsNumber="1" minValue="-6.4499728109767576E-2" maxValue="0.37210763222500143"/>
    </cacheField>
    <cacheField name="Budget Variance" numFmtId="0">
      <sharedItems containsSemiMixedTypes="0" containsString="0" containsNumber="1" minValue="-14213.02" maxValue="8821.83"/>
    </cacheField>
    <cacheField name="Discount" numFmtId="0">
      <sharedItems containsSemiMixedTypes="0" containsString="0" containsNumber="1" minValue="0" maxValue="7748.55"/>
    </cacheField>
    <cacheField name="Tax" numFmtId="0">
      <sharedItems containsSemiMixedTypes="0" containsString="0" containsNumber="1" minValue="60.69" maxValue="14120.74"/>
    </cacheField>
    <cacheField name="Net Revenue" numFmtId="0">
      <sharedItems containsSemiMixedTypes="0" containsString="0" containsNumber="1" minValue="1059.02" maxValue="92569.27"/>
    </cacheField>
    <cacheField name="Clean City" numFmtId="0">
      <sharedItems count="54">
        <s v="Vasco Da Gama"/>
        <s v="Chennai"/>
        <s v="Lucknow"/>
        <s v="Bhubaneswar"/>
        <s v="Kochi"/>
        <s v="Indore"/>
        <s v="Mumbai"/>
        <s v="Agra"/>
        <s v="Thiruvananthapuram"/>
        <s v="Ranchi"/>
        <s v="Coimbatore"/>
        <s v="Jodhpur"/>
        <s v="Pune"/>
        <s v="Faridabad"/>
        <s v="Panaji"/>
        <s v="Nagpur"/>
        <s v="Panipat"/>
        <s v="Udaipur"/>
        <s v="Ahmedabad"/>
        <s v="Vadodara"/>
        <s v="Kolkata"/>
        <s v="Jaipur"/>
        <s v="Bilaspur"/>
        <s v="Bhopal"/>
        <s v="Kozhikode"/>
        <s v="Kanpur"/>
        <s v="Surat"/>
        <s v="Gurugram"/>
        <s v="Cuttack"/>
        <s v="Nizamabad"/>
        <s v="Jamshedpur"/>
        <s v="Mangaluru"/>
        <s v="Gaya"/>
        <s v="Mysuru"/>
        <s v="Dhanbad"/>
        <s v="Ludhiana"/>
        <s v="Muzaffarpur"/>
        <s v="Margao"/>
        <s v="Bhilai"/>
        <s v="Durgapur"/>
        <s v="Noida"/>
        <s v="Rourkela"/>
        <s v="Gwalior"/>
        <s v="Madurai"/>
        <s v="Siliguri"/>
        <s v="Patna"/>
        <s v="Warangal"/>
        <s v="Amritsar"/>
        <s v="New Delhi"/>
        <s v="Bengaluru"/>
        <s v="Raipur"/>
        <s v="Hyderabad"/>
        <s v="Jalandhar"/>
        <s v="Unknown"/>
      </sharedItems>
    </cacheField>
    <cacheField name="Clean State" numFmtId="0">
      <sharedItems/>
    </cacheField>
    <cacheField name="Clean Department" numFmtId="0">
      <sharedItems count="5">
        <s v="Operations"/>
        <s v="Sales"/>
        <s v="Marketing"/>
        <s v="Finance"/>
        <s v="IT"/>
      </sharedItems>
    </cacheField>
    <cacheField name="Clean Product Name" numFmtId="0">
      <sharedItems count="20">
        <s v="Conference Camera"/>
        <s v="Mouse"/>
        <s v="Keyboard"/>
        <s v="Monitor"/>
        <s v="Business Laptop"/>
        <s v="Printer"/>
        <s v="Document Scanner"/>
        <s v="Accounting Software"/>
        <s v="Office Desk"/>
        <s v="Projector"/>
        <s v="UPS System"/>
        <s v="Headset"/>
        <s v="Tablet"/>
        <s v="Network Switch"/>
        <s v="Network Router"/>
        <s v="CRM Software"/>
        <s v="Smartphone"/>
        <s v="Office Chair"/>
        <s v="Cloud Software"/>
        <s v="Data Storage"/>
      </sharedItems>
    </cacheField>
    <cacheField name="Clean Cost Center" numFmtId="0">
      <sharedItems/>
    </cacheField>
    <cacheField name="Category Profit Margin %" numFmtId="0" formula="'Net Profit'/Revenue" databaseField="0"/>
  </cacheFields>
  <extLst>
    <ext xmlns:x14="http://schemas.microsoft.com/office/spreadsheetml/2009/9/main" uri="{725AE2AE-9491-48be-B2B4-4EB974FC3084}">
      <x14:pivotCacheDefinition pivotCacheId="262575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00001"/>
    <d v="2025-07-12T00:00:00"/>
    <x v="0"/>
    <x v="0"/>
    <x v="0"/>
    <x v="0"/>
    <x v="0"/>
    <s v="Goa"/>
    <s v="Vasco da Gama"/>
    <s v="Branch D"/>
    <x v="0"/>
    <s v="CC-1002"/>
    <s v="P019"/>
    <s v="Conference Camera"/>
    <x v="0"/>
    <x v="0"/>
    <n v="23278.76"/>
    <n v="22815.81"/>
    <n v="11971.99"/>
    <n v="2376.09"/>
    <n v="667.33"/>
    <n v="2275.73"/>
    <n v="997.48"/>
    <n v="18288.61"/>
    <n v="11306.77"/>
    <n v="4990.1499999999978"/>
    <n v="0.21436494040060544"/>
    <n v="462.95"/>
    <n v="0"/>
    <n v="4190.18"/>
    <n v="27468.94"/>
    <x v="0"/>
    <s v="Goa"/>
    <x v="0"/>
    <x v="0"/>
    <s v="CC-1002"/>
  </r>
  <r>
    <s v="TXN-00002"/>
    <d v="2025-09-08T00:00:00"/>
    <x v="1"/>
    <x v="0"/>
    <x v="0"/>
    <x v="1"/>
    <x v="0"/>
    <s v="Tamil Nadu"/>
    <s v="Chennai"/>
    <s v="Branch D"/>
    <x v="1"/>
    <s v="CC-1003"/>
    <s v="P010"/>
    <s v="Mouse"/>
    <x v="1"/>
    <x v="1"/>
    <n v="2086.7600000000002"/>
    <n v="1982.07"/>
    <n v="1047.02"/>
    <n v="207.57"/>
    <n v="104.05"/>
    <n v="247.61"/>
    <n v="54.96"/>
    <n v="1661.21"/>
    <n v="1039.74"/>
    <n v="425.55000000000018"/>
    <n v="0.20392857827445424"/>
    <n v="104.69"/>
    <n v="166.94"/>
    <n v="345.57"/>
    <n v="2265.39"/>
    <x v="1"/>
    <s v="Tamil Nadu"/>
    <x v="1"/>
    <x v="1"/>
    <s v="CC-1003"/>
  </r>
  <r>
    <s v="TXN-00003"/>
    <d v="2026-02-23T00:00:00"/>
    <x v="2"/>
    <x v="1"/>
    <x v="0"/>
    <x v="2"/>
    <x v="0"/>
    <s v="Uttar Pradesh"/>
    <s v="Lucknow"/>
    <s v="Branch D"/>
    <x v="0"/>
    <s v="CC-1002"/>
    <s v="P009"/>
    <s v="Keyboard"/>
    <x v="1"/>
    <x v="1"/>
    <n v="1176.9000000000001"/>
    <n v="1120.77"/>
    <n v="757.9"/>
    <n v="116.28"/>
    <n v="93.16"/>
    <n v="63.4"/>
    <n v="27.88"/>
    <n v="1058.6199999999999"/>
    <n v="419"/>
    <n v="118.2800000000002"/>
    <n v="0.10050131701928812"/>
    <n v="56.13"/>
    <n v="23.54"/>
    <n v="207.6"/>
    <n v="1360.97"/>
    <x v="2"/>
    <s v="Uttar Pradesh"/>
    <x v="0"/>
    <x v="2"/>
    <s v="CC-1002"/>
  </r>
  <r>
    <s v="TXN-00004"/>
    <d v="2025-05-24T00:00:00"/>
    <x v="3"/>
    <x v="2"/>
    <x v="0"/>
    <x v="3"/>
    <x v="0"/>
    <s v="Odisha"/>
    <s v="Bhubaneswar"/>
    <s v="Branch C"/>
    <x v="2"/>
    <s v="CC-1004"/>
    <s v="P002"/>
    <s v="Monitor"/>
    <x v="0"/>
    <x v="2"/>
    <n v="47762.94"/>
    <n v="52452.38"/>
    <n v="26669.38"/>
    <n v="4567.83"/>
    <n v="2811.05"/>
    <n v="5583.19"/>
    <n v="1889.44"/>
    <n v="41520.9"/>
    <n v="21093.56"/>
    <n v="6242.0400000000009"/>
    <n v="0.13068793503917472"/>
    <n v="-4689.4399999999996"/>
    <n v="2388.15"/>
    <n v="5444.98"/>
    <n v="50819.77"/>
    <x v="3"/>
    <s v="Odisha"/>
    <x v="2"/>
    <x v="3"/>
    <s v="CC-1004"/>
  </r>
  <r>
    <s v="TXN-00005"/>
    <d v="2026-01-05T00:00:00"/>
    <x v="4"/>
    <x v="1"/>
    <x v="0"/>
    <x v="1"/>
    <x v="0"/>
    <s v="Kerala"/>
    <s v="Kochi"/>
    <s v="Branch A"/>
    <x v="1"/>
    <s v="CC-1005"/>
    <s v="P001"/>
    <s v="Business Laptop"/>
    <x v="0"/>
    <x v="2"/>
    <n v="18810.62"/>
    <n v="18781.73"/>
    <n v="10354.06"/>
    <n v="961.72"/>
    <n v="713.39"/>
    <n v="1822.89"/>
    <n v="708.34"/>
    <n v="14560.39"/>
    <n v="8456.5499999999993"/>
    <n v="4250.2299999999996"/>
    <n v="0.22594842700559575"/>
    <n v="28.88"/>
    <n v="940.53"/>
    <n v="3216.62"/>
    <n v="21086.7"/>
    <x v="4"/>
    <s v="Kerala"/>
    <x v="1"/>
    <x v="4"/>
    <s v="CC-1005"/>
  </r>
  <r>
    <s v="TXN-00006"/>
    <d v="2025-05-11T00:00:00"/>
    <x v="3"/>
    <x v="2"/>
    <x v="0"/>
    <x v="4"/>
    <x v="0"/>
    <s v="Madhya Pradesh"/>
    <s v="Indore"/>
    <s v="Branch A"/>
    <x v="1"/>
    <s v="CC-1005"/>
    <s v="P003"/>
    <s v="Printer"/>
    <x v="0"/>
    <x v="3"/>
    <n v="41891.120000000003"/>
    <n v="43917.52"/>
    <n v="23957.63"/>
    <n v="5351.04"/>
    <n v="3358.8"/>
    <n v="4094.37"/>
    <n v="764.91"/>
    <n v="37526.76"/>
    <n v="17933.48"/>
    <n v="4364.3600000000006"/>
    <n v="0.1041834164376603"/>
    <n v="-2026.4"/>
    <n v="837.82"/>
    <n v="2052.66"/>
    <n v="43105.96"/>
    <x v="5"/>
    <s v="Madhya Pradesh"/>
    <x v="1"/>
    <x v="5"/>
    <s v="CC-1005"/>
  </r>
  <r>
    <s v="TXN-00007"/>
    <d v="2025-10-24T00:00:00"/>
    <x v="5"/>
    <x v="3"/>
    <x v="0"/>
    <x v="3"/>
    <x v="0"/>
    <s v="Odisha"/>
    <s v="Bhubaneswar"/>
    <s v="Branch C"/>
    <x v="1"/>
    <s v="CC-1001"/>
    <s v="P020"/>
    <s v="Document Scanner"/>
    <x v="0"/>
    <x v="3"/>
    <n v="51914.87"/>
    <n v="47855.1"/>
    <n v="32449.919999999998"/>
    <n v="4837.8100000000004"/>
    <n v="1983.1"/>
    <n v="5992.44"/>
    <n v="1607.3"/>
    <n v="46870.57"/>
    <n v="19464.95"/>
    <n v="5044.3000000000029"/>
    <n v="9.7164839284004809E-2"/>
    <n v="4059.77"/>
    <n v="2595.7399999999998"/>
    <n v="8877.44"/>
    <n v="58196.57"/>
    <x v="3"/>
    <s v="Odisha"/>
    <x v="1"/>
    <x v="6"/>
    <s v="CC-1001"/>
  </r>
  <r>
    <s v="TXN-00008"/>
    <d v="2025-09-17T00:00:00"/>
    <x v="1"/>
    <x v="0"/>
    <x v="0"/>
    <x v="0"/>
    <x v="0"/>
    <s v="Maharashtra"/>
    <s v="Mumbai"/>
    <s v="Branch B"/>
    <x v="3"/>
    <s v="CC-1004"/>
    <s v="P012"/>
    <s v="Accounting Software"/>
    <x v="2"/>
    <x v="4"/>
    <n v="18661.59"/>
    <n v="18238.04"/>
    <n v="9504.3700000000008"/>
    <n v="1465.01"/>
    <n v="1566.53"/>
    <n v="1152.74"/>
    <n v="609.66"/>
    <n v="14298.29"/>
    <n v="9157.2199999999993"/>
    <n v="4363.2999999999993"/>
    <n v="0.23381180274563954"/>
    <n v="423.55"/>
    <n v="0"/>
    <n v="2239.39"/>
    <n v="20900.98"/>
    <x v="6"/>
    <s v="Maharashtra"/>
    <x v="3"/>
    <x v="7"/>
    <s v="CC-1004"/>
  </r>
  <r>
    <s v="TXN-00009"/>
    <d v="2025-12-15T00:00:00"/>
    <x v="6"/>
    <x v="3"/>
    <x v="0"/>
    <x v="2"/>
    <x v="0"/>
    <s v="Uttar Pradesh"/>
    <s v="Agra"/>
    <s v="Branch A"/>
    <x v="3"/>
    <s v="CC-1001"/>
    <s v="P019"/>
    <s v="Conference Camera"/>
    <x v="0"/>
    <x v="0"/>
    <n v="27488.07"/>
    <n v="25577.3"/>
    <n v="14637.49"/>
    <n v="2601.69"/>
    <n v="1408.75"/>
    <n v="1242.22"/>
    <n v="519.16999999999996"/>
    <n v="20409.32"/>
    <n v="12850.58"/>
    <n v="7078.75"/>
    <n v="0.25752080811784894"/>
    <n v="1910.77"/>
    <n v="549.76"/>
    <n v="4848.8900000000003"/>
    <n v="31787.200000000001"/>
    <x v="7"/>
    <s v="Uttar Pradesh"/>
    <x v="3"/>
    <x v="0"/>
    <s v="CC-1001"/>
  </r>
  <r>
    <s v="TXN-00010"/>
    <d v="2025-07-22T00:00:00"/>
    <x v="0"/>
    <x v="0"/>
    <x v="0"/>
    <x v="2"/>
    <x v="0"/>
    <s v="Uttar Pradesh"/>
    <s v="Lucknow"/>
    <s v="Branch C"/>
    <x v="0"/>
    <s v="CC-1002"/>
    <s v="P005"/>
    <s v="Office Desk"/>
    <x v="3"/>
    <x v="5"/>
    <n v="17627.990000000002"/>
    <n v="19112.48"/>
    <n v="10707.67"/>
    <n v="1512.88"/>
    <n v="1074.22"/>
    <n v="1540.96"/>
    <n v="226.16"/>
    <n v="15061.9"/>
    <n v="6920.32"/>
    <n v="2566.090000000002"/>
    <n v="0.14556906374464709"/>
    <n v="-1484.48"/>
    <n v="528.84"/>
    <n v="854.96"/>
    <n v="17954.11"/>
    <x v="2"/>
    <s v="Uttar Pradesh"/>
    <x v="0"/>
    <x v="8"/>
    <s v="CC-1002"/>
  </r>
  <r>
    <s v="TXN-00011"/>
    <d v="2026-01-19T00:00:00"/>
    <x v="4"/>
    <x v="1"/>
    <x v="0"/>
    <x v="1"/>
    <x v="0"/>
    <s v="Kerala"/>
    <s v="Thiruvananthapuram"/>
    <s v="Branch B"/>
    <x v="3"/>
    <s v="CC-1001"/>
    <s v="P009"/>
    <s v="Keyboard"/>
    <x v="1"/>
    <x v="1"/>
    <n v="3190.87"/>
    <n v="2847"/>
    <n v="1984.13"/>
    <n v="332.5"/>
    <n v="83.21"/>
    <n v="258.36"/>
    <n v="57.2"/>
    <n v="2715.4"/>
    <n v="1206.74"/>
    <n v="475.4699999999998"/>
    <n v="0.14900951778041718"/>
    <n v="343.87"/>
    <n v="159.54"/>
    <n v="151.57"/>
    <n v="3182.89"/>
    <x v="8"/>
    <s v="Kerala"/>
    <x v="3"/>
    <x v="2"/>
    <s v="CC-1001"/>
  </r>
  <r>
    <s v="TXN-00012"/>
    <d v="2025-08-06T00:00:00"/>
    <x v="7"/>
    <x v="0"/>
    <x v="0"/>
    <x v="3"/>
    <x v="0"/>
    <s v="Jharkhand"/>
    <s v="Ranchi"/>
    <s v="Branch C"/>
    <x v="1"/>
    <s v="CC-1001"/>
    <s v="P018"/>
    <s v="Projector"/>
    <x v="0"/>
    <x v="6"/>
    <n v="78448.53"/>
    <n v="75105.25"/>
    <n v="50081.24"/>
    <n v="9051.2199999999993"/>
    <n v="4792.2700000000004"/>
    <n v="6461.97"/>
    <n v="1448.54"/>
    <n v="71835.23"/>
    <n v="28367.29"/>
    <n v="6613.3000000000029"/>
    <n v="8.4301133494789557E-2"/>
    <n v="3343.28"/>
    <n v="0"/>
    <n v="14120.74"/>
    <n v="92569.27"/>
    <x v="9"/>
    <s v="Jharkhand"/>
    <x v="1"/>
    <x v="9"/>
    <s v="CC-1001"/>
  </r>
  <r>
    <s v="TXN-00013"/>
    <d v="2025-05-07T00:00:00"/>
    <x v="3"/>
    <x v="2"/>
    <x v="0"/>
    <x v="4"/>
    <x v="0"/>
    <s v="Uttar Pradesh"/>
    <s v="Lucknow"/>
    <s v="Branch A"/>
    <x v="1"/>
    <s v="CC-1003"/>
    <s v="P020"/>
    <s v="Document Scanner"/>
    <x v="0"/>
    <x v="3"/>
    <n v="72701.69"/>
    <n v="77980.53"/>
    <n v="36364.92"/>
    <n v="4575.1400000000003"/>
    <n v="6063.76"/>
    <n v="6435.14"/>
    <n v="750.42"/>
    <n v="54189.38"/>
    <n v="36336.769999999997"/>
    <n v="18512.310000000005"/>
    <n v="0.25463383313372778"/>
    <n v="-5278.83"/>
    <n v="0"/>
    <n v="13086.3"/>
    <n v="85788"/>
    <x v="2"/>
    <s v="Uttar Pradesh"/>
    <x v="1"/>
    <x v="6"/>
    <s v="CC-1003"/>
  </r>
  <r>
    <s v="TXN-00014"/>
    <d v="2026-03-15T00:00:00"/>
    <x v="8"/>
    <x v="1"/>
    <x v="0"/>
    <x v="1"/>
    <x v="0"/>
    <s v="Tamil Nadu"/>
    <s v="Coimbatore"/>
    <s v="Branch B"/>
    <x v="0"/>
    <s v="CC-1005"/>
    <s v="P009"/>
    <s v="Keyboard"/>
    <x v="1"/>
    <x v="1"/>
    <n v="1957.06"/>
    <n v="2012.19"/>
    <n v="1023.38"/>
    <n v="155.22999999999999"/>
    <n v="143.59"/>
    <n v="191.16"/>
    <n v="40.67"/>
    <n v="1554.03"/>
    <n v="933.68"/>
    <n v="403.03"/>
    <n v="0.2059364557039641"/>
    <n v="-55.13"/>
    <n v="97.85"/>
    <n v="223.1"/>
    <n v="2082.31"/>
    <x v="10"/>
    <s v="Tamil Nadu"/>
    <x v="0"/>
    <x v="2"/>
    <s v="CC-1005"/>
  </r>
  <r>
    <s v="TXN-00015"/>
    <d v="2025-04-22T00:00:00"/>
    <x v="9"/>
    <x v="2"/>
    <x v="0"/>
    <x v="1"/>
    <x v="0"/>
    <s v="Tamil Nadu"/>
    <s v="Coimbatore"/>
    <s v="Branch A"/>
    <x v="3"/>
    <s v="CC-1003"/>
    <s v="P002"/>
    <s v="Monitor"/>
    <x v="0"/>
    <x v="2"/>
    <n v="39175.980000000003"/>
    <n v="42336.59"/>
    <n v="26929.57"/>
    <n v="2680.22"/>
    <n v="2250.56"/>
    <n v="3359.74"/>
    <n v="1445.57"/>
    <n v="36665.67"/>
    <n v="12246.4"/>
    <n v="2510.3100000000049"/>
    <n v="6.4077784397480408E-2"/>
    <n v="-3160.61"/>
    <n v="0"/>
    <n v="7051.68"/>
    <n v="46227.65"/>
    <x v="10"/>
    <s v="Tamil Nadu"/>
    <x v="3"/>
    <x v="3"/>
    <s v="CC-1003"/>
  </r>
  <r>
    <s v="TXN-00016"/>
    <d v="2025-09-05T00:00:00"/>
    <x v="1"/>
    <x v="0"/>
    <x v="0"/>
    <x v="4"/>
    <x v="0"/>
    <s v="Madhya Pradesh"/>
    <s v="Indore"/>
    <s v="Branch C"/>
    <x v="2"/>
    <s v="CC-1005"/>
    <s v="P017"/>
    <s v="UPS System"/>
    <x v="0"/>
    <x v="7"/>
    <n v="48086.6"/>
    <n v="56458.46"/>
    <n v="23951.119999999999"/>
    <n v="3580.32"/>
    <n v="1798.88"/>
    <n v="2956.27"/>
    <n v="1297.6099999999999"/>
    <n v="33584.21"/>
    <n v="24135.48"/>
    <n v="14502.39"/>
    <n v="0.30158900816443668"/>
    <n v="-8371.85"/>
    <n v="1442.6"/>
    <n v="5597.28"/>
    <n v="52241.29"/>
    <x v="5"/>
    <s v="Madhya Pradesh"/>
    <x v="2"/>
    <x v="10"/>
    <s v="CC-1005"/>
  </r>
  <r>
    <s v="TXN-00017"/>
    <d v="2025-05-24T00:00:00"/>
    <x v="3"/>
    <x v="2"/>
    <x v="0"/>
    <x v="0"/>
    <x v="0"/>
    <s v="Rajasthan"/>
    <s v="Jodhpur"/>
    <s v="Branch D"/>
    <x v="1"/>
    <s v="CC-1002"/>
    <s v="P010"/>
    <s v="Mouse"/>
    <x v="1"/>
    <x v="1"/>
    <n v="9607.66"/>
    <n v="10463.75"/>
    <n v="6231.49"/>
    <n v="756.69"/>
    <n v="423.54"/>
    <n v="1006.39"/>
    <n v="368.49"/>
    <n v="8786.61"/>
    <n v="3376.17"/>
    <n v="821.04999999999927"/>
    <n v="8.5457853421124316E-2"/>
    <n v="-856.09"/>
    <n v="768.61"/>
    <n v="1591.03"/>
    <n v="10430.08"/>
    <x v="11"/>
    <s v="Rajasthan"/>
    <x v="1"/>
    <x v="1"/>
    <s v="CC-1002"/>
  </r>
  <r>
    <s v="TXN-00018"/>
    <d v="2026-02-07T00:00:00"/>
    <x v="2"/>
    <x v="1"/>
    <x v="0"/>
    <x v="0"/>
    <x v="0"/>
    <s v="Rajasthan"/>
    <s v="  pune  "/>
    <s v="Branch D"/>
    <x v="2"/>
    <s v="CC-1004"/>
    <s v="P019"/>
    <s v="Conference Camera"/>
    <x v="0"/>
    <x v="0"/>
    <n v="33050.480000000003"/>
    <n v="30016.27"/>
    <n v="20451.22"/>
    <n v="1747.56"/>
    <n v="1826.5"/>
    <n v="2756.79"/>
    <n v="661.97"/>
    <n v="27444.03"/>
    <n v="12599.27"/>
    <n v="5606.4500000000044"/>
    <n v="0.16963293725234865"/>
    <n v="3034.21"/>
    <n v="1652.52"/>
    <n v="1569.9"/>
    <n v="32967.85"/>
    <x v="12"/>
    <s v="Maharashtra"/>
    <x v="2"/>
    <x v="0"/>
    <s v="CC-1004"/>
  </r>
  <r>
    <s v="TXN-00019"/>
    <d v="2025-09-27T00:00:00"/>
    <x v="1"/>
    <x v="0"/>
    <x v="0"/>
    <x v="2"/>
    <x v="0"/>
    <s v="Haryana"/>
    <s v="Faridabad"/>
    <s v="Branch C"/>
    <x v="1"/>
    <s v="CC-1001"/>
    <s v="P008"/>
    <s v="Headset"/>
    <x v="1"/>
    <x v="8"/>
    <n v="6337.58"/>
    <n v="6761.36"/>
    <n v="3171.85"/>
    <n v="343.08"/>
    <n v="377.33"/>
    <n v="527.61"/>
    <n v="204.77"/>
    <n v="4624.6400000000003"/>
    <n v="3165.73"/>
    <n v="1712.9399999999996"/>
    <n v="0.27028297867640322"/>
    <n v="-423.78"/>
    <n v="316.88"/>
    <n v="1083.73"/>
    <n v="7104.43"/>
    <x v="13"/>
    <s v="Haryana"/>
    <x v="1"/>
    <x v="11"/>
    <s v="CC-1001"/>
  </r>
  <r>
    <s v="TXN-00020"/>
    <d v="2025-08-02T00:00:00"/>
    <x v="7"/>
    <x v="0"/>
    <x v="0"/>
    <x v="0"/>
    <x v="0"/>
    <s v="Goa"/>
    <s v="Panaji"/>
    <s v="Branch D"/>
    <x v="1"/>
    <s v="CC-1004"/>
    <s v="P005"/>
    <s v="Office Desk"/>
    <x v="3"/>
    <x v="5"/>
    <n v="9626.48"/>
    <n v="9708.25"/>
    <n v="6211.39"/>
    <n v="526.14"/>
    <n v="813.33"/>
    <n v="725.72"/>
    <n v="177.06"/>
    <n v="8453.64"/>
    <n v="3415.09"/>
    <n v="1172.8400000000001"/>
    <n v="0.12183477241940982"/>
    <n v="-81.77"/>
    <n v="0"/>
    <n v="481.32"/>
    <n v="10107.799999999999"/>
    <x v="14"/>
    <s v="Goa"/>
    <x v="1"/>
    <x v="8"/>
    <s v="CC-1004"/>
  </r>
  <r>
    <s v="TXN-00021"/>
    <d v="2025-11-23T00:00:00"/>
    <x v="10"/>
    <x v="3"/>
    <x v="0"/>
    <x v="1"/>
    <x v="0"/>
    <s v="Kerala"/>
    <s v="Kochi"/>
    <s v="Branch C"/>
    <x v="0"/>
    <s v="CC-1005"/>
    <s v="P003"/>
    <s v="Printer"/>
    <x v="0"/>
    <x v="3"/>
    <n v="28563.85"/>
    <n v="31630.29"/>
    <n v="13809.32"/>
    <n v="1693.43"/>
    <n v="799.51"/>
    <n v="1235.6199999999999"/>
    <n v="1140.8699999999999"/>
    <n v="18678.759999999998"/>
    <n v="14754.53"/>
    <n v="9885.09"/>
    <n v="0.34606994505292532"/>
    <n v="-3066.44"/>
    <n v="1428.19"/>
    <n v="3256.28"/>
    <n v="30391.94"/>
    <x v="4"/>
    <s v="Kerala"/>
    <x v="0"/>
    <x v="5"/>
    <s v="CC-1005"/>
  </r>
  <r>
    <s v="TXN-00022"/>
    <d v="2025-11-04T00:00:00"/>
    <x v="10"/>
    <x v="3"/>
    <x v="0"/>
    <x v="0"/>
    <x v="0"/>
    <s v="Maharashtra"/>
    <s v="Nagpur"/>
    <s v="Branch D"/>
    <x v="1"/>
    <s v="CC-1005"/>
    <s v="P010"/>
    <s v="Mouse"/>
    <x v="1"/>
    <x v="1"/>
    <n v="11029.55"/>
    <n v="10569.26"/>
    <n v="5334.7"/>
    <n v="1375.11"/>
    <n v="634.94000000000005"/>
    <n v="917.11"/>
    <n v="374.33"/>
    <n v="8636.19"/>
    <n v="5694.85"/>
    <n v="2393.3599999999988"/>
    <n v="0.21699525365948738"/>
    <n v="460.28"/>
    <n v="551.48"/>
    <n v="1886.05"/>
    <n v="12364.12"/>
    <x v="15"/>
    <s v="Maharashtra"/>
    <x v="1"/>
    <x v="1"/>
    <s v="CC-1005"/>
  </r>
  <r>
    <s v="TXN-00023"/>
    <d v="2025-12-14T00:00:00"/>
    <x v="6"/>
    <x v="3"/>
    <x v="0"/>
    <x v="2"/>
    <x v="0"/>
    <s v="Uttar Pradesh"/>
    <s v="Agra"/>
    <s v="Branch D"/>
    <x v="0"/>
    <s v="CC-1002"/>
    <s v="P003"/>
    <s v="Printer"/>
    <x v="0"/>
    <x v="3"/>
    <n v="49438.080000000002"/>
    <n v="51597.79"/>
    <n v="34900.89"/>
    <n v="3998.96"/>
    <n v="4324.71"/>
    <n v="5558.23"/>
    <n v="833.16"/>
    <n v="49615.95"/>
    <n v="14537.19"/>
    <n v="-177.86999999999534"/>
    <n v="-3.5978338964619042E-3"/>
    <n v="-2159.6999999999998"/>
    <n v="0"/>
    <n v="2471.9"/>
    <n v="51909.99"/>
    <x v="7"/>
    <s v="Uttar Pradesh"/>
    <x v="0"/>
    <x v="5"/>
    <s v="CC-1002"/>
  </r>
  <r>
    <s v="TXN-00024"/>
    <d v="2025-12-09T00:00:00"/>
    <x v="6"/>
    <x v="3"/>
    <x v="0"/>
    <x v="2"/>
    <x v="0"/>
    <s v="Haryana"/>
    <s v="Panipat"/>
    <s v="Branch A"/>
    <x v="0"/>
    <s v="CC-1005"/>
    <s v="P010"/>
    <s v="Mouse"/>
    <x v="1"/>
    <x v="1"/>
    <n v="1711.26"/>
    <n v="1650.61"/>
    <n v="869.94"/>
    <n v="180.95"/>
    <n v="112.74"/>
    <n v="188.58"/>
    <n v="61.14"/>
    <n v="1413.34"/>
    <n v="841.33"/>
    <n v="297.92000000000007"/>
    <n v="0.17409394247513532"/>
    <n v="60.65"/>
    <n v="136.9"/>
    <n v="188.92"/>
    <n v="1763.29"/>
    <x v="16"/>
    <s v="Haryana"/>
    <x v="0"/>
    <x v="1"/>
    <s v="CC-1005"/>
  </r>
  <r>
    <s v="TXN-00025"/>
    <d v="2026-03-23T00:00:00"/>
    <x v="8"/>
    <x v="1"/>
    <x v="0"/>
    <x v="0"/>
    <x v="0"/>
    <s v="Rajasthan"/>
    <s v="Udaipur"/>
    <s v="Branch A"/>
    <x v="2"/>
    <s v="CC-1004"/>
    <s v="P018"/>
    <s v="Projector"/>
    <x v="0"/>
    <x v="6"/>
    <n v="32676.06"/>
    <n v="37255.120000000003"/>
    <n v="20090.810000000001"/>
    <n v="2257.52"/>
    <n v="2260.85"/>
    <n v="3241.23"/>
    <n v="599.22"/>
    <n v="28449.63"/>
    <n v="12585.25"/>
    <n v="4226.43"/>
    <n v="0.12934331740117996"/>
    <n v="-4579.0600000000004"/>
    <n v="980.28"/>
    <n v="3803.49"/>
    <n v="35499.269999999997"/>
    <x v="17"/>
    <s v="Rajasthan"/>
    <x v="2"/>
    <x v="9"/>
    <s v="CC-1004"/>
  </r>
  <r>
    <s v="TXN-00026"/>
    <d v="2025-06-23T00:00:00"/>
    <x v="11"/>
    <x v="2"/>
    <x v="0"/>
    <x v="0"/>
    <x v="0"/>
    <s v="Gujarat"/>
    <s v="Ahmedabad"/>
    <s v="Branch C"/>
    <x v="1"/>
    <s v="CC-1004"/>
    <s v="P012"/>
    <s v="Accounting Software"/>
    <x v="2"/>
    <x v="4"/>
    <n v="34032.17"/>
    <n v="33571.769999999997"/>
    <n v="24150.33"/>
    <n v="3544.16"/>
    <n v="1918.18"/>
    <n v="2703.59"/>
    <n v="439.52"/>
    <n v="32755.78"/>
    <n v="9881.85"/>
    <n v="1276.3899999999994"/>
    <n v="3.7505395630075877E-2"/>
    <n v="460.4"/>
    <n v="0"/>
    <n v="6125.79"/>
    <n v="40157.96"/>
    <x v="18"/>
    <s v="Gujarat"/>
    <x v="1"/>
    <x v="7"/>
    <s v="CC-1004"/>
  </r>
  <r>
    <s v="TXN-00027"/>
    <d v="2025-05-23T00:00:00"/>
    <x v="3"/>
    <x v="2"/>
    <x v="0"/>
    <x v="0"/>
    <x v="0"/>
    <s v="Maharashtra"/>
    <s v="Nagpur"/>
    <s v="Branch A"/>
    <x v="4"/>
    <s v="CC-1002"/>
    <s v="P007"/>
    <s v="Tablet"/>
    <x v="0"/>
    <x v="9"/>
    <n v="50779.14"/>
    <n v="55913.45"/>
    <n v="31027.06"/>
    <n v="5406.28"/>
    <n v="4466.6499999999996"/>
    <n v="4826.17"/>
    <n v="1995.3"/>
    <n v="47721.47"/>
    <n v="19752.080000000002"/>
    <n v="3057.6699999999983"/>
    <n v="6.0215080444450189E-2"/>
    <n v="-5134.3100000000004"/>
    <n v="4062.33"/>
    <n v="8409.0300000000007"/>
    <n v="55125.84"/>
    <x v="15"/>
    <s v="Maharashtra"/>
    <x v="4"/>
    <x v="12"/>
    <s v="CC-1002"/>
  </r>
  <r>
    <s v="TXN-00028"/>
    <d v="2025-09-21T00:00:00"/>
    <x v="1"/>
    <x v="0"/>
    <x v="0"/>
    <x v="0"/>
    <x v="0"/>
    <s v="Gujarat"/>
    <s v="Ahmedabad"/>
    <s v="Branch B"/>
    <x v="4"/>
    <s v="CC-1002"/>
    <s v="P005"/>
    <s v="Office Desk"/>
    <x v="3"/>
    <x v="5"/>
    <n v="17169.71"/>
    <n v="18103.599999999999"/>
    <n v="11798.22"/>
    <n v="2067.73"/>
    <n v="693.39"/>
    <n v="1933.58"/>
    <n v="527.39"/>
    <n v="17020.3"/>
    <n v="5371.49"/>
    <n v="149.40999999999985"/>
    <n v="8.7019524499831313E-3"/>
    <n v="-933.89"/>
    <n v="515.09"/>
    <n v="2997.83"/>
    <n v="19652.45"/>
    <x v="18"/>
    <s v="Gujarat"/>
    <x v="4"/>
    <x v="8"/>
    <s v="CC-1002"/>
  </r>
  <r>
    <s v="TXN-00029"/>
    <d v="2025-12-31T00:00:00"/>
    <x v="6"/>
    <x v="3"/>
    <x v="0"/>
    <x v="0"/>
    <x v="0"/>
    <s v="Gujarat"/>
    <s v="Vadodara"/>
    <s v="Branch C"/>
    <x v="1"/>
    <s v="CC-1003"/>
    <s v="P007"/>
    <s v="Tablet"/>
    <x v="0"/>
    <x v="9"/>
    <n v="34662.19"/>
    <n v="34716.29"/>
    <n v="21391.89"/>
    <n v="3787.81"/>
    <n v="2595.08"/>
    <n v="3668.07"/>
    <n v="1249.48"/>
    <n v="32692.33"/>
    <n v="13270.3"/>
    <n v="1969.8600000000006"/>
    <n v="5.6830223364421013E-2"/>
    <n v="-54.09"/>
    <n v="1733.11"/>
    <n v="1646.45"/>
    <n v="34575.54"/>
    <x v="19"/>
    <s v="Gujarat"/>
    <x v="1"/>
    <x v="12"/>
    <s v="CC-1003"/>
  </r>
  <r>
    <s v="TXN-00030"/>
    <d v="2025-10-08T00:00:00"/>
    <x v="5"/>
    <x v="3"/>
    <x v="0"/>
    <x v="3"/>
    <x v="0"/>
    <s v="West Bengal"/>
    <s v="Kolkata"/>
    <s v="Branch B"/>
    <x v="3"/>
    <s v="CC-1002"/>
    <s v="P012"/>
    <s v="Accounting Software"/>
    <x v="2"/>
    <x v="4"/>
    <n v="29790.11"/>
    <n v="29099.15"/>
    <n v="14609.55"/>
    <n v="3693.12"/>
    <n v="2524.4899999999998"/>
    <n v="1794.53"/>
    <n v="1022.97"/>
    <n v="23644.67"/>
    <n v="15180.56"/>
    <n v="6145.4400000000023"/>
    <n v="0.20629128257666729"/>
    <n v="690.95"/>
    <n v="0"/>
    <n v="1489.51"/>
    <n v="31279.61"/>
    <x v="20"/>
    <s v="West Bengal"/>
    <x v="3"/>
    <x v="7"/>
    <s v="CC-1002"/>
  </r>
  <r>
    <s v="TXN-00031"/>
    <d v="2026-01-30T00:00:00"/>
    <x v="4"/>
    <x v="1"/>
    <x v="0"/>
    <x v="0"/>
    <x v="0"/>
    <s v="Goa"/>
    <s v="Panaji"/>
    <s v="Branch A"/>
    <x v="0"/>
    <s v="CC-1003"/>
    <s v="P016"/>
    <s v="Network Switch"/>
    <x v="4"/>
    <x v="10"/>
    <n v="35907.040000000001"/>
    <n v="41925.449999999997"/>
    <n v="17734.03"/>
    <n v="2928.64"/>
    <n v="1146.8399999999999"/>
    <n v="2400.4899999999998"/>
    <n v="572.32000000000005"/>
    <n v="24782.32"/>
    <n v="18173.009999999998"/>
    <n v="11124.720000000001"/>
    <n v="0.30982002415125282"/>
    <n v="-6018.41"/>
    <n v="1795.35"/>
    <n v="4093.4"/>
    <n v="38205.1"/>
    <x v="14"/>
    <s v="Goa"/>
    <x v="0"/>
    <x v="13"/>
    <s v="CC-1003"/>
  </r>
  <r>
    <s v="TXN-00032"/>
    <d v="2026-02-10T00:00:00"/>
    <x v="2"/>
    <x v="1"/>
    <x v="0"/>
    <x v="0"/>
    <x v="0"/>
    <s v="Rajasthan"/>
    <s v="Jaipur"/>
    <s v="Branch A"/>
    <x v="1"/>
    <s v="CC-1003"/>
    <s v="P017"/>
    <s v="UPS System"/>
    <x v="0"/>
    <x v="7"/>
    <n v="31046.84"/>
    <n v="32935.56"/>
    <n v="16921.46"/>
    <n v="1883.14"/>
    <n v="929.95"/>
    <n v="3577.92"/>
    <n v="763.2"/>
    <n v="24075.66"/>
    <n v="14125.39"/>
    <n v="6971.18"/>
    <n v="0.22453750526623645"/>
    <n v="-1888.72"/>
    <n v="1552.34"/>
    <n v="5309.01"/>
    <n v="34803.51"/>
    <x v="21"/>
    <s v="Rajasthan"/>
    <x v="1"/>
    <x v="10"/>
    <s v="CC-1003"/>
  </r>
  <r>
    <s v="TXN-00033"/>
    <d v="2025-04-10T00:00:00"/>
    <x v="9"/>
    <x v="2"/>
    <x v="0"/>
    <x v="4"/>
    <x v="0"/>
    <s v="Chhattisgarh"/>
    <s v="Bilaspur"/>
    <s v="Branch A"/>
    <x v="1"/>
    <s v="CC-1001"/>
    <s v="P001"/>
    <s v="Business Laptop"/>
    <x v="0"/>
    <x v="2"/>
    <n v="54421.25"/>
    <n v="54041.48"/>
    <n v="35912.519999999997"/>
    <n v="4432.0200000000004"/>
    <n v="4293.6000000000004"/>
    <n v="4654.46"/>
    <n v="665.19"/>
    <n v="49957.78"/>
    <n v="18508.73"/>
    <n v="4463.4700000000012"/>
    <n v="8.2017042974940876E-2"/>
    <n v="379.77"/>
    <n v="0"/>
    <n v="2721.06"/>
    <n v="57142.31"/>
    <x v="22"/>
    <s v="Chhattisgarh"/>
    <x v="1"/>
    <x v="4"/>
    <s v="CC-1001"/>
  </r>
  <r>
    <s v="TXN-00034"/>
    <d v="2026-02-05T00:00:00"/>
    <x v="2"/>
    <x v="1"/>
    <x v="0"/>
    <x v="4"/>
    <x v="0"/>
    <s v="Madhya Pradesh"/>
    <s v="Bhopal"/>
    <s v="Branch C"/>
    <x v="2"/>
    <s v="CC-1003"/>
    <s v="P005"/>
    <s v="Office Desk"/>
    <x v="3"/>
    <x v="5"/>
    <n v="28871.45"/>
    <n v="28679.61"/>
    <n v="15528.81"/>
    <n v="1917.17"/>
    <n v="1193.6500000000001"/>
    <n v="1789.41"/>
    <n v="498.12"/>
    <n v="20927.16"/>
    <n v="13342.64"/>
    <n v="7944.2900000000009"/>
    <n v="0.27516075569463955"/>
    <n v="191.85"/>
    <n v="2309.7199999999998"/>
    <n v="4781.1099999999997"/>
    <n v="31342.85"/>
    <x v="23"/>
    <s v="Madhya Pradesh"/>
    <x v="2"/>
    <x v="8"/>
    <s v="CC-1003"/>
  </r>
  <r>
    <s v="TXN-00035"/>
    <d v="2025-05-04T00:00:00"/>
    <x v="3"/>
    <x v="2"/>
    <x v="0"/>
    <x v="1"/>
    <x v="0"/>
    <s v="Kerala"/>
    <s v="Kozhikode"/>
    <s v="Branch B"/>
    <x v="3"/>
    <s v="CC-1003"/>
    <s v="P018"/>
    <s v="Projector"/>
    <x v="0"/>
    <x v="6"/>
    <n v="62763.15"/>
    <n v="65793.440000000002"/>
    <n v="43331.48"/>
    <n v="5164.07"/>
    <n v="2115.81"/>
    <n v="2655.05"/>
    <n v="2286.4499999999998"/>
    <n v="55552.85"/>
    <n v="19431.669999999998"/>
    <n v="7210.3000000000029"/>
    <n v="0.11488110459720398"/>
    <n v="-3030.29"/>
    <n v="3138.16"/>
    <n v="10732.5"/>
    <n v="70357.490000000005"/>
    <x v="24"/>
    <s v="Kerala"/>
    <x v="3"/>
    <x v="9"/>
    <s v="CC-1003"/>
  </r>
  <r>
    <s v="TXN-00036"/>
    <d v="2025-07-12T00:00:00"/>
    <x v="0"/>
    <x v="0"/>
    <x v="0"/>
    <x v="2"/>
    <x v="0"/>
    <s v="Uttar Pradesh"/>
    <s v="Kanpur"/>
    <s v="Branch B"/>
    <x v="0"/>
    <s v="CC-1002"/>
    <s v="P015"/>
    <s v="Network Router"/>
    <x v="4"/>
    <x v="10"/>
    <n v="24879.63"/>
    <n v="24493.41"/>
    <n v="15011.31"/>
    <n v="2803.74"/>
    <n v="1263.27"/>
    <n v="2233.37"/>
    <n v="999.73"/>
    <n v="22311.42"/>
    <n v="9868.32"/>
    <n v="2568.2100000000028"/>
    <n v="0.10322540970263636"/>
    <n v="386.22"/>
    <n v="2487.96"/>
    <n v="1119.58"/>
    <n v="23511.25"/>
    <x v="25"/>
    <s v="Uttar Pradesh"/>
    <x v="0"/>
    <x v="14"/>
    <s v="CC-1002"/>
  </r>
  <r>
    <s v="TXN-00037"/>
    <d v="2025-10-01T00:00:00"/>
    <x v="5"/>
    <x v="3"/>
    <x v="0"/>
    <x v="0"/>
    <x v="0"/>
    <s v="Maharashtra"/>
    <s v="Mumbai"/>
    <s v="Branch B"/>
    <x v="0"/>
    <s v="CC-1002"/>
    <s v="P013"/>
    <s v="CRM Software"/>
    <x v="2"/>
    <x v="4"/>
    <n v="10769.33"/>
    <n v="10580.53"/>
    <n v="6557.91"/>
    <n v="934.88"/>
    <n v="678.57"/>
    <n v="775.65"/>
    <n v="370.66"/>
    <n v="9317.68"/>
    <n v="4211.42"/>
    <n v="1451.6499999999996"/>
    <n v="0.13479482939050058"/>
    <n v="188.8"/>
    <n v="215.39"/>
    <n v="1899.71"/>
    <n v="12453.65"/>
    <x v="6"/>
    <s v="Maharashtra"/>
    <x v="0"/>
    <x v="15"/>
    <s v="CC-1002"/>
  </r>
  <r>
    <s v="TXN-00038"/>
    <d v="2026-01-06T00:00:00"/>
    <x v="4"/>
    <x v="1"/>
    <x v="0"/>
    <x v="4"/>
    <x v="0"/>
    <s v="Uttar Pradesh"/>
    <s v="Agra"/>
    <s v="Branch A"/>
    <x v="4"/>
    <s v="CC-1005"/>
    <s v="P019"/>
    <s v="Conference Camera"/>
    <x v="0"/>
    <x v="0"/>
    <n v="16959.810000000001"/>
    <n v="16342.09"/>
    <n v="8861.2099999999991"/>
    <n v="968.34"/>
    <n v="556.98"/>
    <n v="1303.57"/>
    <n v="292.08"/>
    <n v="11982.18"/>
    <n v="8098.61"/>
    <n v="4977.630000000001"/>
    <n v="0.29349562288728476"/>
    <n v="617.73"/>
    <n v="508.79"/>
    <n v="1974.12"/>
    <n v="18425.14"/>
    <x v="7"/>
    <s v="Uttar Pradesh"/>
    <x v="4"/>
    <x v="0"/>
    <s v="CC-1005"/>
  </r>
  <r>
    <s v="TXN-00039"/>
    <d v="2026-01-26T00:00:00"/>
    <x v="4"/>
    <x v="1"/>
    <x v="0"/>
    <x v="1"/>
    <x v="0"/>
    <s v="Tamil Nadu"/>
    <s v="Chennai"/>
    <s v="Branch C"/>
    <x v="0"/>
    <s v="CC-1003"/>
    <s v="P016"/>
    <s v="Network Switch"/>
    <x v="4"/>
    <x v="10"/>
    <n v="7979.63"/>
    <n v="8952.0300000000007"/>
    <n v="5263.22"/>
    <n v="516.77"/>
    <n v="308.08"/>
    <n v="555.67999999999995"/>
    <n v="215.12"/>
    <n v="6858.87"/>
    <n v="2716.41"/>
    <n v="1120.7600000000002"/>
    <n v="0.14045262750277898"/>
    <n v="-972.4"/>
    <n v="398.98"/>
    <n v="909.68"/>
    <n v="8490.33"/>
    <x v="1"/>
    <s v="Tamil Nadu"/>
    <x v="0"/>
    <x v="13"/>
    <s v="CC-1003"/>
  </r>
  <r>
    <s v="TXN-00040"/>
    <d v="2025-11-02T00:00:00"/>
    <x v="10"/>
    <x v="3"/>
    <x v="0"/>
    <x v="0"/>
    <x v="0"/>
    <s v="Gujarat"/>
    <s v="Surat"/>
    <s v="Branch C"/>
    <x v="1"/>
    <s v="CC-1003"/>
    <s v="P015"/>
    <s v="Network Router"/>
    <x v="4"/>
    <x v="10"/>
    <n v="36766.15"/>
    <n v="32690.32"/>
    <n v="25299.95"/>
    <n v="2879.96"/>
    <n v="1868.3"/>
    <n v="1779.1"/>
    <n v="1316.57"/>
    <n v="33143.86"/>
    <n v="11466.2"/>
    <n v="3622.2900000000009"/>
    <n v="9.8522418039419427E-2"/>
    <n v="4075.83"/>
    <n v="735.32"/>
    <n v="4323.7"/>
    <n v="40354.53"/>
    <x v="26"/>
    <s v="Gujarat"/>
    <x v="1"/>
    <x v="14"/>
    <s v="CC-1003"/>
  </r>
  <r>
    <s v="TXN-00041"/>
    <d v="2025-12-29T00:00:00"/>
    <x v="6"/>
    <x v="3"/>
    <x v="0"/>
    <x v="1"/>
    <x v="0"/>
    <s v="Tamil Nadu"/>
    <s v="Coimbatore"/>
    <s v="Branch D"/>
    <x v="1"/>
    <s v="CC-1005"/>
    <s v="P020"/>
    <s v="Document Scanner"/>
    <x v="0"/>
    <x v="3"/>
    <n v="38788.870000000003"/>
    <n v="41684.339999999997"/>
    <n v="23083.25"/>
    <n v="3752.28"/>
    <n v="2827.46"/>
    <n v="3282.29"/>
    <n v="1184.18"/>
    <n v="34129.449999999997"/>
    <n v="15705.63"/>
    <n v="4659.4200000000055"/>
    <n v="0.12012260217943975"/>
    <n v="-2895.47"/>
    <n v="1939.44"/>
    <n v="4421.93"/>
    <n v="41271.360000000001"/>
    <x v="10"/>
    <s v="Tamil Nadu"/>
    <x v="1"/>
    <x v="6"/>
    <s v="CC-1005"/>
  </r>
  <r>
    <s v="TXN-00042"/>
    <d v="2025-07-10T00:00:00"/>
    <x v="0"/>
    <x v="0"/>
    <x v="0"/>
    <x v="1"/>
    <x v="0"/>
    <s v="Tamil Nadu"/>
    <s v="Coimbatore"/>
    <s v="Branch C"/>
    <x v="1"/>
    <s v="CC-1005"/>
    <s v="P006"/>
    <s v="Smartphone"/>
    <x v="0"/>
    <x v="9"/>
    <n v="41468.120000000003"/>
    <n v="37758.17"/>
    <n v="21426.01"/>
    <n v="2889.36"/>
    <n v="1469.81"/>
    <n v="2277.65"/>
    <n v="828.46"/>
    <n v="28891.29"/>
    <n v="20042.12"/>
    <n v="12576.830000000002"/>
    <n v="0.30328912909483241"/>
    <n v="3709.96"/>
    <n v="0"/>
    <n v="7464.26"/>
    <n v="48932.38"/>
    <x v="10"/>
    <s v="Tamil Nadu"/>
    <x v="1"/>
    <x v="16"/>
    <s v="CC-1005"/>
  </r>
  <r>
    <s v="TXN-00043"/>
    <d v="2025-12-03T00:00:00"/>
    <x v="6"/>
    <x v="3"/>
    <x v="0"/>
    <x v="2"/>
    <x v="0"/>
    <s v="Haryana"/>
    <s v="Gurugram"/>
    <s v="Branch D"/>
    <x v="4"/>
    <s v="CC-1002"/>
    <s v="P020"/>
    <s v="Document Scanner"/>
    <x v="0"/>
    <x v="3"/>
    <n v="80683.47"/>
    <n v="90778.71"/>
    <n v="43722.1"/>
    <n v="5137.2"/>
    <n v="5523.74"/>
    <n v="9226.16"/>
    <n v="2379.09"/>
    <n v="65988.289999999994"/>
    <n v="36961.360000000001"/>
    <n v="14695.180000000008"/>
    <n v="0.18213371338639758"/>
    <n v="-10095.25"/>
    <n v="4034.17"/>
    <n v="9197.92"/>
    <n v="85847.21"/>
    <x v="27"/>
    <s v="Haryana"/>
    <x v="4"/>
    <x v="6"/>
    <s v="CC-1002"/>
  </r>
  <r>
    <s v="TXN-00044"/>
    <d v="2026-01-25T00:00:00"/>
    <x v="4"/>
    <x v="1"/>
    <x v="0"/>
    <x v="1"/>
    <x v="0"/>
    <s v="Tamil Nadu"/>
    <s v="Coimbatore"/>
    <s v="Branch D"/>
    <x v="3"/>
    <s v="CC-1001"/>
    <s v="P020"/>
    <s v="Business Laptop"/>
    <x v="0"/>
    <x v="3"/>
    <n v="24070.2"/>
    <n v="25591.1"/>
    <n v="13221.07"/>
    <n v="2322.75"/>
    <n v="843.27"/>
    <n v="1889.3"/>
    <n v="689.39"/>
    <n v="18965.77"/>
    <n v="10849.13"/>
    <n v="5104.43"/>
    <n v="0.21206429526966955"/>
    <n v="-1520.9"/>
    <n v="0"/>
    <n v="2888.42"/>
    <n v="26958.62"/>
    <x v="10"/>
    <s v="Tamil Nadu"/>
    <x v="3"/>
    <x v="6"/>
    <s v="CC-1001"/>
  </r>
  <r>
    <s v="TXN-00045"/>
    <d v="2025-04-10T00:00:00"/>
    <x v="9"/>
    <x v="2"/>
    <x v="0"/>
    <x v="3"/>
    <x v="0"/>
    <s v="Odisha"/>
    <s v="Cuttack"/>
    <s v="Branch A"/>
    <x v="0"/>
    <s v="CC-1004"/>
    <s v="P001"/>
    <s v="Business Laptop"/>
    <x v="0"/>
    <x v="2"/>
    <n v="18433.46"/>
    <n v="16866.78"/>
    <n v="10941.36"/>
    <n v="1815.48"/>
    <n v="1412.53"/>
    <n v="894.69"/>
    <n v="733.2"/>
    <n v="15797.26"/>
    <n v="7492.1"/>
    <n v="2636.1999999999989"/>
    <n v="0.14301167550747385"/>
    <n v="1566.68"/>
    <n v="921.67"/>
    <n v="2101.41"/>
    <n v="19613.21"/>
    <x v="28"/>
    <s v="Odisha"/>
    <x v="0"/>
    <x v="4"/>
    <s v="CC-1004"/>
  </r>
  <r>
    <s v="TXN-00046"/>
    <d v="2025-08-15T00:00:00"/>
    <x v="7"/>
    <x v="0"/>
    <x v="0"/>
    <x v="1"/>
    <x v="0"/>
    <s v="Telangana"/>
    <s v="Nizamabad"/>
    <s v="Branch A"/>
    <x v="2"/>
    <s v="CC-1004"/>
    <s v="P008"/>
    <s v="Headset"/>
    <x v="1"/>
    <x v="8"/>
    <n v="9191.83"/>
    <n v="10293.58"/>
    <n v="6232.36"/>
    <n v="596.66"/>
    <n v="370.61"/>
    <n v="833.71"/>
    <n v="383.99"/>
    <n v="8417.33"/>
    <n v="2959.48"/>
    <n v="774.5"/>
    <n v="8.4259608804775551E-2"/>
    <n v="-1101.74"/>
    <n v="183.84"/>
    <n v="1080.96"/>
    <n v="10088.959999999999"/>
    <x v="29"/>
    <s v="Telangana"/>
    <x v="2"/>
    <x v="11"/>
    <s v="CC-1004"/>
  </r>
  <r>
    <s v="TXN-00047"/>
    <d v="2026-01-21T00:00:00"/>
    <x v="4"/>
    <x v="1"/>
    <x v="0"/>
    <x v="3"/>
    <x v="0"/>
    <s v="Jharkhand"/>
    <s v="Jamshedpur"/>
    <s v="Branch D"/>
    <x v="3"/>
    <s v="CC-1001"/>
    <s v="P015"/>
    <s v="Network Router"/>
    <x v="4"/>
    <x v="10"/>
    <n v="22317.38"/>
    <n v="22260.35"/>
    <n v="13561.06"/>
    <n v="1234.81"/>
    <n v="890.17"/>
    <n v="1861.89"/>
    <n v="560.24"/>
    <n v="18108.169999999998"/>
    <n v="8756.32"/>
    <n v="4209.2100000000028"/>
    <n v="0.18860681674999497"/>
    <n v="57.03"/>
    <n v="669.52"/>
    <n v="3896.61"/>
    <n v="25544.47"/>
    <x v="30"/>
    <s v="Jharkhand"/>
    <x v="3"/>
    <x v="14"/>
    <s v="CC-1001"/>
  </r>
  <r>
    <s v="TXN-00048"/>
    <d v="2025-05-12T00:00:00"/>
    <x v="3"/>
    <x v="2"/>
    <x v="0"/>
    <x v="2"/>
    <x v="0"/>
    <s v="Haryana"/>
    <s v="Panipat"/>
    <s v="Branch A"/>
    <x v="3"/>
    <s v="CC-1003"/>
    <s v="P004"/>
    <s v="Office Chair"/>
    <x v="3"/>
    <x v="5"/>
    <n v="35982.269999999997"/>
    <n v="39296.019999999997"/>
    <n v="23995.040000000001"/>
    <n v="2211.12"/>
    <n v="1377.96"/>
    <n v="3494.78"/>
    <n v="981.93"/>
    <n v="32060.83"/>
    <n v="11987.23"/>
    <n v="3921.4399999999951"/>
    <n v="0.10898256280106829"/>
    <n v="-3313.76"/>
    <n v="1799.11"/>
    <n v="1709.16"/>
    <n v="35892.31"/>
    <x v="16"/>
    <s v="Haryana"/>
    <x v="3"/>
    <x v="17"/>
    <s v="CC-1003"/>
  </r>
  <r>
    <s v="TXN-00049"/>
    <d v="2025-09-06T00:00:00"/>
    <x v="1"/>
    <x v="0"/>
    <x v="0"/>
    <x v="1"/>
    <x v="0"/>
    <s v="Karnataka"/>
    <s v="Mangaluru"/>
    <s v="Branch A"/>
    <x v="0"/>
    <s v="CC-1005"/>
    <s v="P015"/>
    <s v="Network Router"/>
    <x v="4"/>
    <x v="10"/>
    <n v="22383.14"/>
    <n v="19779.099999999999"/>
    <n v="13958.71"/>
    <n v="2131.7800000000002"/>
    <n v="1601.55"/>
    <n v="1967.98"/>
    <n v="871.55"/>
    <n v="20531.580000000002"/>
    <n v="8424.43"/>
    <n v="1851.5599999999977"/>
    <n v="8.2721191039326819E-2"/>
    <n v="2604.0300000000002"/>
    <n v="2238.31"/>
    <n v="2417.38"/>
    <n v="22562.2"/>
    <x v="31"/>
    <s v="Karnataka"/>
    <x v="0"/>
    <x v="14"/>
    <s v="CC-1005"/>
  </r>
  <r>
    <s v="TXN-00050"/>
    <d v="2025-08-12T00:00:00"/>
    <x v="7"/>
    <x v="0"/>
    <x v="0"/>
    <x v="3"/>
    <x v="0"/>
    <s v="Bihar"/>
    <s v="Gaya"/>
    <s v="Branch B"/>
    <x v="0"/>
    <s v="CC-1002"/>
    <s v="P013"/>
    <s v="CRM Software"/>
    <x v="2"/>
    <x v="4"/>
    <n v="6645.64"/>
    <n v="6358.58"/>
    <n v="4348"/>
    <n v="647.53"/>
    <n v="210.29"/>
    <n v="754.28"/>
    <n v="250.23"/>
    <n v="6210.33"/>
    <n v="2297.65"/>
    <n v="435.3100000000004"/>
    <n v="6.5503096767203811E-2"/>
    <n v="287.06"/>
    <n v="0"/>
    <n v="1196.22"/>
    <n v="7841.86"/>
    <x v="32"/>
    <s v="Bihar"/>
    <x v="0"/>
    <x v="15"/>
    <s v="CC-1002"/>
  </r>
  <r>
    <s v="TXN-00051"/>
    <d v="2025-07-01T00:00:00"/>
    <x v="0"/>
    <x v="0"/>
    <x v="0"/>
    <x v="1"/>
    <x v="0"/>
    <s v="Karnataka"/>
    <s v="Mysuru"/>
    <s v="Branch C"/>
    <x v="2"/>
    <s v="CC-1001"/>
    <s v="P011"/>
    <s v="Cloud Software"/>
    <x v="2"/>
    <x v="11"/>
    <n v="12571.21"/>
    <n v="14776.86"/>
    <n v="8565.2099999999991"/>
    <n v="753.93"/>
    <n v="1066.73"/>
    <n v="1377.7"/>
    <n v="354"/>
    <n v="12117.57"/>
    <n v="4006"/>
    <n v="453.63999999999942"/>
    <n v="3.6085627397839944E-2"/>
    <n v="-2205.65"/>
    <n v="628.55999999999995"/>
    <n v="1433.12"/>
    <n v="13375.77"/>
    <x v="33"/>
    <s v="Karnataka"/>
    <x v="2"/>
    <x v="18"/>
    <s v="CC-1001"/>
  </r>
  <r>
    <s v="TXN-00052"/>
    <d v="2026-02-03T00:00:00"/>
    <x v="2"/>
    <x v="1"/>
    <x v="0"/>
    <x v="1"/>
    <x v="0"/>
    <s v="Kerala"/>
    <s v="Kochi"/>
    <s v="Branch A"/>
    <x v="0"/>
    <s v="CC-1003"/>
    <s v="P020"/>
    <s v="Document Scanner"/>
    <x v="0"/>
    <x v="3"/>
    <n v="56317.64"/>
    <n v="55411.14"/>
    <n v="31721.97"/>
    <n v="6138.63"/>
    <n v="3063.35"/>
    <n v="3264.64"/>
    <n v="1454.99"/>
    <n v="45643.58"/>
    <n v="24595.67"/>
    <n v="10674.059999999998"/>
    <n v="0.18953315515351846"/>
    <n v="906.5"/>
    <n v="0"/>
    <n v="2815.88"/>
    <n v="59133.52"/>
    <x v="4"/>
    <s v="Kerala"/>
    <x v="0"/>
    <x v="6"/>
    <s v="CC-1003"/>
  </r>
  <r>
    <s v="TXN-00053"/>
    <d v="2025-09-27T00:00:00"/>
    <x v="1"/>
    <x v="0"/>
    <x v="0"/>
    <x v="3"/>
    <x v="0"/>
    <s v="Jharkhand"/>
    <s v="Ranchi"/>
    <s v="Branch A"/>
    <x v="2"/>
    <s v="CC-1003"/>
    <s v="P018"/>
    <s v="Projector"/>
    <x v="0"/>
    <x v="6"/>
    <n v="42143.85"/>
    <n v="49237.54"/>
    <n v="21732.7"/>
    <n v="3505.1"/>
    <n v="1287.4000000000001"/>
    <n v="5046.72"/>
    <n v="1162.19"/>
    <n v="32734.11"/>
    <n v="20411.150000000001"/>
    <n v="9409.739999999998"/>
    <n v="0.22327670585387899"/>
    <n v="-7093.7"/>
    <n v="2107.19"/>
    <n v="2001.83"/>
    <n v="42038.49"/>
    <x v="9"/>
    <s v="Jharkhand"/>
    <x v="2"/>
    <x v="9"/>
    <s v="CC-1003"/>
  </r>
  <r>
    <s v="TXN-00054"/>
    <d v="2025-11-01T00:00:00"/>
    <x v="10"/>
    <x v="3"/>
    <x v="0"/>
    <x v="3"/>
    <x v="0"/>
    <s v="Jharkhand"/>
    <s v="Dhanbad"/>
    <s v="Branch B"/>
    <x v="1"/>
    <s v="CC-1005"/>
    <s v="P017"/>
    <s v="UPS System"/>
    <x v="0"/>
    <x v="7"/>
    <n v="20373.259999999998"/>
    <n v="21380.76"/>
    <n v="10100.450000000001"/>
    <n v="2282.66"/>
    <n v="1109.5999999999999"/>
    <n v="1669.61"/>
    <n v="518.02"/>
    <n v="15680.36"/>
    <n v="10272.81"/>
    <n v="4692.8999999999978"/>
    <n v="0.23034605163827479"/>
    <n v="-1007.51"/>
    <n v="611.20000000000005"/>
    <n v="2371.4499999999998"/>
    <n v="22133.51"/>
    <x v="34"/>
    <s v="Jharkhand"/>
    <x v="1"/>
    <x v="10"/>
    <s v="CC-1005"/>
  </r>
  <r>
    <s v="TXN-00055"/>
    <d v="2026-02-13T00:00:00"/>
    <x v="2"/>
    <x v="1"/>
    <x v="0"/>
    <x v="2"/>
    <x v="0"/>
    <s v="Uttar Pradesh"/>
    <s v="Lucknow"/>
    <s v="Branch C"/>
    <x v="4"/>
    <s v="CC-1002"/>
    <s v="P010"/>
    <s v="Mouse"/>
    <x v="1"/>
    <x v="1"/>
    <n v="8740.7199999999993"/>
    <n v="9791.57"/>
    <n v="6249.12"/>
    <n v="1024.26"/>
    <n v="711.1"/>
    <n v="634.91999999999996"/>
    <n v="256.19"/>
    <n v="8875.59"/>
    <n v="2491.6"/>
    <n v="-134.8700000000008"/>
    <n v="-1.5430078986628197E-2"/>
    <n v="-1050.8499999999999"/>
    <n v="174.81"/>
    <n v="428.3"/>
    <n v="8994.2000000000007"/>
    <x v="2"/>
    <s v="Uttar Pradesh"/>
    <x v="4"/>
    <x v="1"/>
    <s v="CC-1002"/>
  </r>
  <r>
    <s v="TXN-00056"/>
    <d v="2025-12-11T00:00:00"/>
    <x v="6"/>
    <x v="3"/>
    <x v="0"/>
    <x v="2"/>
    <x v="0"/>
    <s v="Punjab"/>
    <s v="Ludhiana"/>
    <s v="Branch C"/>
    <x v="0"/>
    <s v="CC-1003"/>
    <s v="P001"/>
    <s v="Business Laptop"/>
    <x v="0"/>
    <x v="2"/>
    <n v="52225.66"/>
    <n v="58576.01"/>
    <n v="37461.199999999997"/>
    <n v="5131.47"/>
    <n v="4044.63"/>
    <n v="6111.03"/>
    <n v="2248.54"/>
    <n v="54996.87"/>
    <n v="14764.46"/>
    <n v="-2771.2099999999991"/>
    <n v="-5.3062230328922586E-2"/>
    <n v="-6350.35"/>
    <n v="0"/>
    <n v="6267.08"/>
    <n v="58492.74"/>
    <x v="35"/>
    <s v="Punjab"/>
    <x v="0"/>
    <x v="4"/>
    <s v="CC-1003"/>
  </r>
  <r>
    <s v="TXN-00057"/>
    <d v="2026-02-05T00:00:00"/>
    <x v="2"/>
    <x v="1"/>
    <x v="0"/>
    <x v="4"/>
    <x v="0"/>
    <s v="Uttar Pradesh"/>
    <s v="Kanpur"/>
    <s v="Branch C"/>
    <x v="2"/>
    <s v="CC-1005"/>
    <s v="P019"/>
    <s v="Conference Camera"/>
    <x v="0"/>
    <x v="0"/>
    <n v="30328"/>
    <n v="32538.23"/>
    <n v="19681.27"/>
    <n v="3725.79"/>
    <n v="1989.8"/>
    <n v="2028.01"/>
    <n v="1179.1099999999999"/>
    <n v="28603.99"/>
    <n v="10646.73"/>
    <n v="1724.0099999999984"/>
    <n v="5.6845489316802902E-2"/>
    <n v="-2210.23"/>
    <n v="909.84"/>
    <n v="1470.91"/>
    <n v="30889.07"/>
    <x v="25"/>
    <s v="Uttar Pradesh"/>
    <x v="2"/>
    <x v="0"/>
    <s v="CC-1005"/>
  </r>
  <r>
    <s v="TXN-00058"/>
    <d v="2025-04-20T00:00:00"/>
    <x v="9"/>
    <x v="2"/>
    <x v="0"/>
    <x v="0"/>
    <x v="0"/>
    <s v="Gujarat"/>
    <s v="Surat"/>
    <s v="Branch A"/>
    <x v="3"/>
    <s v="CC-1004"/>
    <s v="P003"/>
    <s v="Printer"/>
    <x v="0"/>
    <x v="3"/>
    <n v="75603.61"/>
    <n v="69709.100000000006"/>
    <n v="52047.97"/>
    <n v="6728.31"/>
    <n v="6286.13"/>
    <n v="7861.9"/>
    <n v="1881.2"/>
    <n v="74805.509999999995"/>
    <n v="23555.64"/>
    <n v="798.10000000000582"/>
    <n v="1.0556374226045632E-2"/>
    <n v="5894.52"/>
    <n v="0"/>
    <n v="9072.43"/>
    <n v="84676.05"/>
    <x v="26"/>
    <s v="Gujarat"/>
    <x v="3"/>
    <x v="5"/>
    <s v="CC-1004"/>
  </r>
  <r>
    <s v="TXN-00059"/>
    <d v="2025-05-10T00:00:00"/>
    <x v="3"/>
    <x v="2"/>
    <x v="0"/>
    <x v="0"/>
    <x v="0"/>
    <s v="Maharashtra"/>
    <s v="Nagpur"/>
    <s v="Branch A"/>
    <x v="1"/>
    <s v="CC-1003"/>
    <s v="P014"/>
    <s v="Data Storage"/>
    <x v="2"/>
    <x v="12"/>
    <n v="29449.38"/>
    <n v="27432.21"/>
    <n v="16060.33"/>
    <n v="1515.8"/>
    <n v="2486.39"/>
    <n v="1455.39"/>
    <n v="888.73"/>
    <n v="22406.639999999999"/>
    <n v="13389.05"/>
    <n v="7042.7400000000016"/>
    <n v="0.23914730972264955"/>
    <n v="2017.17"/>
    <n v="588.99"/>
    <n v="3463.25"/>
    <n v="32323.64"/>
    <x v="15"/>
    <s v="Maharashtra"/>
    <x v="1"/>
    <x v="19"/>
    <s v="CC-1003"/>
  </r>
  <r>
    <s v="TXN-00060"/>
    <d v="2025-08-31T00:00:00"/>
    <x v="7"/>
    <x v="0"/>
    <x v="0"/>
    <x v="3"/>
    <x v="0"/>
    <s v="Jharkhand"/>
    <s v="Dhanbad"/>
    <s v="Branch A"/>
    <x v="1"/>
    <s v="CC-1005"/>
    <s v="P006"/>
    <s v="Smartphone"/>
    <x v="0"/>
    <x v="9"/>
    <n v="47194.39"/>
    <n v="50494.66"/>
    <n v="28251.77"/>
    <n v="4524.22"/>
    <n v="3750.87"/>
    <n v="3414.54"/>
    <n v="1745.34"/>
    <n v="41686.74"/>
    <n v="18942.61"/>
    <n v="5507.6500000000015"/>
    <n v="0.11670137065019807"/>
    <n v="-3300.28"/>
    <n v="1415.83"/>
    <n v="5493.43"/>
    <n v="51271.98"/>
    <x v="34"/>
    <s v="Jharkhand"/>
    <x v="1"/>
    <x v="16"/>
    <s v="CC-1005"/>
  </r>
  <r>
    <s v="TXN-00061"/>
    <d v="2026-02-04T00:00:00"/>
    <x v="2"/>
    <x v="1"/>
    <x v="0"/>
    <x v="0"/>
    <x v="0"/>
    <s v="Goa"/>
    <s v="Panaji"/>
    <s v="Branch D"/>
    <x v="2"/>
    <s v="CC-1005"/>
    <s v="P011"/>
    <s v="Cloud Software"/>
    <x v="2"/>
    <x v="11"/>
    <n v="11213.98"/>
    <n v="12287.31"/>
    <n v="6182.37"/>
    <n v="1068.83"/>
    <n v="627.35"/>
    <n v="1043.95"/>
    <n v="479.84"/>
    <n v="9402.33"/>
    <n v="5031.6099999999997"/>
    <n v="1811.6499999999996"/>
    <n v="0.1615528117581804"/>
    <n v="-1073.33"/>
    <n v="560.70000000000005"/>
    <n v="532.66"/>
    <n v="11185.94"/>
    <x v="14"/>
    <s v="Goa"/>
    <x v="2"/>
    <x v="18"/>
    <s v="CC-1005"/>
  </r>
  <r>
    <s v="TXN-00062"/>
    <d v="2025-05-06T00:00:00"/>
    <x v="3"/>
    <x v="2"/>
    <x v="0"/>
    <x v="3"/>
    <x v="0"/>
    <s v="Bihar"/>
    <s v="Muzaffarpur"/>
    <s v="Branch D"/>
    <x v="1"/>
    <s v="CC-1003"/>
    <s v="P013"/>
    <s v="CRM Software"/>
    <x v="2"/>
    <x v="4"/>
    <n v="9618.58"/>
    <n v="9832.7999999999993"/>
    <n v="5411.91"/>
    <n v="751.43"/>
    <n v="498.55"/>
    <n v="927.17"/>
    <n v="297.60000000000002"/>
    <n v="7886.67"/>
    <n v="4206.67"/>
    <n v="1731.9099999999999"/>
    <n v="0.18005880285863402"/>
    <n v="-214.22"/>
    <n v="288.56"/>
    <n v="466.5"/>
    <n v="9796.52"/>
    <x v="36"/>
    <s v="Bihar"/>
    <x v="1"/>
    <x v="15"/>
    <s v="CC-1003"/>
  </r>
  <r>
    <s v="TXN-00063"/>
    <d v="2025-11-15T00:00:00"/>
    <x v="10"/>
    <x v="3"/>
    <x v="0"/>
    <x v="2"/>
    <x v="0"/>
    <s v="Haryana"/>
    <s v="Faridabad"/>
    <s v="Branch B"/>
    <x v="0"/>
    <s v="CC-1003"/>
    <s v="P005"/>
    <s v="Office Desk"/>
    <x v="3"/>
    <x v="5"/>
    <n v="13023.13"/>
    <n v="11994.9"/>
    <n v="9221.1200000000008"/>
    <n v="1115.83"/>
    <n v="482.29"/>
    <n v="1085.51"/>
    <n v="528.13"/>
    <n v="12432.88"/>
    <n v="3802.01"/>
    <n v="590.25"/>
    <n v="4.5323205711683752E-2"/>
    <n v="1028.23"/>
    <n v="651.16"/>
    <n v="2226.96"/>
    <n v="14598.93"/>
    <x v="13"/>
    <s v="Haryana"/>
    <x v="0"/>
    <x v="8"/>
    <s v="CC-1003"/>
  </r>
  <r>
    <s v="TXN-00064"/>
    <d v="2025-11-01T00:00:00"/>
    <x v="10"/>
    <x v="3"/>
    <x v="0"/>
    <x v="0"/>
    <x v="0"/>
    <s v="Rajasthan"/>
    <s v="Jodhpur"/>
    <s v="Branch D"/>
    <x v="1"/>
    <s v="CC-1001"/>
    <s v="P012"/>
    <s v="Accounting Software"/>
    <x v="2"/>
    <x v="4"/>
    <n v="13543.91"/>
    <n v="15754.52"/>
    <n v="6629.24"/>
    <n v="1441.7"/>
    <n v="1153.1400000000001"/>
    <n v="737.41"/>
    <n v="404.67"/>
    <n v="10366.15"/>
    <n v="6914.68"/>
    <n v="3177.76"/>
    <n v="0.23462648526164159"/>
    <n v="-2210.61"/>
    <n v="1083.51"/>
    <n v="623.02"/>
    <n v="13083.42"/>
    <x v="11"/>
    <s v="Rajasthan"/>
    <x v="1"/>
    <x v="7"/>
    <s v="CC-1001"/>
  </r>
  <r>
    <s v="TXN-00065"/>
    <d v="2025-07-26T00:00:00"/>
    <x v="0"/>
    <x v="0"/>
    <x v="0"/>
    <x v="0"/>
    <x v="0"/>
    <s v="Goa"/>
    <s v="Margao"/>
    <s v="Branch C"/>
    <x v="4"/>
    <s v="CC-1002"/>
    <s v="P020"/>
    <s v="Document Scanner"/>
    <x v="0"/>
    <x v="3"/>
    <n v="54316.44"/>
    <n v="61305.59"/>
    <n v="26554.32"/>
    <n v="5306.8"/>
    <n v="2169.9699999999998"/>
    <n v="2696.56"/>
    <n v="689.46"/>
    <n v="37417.11"/>
    <n v="27762.12"/>
    <n v="16899.330000000002"/>
    <n v="0.31112734928872365"/>
    <n v="-6989.15"/>
    <n v="2715.82"/>
    <n v="6192.07"/>
    <n v="57792.69"/>
    <x v="37"/>
    <s v="Goa"/>
    <x v="4"/>
    <x v="6"/>
    <s v="CC-1002"/>
  </r>
  <r>
    <s v="TXN-00066"/>
    <d v="2025-09-30T00:00:00"/>
    <x v="1"/>
    <x v="0"/>
    <x v="0"/>
    <x v="3"/>
    <x v="0"/>
    <s v="Bihar"/>
    <s v="Muzaffarpur"/>
    <s v="Branch D"/>
    <x v="0"/>
    <s v="CC-1005"/>
    <s v="P013"/>
    <s v="CRM Software"/>
    <x v="2"/>
    <x v="4"/>
    <n v="24857.02"/>
    <n v="26466.73"/>
    <n v="13321.13"/>
    <n v="1291.3699999999999"/>
    <n v="2027.25"/>
    <n v="1036.58"/>
    <n v="1009.56"/>
    <n v="18685.89"/>
    <n v="11535.89"/>
    <n v="6171.130000000001"/>
    <n v="0.24826507763199293"/>
    <n v="-1609.71"/>
    <n v="745.71"/>
    <n v="4340.03"/>
    <n v="28451.34"/>
    <x v="36"/>
    <s v="Bihar"/>
    <x v="0"/>
    <x v="15"/>
    <s v="CC-1005"/>
  </r>
  <r>
    <s v="TXN-00067"/>
    <d v="2025-11-13T00:00:00"/>
    <x v="10"/>
    <x v="3"/>
    <x v="0"/>
    <x v="2"/>
    <x v="0"/>
    <s v="Punjab"/>
    <s v="Ludhiana"/>
    <s v="Branch B"/>
    <x v="1"/>
    <s v="CC-1005"/>
    <s v="P012"/>
    <s v="Accounting Software"/>
    <x v="2"/>
    <x v="4"/>
    <n v="24761.17"/>
    <n v="29099.95"/>
    <n v="16450.97"/>
    <n v="2065.61"/>
    <n v="1297.19"/>
    <n v="2451.52"/>
    <n v="454.55"/>
    <n v="22719.84"/>
    <n v="8310.2099999999991"/>
    <n v="2041.3299999999981"/>
    <n v="8.2440773194481454E-2"/>
    <n v="-4338.78"/>
    <n v="0"/>
    <n v="2971.34"/>
    <n v="27732.51"/>
    <x v="35"/>
    <s v="Punjab"/>
    <x v="1"/>
    <x v="7"/>
    <s v="CC-1005"/>
  </r>
  <r>
    <s v="TXN-00068"/>
    <d v="2025-09-05T00:00:00"/>
    <x v="1"/>
    <x v="0"/>
    <x v="0"/>
    <x v="4"/>
    <x v="0"/>
    <s v="Chhattisgarh"/>
    <s v="Bhilai"/>
    <s v="Branch A"/>
    <x v="1"/>
    <s v="CC-1001"/>
    <s v="P014"/>
    <s v="Data Storage"/>
    <x v="2"/>
    <x v="12"/>
    <n v="4924.5200000000004"/>
    <n v="4912.16"/>
    <n v="2510.84"/>
    <n v="623.02"/>
    <n v="378.54"/>
    <n v="299.01"/>
    <n v="150.69"/>
    <n v="3962.1"/>
    <n v="2413.6799999999998"/>
    <n v="962.42000000000053"/>
    <n v="0.19543427582789805"/>
    <n v="12.37"/>
    <n v="492.45"/>
    <n v="797.77"/>
    <n v="5229.84"/>
    <x v="38"/>
    <s v="Chhattisgarh"/>
    <x v="1"/>
    <x v="19"/>
    <s v="CC-1001"/>
  </r>
  <r>
    <s v="TXN-00069"/>
    <d v="2026-03-10T00:00:00"/>
    <x v="8"/>
    <x v="1"/>
    <x v="0"/>
    <x v="3"/>
    <x v="0"/>
    <s v="West Bengal"/>
    <s v="Durgapur"/>
    <s v="Branch A"/>
    <x v="2"/>
    <s v="CC-1004"/>
    <s v="P008"/>
    <s v="Headset"/>
    <x v="1"/>
    <x v="8"/>
    <n v="9748.9599999999991"/>
    <n v="10356.52"/>
    <n v="5879.06"/>
    <n v="667.35"/>
    <n v="355.59"/>
    <n v="561.91999999999996"/>
    <n v="161.1"/>
    <n v="7625.02"/>
    <n v="3869.9"/>
    <n v="2123.9399999999987"/>
    <n v="0.21786323874546606"/>
    <n v="-607.57000000000005"/>
    <n v="487.45"/>
    <n v="1111.3800000000001"/>
    <n v="10372.89"/>
    <x v="39"/>
    <s v="West Bengal"/>
    <x v="2"/>
    <x v="11"/>
    <s v="CC-1004"/>
  </r>
  <r>
    <s v="TXN-00070"/>
    <d v="2025-12-17T00:00:00"/>
    <x v="6"/>
    <x v="3"/>
    <x v="0"/>
    <x v="0"/>
    <x v="0"/>
    <s v="Goa"/>
    <s v="Panaji"/>
    <s v="Branch A"/>
    <x v="4"/>
    <s v="CC-1002"/>
    <s v="P017"/>
    <s v="UPS System"/>
    <x v="0"/>
    <x v="7"/>
    <n v="25852.33"/>
    <n v="28630.720000000001"/>
    <n v="16727.62"/>
    <n v="1610.9"/>
    <n v="2017.24"/>
    <n v="1498.28"/>
    <n v="461.04"/>
    <n v="22315.08"/>
    <n v="9124.7099999999991"/>
    <n v="3537.25"/>
    <n v="0.13682519138507052"/>
    <n v="-2778.39"/>
    <n v="1292.6199999999999"/>
    <n v="2947.17"/>
    <n v="27506.880000000001"/>
    <x v="14"/>
    <s v="Goa"/>
    <x v="4"/>
    <x v="10"/>
    <s v="CC-1002"/>
  </r>
  <r>
    <s v="TXN-00071"/>
    <d v="2026-03-23T00:00:00"/>
    <x v="8"/>
    <x v="1"/>
    <x v="0"/>
    <x v="2"/>
    <x v="0"/>
    <s v="Delhi"/>
    <s v="Noida"/>
    <s v="Branch C"/>
    <x v="1"/>
    <s v="CC-1001"/>
    <s v="P003"/>
    <s v="Printer"/>
    <x v="0"/>
    <x v="3"/>
    <n v="79731.490000000005"/>
    <n v="89526.89"/>
    <n v="50809.54"/>
    <n v="7500.23"/>
    <n v="2444.1"/>
    <n v="5794.59"/>
    <n v="1837.34"/>
    <n v="68385.789999999994"/>
    <n v="28921.95"/>
    <n v="11345.700000000012"/>
    <n v="0.14229885833062961"/>
    <n v="-9795.4"/>
    <n v="1594.63"/>
    <n v="14064.64"/>
    <n v="92201.5"/>
    <x v="40"/>
    <s v="Delhi"/>
    <x v="1"/>
    <x v="5"/>
    <s v="CC-1001"/>
  </r>
  <r>
    <s v="TXN-00072"/>
    <d v="2025-06-29T00:00:00"/>
    <x v="11"/>
    <x v="2"/>
    <x v="0"/>
    <x v="3"/>
    <x v="0"/>
    <s v="West Bengal"/>
    <s v="Kolkata"/>
    <s v="Branch D"/>
    <x v="1"/>
    <s v="CC-1001"/>
    <s v="P018"/>
    <s v="Projector"/>
    <x v="0"/>
    <x v="6"/>
    <n v="42854.74"/>
    <n v="45328.42"/>
    <n v="29052.240000000002"/>
    <n v="3335.16"/>
    <n v="2960.02"/>
    <n v="3653.73"/>
    <n v="829.07"/>
    <n v="39830.22"/>
    <n v="13802.51"/>
    <n v="3024.5199999999968"/>
    <n v="7.0576090299462713E-2"/>
    <n v="-2473.6799999999998"/>
    <n v="3428.38"/>
    <n v="7096.75"/>
    <n v="46523.11"/>
    <x v="20"/>
    <s v="West Bengal"/>
    <x v="1"/>
    <x v="9"/>
    <s v="CC-1001"/>
  </r>
  <r>
    <s v="TXN-00073"/>
    <d v="2025-09-15T00:00:00"/>
    <x v="1"/>
    <x v="0"/>
    <x v="0"/>
    <x v="1"/>
    <x v="0"/>
    <s v="Telangana"/>
    <s v="Nizamabad"/>
    <s v="Branch D"/>
    <x v="2"/>
    <s v="CC-1003"/>
    <s v="P013"/>
    <s v="CRM Software"/>
    <x v="2"/>
    <x v="4"/>
    <n v="24368.23"/>
    <n v="25966.38"/>
    <n v="16098.92"/>
    <n v="1527.61"/>
    <n v="2004.45"/>
    <n v="2674.35"/>
    <n v="268.63"/>
    <n v="22573.95"/>
    <n v="8269.31"/>
    <n v="1794.2799999999988"/>
    <n v="7.3631937978260995E-2"/>
    <n v="-1598.15"/>
    <n v="1949.46"/>
    <n v="1120.94"/>
    <n v="23539.71"/>
    <x v="29"/>
    <s v="Telangana"/>
    <x v="2"/>
    <x v="15"/>
    <s v="CC-1003"/>
  </r>
  <r>
    <s v="TXN-00074"/>
    <d v="2026-03-29T00:00:00"/>
    <x v="8"/>
    <x v="1"/>
    <x v="0"/>
    <x v="1"/>
    <x v="0"/>
    <s v="Telangana"/>
    <s v="Nizamabad"/>
    <s v="Branch B"/>
    <x v="2"/>
    <s v="CC-1005"/>
    <s v="P012"/>
    <s v="Accounting Software"/>
    <x v="2"/>
    <x v="4"/>
    <n v="4746.57"/>
    <n v="5055.46"/>
    <n v="3396.1"/>
    <n v="477.24"/>
    <n v="198.82"/>
    <n v="430.61"/>
    <n v="137.16999999999999"/>
    <n v="4639.9399999999996"/>
    <n v="1350.47"/>
    <n v="106.63000000000011"/>
    <n v="2.2464642889497073E-2"/>
    <n v="-308.89999999999998"/>
    <n v="237.33"/>
    <n v="225.46"/>
    <n v="4734.7"/>
    <x v="29"/>
    <s v="Telangana"/>
    <x v="2"/>
    <x v="7"/>
    <s v="CC-1005"/>
  </r>
  <r>
    <s v="TXN-00075"/>
    <d v="2025-06-13T00:00:00"/>
    <x v="11"/>
    <x v="2"/>
    <x v="0"/>
    <x v="3"/>
    <x v="0"/>
    <s v="Odisha"/>
    <s v="Rourkela"/>
    <s v="Branch D"/>
    <x v="0"/>
    <s v="CC-1005"/>
    <s v="P004"/>
    <s v="Office Chair"/>
    <x v="3"/>
    <x v="5"/>
    <n v="14335.02"/>
    <n v="16688.68"/>
    <n v="7453.22"/>
    <n v="1600.92"/>
    <n v="1018.61"/>
    <n v="1116.5"/>
    <n v="172.41"/>
    <n v="11361.65"/>
    <n v="6881.8"/>
    <n v="2973.3700000000008"/>
    <n v="0.20742001057549977"/>
    <n v="-2353.66"/>
    <n v="0"/>
    <n v="2580.3000000000002"/>
    <n v="16915.330000000002"/>
    <x v="41"/>
    <s v="Odisha"/>
    <x v="0"/>
    <x v="17"/>
    <s v="CC-1005"/>
  </r>
  <r>
    <s v="TXN-00076"/>
    <d v="2025-12-26T00:00:00"/>
    <x v="6"/>
    <x v="3"/>
    <x v="0"/>
    <x v="4"/>
    <x v="0"/>
    <s v="Madhya Pradesh"/>
    <s v="Gwalior"/>
    <s v="Branch C"/>
    <x v="0"/>
    <s v="CC-1004"/>
    <s v="P007"/>
    <s v="Tablet"/>
    <x v="0"/>
    <x v="9"/>
    <n v="26206"/>
    <n v="25984.560000000001"/>
    <n v="17728.580000000002"/>
    <n v="1839.68"/>
    <n v="656.9"/>
    <n v="1381.45"/>
    <n v="691.81"/>
    <n v="22298.43"/>
    <n v="8477.42"/>
    <n v="3907.5699999999997"/>
    <n v="0.14910974585972678"/>
    <n v="221.44"/>
    <n v="2620.6"/>
    <n v="1179.27"/>
    <n v="24764.67"/>
    <x v="42"/>
    <s v="Madhya Pradesh"/>
    <x v="0"/>
    <x v="12"/>
    <s v="CC-1004"/>
  </r>
  <r>
    <s v="TXN-00077"/>
    <d v="2025-05-09T00:00:00"/>
    <x v="3"/>
    <x v="2"/>
    <x v="0"/>
    <x v="3"/>
    <x v="0"/>
    <s v="West Bengal"/>
    <s v="Kolkata"/>
    <s v="Branch C"/>
    <x v="1"/>
    <s v="CC-1002"/>
    <s v="P015"/>
    <s v="Network Router"/>
    <x v="4"/>
    <x v="10"/>
    <n v="29772.06"/>
    <n v="28640.06"/>
    <n v="21084.79"/>
    <n v="1848.39"/>
    <n v="1580.95"/>
    <n v="3438.35"/>
    <n v="735.09"/>
    <n v="28687.56"/>
    <n v="8687.27"/>
    <n v="1084.5"/>
    <n v="3.6426770603041912E-2"/>
    <n v="1132"/>
    <n v="1488.6"/>
    <n v="3394.01"/>
    <n v="31677.47"/>
    <x v="20"/>
    <s v="West Bengal"/>
    <x v="1"/>
    <x v="14"/>
    <s v="CC-1002"/>
  </r>
  <r>
    <s v="TXN-00078"/>
    <d v="2025-12-13T00:00:00"/>
    <x v="6"/>
    <x v="3"/>
    <x v="0"/>
    <x v="1"/>
    <x v="0"/>
    <s v="Tamil Nadu"/>
    <s v="Madurai"/>
    <s v="Branch B"/>
    <x v="1"/>
    <s v="CC-1001"/>
    <s v="P012"/>
    <s v="Accounting Software"/>
    <x v="2"/>
    <x v="4"/>
    <n v="18533.939999999999"/>
    <n v="19330.34"/>
    <n v="9604.64"/>
    <n v="1228.73"/>
    <n v="573.16999999999996"/>
    <n v="969.19"/>
    <n v="479.64"/>
    <n v="12855.38"/>
    <n v="8929.2999999999993"/>
    <n v="5678.5599999999995"/>
    <n v="0.30638709308436307"/>
    <n v="-796.4"/>
    <n v="926.7"/>
    <n v="880.36"/>
    <n v="18487.599999999999"/>
    <x v="43"/>
    <s v="Tamil Nadu"/>
    <x v="1"/>
    <x v="7"/>
    <s v="CC-1001"/>
  </r>
  <r>
    <s v="TXN-00079"/>
    <d v="2026-03-15T00:00:00"/>
    <x v="8"/>
    <x v="1"/>
    <x v="0"/>
    <x v="2"/>
    <x v="0"/>
    <s v="Delhi"/>
    <s v="Gurugram"/>
    <s v="Branch C"/>
    <x v="1"/>
    <s v="CC-1001"/>
    <s v="P014"/>
    <s v="Data Storage"/>
    <x v="2"/>
    <x v="12"/>
    <n v="20907.54"/>
    <n v="19951.27"/>
    <n v="12837.63"/>
    <n v="1422.62"/>
    <n v="741.25"/>
    <n v="1926.04"/>
    <n v="447.58"/>
    <n v="17375.11"/>
    <n v="8069.91"/>
    <n v="3532.4300000000003"/>
    <n v="0.16895483638916869"/>
    <n v="956.27"/>
    <n v="1045.3800000000001"/>
    <n v="2383.46"/>
    <n v="22245.63"/>
    <x v="27"/>
    <s v="Delhi"/>
    <x v="1"/>
    <x v="19"/>
    <s v="CC-1001"/>
  </r>
  <r>
    <s v="TXN-00080"/>
    <d v="2025-06-03T00:00:00"/>
    <x v="11"/>
    <x v="2"/>
    <x v="0"/>
    <x v="3"/>
    <x v="0"/>
    <s v="Jharkhand"/>
    <s v="Ranchi"/>
    <s v="Branch B"/>
    <x v="0"/>
    <s v="CC-1002"/>
    <s v="P014"/>
    <s v="Data Storage"/>
    <x v="2"/>
    <x v="12"/>
    <n v="32439.24"/>
    <n v="34940.15"/>
    <n v="21464.86"/>
    <n v="4094.22"/>
    <n v="2725.16"/>
    <n v="3177.19"/>
    <n v="1174.97"/>
    <n v="32636.400000000001"/>
    <n v="10974.38"/>
    <n v="-197.15999999999985"/>
    <n v="-6.0778242646868375E-3"/>
    <n v="-2500.91"/>
    <n v="0"/>
    <n v="1621.96"/>
    <n v="34061.21"/>
    <x v="9"/>
    <s v="Jharkhand"/>
    <x v="0"/>
    <x v="19"/>
    <s v="CC-1002"/>
  </r>
  <r>
    <s v="TXN-00081"/>
    <d v="2025-05-16T00:00:00"/>
    <x v="3"/>
    <x v="2"/>
    <x v="0"/>
    <x v="2"/>
    <x v="0"/>
    <s v="Uttar Pradesh"/>
    <s v="Kanpur"/>
    <s v="Branch B"/>
    <x v="1"/>
    <s v="CC-1001"/>
    <s v="P010"/>
    <s v="Mouse"/>
    <x v="1"/>
    <x v="1"/>
    <n v="9533.56"/>
    <n v="8596.65"/>
    <n v="5798.49"/>
    <n v="1149.77"/>
    <n v="289.47000000000003"/>
    <n v="1010.19"/>
    <n v="214.72"/>
    <n v="8462.64"/>
    <n v="3735.08"/>
    <n v="1070.92"/>
    <n v="0.11233159491312796"/>
    <n v="936.91"/>
    <n v="190.67"/>
    <n v="1681.72"/>
    <n v="11024.61"/>
    <x v="25"/>
    <s v="Uttar Pradesh"/>
    <x v="1"/>
    <x v="1"/>
    <s v="CC-1001"/>
  </r>
  <r>
    <s v="TXN-00082"/>
    <d v="2025-06-29T00:00:00"/>
    <x v="11"/>
    <x v="2"/>
    <x v="0"/>
    <x v="0"/>
    <x v="0"/>
    <s v="Gujarat"/>
    <s v="Vadodara"/>
    <s v="Branch B"/>
    <x v="1"/>
    <s v="CC-1004"/>
    <s v="P017"/>
    <s v="UPS System"/>
    <x v="0"/>
    <x v="7"/>
    <n v="51716.99"/>
    <n v="59415.92"/>
    <n v="32206.57"/>
    <n v="5136.96"/>
    <n v="3353.4"/>
    <n v="3305.07"/>
    <n v="2209.9699999999998"/>
    <n v="46211.98"/>
    <n v="19510.419999999998"/>
    <n v="5505.0099999999948"/>
    <n v="0.1064449033093379"/>
    <n v="-7698.92"/>
    <n v="5171.7"/>
    <n v="8378.15"/>
    <n v="54923.45"/>
    <x v="19"/>
    <s v="Gujarat"/>
    <x v="1"/>
    <x v="10"/>
    <s v="CC-1004"/>
  </r>
  <r>
    <s v="TXN-00083"/>
    <d v="2025-06-23T00:00:00"/>
    <x v="11"/>
    <x v="2"/>
    <x v="0"/>
    <x v="1"/>
    <x v="0"/>
    <s v="Telangana"/>
    <s v="Nizamabad"/>
    <s v="Branch C"/>
    <x v="0"/>
    <s v="CC-1004"/>
    <s v="P006"/>
    <s v="Smartphone"/>
    <x v="0"/>
    <x v="9"/>
    <n v="57619.72"/>
    <n v="61830.19"/>
    <n v="34936.949999999997"/>
    <n v="6253.31"/>
    <n v="1746.22"/>
    <n v="2582.9899999999998"/>
    <n v="1074.53"/>
    <n v="46593.99"/>
    <n v="22682.77"/>
    <n v="11025.730000000003"/>
    <n v="0.19135341164448566"/>
    <n v="-4210.46"/>
    <n v="0"/>
    <n v="10371.549999999999"/>
    <n v="67991.27"/>
    <x v="29"/>
    <s v="Telangana"/>
    <x v="0"/>
    <x v="16"/>
    <s v="CC-1004"/>
  </r>
  <r>
    <s v="TXN-00084"/>
    <d v="2025-07-31T00:00:00"/>
    <x v="0"/>
    <x v="0"/>
    <x v="0"/>
    <x v="1"/>
    <x v="0"/>
    <s v="Tamil Nadu"/>
    <s v="Chennai"/>
    <s v="Branch D"/>
    <x v="2"/>
    <s v="CC-1005"/>
    <s v="P019"/>
    <s v="Conference Camera"/>
    <x v="0"/>
    <x v="0"/>
    <n v="19519.37"/>
    <n v="21002.43"/>
    <n v="10926.07"/>
    <n v="1823.08"/>
    <n v="1113.83"/>
    <n v="908.08"/>
    <n v="470.69"/>
    <n v="15241.76"/>
    <n v="8593.2900000000009"/>
    <n v="4277.6099999999988"/>
    <n v="0.21914692943471017"/>
    <n v="-1483.06"/>
    <n v="390.39"/>
    <n v="2295.48"/>
    <n v="21424.46"/>
    <x v="1"/>
    <s v="Tamil Nadu"/>
    <x v="2"/>
    <x v="0"/>
    <s v="CC-1005"/>
  </r>
  <r>
    <s v="TXN-00085"/>
    <d v="2025-10-24T00:00:00"/>
    <x v="5"/>
    <x v="3"/>
    <x v="0"/>
    <x v="1"/>
    <x v="0"/>
    <s v="Kerala"/>
    <s v="Kochi"/>
    <s v="Branch B"/>
    <x v="4"/>
    <s v="CC-1002"/>
    <s v="P020"/>
    <s v="Document Scanner"/>
    <x v="0"/>
    <x v="3"/>
    <n v="56644.36"/>
    <n v="62893.21"/>
    <n v="34052.480000000003"/>
    <n v="5294.21"/>
    <n v="3308.58"/>
    <n v="4930.59"/>
    <n v="624.72"/>
    <n v="48210.58"/>
    <n v="22591.88"/>
    <n v="8433.7799999999988"/>
    <n v="0.14889002188390862"/>
    <n v="-6248.85"/>
    <n v="1699.33"/>
    <n v="9890.11"/>
    <n v="64835.14"/>
    <x v="4"/>
    <s v="Kerala"/>
    <x v="4"/>
    <x v="6"/>
    <s v="CC-1002"/>
  </r>
  <r>
    <s v="TXN-00086"/>
    <d v="2026-03-01T00:00:00"/>
    <x v="8"/>
    <x v="1"/>
    <x v="0"/>
    <x v="4"/>
    <x v="0"/>
    <s v="Chhattisgarh"/>
    <s v="Bilaspur"/>
    <s v="Branch B"/>
    <x v="4"/>
    <s v="CC-1002"/>
    <s v="P012"/>
    <s v="Accounting Software"/>
    <x v="2"/>
    <x v="4"/>
    <n v="14236.25"/>
    <n v="16098.35"/>
    <n v="7639.03"/>
    <n v="1595.6"/>
    <n v="730.96"/>
    <n v="1254.9000000000001"/>
    <n v="457.54"/>
    <n v="11678.04"/>
    <n v="6597.22"/>
    <n v="2558.2099999999991"/>
    <n v="0.17969690051804366"/>
    <n v="-1862.09"/>
    <n v="427.09"/>
    <n v="1657.1"/>
    <n v="15466.27"/>
    <x v="22"/>
    <s v="Chhattisgarh"/>
    <x v="4"/>
    <x v="7"/>
    <s v="CC-1002"/>
  </r>
  <r>
    <s v="TXN-00087"/>
    <d v="2026-01-18T00:00:00"/>
    <x v="4"/>
    <x v="1"/>
    <x v="0"/>
    <x v="4"/>
    <x v="0"/>
    <s v="Madhya Pradesh"/>
    <s v="Bhopal"/>
    <s v="Branch B"/>
    <x v="5"/>
    <s v="CC-1005"/>
    <s v="P015"/>
    <s v="Network Router"/>
    <x v="4"/>
    <x v="10"/>
    <n v="25906.400000000001"/>
    <n v="27947.47"/>
    <n v="13027.36"/>
    <n v="2646.85"/>
    <n v="1173.29"/>
    <n v="1863.28"/>
    <n v="1037.02"/>
    <n v="19747.810000000001"/>
    <n v="12879.03"/>
    <n v="6158.59"/>
    <n v="0.23772465491152764"/>
    <n v="-2041.07"/>
    <n v="0"/>
    <n v="3108.77"/>
    <n v="29015.17"/>
    <x v="23"/>
    <s v="Madhya Pradesh"/>
    <x v="1"/>
    <x v="14"/>
    <s v="CC-1005"/>
  </r>
  <r>
    <s v="TXN-00088"/>
    <d v="2025-09-11T00:00:00"/>
    <x v="1"/>
    <x v="0"/>
    <x v="0"/>
    <x v="4"/>
    <x v="0"/>
    <s v="Uttar Pradesh"/>
    <s v="Agra"/>
    <s v="Branch C"/>
    <x v="4"/>
    <s v="CC-1002"/>
    <s v="P010"/>
    <s v="Mouse"/>
    <x v="1"/>
    <x v="1"/>
    <n v="5377.5"/>
    <n v="5457.25"/>
    <n v="3339.92"/>
    <n v="676.96"/>
    <n v="222.71"/>
    <n v="369.65"/>
    <n v="125.17"/>
    <n v="4734.41"/>
    <n v="2037.58"/>
    <n v="643.09000000000015"/>
    <n v="0.11958902835890287"/>
    <n v="-79.75"/>
    <n v="268.87"/>
    <n v="613.03"/>
    <n v="5721.66"/>
    <x v="7"/>
    <s v="Uttar Pradesh"/>
    <x v="4"/>
    <x v="1"/>
    <s v="CC-1002"/>
  </r>
  <r>
    <s v="TXN-00089"/>
    <d v="2025-10-21T00:00:00"/>
    <x v="5"/>
    <x v="3"/>
    <x v="0"/>
    <x v="3"/>
    <x v="0"/>
    <s v="West Bengal"/>
    <s v="Siliguri"/>
    <s v="Branch C"/>
    <x v="0"/>
    <s v="CC-1003"/>
    <s v="P020"/>
    <s v="Document Scanner"/>
    <x v="0"/>
    <x v="3"/>
    <n v="24059.47"/>
    <n v="25006.23"/>
    <n v="16956.759999999998"/>
    <n v="1278.7"/>
    <n v="792.45"/>
    <n v="1832.75"/>
    <n v="1026.99"/>
    <n v="21887.66"/>
    <n v="7102.71"/>
    <n v="2171.8100000000013"/>
    <n v="9.0268405746261299E-2"/>
    <n v="-946.76"/>
    <n v="481.19"/>
    <n v="2829.39"/>
    <n v="26407.67"/>
    <x v="44"/>
    <s v="West Bengal"/>
    <x v="0"/>
    <x v="6"/>
    <s v="CC-1003"/>
  </r>
  <r>
    <s v="TXN-00090"/>
    <d v="2025-10-23T00:00:00"/>
    <x v="5"/>
    <x v="3"/>
    <x v="0"/>
    <x v="0"/>
    <x v="0"/>
    <s v="Rajasthan"/>
    <s v="Jaipur"/>
    <s v="Branch B"/>
    <x v="4"/>
    <s v="CC-1003"/>
    <s v="P002"/>
    <s v="Monitor"/>
    <x v="0"/>
    <x v="2"/>
    <n v="44266.95"/>
    <n v="46658.86"/>
    <n v="23949.040000000001"/>
    <n v="4060.98"/>
    <n v="2092.61"/>
    <n v="3655.55"/>
    <n v="637.49"/>
    <n v="34395.660000000003"/>
    <n v="20317.919999999998"/>
    <n v="9871.2899999999936"/>
    <n v="0.22299458173648726"/>
    <n v="-2391.91"/>
    <n v="0"/>
    <n v="2213.35"/>
    <n v="46480.3"/>
    <x v="21"/>
    <s v="Rajasthan"/>
    <x v="4"/>
    <x v="3"/>
    <s v="CC-1003"/>
  </r>
  <r>
    <s v="TXN-00091"/>
    <d v="2025-11-20T00:00:00"/>
    <x v="10"/>
    <x v="3"/>
    <x v="0"/>
    <x v="0"/>
    <x v="0"/>
    <s v="Rajasthan"/>
    <s v="Jodhpur"/>
    <s v="Branch A"/>
    <x v="1"/>
    <s v="CC-1005"/>
    <s v="P006"/>
    <s v="Smartphone"/>
    <x v="0"/>
    <x v="9"/>
    <n v="50352.14"/>
    <n v="54772.45"/>
    <n v="34297.25"/>
    <n v="6322.68"/>
    <n v="3495"/>
    <n v="4016.79"/>
    <n v="1592.37"/>
    <n v="49724.08"/>
    <n v="16054.9"/>
    <n v="628.05999999999767"/>
    <n v="1.247335267180298E-2"/>
    <n v="-4420.3"/>
    <n v="4028.17"/>
    <n v="5558.88"/>
    <n v="51882.85"/>
    <x v="11"/>
    <s v="Rajasthan"/>
    <x v="1"/>
    <x v="16"/>
    <s v="CC-1005"/>
  </r>
  <r>
    <s v="TXN-00092"/>
    <d v="2025-06-15T00:00:00"/>
    <x v="11"/>
    <x v="2"/>
    <x v="0"/>
    <x v="2"/>
    <x v="0"/>
    <s v="Delhi"/>
    <s v="Gurugram"/>
    <s v="Branch D"/>
    <x v="0"/>
    <s v="CC-1003"/>
    <s v="P016"/>
    <s v="Network Switch"/>
    <x v="4"/>
    <x v="10"/>
    <n v="34679.730000000003"/>
    <n v="36523.15"/>
    <n v="19547.490000000002"/>
    <n v="2175.91"/>
    <n v="2230.67"/>
    <n v="2269.75"/>
    <n v="1398.47"/>
    <n v="27622.3"/>
    <n v="15132.23"/>
    <n v="7057.4300000000039"/>
    <n v="0.20350302611929225"/>
    <n v="-1843.42"/>
    <n v="3467.97"/>
    <n v="5618.12"/>
    <n v="36829.870000000003"/>
    <x v="27"/>
    <s v="Delhi"/>
    <x v="0"/>
    <x v="13"/>
    <s v="CC-1003"/>
  </r>
  <r>
    <s v="TXN-00093"/>
    <d v="2025-12-01T00:00:00"/>
    <x v="6"/>
    <x v="3"/>
    <x v="0"/>
    <x v="3"/>
    <x v="0"/>
    <s v="West Bengal"/>
    <s v="Siliguri"/>
    <s v="Branch D"/>
    <x v="0"/>
    <s v="CC-1004"/>
    <s v="P006"/>
    <s v="Smartphone"/>
    <x v="0"/>
    <x v="9"/>
    <n v="49818.239999999998"/>
    <n v="56960.55"/>
    <n v="27705.27"/>
    <n v="5953.88"/>
    <n v="2461.9499999999998"/>
    <n v="3175.89"/>
    <n v="1629.93"/>
    <n v="40926.93"/>
    <n v="22112.98"/>
    <n v="8891.3099999999977"/>
    <n v="0.17847499229197977"/>
    <n v="-7142.31"/>
    <n v="996.36"/>
    <n v="8787.94"/>
    <n v="57609.82"/>
    <x v="44"/>
    <s v="West Bengal"/>
    <x v="0"/>
    <x v="16"/>
    <s v="CC-1004"/>
  </r>
  <r>
    <s v="TXN-00094"/>
    <d v="2025-10-16T00:00:00"/>
    <x v="5"/>
    <x v="3"/>
    <x v="0"/>
    <x v="3"/>
    <x v="0"/>
    <s v="Bihar"/>
    <s v="Patna"/>
    <s v="Branch A"/>
    <x v="0"/>
    <s v="CC-1001"/>
    <s v="P003"/>
    <s v="Printer"/>
    <x v="0"/>
    <x v="3"/>
    <n v="22770.880000000001"/>
    <n v="24160.69"/>
    <n v="14581.81"/>
    <n v="2267.0500000000002"/>
    <n v="1255.29"/>
    <n v="1602.68"/>
    <n v="915.77"/>
    <n v="20622.61"/>
    <n v="8189.07"/>
    <n v="2148.2700000000004"/>
    <n v="9.4342862462935134E-2"/>
    <n v="-1389.81"/>
    <n v="683.13"/>
    <n v="2650.53"/>
    <n v="24738.29"/>
    <x v="45"/>
    <s v="Bihar"/>
    <x v="0"/>
    <x v="5"/>
    <s v="CC-1001"/>
  </r>
  <r>
    <s v="TXN-00095"/>
    <d v="2025-07-26T00:00:00"/>
    <x v="0"/>
    <x v="0"/>
    <x v="0"/>
    <x v="0"/>
    <x v="0"/>
    <s v="Maharashtra"/>
    <s v="Mumbai"/>
    <s v="Branch B"/>
    <x v="0"/>
    <s v="CC-1004"/>
    <s v="P004"/>
    <s v="Office Chair"/>
    <x v="3"/>
    <x v="5"/>
    <n v="25839.56"/>
    <n v="29040.97"/>
    <n v="16856.43"/>
    <n v="3267.2"/>
    <n v="676.61"/>
    <n v="1438.29"/>
    <n v="265.24"/>
    <n v="22503.77"/>
    <n v="8983.14"/>
    <n v="3335.7900000000009"/>
    <n v="0.12909623848084104"/>
    <n v="-3201.41"/>
    <n v="1291.98"/>
    <n v="4418.57"/>
    <n v="28966.15"/>
    <x v="6"/>
    <s v="Maharashtra"/>
    <x v="0"/>
    <x v="17"/>
    <s v="CC-1004"/>
  </r>
  <r>
    <s v="TXN-00096"/>
    <d v="2026-01-06T00:00:00"/>
    <x v="4"/>
    <x v="1"/>
    <x v="0"/>
    <x v="0"/>
    <x v="0"/>
    <s v="Goa"/>
    <s v="Vasco da Gama"/>
    <s v="Branch D"/>
    <x v="4"/>
    <s v="CC-1003"/>
    <s v="P002"/>
    <s v="Monitor"/>
    <x v="0"/>
    <x v="2"/>
    <n v="28926.31"/>
    <n v="29994.42"/>
    <n v="18536.650000000001"/>
    <n v="3597.52"/>
    <n v="1723.92"/>
    <n v="2501.39"/>
    <n v="380"/>
    <n v="26739.48"/>
    <n v="10389.66"/>
    <n v="2186.8300000000017"/>
    <n v="7.5600033326062036E-2"/>
    <n v="-1068.1199999999999"/>
    <n v="1446.32"/>
    <n v="3297.6"/>
    <n v="30777.59"/>
    <x v="0"/>
    <s v="Goa"/>
    <x v="4"/>
    <x v="3"/>
    <s v="CC-1003"/>
  </r>
  <r>
    <s v="TXN-00097"/>
    <d v="2025-06-16T00:00:00"/>
    <x v="11"/>
    <x v="2"/>
    <x v="0"/>
    <x v="3"/>
    <x v="0"/>
    <s v="West Bengal"/>
    <s v="Durgapur"/>
    <s v="Branch C"/>
    <x v="1"/>
    <s v="CC-1004"/>
    <s v="P010"/>
    <s v="Mouse"/>
    <x v="1"/>
    <x v="1"/>
    <n v="6402.52"/>
    <n v="6201.37"/>
    <n v="4292.3599999999997"/>
    <n v="415"/>
    <n v="542"/>
    <n v="473.54"/>
    <n v="83.53"/>
    <n v="5806.43"/>
    <n v="2110.16"/>
    <n v="596.09000000000015"/>
    <n v="9.3102403428649991E-2"/>
    <n v="201.14"/>
    <n v="512.20000000000005"/>
    <n v="706.84"/>
    <n v="6597.15"/>
    <x v="39"/>
    <s v="West Bengal"/>
    <x v="1"/>
    <x v="1"/>
    <s v="CC-1004"/>
  </r>
  <r>
    <s v="TXN-00098"/>
    <d v="2025-09-20T00:00:00"/>
    <x v="1"/>
    <x v="0"/>
    <x v="0"/>
    <x v="0"/>
    <x v="0"/>
    <s v="Goa"/>
    <s v="Panaji"/>
    <s v="Branch C"/>
    <x v="0"/>
    <s v="CC-1005"/>
    <s v="P009"/>
    <s v="Keyboard"/>
    <x v="1"/>
    <x v="1"/>
    <n v="8410.92"/>
    <n v="7842.61"/>
    <n v="4765.5"/>
    <n v="1030.0999999999999"/>
    <n v="631.21"/>
    <n v="710.98"/>
    <n v="159.37"/>
    <n v="7297.16"/>
    <n v="3645.41"/>
    <n v="1113.7600000000002"/>
    <n v="0.13241833235841027"/>
    <n v="568.30999999999995"/>
    <n v="168.22"/>
    <n v="1483.69"/>
    <n v="9726.39"/>
    <x v="14"/>
    <s v="Goa"/>
    <x v="0"/>
    <x v="2"/>
    <s v="CC-1005"/>
  </r>
  <r>
    <s v="TXN-00099"/>
    <d v="2025-07-09T00:00:00"/>
    <x v="0"/>
    <x v="0"/>
    <x v="0"/>
    <x v="3"/>
    <x v="0"/>
    <s v="Odisha"/>
    <s v="Bhubaneswar"/>
    <s v="Branch B"/>
    <x v="2"/>
    <s v="CC-1002"/>
    <s v="P001"/>
    <s v="Business Laptop"/>
    <x v="0"/>
    <x v="2"/>
    <n v="31925.24"/>
    <n v="30347.200000000001"/>
    <n v="21984.43"/>
    <n v="2804.04"/>
    <n v="1909.07"/>
    <n v="1732.76"/>
    <n v="668.18"/>
    <n v="29098.49"/>
    <n v="9940.81"/>
    <n v="2826.75"/>
    <n v="8.8542795606235056E-2"/>
    <n v="1578.04"/>
    <n v="638.5"/>
    <n v="1564.34"/>
    <n v="32851.07"/>
    <x v="3"/>
    <s v="Odisha"/>
    <x v="2"/>
    <x v="4"/>
    <s v="CC-1002"/>
  </r>
  <r>
    <s v="TXN-00100"/>
    <d v="2025-04-11T00:00:00"/>
    <x v="9"/>
    <x v="2"/>
    <x v="0"/>
    <x v="1"/>
    <x v="0"/>
    <s v="Tamil Nadu"/>
    <s v="Chennai"/>
    <s v="Branch A"/>
    <x v="1"/>
    <s v="CC-1001"/>
    <s v="P002"/>
    <s v="Monitor"/>
    <x v="0"/>
    <x v="2"/>
    <n v="34248.01"/>
    <n v="37082.11"/>
    <n v="20077.97"/>
    <n v="2933.8"/>
    <n v="2469.06"/>
    <n v="1413.27"/>
    <n v="751.34"/>
    <n v="27645.43"/>
    <n v="14170.04"/>
    <n v="6602.5800000000017"/>
    <n v="0.19278725975611433"/>
    <n v="-2834.1"/>
    <n v="2739.84"/>
    <n v="5671.47"/>
    <n v="37179.64"/>
    <x v="1"/>
    <s v="Tamil Nadu"/>
    <x v="1"/>
    <x v="3"/>
    <s v="CC-1001"/>
  </r>
  <r>
    <s v="TXN-00101"/>
    <d v="2025-07-11T00:00:00"/>
    <x v="0"/>
    <x v="0"/>
    <x v="0"/>
    <x v="0"/>
    <x v="0"/>
    <s v="Goa"/>
    <s v="Panaji"/>
    <s v="Branch B"/>
    <x v="1"/>
    <s v="CC-1005"/>
    <s v="P001"/>
    <s v="Business Laptop"/>
    <x v="0"/>
    <x v="2"/>
    <n v="45573.07"/>
    <n v="45121.29"/>
    <n v="25632.78"/>
    <n v="4528.71"/>
    <n v="2449.86"/>
    <n v="4855.7700000000004"/>
    <n v="1523.79"/>
    <n v="38990.89"/>
    <n v="19940.29"/>
    <n v="6582.18"/>
    <n v="0.14443134947897959"/>
    <n v="451.77"/>
    <n v="0"/>
    <n v="8203.15"/>
    <n v="53776.22"/>
    <x v="14"/>
    <s v="Goa"/>
    <x v="1"/>
    <x v="4"/>
    <s v="CC-1005"/>
  </r>
  <r>
    <s v="TXN-00102"/>
    <d v="2025-12-20T00:00:00"/>
    <x v="6"/>
    <x v="3"/>
    <x v="0"/>
    <x v="4"/>
    <x v="0"/>
    <s v="Chhattisgarh"/>
    <s v="Bilaspur"/>
    <s v="Branch B"/>
    <x v="1"/>
    <s v="CC-1002"/>
    <s v="P003"/>
    <s v="Printer"/>
    <x v="0"/>
    <x v="3"/>
    <n v="21055.119999999999"/>
    <n v="20919.169999999998"/>
    <n v="11940.5"/>
    <n v="2729.55"/>
    <n v="1137.25"/>
    <n v="1404.07"/>
    <n v="638.32000000000005"/>
    <n v="17849.689999999999"/>
    <n v="9114.6200000000008"/>
    <n v="3205.4300000000003"/>
    <n v="0.15223993024024562"/>
    <n v="135.94999999999999"/>
    <n v="0"/>
    <n v="3789.92"/>
    <n v="24845.040000000001"/>
    <x v="22"/>
    <s v="Chhattisgarh"/>
    <x v="1"/>
    <x v="5"/>
    <s v="CC-1002"/>
  </r>
  <r>
    <s v="TXN-00103"/>
    <d v="2026-01-12T00:00:00"/>
    <x v="4"/>
    <x v="1"/>
    <x v="0"/>
    <x v="0"/>
    <x v="0"/>
    <s v="Goa"/>
    <s v="Margao"/>
    <s v="Branch B"/>
    <x v="3"/>
    <s v="CC-1004"/>
    <s v="P017"/>
    <s v="UPS System"/>
    <x v="0"/>
    <x v="7"/>
    <n v="43027.29"/>
    <n v="43993.94"/>
    <n v="24603.279999999999"/>
    <n v="2563.84"/>
    <n v="3800.2"/>
    <n v="1790.03"/>
    <n v="1540.43"/>
    <n v="34297.769999999997"/>
    <n v="18424.009999999998"/>
    <n v="8729.5200000000041"/>
    <n v="0.20288333288013269"/>
    <n v="-966.65"/>
    <n v="2151.36"/>
    <n v="2043.8"/>
    <n v="42919.72"/>
    <x v="37"/>
    <s v="Goa"/>
    <x v="3"/>
    <x v="10"/>
    <s v="CC-1004"/>
  </r>
  <r>
    <s v="TXN-00104"/>
    <d v="2026-01-11T00:00:00"/>
    <x v="4"/>
    <x v="1"/>
    <x v="0"/>
    <x v="3"/>
    <x v="0"/>
    <s v="Odisha"/>
    <s v="Cuttack"/>
    <s v="Branch B"/>
    <x v="2"/>
    <s v="CC-1001"/>
    <s v="P016"/>
    <s v="Network Switch"/>
    <x v="4"/>
    <x v="10"/>
    <n v="17919.14"/>
    <n v="16108.1"/>
    <n v="9107.15"/>
    <n v="1221.8800000000001"/>
    <n v="845.94"/>
    <n v="1262.81"/>
    <n v="396.39"/>
    <n v="12834.18"/>
    <n v="8811.99"/>
    <n v="5084.9599999999991"/>
    <n v="0.28377254712000682"/>
    <n v="1811.04"/>
    <n v="358.38"/>
    <n v="2107.29"/>
    <n v="19668.05"/>
    <x v="28"/>
    <s v="Odisha"/>
    <x v="2"/>
    <x v="13"/>
    <s v="CC-1001"/>
  </r>
  <r>
    <s v="TXN-00105"/>
    <d v="2026-02-17T00:00:00"/>
    <x v="2"/>
    <x v="1"/>
    <x v="0"/>
    <x v="1"/>
    <x v="0"/>
    <s v="Telangana"/>
    <s v="Warangal"/>
    <s v="Branch D"/>
    <x v="2"/>
    <s v="CC-1003"/>
    <s v="P011"/>
    <s v="Cloud Software"/>
    <x v="2"/>
    <x v="11"/>
    <n v="19853.91"/>
    <n v="19800.560000000001"/>
    <n v="11917.84"/>
    <n v="1623.54"/>
    <n v="1192.8699999999999"/>
    <n v="1791.54"/>
    <n v="667.1"/>
    <n v="17192.89"/>
    <n v="7936.07"/>
    <n v="2661.0200000000004"/>
    <n v="0.13403002229787486"/>
    <n v="53.35"/>
    <n v="992.7"/>
    <n v="3395.02"/>
    <n v="22256.23"/>
    <x v="46"/>
    <s v="Telangana"/>
    <x v="2"/>
    <x v="18"/>
    <s v="CC-1003"/>
  </r>
  <r>
    <s v="TXN-00106"/>
    <d v="2025-06-06T00:00:00"/>
    <x v="11"/>
    <x v="2"/>
    <x v="0"/>
    <x v="0"/>
    <x v="0"/>
    <s v="Rajasthan"/>
    <s v="Jodhpur"/>
    <s v="Branch A"/>
    <x v="1"/>
    <s v="CC-1003"/>
    <s v="P002"/>
    <s v="Monitor"/>
    <x v="0"/>
    <x v="2"/>
    <n v="22305.97"/>
    <n v="26035.46"/>
    <n v="13774.6"/>
    <n v="2779.74"/>
    <n v="1391.57"/>
    <n v="1747.64"/>
    <n v="467.99"/>
    <n v="20161.54"/>
    <n v="8531.3700000000008"/>
    <n v="2144.4300000000003"/>
    <n v="9.6137043132399097E-2"/>
    <n v="-3729.49"/>
    <n v="1115.3"/>
    <n v="1059.53"/>
    <n v="22250.2"/>
    <x v="11"/>
    <s v="Rajasthan"/>
    <x v="1"/>
    <x v="3"/>
    <s v="CC-1003"/>
  </r>
  <r>
    <s v="TXN-00107"/>
    <d v="2026-03-02T00:00:00"/>
    <x v="8"/>
    <x v="1"/>
    <x v="0"/>
    <x v="0"/>
    <x v="0"/>
    <s v="Maharashtra"/>
    <s v="Nagpur"/>
    <s v="Branch C"/>
    <x v="3"/>
    <s v="CC-1001"/>
    <s v="P013"/>
    <s v="CRM Software"/>
    <x v="2"/>
    <x v="4"/>
    <n v="10640.25"/>
    <n v="9445.82"/>
    <n v="5452.49"/>
    <n v="1351.84"/>
    <n v="646.07000000000005"/>
    <n v="1247.74"/>
    <n v="267.47000000000003"/>
    <n v="8965.6"/>
    <n v="5187.76"/>
    <n v="1674.6499999999996"/>
    <n v="0.15738821926176544"/>
    <n v="1194.44"/>
    <n v="212.81"/>
    <n v="1251.29"/>
    <n v="11678.74"/>
    <x v="15"/>
    <s v="Maharashtra"/>
    <x v="3"/>
    <x v="15"/>
    <s v="CC-1001"/>
  </r>
  <r>
    <s v="TXN-00108"/>
    <d v="2025-08-24T00:00:00"/>
    <x v="7"/>
    <x v="0"/>
    <x v="0"/>
    <x v="1"/>
    <x v="0"/>
    <s v="Telangana"/>
    <s v="Warangal"/>
    <s v="Branch D"/>
    <x v="1"/>
    <s v="CC-1002"/>
    <s v="P019"/>
    <s v="Conference Camera"/>
    <x v="0"/>
    <x v="0"/>
    <n v="39370.1"/>
    <n v="36910.83"/>
    <n v="20898.490000000002"/>
    <n v="3494.81"/>
    <n v="2914.43"/>
    <n v="3525.98"/>
    <n v="803.44"/>
    <n v="31637.15"/>
    <n v="18471.61"/>
    <n v="7732.9499999999971"/>
    <n v="0.196416823934915"/>
    <n v="2459.2600000000002"/>
    <n v="1181.0999999999999"/>
    <n v="1909.45"/>
    <n v="40098.44"/>
    <x v="46"/>
    <s v="Telangana"/>
    <x v="1"/>
    <x v="0"/>
    <s v="CC-1002"/>
  </r>
  <r>
    <s v="TXN-00109"/>
    <d v="2025-08-27T00:00:00"/>
    <x v="7"/>
    <x v="0"/>
    <x v="0"/>
    <x v="2"/>
    <x v="0"/>
    <s v="Punjab"/>
    <s v="Amritsar"/>
    <s v="Branch C"/>
    <x v="1"/>
    <s v="CC-1004"/>
    <s v="P001"/>
    <s v="Business Laptop"/>
    <x v="0"/>
    <x v="2"/>
    <n v="56539.71"/>
    <n v="63561.440000000002"/>
    <n v="35487.300000000003"/>
    <n v="4212.22"/>
    <n v="3706.36"/>
    <n v="4645.49"/>
    <n v="1408.57"/>
    <n v="49459.94"/>
    <n v="21052.41"/>
    <n v="7079.7699999999968"/>
    <n v="0.12521765675840921"/>
    <n v="-7021.73"/>
    <n v="0"/>
    <n v="10177.15"/>
    <n v="66716.86"/>
    <x v="47"/>
    <s v="Punjab"/>
    <x v="1"/>
    <x v="4"/>
    <s v="CC-1004"/>
  </r>
  <r>
    <s v="TXN-00110"/>
    <d v="2025-06-01T00:00:00"/>
    <x v="11"/>
    <x v="2"/>
    <x v="0"/>
    <x v="0"/>
    <x v="0"/>
    <s v="Goa"/>
    <s v="Vasco da Gama"/>
    <s v="Branch C"/>
    <x v="3"/>
    <s v="CC-1005"/>
    <s v="P005"/>
    <s v="Office Desk"/>
    <x v="3"/>
    <x v="5"/>
    <n v="8240.15"/>
    <n v="8441.24"/>
    <n v="3993.23"/>
    <n v="583.28"/>
    <n v="613.22"/>
    <n v="419.99"/>
    <n v="236.79"/>
    <n v="5846.51"/>
    <n v="4246.92"/>
    <n v="2393.6399999999994"/>
    <n v="0.29048500330697857"/>
    <n v="-201.09"/>
    <n v="164.8"/>
    <n v="403.77"/>
    <n v="8479.1200000000008"/>
    <x v="0"/>
    <s v="Goa"/>
    <x v="3"/>
    <x v="8"/>
    <s v="CC-1005"/>
  </r>
  <r>
    <s v="TXN-00111"/>
    <d v="2025-11-28T00:00:00"/>
    <x v="10"/>
    <x v="3"/>
    <x v="0"/>
    <x v="0"/>
    <x v="0"/>
    <s v="Maharashtra"/>
    <s v="Pune"/>
    <s v="Branch A"/>
    <x v="4"/>
    <s v="CC-1004"/>
    <s v="P017"/>
    <s v="UPS System"/>
    <x v="0"/>
    <x v="7"/>
    <n v="24981.86"/>
    <n v="25389.39"/>
    <n v="17053.759999999998"/>
    <n v="1445.12"/>
    <n v="1417.36"/>
    <n v="1299.1500000000001"/>
    <n v="533.70000000000005"/>
    <n v="21749.09"/>
    <n v="7928.1"/>
    <n v="3232.7700000000004"/>
    <n v="0.12940469604745206"/>
    <n v="-407.53"/>
    <n v="1249.0899999999999"/>
    <n v="2847.93"/>
    <n v="26580.7"/>
    <x v="12"/>
    <s v="Maharashtra"/>
    <x v="4"/>
    <x v="10"/>
    <s v="CC-1004"/>
  </r>
  <r>
    <s v="TXN-00112"/>
    <d v="2025-11-19T00:00:00"/>
    <x v="10"/>
    <x v="3"/>
    <x v="0"/>
    <x v="0"/>
    <x v="0"/>
    <s v="Maharashtra"/>
    <s v="Pune"/>
    <s v="Branch B"/>
    <x v="2"/>
    <s v="CC-1005"/>
    <s v="P017"/>
    <s v="UPS System"/>
    <x v="0"/>
    <x v="7"/>
    <n v="76873.63"/>
    <n v="74922.73"/>
    <n v="49595.199999999997"/>
    <n v="6534.89"/>
    <n v="3194.38"/>
    <n v="8246.2099999999991"/>
    <n v="872.13"/>
    <n v="68442.8"/>
    <n v="27278.43"/>
    <n v="8430.8300000000017"/>
    <n v="0.10967128780051107"/>
    <n v="1950.89"/>
    <n v="6149.89"/>
    <n v="8486.85"/>
    <n v="79210.58"/>
    <x v="12"/>
    <s v="Maharashtra"/>
    <x v="2"/>
    <x v="10"/>
    <s v="CC-1005"/>
  </r>
  <r>
    <s v="TXN-00113"/>
    <d v="2025-10-20T00:00:00"/>
    <x v="5"/>
    <x v="3"/>
    <x v="0"/>
    <x v="3"/>
    <x v="0"/>
    <s v="Jharkhand"/>
    <s v="Dhanbad"/>
    <s v="Branch B"/>
    <x v="0"/>
    <s v="CC-1001"/>
    <s v="P013"/>
    <s v="CRM Software"/>
    <x v="2"/>
    <x v="4"/>
    <n v="10080.92"/>
    <n v="10420.31"/>
    <n v="6484.6"/>
    <n v="537.65"/>
    <n v="307.58"/>
    <n v="980.93"/>
    <n v="126.24"/>
    <n v="8437.02"/>
    <n v="3596.32"/>
    <n v="1643.8999999999996"/>
    <n v="0.16307043404768609"/>
    <n v="-339.39"/>
    <n v="0"/>
    <n v="504.05"/>
    <n v="10584.97"/>
    <x v="34"/>
    <s v="Jharkhand"/>
    <x v="0"/>
    <x v="15"/>
    <s v="CC-1001"/>
  </r>
  <r>
    <s v="TXN-00114"/>
    <d v="2025-08-11T00:00:00"/>
    <x v="7"/>
    <x v="0"/>
    <x v="0"/>
    <x v="3"/>
    <x v="0"/>
    <s v="Jharkhand"/>
    <s v="Jamshedpur"/>
    <s v="Branch C"/>
    <x v="1"/>
    <s v="CC-1003"/>
    <s v="P020"/>
    <s v="Document Scanner"/>
    <x v="0"/>
    <x v="3"/>
    <n v="62397.13"/>
    <n v="58376.18"/>
    <n v="32557.97"/>
    <n v="3611.03"/>
    <n v="4237.99"/>
    <n v="6311.46"/>
    <n v="1202.81"/>
    <n v="47921.25"/>
    <n v="29839.17"/>
    <n v="14475.879999999997"/>
    <n v="0.23199592673573285"/>
    <n v="4020.95"/>
    <n v="0"/>
    <n v="3119.86"/>
    <n v="65516.99"/>
    <x v="30"/>
    <s v="Jharkhand"/>
    <x v="1"/>
    <x v="6"/>
    <s v="CC-1003"/>
  </r>
  <r>
    <s v="TXN-00115"/>
    <d v="2025-11-06T00:00:00"/>
    <x v="10"/>
    <x v="3"/>
    <x v="0"/>
    <x v="4"/>
    <x v="0"/>
    <s v="Madhya Pradesh"/>
    <s v="Bhopal"/>
    <s v="Branch B"/>
    <x v="0"/>
    <s v="CC-1003"/>
    <s v="P017"/>
    <s v="UPS System"/>
    <x v="0"/>
    <x v="7"/>
    <n v="27196.86"/>
    <n v="24498.29"/>
    <n v="19319.52"/>
    <n v="2400.41"/>
    <n v="2263.54"/>
    <n v="1788.93"/>
    <n v="391.18"/>
    <n v="26163.57"/>
    <n v="7877.34"/>
    <n v="1033.2900000000009"/>
    <n v="3.7992988896512349E-2"/>
    <n v="2698.57"/>
    <n v="815.91"/>
    <n v="1319.05"/>
    <n v="27700"/>
    <x v="23"/>
    <s v="Madhya Pradesh"/>
    <x v="0"/>
    <x v="10"/>
    <s v="CC-1003"/>
  </r>
  <r>
    <s v="TXN-00116"/>
    <d v="2025-12-25T00:00:00"/>
    <x v="6"/>
    <x v="3"/>
    <x v="0"/>
    <x v="0"/>
    <x v="0"/>
    <s v="Goa"/>
    <s v="Margao"/>
    <s v="Branch C"/>
    <x v="1"/>
    <s v="CC-1001"/>
    <s v="P008"/>
    <s v="Headset"/>
    <x v="1"/>
    <x v="8"/>
    <n v="4735.96"/>
    <n v="4701.8500000000004"/>
    <n v="2898.51"/>
    <n v="384.05"/>
    <n v="168.79"/>
    <n v="293.17"/>
    <n v="201.24"/>
    <n v="3945.75"/>
    <n v="1837.45"/>
    <n v="790.21"/>
    <n v="0.16685318288161219"/>
    <n v="34.11"/>
    <n v="236.8"/>
    <n v="539.9"/>
    <n v="5039.0600000000004"/>
    <x v="37"/>
    <s v="Goa"/>
    <x v="1"/>
    <x v="11"/>
    <s v="CC-1001"/>
  </r>
  <r>
    <s v="TXN-00117"/>
    <d v="2025-07-22T00:00:00"/>
    <x v="0"/>
    <x v="0"/>
    <x v="0"/>
    <x v="0"/>
    <x v="0"/>
    <s v="Goa"/>
    <s v="Margao"/>
    <s v="Branch D"/>
    <x v="1"/>
    <s v="CC-1001"/>
    <s v="P012"/>
    <s v="Accounting Software"/>
    <x v="2"/>
    <x v="4"/>
    <n v="23556.92"/>
    <n v="26066.03"/>
    <n v="13911.06"/>
    <n v="2764.64"/>
    <n v="1704.39"/>
    <n v="2405.5300000000002"/>
    <n v="776.57"/>
    <n v="21562.19"/>
    <n v="9645.86"/>
    <n v="1994.7299999999996"/>
    <n v="8.4677029085296368E-2"/>
    <n v="-2509.11"/>
    <n v="0"/>
    <n v="2826.83"/>
    <n v="26383.75"/>
    <x v="37"/>
    <s v="Goa"/>
    <x v="1"/>
    <x v="7"/>
    <s v="CC-1001"/>
  </r>
  <r>
    <s v="TXN-00118"/>
    <d v="2025-11-21T00:00:00"/>
    <x v="10"/>
    <x v="3"/>
    <x v="0"/>
    <x v="1"/>
    <x v="0"/>
    <s v="Kerala"/>
    <s v="Kochi"/>
    <s v="Branch A"/>
    <x v="1"/>
    <s v="CC-1005"/>
    <s v="P015"/>
    <s v="Network Router"/>
    <x v="4"/>
    <x v="10"/>
    <n v="12722.44"/>
    <n v="13059.82"/>
    <n v="6566.85"/>
    <n v="984.6"/>
    <n v="659.94"/>
    <n v="1280.58"/>
    <n v="458.26"/>
    <n v="9950.2199999999993"/>
    <n v="6155.6"/>
    <n v="2772.2200000000012"/>
    <n v="0.21790002546681306"/>
    <n v="-337.38"/>
    <n v="636.12"/>
    <n v="604.32000000000005"/>
    <n v="12690.64"/>
    <x v="4"/>
    <s v="Kerala"/>
    <x v="1"/>
    <x v="14"/>
    <s v="CC-1005"/>
  </r>
  <r>
    <s v="TXN-00119"/>
    <d v="2025-04-23T00:00:00"/>
    <x v="9"/>
    <x v="2"/>
    <x v="0"/>
    <x v="0"/>
    <x v="0"/>
    <s v="Goa"/>
    <s v="Vasco da Gama"/>
    <s v="Branch A"/>
    <x v="2"/>
    <s v="CC-1002"/>
    <s v="P016"/>
    <s v="Network Switch"/>
    <x v="4"/>
    <x v="10"/>
    <n v="35527.040000000001"/>
    <n v="40658.400000000001"/>
    <n v="19422.509999999998"/>
    <n v="2327.6"/>
    <n v="2919.9"/>
    <n v="3289.98"/>
    <n v="741.89"/>
    <n v="28701.88"/>
    <n v="16104.53"/>
    <n v="6825.16"/>
    <n v="0.19211169858226296"/>
    <n v="-5131.3599999999997"/>
    <n v="1776.35"/>
    <n v="6075.12"/>
    <n v="39825.81"/>
    <x v="0"/>
    <s v="Goa"/>
    <x v="2"/>
    <x v="13"/>
    <s v="CC-1002"/>
  </r>
  <r>
    <s v="TXN-00120"/>
    <d v="2025-11-05T00:00:00"/>
    <x v="10"/>
    <x v="3"/>
    <x v="0"/>
    <x v="2"/>
    <x v="0"/>
    <s v="Delhi"/>
    <s v="New Delhi"/>
    <s v="Branch A"/>
    <x v="0"/>
    <s v="CC-1002"/>
    <s v="P012"/>
    <s v="Accounting Software"/>
    <x v="2"/>
    <x v="4"/>
    <n v="19305.099999999999"/>
    <n v="22537.200000000001"/>
    <n v="10971.2"/>
    <n v="1470.17"/>
    <n v="669.46"/>
    <n v="1244.18"/>
    <n v="785.39"/>
    <n v="15140.4"/>
    <n v="8333.9"/>
    <n v="4164.6999999999989"/>
    <n v="0.2157305582462665"/>
    <n v="-3232.1"/>
    <n v="1930.51"/>
    <n v="2084.9499999999998"/>
    <n v="19459.54"/>
    <x v="48"/>
    <s v="Delhi"/>
    <x v="0"/>
    <x v="7"/>
    <s v="CC-1002"/>
  </r>
  <r>
    <s v="TXN-00121"/>
    <d v="2025-08-10T00:00:00"/>
    <x v="7"/>
    <x v="0"/>
    <x v="0"/>
    <x v="0"/>
    <x v="0"/>
    <s v="Rajasthan"/>
    <s v="Jodhpur"/>
    <s v="Branch C"/>
    <x v="1"/>
    <s v="CC-1005"/>
    <s v="P008"/>
    <s v="Headset"/>
    <x v="1"/>
    <x v="8"/>
    <n v="1988.68"/>
    <n v="1849.6"/>
    <n v="1041.1099999999999"/>
    <n v="161.11000000000001"/>
    <n v="101.72"/>
    <n v="218.64"/>
    <n v="55.39"/>
    <n v="1577.97"/>
    <n v="947.57"/>
    <n v="410.71000000000004"/>
    <n v="0.20652392541786513"/>
    <n v="139.08000000000001"/>
    <n v="99.43"/>
    <n v="94.46"/>
    <n v="1983.71"/>
    <x v="11"/>
    <s v="Rajasthan"/>
    <x v="1"/>
    <x v="11"/>
    <s v="CC-1005"/>
  </r>
  <r>
    <s v="TXN-00122"/>
    <d v="2025-10-03T00:00:00"/>
    <x v="5"/>
    <x v="3"/>
    <x v="0"/>
    <x v="3"/>
    <x v="0"/>
    <s v=" maharashtra "/>
    <s v="Jamshedpur"/>
    <s v="Branch D"/>
    <x v="0"/>
    <s v="CC-1002"/>
    <s v="P019"/>
    <s v="Conference Camera"/>
    <x v="0"/>
    <x v="0"/>
    <n v="38199.47"/>
    <n v="39325.46"/>
    <n v="19042.21"/>
    <n v="2088.9"/>
    <n v="1784.89"/>
    <n v="3926.59"/>
    <n v="1328.15"/>
    <n v="28170.74"/>
    <n v="19157.259999999998"/>
    <n v="10028.73"/>
    <n v="0.26253584146586323"/>
    <n v="-1125.99"/>
    <n v="3055.96"/>
    <n v="4217.22"/>
    <n v="39360.730000000003"/>
    <x v="30"/>
    <s v="Jharkhand"/>
    <x v="0"/>
    <x v="0"/>
    <s v="CC-1002"/>
  </r>
  <r>
    <s v="TXN-00123"/>
    <d v="2025-09-20T00:00:00"/>
    <x v="1"/>
    <x v="0"/>
    <x v="0"/>
    <x v="2"/>
    <x v="0"/>
    <s v="Haryana"/>
    <s v="Gurugram"/>
    <s v="Branch C"/>
    <x v="1"/>
    <s v="CC-1004"/>
    <s v="P017"/>
    <s v="UPS System"/>
    <x v="0"/>
    <x v="7"/>
    <n v="54943.21"/>
    <n v="64805.74"/>
    <n v="38677.120000000003"/>
    <n v="5571.53"/>
    <n v="2877.99"/>
    <n v="4994.0200000000004"/>
    <n v="2060.25"/>
    <n v="54180.9"/>
    <n v="16266.09"/>
    <n v="762.30999999999767"/>
    <n v="1.3874507878225494E-2"/>
    <n v="-9862.5400000000009"/>
    <n v="0"/>
    <n v="6593.18"/>
    <n v="61536.39"/>
    <x v="27"/>
    <s v="Haryana"/>
    <x v="1"/>
    <x v="10"/>
    <s v="CC-1004"/>
  </r>
  <r>
    <s v="TXN-00124"/>
    <d v="2025-06-17T00:00:00"/>
    <x v="11"/>
    <x v="2"/>
    <x v="0"/>
    <x v="0"/>
    <x v="0"/>
    <s v="Goa"/>
    <s v="Panaji"/>
    <s v="Branch B"/>
    <x v="0"/>
    <s v="CC-1001"/>
    <s v="P020"/>
    <s v="Document Scanner"/>
    <x v="0"/>
    <x v="3"/>
    <n v="33298.57"/>
    <n v="29564.43"/>
    <n v="16176.64"/>
    <n v="3880.47"/>
    <n v="1423.5"/>
    <n v="2712.05"/>
    <n v="681.14"/>
    <n v="24873.8"/>
    <n v="17121.919999999998"/>
    <n v="8424.77"/>
    <n v="0.25300696095958475"/>
    <n v="3734.13"/>
    <n v="3329.86"/>
    <n v="3596.25"/>
    <n v="33564.959999999999"/>
    <x v="14"/>
    <s v="Goa"/>
    <x v="0"/>
    <x v="6"/>
    <s v="CC-1001"/>
  </r>
  <r>
    <s v="TXN-00125"/>
    <d v="2026-01-27T00:00:00"/>
    <x v="4"/>
    <x v="1"/>
    <x v="0"/>
    <x v="1"/>
    <x v="0"/>
    <s v="Karnataka"/>
    <s v="Bengaluru"/>
    <s v="Branch D"/>
    <x v="1"/>
    <s v="CC-1001"/>
    <s v="P010"/>
    <s v="Mouse"/>
    <x v="1"/>
    <x v="1"/>
    <n v="9989.02"/>
    <n v="10681.77"/>
    <n v="4914.22"/>
    <n v="1221.79"/>
    <n v="840.18"/>
    <n v="1023.05"/>
    <n v="102.35"/>
    <n v="8101.58"/>
    <n v="5074.8"/>
    <n v="1887.4400000000005"/>
    <n v="0.18895146871264654"/>
    <n v="-692.75"/>
    <n v="0"/>
    <n v="499.45"/>
    <n v="10488.48"/>
    <x v="49"/>
    <s v="Karnataka"/>
    <x v="1"/>
    <x v="1"/>
    <s v="CC-1001"/>
  </r>
  <r>
    <s v="TXN-00126"/>
    <d v="2026-03-30T00:00:00"/>
    <x v="8"/>
    <x v="1"/>
    <x v="0"/>
    <x v="2"/>
    <x v="0"/>
    <s v="Haryana"/>
    <s v="Gurugram"/>
    <s v="Branch D"/>
    <x v="1"/>
    <s v="CC-1004"/>
    <s v="P010"/>
    <s v="Mouse"/>
    <x v="1"/>
    <x v="1"/>
    <n v="3084.84"/>
    <n v="2943.23"/>
    <n v="2151.6799999999998"/>
    <n v="215.83"/>
    <n v="131.65"/>
    <n v="310.8"/>
    <n v="79.41"/>
    <n v="2889.37"/>
    <n v="933.16"/>
    <n v="195.47000000000025"/>
    <n v="6.3364712594494443E-2"/>
    <n v="141.61000000000001"/>
    <n v="154.24"/>
    <n v="146.53"/>
    <n v="3077.13"/>
    <x v="27"/>
    <s v="Haryana"/>
    <x v="1"/>
    <x v="1"/>
    <s v="CC-1004"/>
  </r>
  <r>
    <s v="TXN-00127"/>
    <d v="2026-01-26T00:00:00"/>
    <x v="4"/>
    <x v="1"/>
    <x v="0"/>
    <x v="4"/>
    <x v="0"/>
    <s v="Uttar Pradesh"/>
    <s v="Kanpur"/>
    <s v="Branch B"/>
    <x v="0"/>
    <s v="CC-1005"/>
    <s v="P004"/>
    <s v="Office Chair"/>
    <x v="3"/>
    <x v="5"/>
    <n v="18116.86"/>
    <n v="16412.560000000001"/>
    <n v="9725.64"/>
    <n v="1967.42"/>
    <n v="1098.6199999999999"/>
    <n v="910.17"/>
    <n v="740.52"/>
    <n v="14442.38"/>
    <n v="8391.2199999999993"/>
    <n v="3674.4800000000014"/>
    <n v="0.20282101865334287"/>
    <n v="1704.3"/>
    <n v="543.51"/>
    <n v="3163.2"/>
    <n v="20736.560000000001"/>
    <x v="25"/>
    <s v="Uttar Pradesh"/>
    <x v="0"/>
    <x v="17"/>
    <s v="CC-1005"/>
  </r>
  <r>
    <s v="TXN-00128"/>
    <d v="2025-08-20T00:00:00"/>
    <x v="7"/>
    <x v="0"/>
    <x v="0"/>
    <x v="0"/>
    <x v="0"/>
    <s v="Gujarat"/>
    <s v="Ahmedabad"/>
    <s v="Branch B"/>
    <x v="1"/>
    <s v="CC-1002"/>
    <s v="P005"/>
    <s v="Office Desk"/>
    <x v="3"/>
    <x v="5"/>
    <n v="21016.86"/>
    <n v="24623.38"/>
    <n v="13157.53"/>
    <n v="1638.48"/>
    <n v="681.29"/>
    <n v="1094.97"/>
    <n v="375.91"/>
    <n v="16948.18"/>
    <n v="7859.33"/>
    <n v="4068.6800000000003"/>
    <n v="0.1935912405563914"/>
    <n v="-3606.53"/>
    <n v="420.34"/>
    <n v="3707.37"/>
    <n v="24303.89"/>
    <x v="18"/>
    <s v="Gujarat"/>
    <x v="1"/>
    <x v="8"/>
    <s v="CC-1002"/>
  </r>
  <r>
    <s v="TXN-00129"/>
    <d v="2026-01-14T00:00:00"/>
    <x v="4"/>
    <x v="1"/>
    <x v="0"/>
    <x v="3"/>
    <x v="0"/>
    <s v="West Bengal"/>
    <s v="Kolkata"/>
    <s v="Branch B"/>
    <x v="3"/>
    <s v="CC-1003"/>
    <s v="P009"/>
    <s v="Keyboard"/>
    <x v="1"/>
    <x v="1"/>
    <n v="7960.14"/>
    <n v="8468.56"/>
    <n v="4252.91"/>
    <n v="937.33"/>
    <n v="420.78"/>
    <n v="408.17"/>
    <n v="264.64999999999998"/>
    <n v="6283.84"/>
    <n v="3707.23"/>
    <n v="1676.3000000000002"/>
    <n v="0.21058674847427308"/>
    <n v="-508.41"/>
    <n v="159.19999999999999"/>
    <n v="390.05"/>
    <n v="8190.99"/>
    <x v="20"/>
    <s v="West Bengal"/>
    <x v="3"/>
    <x v="2"/>
    <s v="CC-1003"/>
  </r>
  <r>
    <s v="TXN-00130"/>
    <d v="2025-08-22T00:00:00"/>
    <x v="7"/>
    <x v="0"/>
    <x v="0"/>
    <x v="3"/>
    <x v="0"/>
    <s v="West Bengal"/>
    <s v="Siliguri"/>
    <s v="Branch B"/>
    <x v="1"/>
    <s v="CC-1004"/>
    <s v="P010"/>
    <s v="Mouse"/>
    <x v="1"/>
    <x v="1"/>
    <n v="10827.69"/>
    <n v="11143.6"/>
    <n v="6080.25"/>
    <n v="1296.8399999999999"/>
    <n v="654.16"/>
    <n v="1090.07"/>
    <n v="394.06"/>
    <n v="9515.3700000000008"/>
    <n v="4747.4399999999996"/>
    <n v="1312.3199999999997"/>
    <n v="0.1212003668372478"/>
    <n v="-315.92"/>
    <n v="0"/>
    <n v="541.38"/>
    <n v="11369.07"/>
    <x v="44"/>
    <s v="West Bengal"/>
    <x v="1"/>
    <x v="1"/>
    <s v="CC-1004"/>
  </r>
  <r>
    <s v="TXN-00131"/>
    <d v="2025-06-18T00:00:00"/>
    <x v="11"/>
    <x v="2"/>
    <x v="0"/>
    <x v="4"/>
    <x v="0"/>
    <s v="Chhattisgarh"/>
    <s v="Bilaspur"/>
    <s v="Branch A"/>
    <x v="3"/>
    <s v="CC-1002"/>
    <s v="P017"/>
    <s v="UPS System"/>
    <x v="0"/>
    <x v="7"/>
    <n v="15211.82"/>
    <n v="15503.57"/>
    <n v="10621.09"/>
    <n v="1416.16"/>
    <n v="872.52"/>
    <n v="736.83"/>
    <n v="501.8"/>
    <n v="14148.39"/>
    <n v="4590.7299999999996"/>
    <n v="1063.4300000000003"/>
    <n v="6.9908137224868577E-2"/>
    <n v="-291.75"/>
    <n v="1216.95"/>
    <n v="1679.38"/>
    <n v="15674.26"/>
    <x v="22"/>
    <s v="Chhattisgarh"/>
    <x v="3"/>
    <x v="10"/>
    <s v="CC-1002"/>
  </r>
  <r>
    <s v="TXN-00132"/>
    <d v="2025-10-14T00:00:00"/>
    <x v="5"/>
    <x v="3"/>
    <x v="0"/>
    <x v="4"/>
    <x v="0"/>
    <s v="Chhattisgarh"/>
    <s v="Raipur"/>
    <s v="Branch D"/>
    <x v="1"/>
    <s v="CC-1001"/>
    <s v="P015"/>
    <s v="Network Router"/>
    <x v="4"/>
    <x v="10"/>
    <n v="16080.98"/>
    <n v="16660.82"/>
    <n v="9446.3700000000008"/>
    <n v="1521.67"/>
    <n v="575.57000000000005"/>
    <n v="1432.46"/>
    <n v="365.18"/>
    <n v="13341.25"/>
    <n v="6634.62"/>
    <n v="2739.7299999999996"/>
    <n v="0.17037083560827759"/>
    <n v="-579.83000000000004"/>
    <n v="1286.48"/>
    <n v="739.73"/>
    <n v="15534.23"/>
    <x v="50"/>
    <s v="Chhattisgarh"/>
    <x v="1"/>
    <x v="14"/>
    <s v="CC-1001"/>
  </r>
  <r>
    <s v="TXN-00133"/>
    <d v="2025-11-06T00:00:00"/>
    <x v="10"/>
    <x v="3"/>
    <x v="0"/>
    <x v="1"/>
    <x v="0"/>
    <s v="Kerala"/>
    <s v="Kochi"/>
    <s v="Branch D"/>
    <x v="0"/>
    <s v="CC-1003"/>
    <s v="P005"/>
    <s v="Office Desk"/>
    <x v="3"/>
    <x v="5"/>
    <n v="19795.04"/>
    <n v="17915.29"/>
    <n v="13693.81"/>
    <n v="2262.34"/>
    <n v="1144.9100000000001"/>
    <n v="2323.35"/>
    <n v="487.39"/>
    <n v="19911.8"/>
    <n v="6101.23"/>
    <n v="-116.7599999999984"/>
    <n v="-5.8984472878053492E-3"/>
    <n v="1879.75"/>
    <n v="1979.5"/>
    <n v="3206.8"/>
    <n v="21022.34"/>
    <x v="4"/>
    <s v="Kerala"/>
    <x v="0"/>
    <x v="8"/>
    <s v="CC-1003"/>
  </r>
  <r>
    <s v="TXN-00134"/>
    <d v="2025-12-25T00:00:00"/>
    <x v="6"/>
    <x v="3"/>
    <x v="0"/>
    <x v="1"/>
    <x v="0"/>
    <s v="Kerala"/>
    <s v="Thiruvananthapuram"/>
    <s v="Branch B"/>
    <x v="3"/>
    <s v="CC-1003"/>
    <s v="P005"/>
    <s v="Office Desk"/>
    <x v="3"/>
    <x v="5"/>
    <n v="21664.32"/>
    <n v="23739.9"/>
    <n v="15027.72"/>
    <n v="1220.8399999999999"/>
    <n v="1571.69"/>
    <n v="1191.3900000000001"/>
    <n v="867.36"/>
    <n v="19878.990000000002"/>
    <n v="6636.61"/>
    <n v="1785.3299999999981"/>
    <n v="8.2408771657730223E-2"/>
    <n v="-2075.5700000000002"/>
    <n v="1733.15"/>
    <n v="2391.7399999999998"/>
    <n v="22322.92"/>
    <x v="8"/>
    <s v="Kerala"/>
    <x v="3"/>
    <x v="8"/>
    <s v="CC-1003"/>
  </r>
  <r>
    <s v="TXN-00135"/>
    <d v="2025-10-28T00:00:00"/>
    <x v="5"/>
    <x v="3"/>
    <x v="0"/>
    <x v="0"/>
    <x v="0"/>
    <s v="Maharashtra"/>
    <s v="Nagpur"/>
    <s v="Branch B"/>
    <x v="2"/>
    <s v="CC-1004"/>
    <s v="P009"/>
    <s v="Keyboard"/>
    <x v="1"/>
    <x v="1"/>
    <n v="4176.51"/>
    <n v="4713.09"/>
    <n v="2340.7199999999998"/>
    <n v="266.88"/>
    <n v="297.70999999999998"/>
    <n v="443.04"/>
    <n v="56.48"/>
    <n v="3404.83"/>
    <n v="1835.79"/>
    <n v="771.68000000000029"/>
    <n v="0.1847667071310736"/>
    <n v="-536.58000000000004"/>
    <n v="83.53"/>
    <n v="204.65"/>
    <n v="4297.63"/>
    <x v="15"/>
    <s v="Maharashtra"/>
    <x v="2"/>
    <x v="2"/>
    <s v="CC-1004"/>
  </r>
  <r>
    <s v="TXN-00136"/>
    <d v="2025-05-11T00:00:00"/>
    <x v="3"/>
    <x v="2"/>
    <x v="0"/>
    <x v="0"/>
    <x v="0"/>
    <s v="Gujarat"/>
    <s v="Surat"/>
    <s v="Branch C"/>
    <x v="0"/>
    <s v="CC-1001"/>
    <s v="P005"/>
    <s v="Office Desk"/>
    <x v="3"/>
    <x v="5"/>
    <n v="32331.040000000001"/>
    <n v="30914.7"/>
    <n v="15760.34"/>
    <n v="3528.73"/>
    <n v="1031.76"/>
    <n v="2107.7800000000002"/>
    <n v="327.63"/>
    <n v="22756.23"/>
    <n v="16570.7"/>
    <n v="9574.8100000000013"/>
    <n v="0.2961491495479267"/>
    <n v="1416.34"/>
    <n v="1616.55"/>
    <n v="1535.72"/>
    <n v="32250.22"/>
    <x v="26"/>
    <s v="Gujarat"/>
    <x v="0"/>
    <x v="8"/>
    <s v="CC-1001"/>
  </r>
  <r>
    <s v="TXN-00137"/>
    <d v="2025-08-26T00:00:00"/>
    <x v="7"/>
    <x v="0"/>
    <x v="0"/>
    <x v="1"/>
    <x v="0"/>
    <s v="Kerala"/>
    <s v="Kozhikode"/>
    <s v="Branch C"/>
    <x v="1"/>
    <s v="CC-1003"/>
    <s v="P004"/>
    <s v="Office Chair"/>
    <x v="3"/>
    <x v="5"/>
    <n v="23794.79"/>
    <n v="23511.95"/>
    <n v="11812.71"/>
    <n v="2642.47"/>
    <n v="1226.3800000000001"/>
    <n v="2397.08"/>
    <n v="990.49"/>
    <n v="19069.14"/>
    <n v="11982.07"/>
    <n v="4725.6500000000015"/>
    <n v="0.19860019777438681"/>
    <n v="282.83999999999997"/>
    <n v="475.9"/>
    <n v="4197.3999999999996"/>
    <n v="27516.29"/>
    <x v="24"/>
    <s v="Kerala"/>
    <x v="1"/>
    <x v="17"/>
    <s v="CC-1003"/>
  </r>
  <r>
    <s v="TXN-00138"/>
    <d v="2025-12-08T00:00:00"/>
    <x v="6"/>
    <x v="3"/>
    <x v="0"/>
    <x v="0"/>
    <x v="0"/>
    <s v="Gujarat"/>
    <s v="Vadodara"/>
    <s v="Branch A"/>
    <x v="2"/>
    <s v="CC-1003"/>
    <s v="P002"/>
    <s v="Monitor"/>
    <x v="0"/>
    <x v="2"/>
    <n v="40034.300000000003"/>
    <n v="45613.84"/>
    <n v="24468.79"/>
    <n v="3220.04"/>
    <n v="3542.72"/>
    <n v="1955.98"/>
    <n v="992.42"/>
    <n v="34179.94"/>
    <n v="15565.51"/>
    <n v="5854.3600000000006"/>
    <n v="0.1462336046839835"/>
    <n v="-5579.54"/>
    <n v="0"/>
    <n v="7206.17"/>
    <n v="47240.47"/>
    <x v="19"/>
    <s v="Gujarat"/>
    <x v="2"/>
    <x v="3"/>
    <s v="CC-1003"/>
  </r>
  <r>
    <s v="TXN-00139"/>
    <d v="2025-09-01T00:00:00"/>
    <x v="1"/>
    <x v="0"/>
    <x v="0"/>
    <x v="4"/>
    <x v="0"/>
    <s v="Chhattisgarh"/>
    <s v="Raipur"/>
    <s v="Branch C"/>
    <x v="4"/>
    <s v="CC-1003"/>
    <s v="P010"/>
    <s v="Mouse"/>
    <x v="1"/>
    <x v="1"/>
    <n v="8342.7900000000009"/>
    <n v="9798.94"/>
    <n v="5248.64"/>
    <n v="790.35"/>
    <n v="549.25"/>
    <n v="689.23"/>
    <n v="268.87"/>
    <n v="7546.35"/>
    <n v="3094.15"/>
    <n v="796.44000000000051"/>
    <n v="9.5464466922935906E-2"/>
    <n v="-1456.15"/>
    <n v="250.28"/>
    <n v="404.63"/>
    <n v="8497.1299999999992"/>
    <x v="50"/>
    <s v="Chhattisgarh"/>
    <x v="4"/>
    <x v="1"/>
    <s v="CC-1003"/>
  </r>
  <r>
    <s v="TXN-00140"/>
    <d v="2026-02-11T00:00:00"/>
    <x v="2"/>
    <x v="1"/>
    <x v="0"/>
    <x v="2"/>
    <x v="0"/>
    <s v="Delhi"/>
    <s v="Gurugram"/>
    <s v="Branch A"/>
    <x v="1"/>
    <s v="CC-1004"/>
    <s v="P014"/>
    <s v="Data Storage"/>
    <x v="2"/>
    <x v="12"/>
    <n v="17417.77"/>
    <n v="16894.82"/>
    <n v="11467.28"/>
    <n v="937.97"/>
    <n v="1457.66"/>
    <n v="1884.27"/>
    <n v="581.29"/>
    <n v="16328.47"/>
    <n v="5950.5"/>
    <n v="1089.3000000000011"/>
    <n v="6.2539578832422352E-2"/>
    <n v="522.96"/>
    <n v="870.89"/>
    <n v="2978.44"/>
    <n v="19525.32"/>
    <x v="27"/>
    <s v="Delhi"/>
    <x v="1"/>
    <x v="19"/>
    <s v="CC-1004"/>
  </r>
  <r>
    <s v="TXN-00141"/>
    <d v="2025-08-05T00:00:00"/>
    <x v="7"/>
    <x v="0"/>
    <x v="0"/>
    <x v="0"/>
    <x v="0"/>
    <s v="Rajasthan"/>
    <s v="Jaipur"/>
    <s v="Branch B"/>
    <x v="2"/>
    <s v="CC-1004"/>
    <s v="P003"/>
    <s v="Printer"/>
    <x v="0"/>
    <x v="3"/>
    <n v="37421.26"/>
    <n v="39367.339999999997"/>
    <n v="23879.18"/>
    <n v="2626.4"/>
    <n v="1471.2"/>
    <n v="2958.9"/>
    <n v="1340.23"/>
    <n v="32275.91"/>
    <n v="13542.08"/>
    <n v="5145.3500000000022"/>
    <n v="0.13749804255655748"/>
    <n v="-1946.09"/>
    <n v="1122.6400000000001"/>
    <n v="1814.93"/>
    <n v="38113.550000000003"/>
    <x v="21"/>
    <s v="Rajasthan"/>
    <x v="2"/>
    <x v="5"/>
    <s v="CC-1004"/>
  </r>
  <r>
    <s v="TXN-00142"/>
    <d v="2025-05-05T00:00:00"/>
    <x v="3"/>
    <x v="2"/>
    <x v="0"/>
    <x v="0"/>
    <x v="0"/>
    <s v="Rajasthan"/>
    <s v="Jaipur"/>
    <s v="Branch D"/>
    <x v="0"/>
    <s v="CC-1004"/>
    <s v="P012"/>
    <s v="Accounting Software"/>
    <x v="2"/>
    <x v="4"/>
    <n v="13055.46"/>
    <n v="12823.66"/>
    <n v="6783.07"/>
    <n v="830.93"/>
    <n v="1130.96"/>
    <n v="987.25"/>
    <n v="490.99"/>
    <n v="10223.200000000001"/>
    <n v="6272.39"/>
    <n v="2832.2599999999984"/>
    <n v="0.21694065165072687"/>
    <n v="231.8"/>
    <n v="652.77"/>
    <n v="2232.48"/>
    <n v="14635.17"/>
    <x v="21"/>
    <s v="Rajasthan"/>
    <x v="0"/>
    <x v="7"/>
    <s v="CC-1004"/>
  </r>
  <r>
    <s v="TXN-00143"/>
    <d v="2026-03-14T00:00:00"/>
    <x v="8"/>
    <x v="1"/>
    <x v="0"/>
    <x v="2"/>
    <x v="0"/>
    <s v="Punjab"/>
    <s v="Ludhiana"/>
    <s v="Branch C"/>
    <x v="0"/>
    <s v="CC-1002"/>
    <s v="P002"/>
    <s v="Monitor"/>
    <x v="0"/>
    <x v="2"/>
    <n v="53915.3"/>
    <n v="51795.76"/>
    <n v="31145.43"/>
    <n v="6540.92"/>
    <n v="1358.12"/>
    <n v="2328.13"/>
    <n v="1679.06"/>
    <n v="43051.65"/>
    <n v="22769.87"/>
    <n v="10863.650000000001"/>
    <n v="0.20149475195352712"/>
    <n v="2119.54"/>
    <n v="4313.22"/>
    <n v="2480.1"/>
    <n v="52082.18"/>
    <x v="35"/>
    <s v="Punjab"/>
    <x v="0"/>
    <x v="3"/>
    <s v="CC-1002"/>
  </r>
  <r>
    <s v="TXN-00144"/>
    <d v="2026-03-28T00:00:00"/>
    <x v="8"/>
    <x v="1"/>
    <x v="0"/>
    <x v="4"/>
    <x v="0"/>
    <s v="Madhya Pradesh"/>
    <s v="Bhopal"/>
    <s v="Branch A"/>
    <x v="0"/>
    <s v="CC-1003"/>
    <s v="P016"/>
    <s v="Network Switch"/>
    <x v="4"/>
    <x v="10"/>
    <n v="12989.79"/>
    <n v="13444.06"/>
    <n v="6252.26"/>
    <n v="657.45"/>
    <n v="509.71"/>
    <n v="557.75"/>
    <n v="179.01"/>
    <n v="8156.19"/>
    <n v="6737.52"/>
    <n v="4833.6000000000013"/>
    <n v="0.37210763222500143"/>
    <n v="-454.28"/>
    <n v="389.69"/>
    <n v="2268.02"/>
    <n v="14868.11"/>
    <x v="23"/>
    <s v="Madhya Pradesh"/>
    <x v="0"/>
    <x v="13"/>
    <s v="CC-1003"/>
  </r>
  <r>
    <s v="TXN-00145"/>
    <d v="2025-10-09T00:00:00"/>
    <x v="5"/>
    <x v="3"/>
    <x v="0"/>
    <x v="3"/>
    <x v="0"/>
    <s v="Bihar"/>
    <s v="Gaya"/>
    <s v="Branch B"/>
    <x v="1"/>
    <s v="CC-1005"/>
    <s v="P017"/>
    <s v="UPS System"/>
    <x v="0"/>
    <x v="7"/>
    <n v="38461.980000000003"/>
    <n v="37829.93"/>
    <n v="23145.61"/>
    <n v="4613.05"/>
    <n v="2195.4299999999998"/>
    <n v="3699.3"/>
    <n v="1721.12"/>
    <n v="35374.5"/>
    <n v="15316.37"/>
    <n v="3087.4800000000032"/>
    <n v="8.0273558459548963E-2"/>
    <n v="632.04999999999995"/>
    <n v="0"/>
    <n v="4615.4399999999996"/>
    <n v="43077.42"/>
    <x v="32"/>
    <s v="Bihar"/>
    <x v="1"/>
    <x v="10"/>
    <s v="CC-1005"/>
  </r>
  <r>
    <s v="TXN-00146"/>
    <d v="2025-04-01T00:00:00"/>
    <x v="9"/>
    <x v="2"/>
    <x v="0"/>
    <x v="1"/>
    <x v="0"/>
    <s v="Telangana"/>
    <s v="Hyderabad"/>
    <s v="Branch A"/>
    <x v="1"/>
    <s v="CC-1005"/>
    <s v="P016"/>
    <s v="Network Switch"/>
    <x v="4"/>
    <x v="10"/>
    <n v="18080.07"/>
    <n v="21085.16"/>
    <n v="11808.72"/>
    <n v="2152.08"/>
    <n v="454.47"/>
    <n v="1761.1"/>
    <n v="705.77"/>
    <n v="16882.14"/>
    <n v="6271.35"/>
    <n v="1197.9300000000003"/>
    <n v="6.6256933739747711E-2"/>
    <n v="-3005.09"/>
    <n v="0"/>
    <n v="3254.41"/>
    <n v="21334.48"/>
    <x v="51"/>
    <s v="Telangana"/>
    <x v="1"/>
    <x v="13"/>
    <s v="CC-1005"/>
  </r>
  <r>
    <s v="TXN-00147"/>
    <d v="2025-08-24T00:00:00"/>
    <x v="7"/>
    <x v="0"/>
    <x v="0"/>
    <x v="2"/>
    <x v="0"/>
    <s v="Punjab"/>
    <s v="Ludhiana"/>
    <s v="Branch C"/>
    <x v="0"/>
    <s v="CC-1005"/>
    <s v="P019"/>
    <s v="Conference Camera"/>
    <x v="0"/>
    <x v="0"/>
    <n v="49697.78"/>
    <n v="57157.24"/>
    <n v="28676.49"/>
    <n v="3761.45"/>
    <n v="3664.73"/>
    <n v="3628.64"/>
    <n v="1620.81"/>
    <n v="41352.120000000003"/>
    <n v="21021.29"/>
    <n v="8345.6599999999962"/>
    <n v="0.16792822536539853"/>
    <n v="-7459.46"/>
    <n v="2484.89"/>
    <n v="8498.32"/>
    <n v="55711.21"/>
    <x v="35"/>
    <s v="Punjab"/>
    <x v="0"/>
    <x v="0"/>
    <s v="CC-1005"/>
  </r>
  <r>
    <s v="TXN-00148"/>
    <d v="2025-12-22T00:00:00"/>
    <x v="6"/>
    <x v="3"/>
    <x v="0"/>
    <x v="3"/>
    <x v="0"/>
    <s v="Bihar"/>
    <s v="Gaya"/>
    <s v="Branch A"/>
    <x v="0"/>
    <s v="CC-1004"/>
    <s v="P003"/>
    <s v="Printer"/>
    <x v="0"/>
    <x v="3"/>
    <n v="42783.41"/>
    <n v="49232.41"/>
    <n v="21218.28"/>
    <n v="3966.77"/>
    <n v="1464.86"/>
    <n v="1751.4"/>
    <n v="1059.8"/>
    <n v="29461.11"/>
    <n v="21565.119999999999"/>
    <n v="13322.300000000003"/>
    <n v="0.31138939135520055"/>
    <n v="-6449"/>
    <n v="855.67"/>
    <n v="5031.33"/>
    <n v="46959.07"/>
    <x v="32"/>
    <s v="Bihar"/>
    <x v="0"/>
    <x v="5"/>
    <s v="CC-1004"/>
  </r>
  <r>
    <s v="TXN-00149"/>
    <d v="2026-01-26T00:00:00"/>
    <x v="4"/>
    <x v="1"/>
    <x v="0"/>
    <x v="1"/>
    <x v="0"/>
    <s v="Karnataka"/>
    <s v="Bengaluru"/>
    <s v="Branch B"/>
    <x v="0"/>
    <s v="CC-1001"/>
    <s v="P006"/>
    <s v="Smartphone"/>
    <x v="0"/>
    <x v="9"/>
    <n v="67299.69"/>
    <n v="67904"/>
    <n v="43173.56"/>
    <n v="4847.63"/>
    <n v="3022.45"/>
    <n v="6939.86"/>
    <n v="1724.53"/>
    <n v="59708.04"/>
    <n v="24126.13"/>
    <n v="7591.6500000000015"/>
    <n v="0.11280363995733117"/>
    <n v="-604.30999999999995"/>
    <n v="5383.98"/>
    <n v="11144.83"/>
    <n v="73060.539999999994"/>
    <x v="49"/>
    <s v="Karnataka"/>
    <x v="0"/>
    <x v="16"/>
    <s v="CC-1001"/>
  </r>
  <r>
    <s v="TXN-00150"/>
    <d v="2025-09-03T00:00:00"/>
    <x v="1"/>
    <x v="0"/>
    <x v="0"/>
    <x v="0"/>
    <x v="0"/>
    <s v="Maharashtra"/>
    <s v="Nagpur"/>
    <s v="Branch C"/>
    <x v="1"/>
    <s v="CC-1002"/>
    <s v="P004"/>
    <s v="Office Chair"/>
    <x v="3"/>
    <x v="5"/>
    <n v="17735.5"/>
    <n v="18329.72"/>
    <n v="9218.0400000000009"/>
    <n v="1802.98"/>
    <n v="495.01"/>
    <n v="1790.44"/>
    <n v="764.98"/>
    <n v="14071.45"/>
    <n v="8517.4599999999991"/>
    <n v="3664.0499999999993"/>
    <n v="0.20659411913957876"/>
    <n v="-594.22"/>
    <n v="532.07000000000005"/>
    <n v="2064.41"/>
    <n v="19267.849999999999"/>
    <x v="15"/>
    <s v="Maharashtra"/>
    <x v="1"/>
    <x v="17"/>
    <s v="CC-1002"/>
  </r>
  <r>
    <s v="TXN-00151"/>
    <d v="2025-08-04T00:00:00"/>
    <x v="7"/>
    <x v="0"/>
    <x v="0"/>
    <x v="0"/>
    <x v="0"/>
    <s v="Maharashtra"/>
    <s v="Pune"/>
    <s v="Branch D"/>
    <x v="0"/>
    <s v="CC-1002"/>
    <s v="P016"/>
    <s v="Network Switch"/>
    <x v="4"/>
    <x v="10"/>
    <n v="17592.29"/>
    <n v="17877.3"/>
    <n v="11350.3"/>
    <n v="1077.43"/>
    <n v="995.08"/>
    <n v="742.45"/>
    <n v="487.15"/>
    <n v="14652.4"/>
    <n v="6242"/>
    <n v="2939.8900000000012"/>
    <n v="0.16711241117557754"/>
    <n v="-285"/>
    <n v="1759.23"/>
    <n v="1899.97"/>
    <n v="17733.03"/>
    <x v="12"/>
    <s v="Maharashtra"/>
    <x v="0"/>
    <x v="13"/>
    <s v="CC-1002"/>
  </r>
  <r>
    <s v="TXN-00152"/>
    <d v="2025-09-02T00:00:00"/>
    <x v="1"/>
    <x v="0"/>
    <x v="0"/>
    <x v="1"/>
    <x v="0"/>
    <s v="Telangana"/>
    <s v="Nizamabad"/>
    <s v="Branch B"/>
    <x v="3"/>
    <s v="CC-1003"/>
    <s v="P015"/>
    <s v="Network Router"/>
    <x v="4"/>
    <x v="10"/>
    <n v="17106.93"/>
    <n v="19341.849999999999"/>
    <n v="9732.0499999999993"/>
    <n v="1368.29"/>
    <n v="954.75"/>
    <n v="1292.0899999999999"/>
    <n v="766.73"/>
    <n v="14113.91"/>
    <n v="7374.88"/>
    <n v="2993.0200000000004"/>
    <n v="0.17495950471534052"/>
    <n v="-2234.92"/>
    <n v="855.35"/>
    <n v="812.58"/>
    <n v="17064.169999999998"/>
    <x v="29"/>
    <s v="Telangana"/>
    <x v="3"/>
    <x v="14"/>
    <s v="CC-1003"/>
  </r>
  <r>
    <s v="TXN-00153"/>
    <d v="2025-05-29T00:00:00"/>
    <x v="3"/>
    <x v="2"/>
    <x v="0"/>
    <x v="4"/>
    <x v="0"/>
    <s v="Madhya Pradesh"/>
    <s v="Bhopal"/>
    <s v="Branch D"/>
    <x v="1"/>
    <s v="CC-1004"/>
    <s v="P005"/>
    <s v="Office Desk"/>
    <x v="3"/>
    <x v="5"/>
    <n v="12327.85"/>
    <n v="12851.93"/>
    <n v="8171.6"/>
    <n v="1438.56"/>
    <n v="661.13"/>
    <n v="791.28"/>
    <n v="235.18"/>
    <n v="11297.74"/>
    <n v="4156.26"/>
    <n v="1030.1100000000006"/>
    <n v="8.3559582571170202E-2"/>
    <n v="-524.07000000000005"/>
    <n v="246.56"/>
    <n v="604.05999999999995"/>
    <n v="12685.36"/>
    <x v="23"/>
    <s v="Madhya Pradesh"/>
    <x v="1"/>
    <x v="8"/>
    <s v="CC-1004"/>
  </r>
  <r>
    <s v="TXN-00154"/>
    <d v="2025-04-21T00:00:00"/>
    <x v="9"/>
    <x v="2"/>
    <x v="0"/>
    <x v="4"/>
    <x v="0"/>
    <s v="Uttar Pradesh"/>
    <s v="Agra"/>
    <s v="Branch A"/>
    <x v="0"/>
    <s v="CC-1005"/>
    <s v="P003"/>
    <s v="Printer"/>
    <x v="0"/>
    <x v="3"/>
    <n v="31093.75"/>
    <n v="29296.3"/>
    <n v="20763.57"/>
    <n v="3381.95"/>
    <n v="1384.66"/>
    <n v="2054.2399999999998"/>
    <n v="1173.42"/>
    <n v="28757.84"/>
    <n v="10330.18"/>
    <n v="2335.91"/>
    <n v="7.5124743718592957E-2"/>
    <n v="1797.45"/>
    <n v="932.81"/>
    <n v="5428.97"/>
    <n v="35589.910000000003"/>
    <x v="7"/>
    <s v="Uttar Pradesh"/>
    <x v="0"/>
    <x v="5"/>
    <s v="CC-1005"/>
  </r>
  <r>
    <s v="TXN-00155"/>
    <d v="2025-04-08T00:00:00"/>
    <x v="9"/>
    <x v="2"/>
    <x v="0"/>
    <x v="2"/>
    <x v="0"/>
    <s v="Delhi"/>
    <s v="New Delhi"/>
    <s v="Branch D"/>
    <x v="4"/>
    <s v="CC-1003"/>
    <s v="P002"/>
    <s v="Monitor"/>
    <x v="0"/>
    <x v="2"/>
    <n v="55578.239999999998"/>
    <n v="63414.26"/>
    <n v="28420.3"/>
    <n v="6293.72"/>
    <n v="1840.38"/>
    <n v="5754.4"/>
    <n v="1092.22"/>
    <n v="43401.02"/>
    <n v="27157.94"/>
    <n v="12177.220000000001"/>
    <n v="0.21910049688511191"/>
    <n v="-7836.02"/>
    <n v="4446.26"/>
    <n v="9203.76"/>
    <n v="60335.74"/>
    <x v="48"/>
    <s v="Delhi"/>
    <x v="4"/>
    <x v="3"/>
    <s v="CC-1003"/>
  </r>
  <r>
    <s v="TXN-00156"/>
    <d v="2025-04-17T00:00:00"/>
    <x v="9"/>
    <x v="2"/>
    <x v="0"/>
    <x v="4"/>
    <x v="0"/>
    <s v="Chhattisgarh"/>
    <s v="Bhilai"/>
    <s v="Branch C"/>
    <x v="1"/>
    <s v="CC-1004"/>
    <s v="P006"/>
    <s v="Smartphone"/>
    <x v="0"/>
    <x v="9"/>
    <n v="46283.83"/>
    <n v="46856.23"/>
    <n v="28945.040000000001"/>
    <n v="5716"/>
    <n v="2246.96"/>
    <n v="4538.47"/>
    <n v="1911.79"/>
    <n v="43358.26"/>
    <n v="17338.79"/>
    <n v="2925.5699999999997"/>
    <n v="6.3209332503381843E-2"/>
    <n v="-572.4"/>
    <n v="1388.51"/>
    <n v="5387.44"/>
    <n v="50282.75"/>
    <x v="38"/>
    <s v="Chhattisgarh"/>
    <x v="1"/>
    <x v="16"/>
    <s v="CC-1004"/>
  </r>
  <r>
    <s v="TXN-00157"/>
    <d v="2025-09-22T00:00:00"/>
    <x v="1"/>
    <x v="0"/>
    <x v="0"/>
    <x v="0"/>
    <x v="0"/>
    <s v="Rajasthan"/>
    <s v="Udaipur"/>
    <s v="Branch A"/>
    <x v="3"/>
    <s v="CC-1001"/>
    <s v="P008"/>
    <s v="Headset"/>
    <x v="1"/>
    <x v="8"/>
    <n v="7966.95"/>
    <n v="9035.24"/>
    <n v="5531.78"/>
    <n v="438.16"/>
    <n v="656.68"/>
    <n v="604.41999999999996"/>
    <n v="222"/>
    <n v="7453.03"/>
    <n v="2435.16"/>
    <n v="513.92000000000007"/>
    <n v="6.450649244692136E-2"/>
    <n v="-1068.29"/>
    <n v="398.35"/>
    <n v="1362.35"/>
    <n v="8930.9500000000007"/>
    <x v="17"/>
    <s v="Rajasthan"/>
    <x v="3"/>
    <x v="11"/>
    <s v="CC-1001"/>
  </r>
  <r>
    <s v="TXN-00158"/>
    <d v="2025-10-25T00:00:00"/>
    <x v="5"/>
    <x v="3"/>
    <x v="0"/>
    <x v="0"/>
    <x v="0"/>
    <s v="Gujarat"/>
    <s v="Ahmedabad"/>
    <s v="Branch B"/>
    <x v="2"/>
    <s v="CC-1002"/>
    <s v="P010"/>
    <s v="Mouse"/>
    <x v="1"/>
    <x v="1"/>
    <n v="6972.23"/>
    <n v="7850.31"/>
    <n v="3904.57"/>
    <n v="757.49"/>
    <n v="413.85"/>
    <n v="721.43"/>
    <n v="311.44"/>
    <n v="6108.79"/>
    <n v="3067.66"/>
    <n v="863.4399999999996"/>
    <n v="0.12383986185194688"/>
    <n v="-878.08"/>
    <n v="139.44"/>
    <n v="1229.9000000000001"/>
    <n v="8062.69"/>
    <x v="18"/>
    <s v="Gujarat"/>
    <x v="2"/>
    <x v="1"/>
    <s v="CC-1002"/>
  </r>
  <r>
    <s v="TXN-00159"/>
    <d v="2026-02-21T00:00:00"/>
    <x v="2"/>
    <x v="1"/>
    <x v="0"/>
    <x v="2"/>
    <x v="0"/>
    <s v="Haryana"/>
    <s v="Gurugram"/>
    <s v="Branch D"/>
    <x v="2"/>
    <s v="CC-1001 "/>
    <s v="P015"/>
    <s v="Network Router"/>
    <x v="4"/>
    <x v="10"/>
    <n v="13222.39"/>
    <n v="14685.81"/>
    <n v="8436.5400000000009"/>
    <n v="1471.51"/>
    <n v="1057.5899999999999"/>
    <n v="1177.96"/>
    <n v="173.23"/>
    <n v="12316.84"/>
    <n v="4785.8500000000004"/>
    <n v="905.54999999999927"/>
    <n v="6.8486105764540242E-2"/>
    <n v="-1463.41"/>
    <n v="396.67"/>
    <n v="641.29"/>
    <n v="13467.01"/>
    <x v="27"/>
    <s v="Haryana"/>
    <x v="2"/>
    <x v="14"/>
    <s v="CC-1001"/>
  </r>
  <r>
    <s v="TXN-00160"/>
    <d v="2025-12-16T00:00:00"/>
    <x v="6"/>
    <x v="3"/>
    <x v="0"/>
    <x v="3"/>
    <x v="0"/>
    <s v="Odisha"/>
    <s v="Rourkela"/>
    <s v="Branch C"/>
    <x v="0"/>
    <s v="CC-1004"/>
    <s v="P013"/>
    <s v="CRM Software"/>
    <x v="2"/>
    <x v="4"/>
    <n v="21260.33"/>
    <n v="24800.91"/>
    <n v="12871.39"/>
    <n v="1572.53"/>
    <n v="637.73"/>
    <n v="1701.89"/>
    <n v="803.81"/>
    <n v="17587.349999999999"/>
    <n v="8388.94"/>
    <n v="3672.9800000000032"/>
    <n v="0.17276213492452858"/>
    <n v="-3540.58"/>
    <n v="1063.02"/>
    <n v="1009.87"/>
    <n v="21207.18"/>
    <x v="41"/>
    <s v="Odisha"/>
    <x v="0"/>
    <x v="15"/>
    <s v="CC-1004"/>
  </r>
  <r>
    <s v="TXN-00161"/>
    <d v="2025-04-13T00:00:00"/>
    <x v="9"/>
    <x v="2"/>
    <x v="0"/>
    <x v="0"/>
    <x v="0"/>
    <s v="Goa"/>
    <s v="Margao"/>
    <s v="Branch C"/>
    <x v="3"/>
    <s v="CC-1003"/>
    <s v="P007"/>
    <s v="Tablet"/>
    <x v="0"/>
    <x v="9"/>
    <n v="35772.33"/>
    <n v="38353.050000000003"/>
    <n v="25575.63"/>
    <n v="3515.69"/>
    <n v="1726.3"/>
    <n v="3284.81"/>
    <n v="511.62"/>
    <n v="34614.04"/>
    <n v="10196.709999999999"/>
    <n v="1158.2900000000009"/>
    <n v="3.2379495548654526E-2"/>
    <n v="-2580.7199999999998"/>
    <n v="2861.79"/>
    <n v="3949.27"/>
    <n v="36859.81"/>
    <x v="37"/>
    <s v="Goa"/>
    <x v="3"/>
    <x v="12"/>
    <s v="CC-1003"/>
  </r>
  <r>
    <s v="TXN-00162"/>
    <d v="2025-06-13T00:00:00"/>
    <x v="11"/>
    <x v="2"/>
    <x v="0"/>
    <x v="0"/>
    <x v="0"/>
    <s v="Rajasthan"/>
    <s v="Jodhpur"/>
    <s v="Branch D"/>
    <x v="0"/>
    <s v="CC-1002"/>
    <s v="P014"/>
    <s v="Data Storage"/>
    <x v="2"/>
    <x v="12"/>
    <n v="13943.54"/>
    <n v="13538.6"/>
    <n v="7663.27"/>
    <n v="1325.52"/>
    <n v="457.31"/>
    <n v="1580.41"/>
    <n v="491.13"/>
    <n v="11517.63"/>
    <n v="6280.27"/>
    <n v="2425.9100000000017"/>
    <n v="0.17398092593416031"/>
    <n v="404.95"/>
    <n v="418.31"/>
    <n v="676.26"/>
    <n v="14201.5"/>
    <x v="11"/>
    <s v="Rajasthan"/>
    <x v="0"/>
    <x v="19"/>
    <s v="CC-1002"/>
  </r>
  <r>
    <s v="TXN-00163"/>
    <d v="2026-01-15T00:00:00"/>
    <x v="4"/>
    <x v="1"/>
    <x v="0"/>
    <x v="2"/>
    <x v="0"/>
    <s v="Punjab"/>
    <s v="Jalandhar"/>
    <s v="Branch C"/>
    <x v="1"/>
    <s v="CC-1001"/>
    <s v="P015"/>
    <s v="Network Router"/>
    <x v="4"/>
    <x v="10"/>
    <n v="8527.99"/>
    <n v="9507.9"/>
    <n v="5556.92"/>
    <n v="831.3"/>
    <n v="709.72"/>
    <n v="739.05"/>
    <n v="224.66"/>
    <n v="8061.65"/>
    <n v="2971.07"/>
    <n v="466.34000000000015"/>
    <n v="5.4683459994676373E-2"/>
    <n v="-979.91"/>
    <n v="255.84"/>
    <n v="1488.99"/>
    <n v="9761.14"/>
    <x v="52"/>
    <s v="Punjab"/>
    <x v="1"/>
    <x v="14"/>
    <s v="CC-1001"/>
  </r>
  <r>
    <s v="TXN-00164"/>
    <d v="2026-02-14T00:00:00"/>
    <x v="2"/>
    <x v="1"/>
    <x v="0"/>
    <x v="1"/>
    <x v="0"/>
    <s v="Telangana"/>
    <s v="Hyderabad"/>
    <s v="Branch A"/>
    <x v="1"/>
    <s v="CC-1001"/>
    <s v="P002"/>
    <s v="Monitor"/>
    <x v="0"/>
    <x v="2"/>
    <n v="40037.32"/>
    <n v="45945.29"/>
    <n v="23386.44"/>
    <n v="4916.3999999999996"/>
    <n v="1982.88"/>
    <n v="4689.42"/>
    <n v="525.5"/>
    <n v="35500.639999999999"/>
    <n v="16650.87"/>
    <n v="4536.68"/>
    <n v="0.11331128057522333"/>
    <n v="-5907.97"/>
    <n v="2001.87"/>
    <n v="4564.25"/>
    <n v="42599.7"/>
    <x v="51"/>
    <s v="Telangana"/>
    <x v="1"/>
    <x v="3"/>
    <s v="CC-1001"/>
  </r>
  <r>
    <s v="TXN-00165"/>
    <d v="2026-02-10T00:00:00"/>
    <x v="2"/>
    <x v="1"/>
    <x v="0"/>
    <x v="0"/>
    <x v="0"/>
    <s v="Rajasthan"/>
    <s v="Udaipur"/>
    <s v="Branch B"/>
    <x v="1"/>
    <s v="CC-1005"/>
    <s v="P011"/>
    <s v="Cloud Software"/>
    <x v="2"/>
    <x v="11"/>
    <n v="27027.18"/>
    <n v="29954.53"/>
    <n v="19140.25"/>
    <n v="2870.37"/>
    <n v="1199.29"/>
    <n v="1308.9000000000001"/>
    <n v="1009.84"/>
    <n v="25528.66"/>
    <n v="7886.92"/>
    <n v="1498.5200000000004"/>
    <n v="5.5444926181717827E-2"/>
    <n v="-2927.35"/>
    <n v="1351.36"/>
    <n v="1283.79"/>
    <n v="26959.61"/>
    <x v="17"/>
    <s v="Rajasthan"/>
    <x v="1"/>
    <x v="18"/>
    <s v="CC-1005"/>
  </r>
  <r>
    <s v="TXN-00166"/>
    <d v="2025-07-10T00:00:00"/>
    <x v="0"/>
    <x v="0"/>
    <x v="0"/>
    <x v="3"/>
    <x v="0"/>
    <s v="Bihar"/>
    <s v="Patna"/>
    <s v="Branch C"/>
    <x v="3"/>
    <s v="CC-1002"/>
    <s v="P014"/>
    <s v="Data Storage"/>
    <x v="2"/>
    <x v="12"/>
    <n v="17085.259999999998"/>
    <n v="19437.669999999998"/>
    <n v="8963.7000000000007"/>
    <n v="1608.84"/>
    <n v="888.89"/>
    <n v="1667.05"/>
    <n v="392.8"/>
    <n v="13521.29"/>
    <n v="8121.55"/>
    <n v="3563.9699999999975"/>
    <n v="0.20859910823715869"/>
    <n v="-2352.42"/>
    <n v="1366.82"/>
    <n v="2829.32"/>
    <n v="18547.75"/>
    <x v="45"/>
    <s v="Bihar"/>
    <x v="3"/>
    <x v="19"/>
    <s v="CC-1002"/>
  </r>
  <r>
    <s v="TXN-00167"/>
    <d v="2025-07-09T00:00:00"/>
    <x v="0"/>
    <x v="0"/>
    <x v="0"/>
    <x v="0"/>
    <x v="0"/>
    <s v="Maharashtra"/>
    <s v="Mumbai"/>
    <s v="Branch B"/>
    <x v="3"/>
    <s v="CC-1004"/>
    <s v="P018"/>
    <s v="Projector"/>
    <x v="0"/>
    <x v="6"/>
    <n v="70266.23"/>
    <n v="62934.62"/>
    <n v="45232.24"/>
    <n v="6144.95"/>
    <n v="4401.93"/>
    <n v="3290.38"/>
    <n v="808.43"/>
    <n v="59877.919999999998"/>
    <n v="25033.99"/>
    <n v="10388.309999999998"/>
    <n v="0.14784214266227175"/>
    <n v="7331.61"/>
    <n v="3513.31"/>
    <n v="12015.53"/>
    <n v="78768.44"/>
    <x v="6"/>
    <s v="Maharashtra"/>
    <x v="3"/>
    <x v="9"/>
    <s v="CC-1004"/>
  </r>
  <r>
    <s v="TXN-00168"/>
    <d v="2025-05-24T00:00:00"/>
    <x v="3"/>
    <x v="2"/>
    <x v="0"/>
    <x v="3"/>
    <x v="0"/>
    <s v="Jharkhand"/>
    <s v="Dhanbad"/>
    <s v="Branch A"/>
    <x v="0"/>
    <s v="CC-1005"/>
    <s v="P005"/>
    <s v="Office Desk"/>
    <x v="3"/>
    <x v="5"/>
    <n v="35137.379999999997"/>
    <n v="38398.65"/>
    <n v="24867.53"/>
    <n v="1845.2"/>
    <n v="2559.86"/>
    <n v="2333.8000000000002"/>
    <n v="1465.66"/>
    <n v="33072.050000000003"/>
    <n v="10269.85"/>
    <n v="2065.3299999999945"/>
    <n v="5.877871372310612E-2"/>
    <n v="-3261.27"/>
    <n v="702.75"/>
    <n v="6198.23"/>
    <n v="40632.86"/>
    <x v="34"/>
    <s v="Jharkhand"/>
    <x v="0"/>
    <x v="8"/>
    <s v="CC-1005"/>
  </r>
  <r>
    <s v="TXN-00169"/>
    <d v="2025-11-14T00:00:00"/>
    <x v="10"/>
    <x v="3"/>
    <x v="0"/>
    <x v="2"/>
    <x v="0"/>
    <s v="Punjab"/>
    <s v="Amritsar"/>
    <s v="Branch A"/>
    <x v="1"/>
    <s v="CC-1004"/>
    <s v="P016"/>
    <s v="Network Switch"/>
    <x v="4"/>
    <x v="10"/>
    <n v="30439.87"/>
    <n v="35700"/>
    <n v="15528.35"/>
    <n v="1563.26"/>
    <n v="2284.8200000000002"/>
    <n v="3183.17"/>
    <n v="432.47"/>
    <n v="22992.080000000002"/>
    <n v="14911.51"/>
    <n v="7447.7899999999972"/>
    <n v="0.24467220129389505"/>
    <n v="-5260.14"/>
    <n v="608.79999999999995"/>
    <n v="1491.55"/>
    <n v="31322.62"/>
    <x v="47"/>
    <s v="Punjab"/>
    <x v="1"/>
    <x v="13"/>
    <s v="CC-1004"/>
  </r>
  <r>
    <s v="TXN-00170"/>
    <d v="2025-08-31T00:00:00"/>
    <x v="7"/>
    <x v="0"/>
    <x v="0"/>
    <x v="0"/>
    <x v="0"/>
    <s v="Gujarat"/>
    <s v="Vadodara"/>
    <s v="Branch D"/>
    <x v="0"/>
    <s v="CC-1004"/>
    <s v="P016"/>
    <s v="Network Switch"/>
    <x v="4"/>
    <x v="10"/>
    <n v="26292.29"/>
    <n v="27462.68"/>
    <n v="18168.53"/>
    <n v="2735.62"/>
    <n v="1592.07"/>
    <n v="2797"/>
    <n v="820.72"/>
    <n v="26113.93"/>
    <n v="8123.76"/>
    <n v="178.36000000000058"/>
    <n v="6.7837377421289882E-3"/>
    <n v="-1170.3900000000001"/>
    <n v="525.85"/>
    <n v="1288.32"/>
    <n v="27054.76"/>
    <x v="19"/>
    <s v="Gujarat"/>
    <x v="0"/>
    <x v="13"/>
    <s v="CC-1004"/>
  </r>
  <r>
    <s v="TXN-00171"/>
    <d v="2025-05-29T00:00:00"/>
    <x v="3"/>
    <x v="2"/>
    <x v="0"/>
    <x v="1"/>
    <x v="0"/>
    <s v="Telangana"/>
    <s v="Hyderabad"/>
    <s v="Branch A"/>
    <x v="4"/>
    <s v="CC-1002"/>
    <s v="P013"/>
    <s v="CRM Software"/>
    <x v="2"/>
    <x v="4"/>
    <n v="22952.07"/>
    <n v="20596.11"/>
    <n v="16292.97"/>
    <n v="2878.6"/>
    <n v="1745.21"/>
    <n v="2738.32"/>
    <n v="666.92"/>
    <n v="24322.03"/>
    <n v="6659.09"/>
    <n v="-1369.9599999999991"/>
    <n v="-5.9687862576229468E-2"/>
    <n v="2355.9499999999998"/>
    <n v="2295.21"/>
    <n v="1032.8399999999999"/>
    <n v="21689.7"/>
    <x v="51"/>
    <s v="Telangana"/>
    <x v="4"/>
    <x v="15"/>
    <s v="CC-1002"/>
  </r>
  <r>
    <s v="TXN-00172"/>
    <d v="2025-11-19T00:00:00"/>
    <x v="10"/>
    <x v="3"/>
    <x v="0"/>
    <x v="1"/>
    <x v="0"/>
    <s v="Tamil Nadu"/>
    <s v="Madurai"/>
    <s v="Branch B"/>
    <x v="4"/>
    <s v="CC-1001"/>
    <s v="P010"/>
    <s v="Mouse"/>
    <x v="1"/>
    <x v="1"/>
    <n v="3349.92"/>
    <n v="3934.47"/>
    <n v="2031.87"/>
    <n v="410.41"/>
    <n v="119.43"/>
    <n v="306.27"/>
    <n v="128.44999999999999"/>
    <n v="2996.44"/>
    <n v="1318.05"/>
    <n v="353.48"/>
    <n v="0.10551893776567799"/>
    <n v="-584.54999999999995"/>
    <n v="334.99"/>
    <n v="361.79"/>
    <n v="3376.72"/>
    <x v="43"/>
    <s v="Tamil Nadu"/>
    <x v="4"/>
    <x v="1"/>
    <s v="CC-1001"/>
  </r>
  <r>
    <s v="TXN-00173"/>
    <d v="2025-10-05T00:00:00"/>
    <x v="5"/>
    <x v="3"/>
    <x v="0"/>
    <x v="3"/>
    <x v="0"/>
    <s v="Bihar"/>
    <s v="Patna"/>
    <s v="Branch B"/>
    <x v="1"/>
    <s v="CC-1001"/>
    <s v="P018"/>
    <s v="Projector"/>
    <x v="0"/>
    <x v="6"/>
    <n v="20729.89"/>
    <n v="21026.37"/>
    <n v="10618.39"/>
    <n v="2625.12"/>
    <n v="1231.93"/>
    <n v="1230.3499999999999"/>
    <n v="570.51"/>
    <n v="16276.3"/>
    <n v="10111.5"/>
    <n v="4453.59"/>
    <n v="0.21483905606831488"/>
    <n v="-296.48"/>
    <n v="1036.49"/>
    <n v="984.67"/>
    <n v="20678.060000000001"/>
    <x v="45"/>
    <s v="Bihar"/>
    <x v="1"/>
    <x v="9"/>
    <s v="CC-1001"/>
  </r>
  <r>
    <s v="TXN-00174"/>
    <d v="2026-01-19T00:00:00"/>
    <x v="4"/>
    <x v="1"/>
    <x v="0"/>
    <x v="4"/>
    <x v="0"/>
    <s v="Chhattisgarh"/>
    <s v="Bhilai"/>
    <s v="Branch B"/>
    <x v="0"/>
    <s v="CC-1005"/>
    <s v="P003"/>
    <s v="Printer"/>
    <x v="0"/>
    <x v="3"/>
    <n v="26237.06"/>
    <n v="24735.13"/>
    <n v="12908.5"/>
    <n v="3082.64"/>
    <n v="2329.2600000000002"/>
    <n v="2714.26"/>
    <n v="1046.4000000000001"/>
    <n v="22081.06"/>
    <n v="13328.56"/>
    <n v="4156"/>
    <n v="0.15840189411466071"/>
    <n v="1501.92"/>
    <n v="524.74"/>
    <n v="4628.22"/>
    <n v="30340.53"/>
    <x v="38"/>
    <s v="Chhattisgarh"/>
    <x v="0"/>
    <x v="5"/>
    <s v="CC-1005"/>
  </r>
  <r>
    <s v="TXN-00175"/>
    <d v="2025-12-28T00:00:00"/>
    <x v="6"/>
    <x v="3"/>
    <x v="0"/>
    <x v="0"/>
    <x v="0"/>
    <s v="Rajasthan"/>
    <s v="Udaipur"/>
    <s v="Branch B"/>
    <x v="0"/>
    <s v="CC-1004"/>
    <s v="P011"/>
    <s v="Cloud Software"/>
    <x v="2"/>
    <x v="11"/>
    <n v="20248.400000000001"/>
    <n v="18888.29"/>
    <n v="10758.98"/>
    <n v="1033.53"/>
    <n v="524.89"/>
    <n v="2153.44"/>
    <n v="721.33"/>
    <n v="15192.17"/>
    <n v="9489.42"/>
    <n v="5056.2300000000014"/>
    <n v="0.2497101005511547"/>
    <n v="1360.11"/>
    <n v="607.45000000000005"/>
    <n v="3535.37"/>
    <n v="23176.32"/>
    <x v="17"/>
    <s v="Rajasthan"/>
    <x v="0"/>
    <x v="18"/>
    <s v="CC-1004"/>
  </r>
  <r>
    <s v="TXN-00176"/>
    <d v="2026-01-24T00:00:00"/>
    <x v="4"/>
    <x v="1"/>
    <x v="0"/>
    <x v="3"/>
    <x v="0"/>
    <s v="Odisha"/>
    <s v="Cuttack"/>
    <s v="Branch C"/>
    <x v="3"/>
    <s v="CC-1002"/>
    <s v="P008"/>
    <s v="Headset"/>
    <x v="1"/>
    <x v="8"/>
    <n v="6767.37"/>
    <n v="6426.37"/>
    <n v="3992.59"/>
    <n v="761.38"/>
    <n v="591.54"/>
    <n v="684.09"/>
    <n v="270.24"/>
    <n v="6299.84"/>
    <n v="2774.78"/>
    <n v="467.52999999999975"/>
    <n v="6.9085922596222718E-2"/>
    <n v="340.99"/>
    <n v="338.37"/>
    <n v="1157.22"/>
    <n v="7586.22"/>
    <x v="28"/>
    <s v="Odisha"/>
    <x v="3"/>
    <x v="11"/>
    <s v="CC-1002"/>
  </r>
  <r>
    <s v="TXN-00177"/>
    <d v="2025-05-06T00:00:00"/>
    <x v="3"/>
    <x v="2"/>
    <x v="0"/>
    <x v="1"/>
    <x v="0"/>
    <s v="Kerala"/>
    <s v="Thiruvananthapuram"/>
    <s v="Branch C"/>
    <x v="0"/>
    <s v="CC-1002"/>
    <s v="P008"/>
    <s v="Headset"/>
    <x v="1"/>
    <x v="8"/>
    <n v="9278.56"/>
    <n v="8430.68"/>
    <n v="5408.37"/>
    <n v="485.58"/>
    <n v="521.99"/>
    <n v="862.86"/>
    <n v="131.27000000000001"/>
    <n v="7410.06"/>
    <n v="3870.19"/>
    <n v="1868.4999999999991"/>
    <n v="0.20137823110482653"/>
    <n v="847.88"/>
    <n v="185.57"/>
    <n v="1091.1600000000001"/>
    <n v="10184.15"/>
    <x v="8"/>
    <s v="Kerala"/>
    <x v="0"/>
    <x v="11"/>
    <s v="CC-1002"/>
  </r>
  <r>
    <s v="TXN-00178"/>
    <d v="2025-09-02T00:00:00"/>
    <x v="1"/>
    <x v="0"/>
    <x v="0"/>
    <x v="4"/>
    <x v="0"/>
    <s v="Madhya Pradesh"/>
    <s v="Bhopal"/>
    <s v="Branch A"/>
    <x v="3"/>
    <s v="CC-1003"/>
    <s v="P020"/>
    <s v="Document Scanner"/>
    <x v="0"/>
    <x v="3"/>
    <n v="17133.66"/>
    <n v="15374.22"/>
    <n v="10051.42"/>
    <n v="1234.3699999999999"/>
    <n v="1121.0999999999999"/>
    <n v="2045.68"/>
    <n v="403.01"/>
    <n v="14855.58"/>
    <n v="7082.24"/>
    <n v="2278.08"/>
    <n v="0.13295933268198387"/>
    <n v="1759.44"/>
    <n v="856.68"/>
    <n v="1953.24"/>
    <n v="18230.22"/>
    <x v="23"/>
    <s v="Madhya Pradesh"/>
    <x v="3"/>
    <x v="6"/>
    <s v="CC-1003"/>
  </r>
  <r>
    <s v="TXN-00179"/>
    <d v="2025-07-23T00:00:00"/>
    <x v="0"/>
    <x v="0"/>
    <x v="0"/>
    <x v="4"/>
    <x v="0"/>
    <s v="Chhattisgarh"/>
    <s v="Raipur"/>
    <s v="Branch D"/>
    <x v="1"/>
    <s v="CC-1002"/>
    <s v="P011"/>
    <s v="Cloud Software"/>
    <x v="2"/>
    <x v="11"/>
    <n v="19776.73"/>
    <n v="23077.39"/>
    <n v="10196.15"/>
    <n v="2063.98"/>
    <n v="783.51"/>
    <n v="1473.57"/>
    <n v="695.56"/>
    <n v="15212.77"/>
    <n v="9580.59"/>
    <n v="4563.9599999999991"/>
    <n v="0.23077424832113294"/>
    <n v="-3300.66"/>
    <n v="988.84"/>
    <n v="2254.5500000000002"/>
    <n v="21042.44"/>
    <x v="50"/>
    <s v="Chhattisgarh"/>
    <x v="1"/>
    <x v="18"/>
    <s v="CC-1002"/>
  </r>
  <r>
    <s v="TXN-00180"/>
    <d v="2025-06-15T00:00:00"/>
    <x v="11"/>
    <x v="2"/>
    <x v="0"/>
    <x v="0"/>
    <x v="0"/>
    <s v="Goa"/>
    <s v="Panaji"/>
    <s v="Branch D"/>
    <x v="3"/>
    <s v="CC-1002"/>
    <s v="P008"/>
    <s v="Headset"/>
    <x v="1"/>
    <x v="8"/>
    <n v="5226.8500000000004"/>
    <n v="5890.39"/>
    <n v="3623.95"/>
    <n v="489.03"/>
    <n v="200.14"/>
    <n v="315.83"/>
    <n v="106.36"/>
    <n v="4735.3"/>
    <n v="1602.9"/>
    <n v="491.55000000000018"/>
    <n v="9.4043257411251552E-2"/>
    <n v="-663.54"/>
    <n v="261.33999999999997"/>
    <n v="248.28"/>
    <n v="5213.78"/>
    <x v="14"/>
    <s v="Goa"/>
    <x v="3"/>
    <x v="11"/>
    <s v="CC-1002"/>
  </r>
  <r>
    <s v="TXN-00181"/>
    <d v="2026-02-18T00:00:00"/>
    <x v="2"/>
    <x v="1"/>
    <x v="0"/>
    <x v="1"/>
    <x v="0"/>
    <s v="Telangana"/>
    <s v="Hyderabad"/>
    <s v="Branch A"/>
    <x v="3"/>
    <s v="CC-1003"/>
    <s v="P008"/>
    <s v="Headset"/>
    <x v="1"/>
    <x v="8"/>
    <n v="1864"/>
    <n v="2073.09"/>
    <n v="1052.46"/>
    <n v="216.19"/>
    <n v="109.08"/>
    <n v="143.65"/>
    <n v="21.6"/>
    <n v="1542.98"/>
    <n v="811.54"/>
    <n v="321.02"/>
    <n v="0.17222103004291844"/>
    <n v="-209.09"/>
    <n v="37.28"/>
    <n v="328.81"/>
    <n v="2155.5300000000002"/>
    <x v="51"/>
    <s v="Telangana"/>
    <x v="3"/>
    <x v="11"/>
    <s v="CC-1003"/>
  </r>
  <r>
    <s v="TXN-00182"/>
    <d v="2026-03-17T00:00:00"/>
    <x v="8"/>
    <x v="1"/>
    <x v="0"/>
    <x v="2"/>
    <x v="0"/>
    <s v="Punjab"/>
    <s v="Ludhiana"/>
    <s v="Branch A"/>
    <x v="0"/>
    <s v="CC-1004"/>
    <s v="P006"/>
    <s v="Smartphone"/>
    <x v="0"/>
    <x v="9"/>
    <n v="27434.32"/>
    <n v="26003.279999999999"/>
    <n v="15171.39"/>
    <n v="2038.79"/>
    <n v="1096.74"/>
    <n v="1100.6099999999999"/>
    <n v="974.66"/>
    <n v="20382.189999999999"/>
    <n v="12262.93"/>
    <n v="7052.130000000001"/>
    <n v="0.25705503179958539"/>
    <n v="1431.04"/>
    <n v="2743.43"/>
    <n v="1234.54"/>
    <n v="25925.43"/>
    <x v="35"/>
    <s v="Punjab"/>
    <x v="0"/>
    <x v="16"/>
    <s v="CC-1004"/>
  </r>
  <r>
    <s v="TXN-00183"/>
    <d v="2025-11-25T00:00:00"/>
    <x v="10"/>
    <x v="3"/>
    <x v="0"/>
    <x v="3"/>
    <x v="0"/>
    <s v="West Bengal"/>
    <s v="Siliguri"/>
    <s v="Branch B"/>
    <x v="1"/>
    <s v="CC-1005"/>
    <s v="P016"/>
    <s v="Network Switch"/>
    <x v="4"/>
    <x v="10"/>
    <n v="25657.24"/>
    <n v="25433.56"/>
    <n v="17869.38"/>
    <n v="2938.66"/>
    <n v="2283.9"/>
    <n v="2574.44"/>
    <n v="609.66"/>
    <n v="26276.05"/>
    <n v="7787.85"/>
    <n v="-618.80999999999767"/>
    <n v="-2.4118338527448692E-2"/>
    <n v="223.67"/>
    <n v="1282.8599999999999"/>
    <n v="4387.3900000000003"/>
    <n v="28761.759999999998"/>
    <x v="44"/>
    <s v="West Bengal"/>
    <x v="1"/>
    <x v="13"/>
    <s v="CC-1005"/>
  </r>
  <r>
    <s v="TXN-00184"/>
    <d v="2025-05-29T00:00:00"/>
    <x v="3"/>
    <x v="2"/>
    <x v="0"/>
    <x v="3"/>
    <x v="0"/>
    <s v="Odisha"/>
    <s v="Cuttack"/>
    <s v="Branch D"/>
    <x v="1"/>
    <s v="CC-1001"/>
    <s v="P017"/>
    <s v="UPS System"/>
    <x v="0"/>
    <x v="7"/>
    <n v="48663.13"/>
    <n v="46697.03"/>
    <n v="30383.94"/>
    <n v="3587.68"/>
    <n v="3476.38"/>
    <n v="4901.37"/>
    <n v="661.24"/>
    <n v="43010.6"/>
    <n v="18279.189999999999"/>
    <n v="5652.5299999999988"/>
    <n v="0.11615631793515951"/>
    <n v="1966.1"/>
    <n v="1459.89"/>
    <n v="5664.39"/>
    <n v="52867.62"/>
    <x v="28"/>
    <s v="Odisha"/>
    <x v="1"/>
    <x v="10"/>
    <s v="CC-1001"/>
  </r>
  <r>
    <s v="TXN-00185"/>
    <d v="2026-01-17T00:00:00"/>
    <x v="4"/>
    <x v="1"/>
    <x v="0"/>
    <x v="4"/>
    <x v="0"/>
    <s v="Uttar Pradesh"/>
    <s v="Kanpur"/>
    <s v="Branch D"/>
    <x v="1"/>
    <s v="CC-1003"/>
    <s v="P006"/>
    <s v="Smartphone"/>
    <x v="0"/>
    <x v="9"/>
    <n v="71506.75"/>
    <n v="78564.06"/>
    <n v="49111.25"/>
    <n v="5143.18"/>
    <n v="5538.88"/>
    <n v="3977.15"/>
    <n v="1579.37"/>
    <n v="65349.83"/>
    <n v="22395.5"/>
    <n v="6156.9199999999983"/>
    <n v="8.6102640659797822E-2"/>
    <n v="-7057.31"/>
    <n v="2145.1999999999998"/>
    <n v="12485.08"/>
    <n v="81846.63"/>
    <x v="25"/>
    <s v="Uttar Pradesh"/>
    <x v="1"/>
    <x v="16"/>
    <s v="CC-1003"/>
  </r>
  <r>
    <s v="TXN-00186"/>
    <d v="2025-04-03T00:00:00"/>
    <x v="9"/>
    <x v="2"/>
    <x v="0"/>
    <x v="2"/>
    <x v="0"/>
    <s v="Delhi"/>
    <s v="Noida"/>
    <s v="Branch A"/>
    <x v="4"/>
    <s v="CC-1001"/>
    <s v="P017"/>
    <s v="UPS System"/>
    <x v="0"/>
    <x v="7"/>
    <n v="30423.5"/>
    <n v="33948.42"/>
    <n v="19965.919999999998"/>
    <n v="2456.65"/>
    <n v="810.41"/>
    <n v="3258.96"/>
    <n v="316.39"/>
    <n v="26808.33"/>
    <n v="10457.57"/>
    <n v="3615.1699999999983"/>
    <n v="0.11882820845727804"/>
    <n v="-3524.92"/>
    <n v="1521.17"/>
    <n v="5202.42"/>
    <n v="34104.74"/>
    <x v="40"/>
    <s v="Delhi"/>
    <x v="4"/>
    <x v="10"/>
    <s v="CC-1001"/>
  </r>
  <r>
    <s v="TXN-00187"/>
    <d v="2025-10-06T00:00:00"/>
    <x v="5"/>
    <x v="3"/>
    <x v="0"/>
    <x v="2"/>
    <x v="0"/>
    <s v="Uttar Pradesh"/>
    <s v="Agra"/>
    <s v="Branch A"/>
    <x v="2"/>
    <s v="CC-1001"/>
    <s v="P001"/>
    <s v="Business Laptop"/>
    <x v="0"/>
    <x v="2"/>
    <n v="49555.040000000001"/>
    <n v="51112.99"/>
    <n v="32331.14"/>
    <n v="5897.61"/>
    <n v="1816.27"/>
    <n v="5153.74"/>
    <n v="1454.18"/>
    <n v="46652.94"/>
    <n v="17223.900000000001"/>
    <n v="2902.0999999999985"/>
    <n v="5.8563165320823035E-2"/>
    <n v="-1557.95"/>
    <n v="1486.65"/>
    <n v="2403.42"/>
    <n v="50471.81"/>
    <x v="7"/>
    <s v="Uttar Pradesh"/>
    <x v="2"/>
    <x v="4"/>
    <s v="CC-1001"/>
  </r>
  <r>
    <s v="TXN-00188"/>
    <d v="2025-06-28T00:00:00"/>
    <x v="11"/>
    <x v="2"/>
    <x v="0"/>
    <x v="2"/>
    <x v="0"/>
    <s v="Uttar Pradesh"/>
    <s v="Agra"/>
    <s v="Branch B"/>
    <x v="2"/>
    <s v="CC-1003"/>
    <s v="P005"/>
    <s v="Office Desk"/>
    <x v="3"/>
    <x v="5"/>
    <n v="8964.2199999999993"/>
    <n v="10403.780000000001"/>
    <n v="6132.99"/>
    <n v="1152.3699999999999"/>
    <n v="590.02"/>
    <n v="536.07000000000005"/>
    <n v="140.72999999999999"/>
    <n v="8552.18"/>
    <n v="2831.23"/>
    <n v="412.03999999999905"/>
    <n v="4.5964958468221337E-2"/>
    <n v="-1439.56"/>
    <n v="179.28"/>
    <n v="439.25"/>
    <n v="9224.18"/>
    <x v="7"/>
    <s v="Uttar Pradesh"/>
    <x v="2"/>
    <x v="8"/>
    <s v="CC-1003"/>
  </r>
  <r>
    <s v="TXN-00189"/>
    <d v="2025-05-23T00:00:00"/>
    <x v="3"/>
    <x v="2"/>
    <x v="0"/>
    <x v="1"/>
    <x v="0"/>
    <s v="Telangana"/>
    <s v="Hyderabad"/>
    <s v="Branch B"/>
    <x v="1"/>
    <s v="CC-1001"/>
    <s v="P014"/>
    <s v="Data Storage"/>
    <x v="2"/>
    <x v="12"/>
    <n v="17001.37"/>
    <n v="16776.22"/>
    <n v="8503.08"/>
    <n v="1303.6099999999999"/>
    <n v="1173.78"/>
    <n v="778.13"/>
    <n v="292.24"/>
    <n v="12050.84"/>
    <n v="8498.2999999999993"/>
    <n v="4950.5299999999988"/>
    <n v="0.29118418103952792"/>
    <n v="225.16"/>
    <n v="510.04"/>
    <n v="2968.44"/>
    <n v="19459.77"/>
    <x v="51"/>
    <s v="Telangana"/>
    <x v="1"/>
    <x v="19"/>
    <s v="CC-1001"/>
  </r>
  <r>
    <s v="TXN-00190"/>
    <d v="2025-06-23T00:00:00"/>
    <x v="11"/>
    <x v="2"/>
    <x v="0"/>
    <x v="0"/>
    <x v="0"/>
    <s v="Goa"/>
    <s v="Vasco da Gama"/>
    <s v="Branch B"/>
    <x v="2"/>
    <s v="CC-1005"/>
    <s v="P020"/>
    <s v="Document Scanner"/>
    <x v="0"/>
    <x v="3"/>
    <n v="28443.64"/>
    <n v="28716.86"/>
    <n v="20345.41"/>
    <n v="1575.78"/>
    <n v="1670.08"/>
    <n v="1545.89"/>
    <n v="1250.77"/>
    <n v="26387.94"/>
    <n v="8098.23"/>
    <n v="2055.7000000000007"/>
    <n v="7.2272747088628631E-2"/>
    <n v="-273.22000000000003"/>
    <n v="0"/>
    <n v="3413.24"/>
    <n v="31856.880000000001"/>
    <x v="0"/>
    <s v="Goa"/>
    <x v="2"/>
    <x v="6"/>
    <s v="CC-1005"/>
  </r>
  <r>
    <s v="TXN-00191"/>
    <d v="2025-06-21T00:00:00"/>
    <x v="11"/>
    <x v="2"/>
    <x v="0"/>
    <x v="0"/>
    <x v="0"/>
    <s v="Maharashtra"/>
    <s v="Mumbai"/>
    <s v="Branch C"/>
    <x v="0"/>
    <s v="CC-1003"/>
    <s v="P003"/>
    <s v="Printer"/>
    <x v="0"/>
    <x v="3"/>
    <n v="28751.8"/>
    <n v="27617.84"/>
    <n v="15784.48"/>
    <n v="2948.22"/>
    <n v="2528.86"/>
    <n v="2538.52"/>
    <n v="364.98"/>
    <n v="24165.07"/>
    <n v="12967.33"/>
    <n v="4586.7299999999996"/>
    <n v="0.15952844691462795"/>
    <n v="1133.97"/>
    <n v="0"/>
    <n v="5175.32"/>
    <n v="33927.129999999997"/>
    <x v="6"/>
    <s v="Maharashtra"/>
    <x v="0"/>
    <x v="5"/>
    <s v="CC-1003"/>
  </r>
  <r>
    <s v="TXN-00192"/>
    <d v="2025-05-11T00:00:00"/>
    <x v="3"/>
    <x v="2"/>
    <x v="0"/>
    <x v="2"/>
    <x v="0"/>
    <s v="Uttar Pradesh"/>
    <s v="Agra"/>
    <s v="Branch D"/>
    <x v="1"/>
    <s v="CC-1002"/>
    <s v="P002"/>
    <s v="Monitor"/>
    <x v="0"/>
    <x v="2"/>
    <n v="49747.95"/>
    <n v="52190.48"/>
    <n v="29259.99"/>
    <n v="5162.07"/>
    <n v="3130.7"/>
    <n v="4082.34"/>
    <n v="931.95"/>
    <n v="42567.05"/>
    <n v="20487.96"/>
    <n v="7180.8999999999942"/>
    <n v="0.14434564640352004"/>
    <n v="-2442.52"/>
    <n v="0"/>
    <n v="2487.4"/>
    <n v="52235.35"/>
    <x v="7"/>
    <s v="Uttar Pradesh"/>
    <x v="1"/>
    <x v="3"/>
    <s v="CC-1002"/>
  </r>
  <r>
    <s v="TXN-00193"/>
    <d v="2025-06-22T00:00:00"/>
    <x v="11"/>
    <x v="2"/>
    <x v="0"/>
    <x v="2"/>
    <x v="0"/>
    <s v="Punjab"/>
    <s v="Ludhiana"/>
    <s v="Branch C"/>
    <x v="1"/>
    <s v="CC-1003"/>
    <s v="P016"/>
    <s v="Network Switch"/>
    <x v="4"/>
    <x v="10"/>
    <n v="8720.69"/>
    <n v="9309.8700000000008"/>
    <n v="4967.7700000000004"/>
    <n v="471.26"/>
    <n v="573.70000000000005"/>
    <n v="617.85"/>
    <n v="372.98"/>
    <n v="7003.56"/>
    <n v="3752.92"/>
    <n v="1717.13"/>
    <n v="0.19690299735456712"/>
    <n v="-589.17999999999995"/>
    <n v="436.03"/>
    <n v="1491.24"/>
    <n v="9775.89"/>
    <x v="35"/>
    <s v="Punjab"/>
    <x v="1"/>
    <x v="13"/>
    <s v="CC-1003"/>
  </r>
  <r>
    <s v="TXN-00194"/>
    <d v="2025-08-16T00:00:00"/>
    <x v="7"/>
    <x v="0"/>
    <x v="0"/>
    <x v="1"/>
    <x v="0"/>
    <s v="Karnataka"/>
    <s v="Mysuru"/>
    <s v="Branch B"/>
    <x v="2"/>
    <s v="CC-1001"/>
    <s v="P010"/>
    <s v="Mouse"/>
    <x v="1"/>
    <x v="1"/>
    <n v="1277.73"/>
    <n v="1159.9100000000001"/>
    <n v="842.81"/>
    <n v="157.37"/>
    <n v="67.989999999999995"/>
    <n v="77.55"/>
    <n v="32.200000000000003"/>
    <n v="1177.93"/>
    <n v="434.92"/>
    <n v="99.799999999999955"/>
    <n v="7.81072683587299E-2"/>
    <n v="117.82"/>
    <n v="63.89"/>
    <n v="60.69"/>
    <n v="1274.54"/>
    <x v="33"/>
    <s v="Karnataka"/>
    <x v="2"/>
    <x v="1"/>
    <s v="CC-1001"/>
  </r>
  <r>
    <s v="TXN-00195"/>
    <d v="2025-12-04T00:00:00"/>
    <x v="6"/>
    <x v="3"/>
    <x v="0"/>
    <x v="1"/>
    <x v="0"/>
    <s v="Telangana"/>
    <s v="Hyderabad"/>
    <s v="Branch A"/>
    <x v="1"/>
    <s v="CC-1004"/>
    <s v="P013"/>
    <s v="CRM Software"/>
    <x v="2"/>
    <x v="4"/>
    <n v="6175.63"/>
    <n v="7060.24"/>
    <n v="4059.2"/>
    <n v="315.57"/>
    <n v="254.09"/>
    <n v="352.95"/>
    <n v="120.29"/>
    <n v="5102.1099999999997"/>
    <n v="2116.4299999999998"/>
    <n v="1073.5200000000004"/>
    <n v="0.17383165766083791"/>
    <n v="-884.6"/>
    <n v="123.51"/>
    <n v="302.61"/>
    <n v="6354.73"/>
    <x v="51"/>
    <s v="Telangana"/>
    <x v="1"/>
    <x v="15"/>
    <s v="CC-1004"/>
  </r>
  <r>
    <s v="TXN-00196"/>
    <d v="2025-05-31T00:00:00"/>
    <x v="3"/>
    <x v="2"/>
    <x v="0"/>
    <x v="3"/>
    <x v="0"/>
    <s v="Odisha"/>
    <s v="Cuttack"/>
    <s v="Branch A"/>
    <x v="0"/>
    <s v="CC-1002"/>
    <s v="P016"/>
    <s v="Network Switch"/>
    <x v="4"/>
    <x v="10"/>
    <n v="20911.95"/>
    <n v="20807.080000000002"/>
    <n v="12514.55"/>
    <n v="1519.55"/>
    <n v="1592.24"/>
    <n v="1501.39"/>
    <n v="585.04"/>
    <n v="17712.77"/>
    <n v="8397.4"/>
    <n v="3199.1800000000003"/>
    <n v="0.15298334206040087"/>
    <n v="104.87"/>
    <n v="418.24"/>
    <n v="3688.87"/>
    <n v="24182.57"/>
    <x v="28"/>
    <s v="Odisha"/>
    <x v="0"/>
    <x v="13"/>
    <s v="CC-1002"/>
  </r>
  <r>
    <s v="TXN-00197"/>
    <d v="2025-12-20T00:00:00"/>
    <x v="6"/>
    <x v="3"/>
    <x v="0"/>
    <x v="2"/>
    <x v="0"/>
    <s v="Punjab"/>
    <s v="Ludhiana"/>
    <s v="Branch A"/>
    <x v="1"/>
    <s v="CC-1003"/>
    <s v="P007"/>
    <s v="Tablet"/>
    <x v="0"/>
    <x v="9"/>
    <n v="29749.79"/>
    <n v="34170.730000000003"/>
    <n v="19038.41"/>
    <n v="3361.46"/>
    <n v="1622.33"/>
    <n v="2689.97"/>
    <n v="556.13"/>
    <n v="27268.3"/>
    <n v="10711.38"/>
    <n v="2481.4900000000016"/>
    <n v="8.3412017362139421E-2"/>
    <n v="-4420.93"/>
    <n v="1487.49"/>
    <n v="3391.48"/>
    <n v="31653.78"/>
    <x v="35"/>
    <s v="Punjab"/>
    <x v="1"/>
    <x v="12"/>
    <s v="CC-1003"/>
  </r>
  <r>
    <s v="TXN-00198"/>
    <d v="2025-07-23T00:00:00"/>
    <x v="0"/>
    <x v="0"/>
    <x v="0"/>
    <x v="0"/>
    <x v="0"/>
    <s v="Maharashtra"/>
    <s v="Nagpur"/>
    <s v="Branch D"/>
    <x v="3"/>
    <s v="CC-1003"/>
    <s v="P013"/>
    <s v="CRM Software"/>
    <x v="2"/>
    <x v="4"/>
    <n v="12539.09"/>
    <n v="11245.72"/>
    <n v="7496.66"/>
    <n v="1556.96"/>
    <n v="399.38"/>
    <n v="1268.3900000000001"/>
    <n v="305.18"/>
    <n v="11026.57"/>
    <n v="5042.43"/>
    <n v="1512.5200000000004"/>
    <n v="0.12062438342814354"/>
    <n v="1293.3699999999999"/>
    <n v="626.95000000000005"/>
    <n v="1429.46"/>
    <n v="13341.59"/>
    <x v="15"/>
    <s v="Maharashtra"/>
    <x v="3"/>
    <x v="15"/>
    <s v="CC-1003"/>
  </r>
  <r>
    <s v="TXN-00199"/>
    <d v="2025-05-08T00:00:00"/>
    <x v="3"/>
    <x v="2"/>
    <x v="0"/>
    <x v="2"/>
    <x v="0"/>
    <s v="Delhi"/>
    <s v="New Delhi"/>
    <s v="Branch A"/>
    <x v="1"/>
    <s v="CC-1005"/>
    <s v="P018"/>
    <s v="Projector"/>
    <x v="0"/>
    <x v="6"/>
    <n v="73614.31"/>
    <n v="79911.3"/>
    <n v="37285.919999999998"/>
    <n v="5383.78"/>
    <n v="3322.76"/>
    <n v="4416.6000000000004"/>
    <n v="2063.06"/>
    <n v="52472.12"/>
    <n v="36328.39"/>
    <n v="21142.189999999995"/>
    <n v="0.28720217577261808"/>
    <n v="-6296.99"/>
    <n v="3680.72"/>
    <n v="8392.0300000000007"/>
    <n v="78325.62"/>
    <x v="48"/>
    <s v="Delhi"/>
    <x v="1"/>
    <x v="9"/>
    <s v="CC-1005"/>
  </r>
  <r>
    <s v="TXN-00200"/>
    <d v="2026-02-13T00:00:00"/>
    <x v="2"/>
    <x v="1"/>
    <x v="0"/>
    <x v="2"/>
    <x v="0"/>
    <s v="Uttar Pradesh"/>
    <s v="Lucknow"/>
    <s v="Branch A"/>
    <x v="1"/>
    <s v="CC-1005"/>
    <s v="P004"/>
    <s v="Office Chair"/>
    <x v="3"/>
    <x v="5"/>
    <n v="21341.59"/>
    <n v="20518.87"/>
    <n v="11431.16"/>
    <n v="1611.05"/>
    <n v="1786.96"/>
    <n v="986.22"/>
    <n v="832.55"/>
    <n v="16647.93"/>
    <n v="9910.44"/>
    <n v="4693.66"/>
    <n v="0.21993019264262878"/>
    <n v="822.73"/>
    <n v="640.25"/>
    <n v="2484.16"/>
    <n v="23185.51"/>
    <x v="2"/>
    <s v="Uttar Pradesh"/>
    <x v="1"/>
    <x v="17"/>
    <s v="CC-1005"/>
  </r>
  <r>
    <s v="TXN-00201"/>
    <d v="2025-12-17T00:00:00"/>
    <x v="6"/>
    <x v="3"/>
    <x v="0"/>
    <x v="0"/>
    <x v="0"/>
    <s v="Maharashtra"/>
    <s v="Nagpur"/>
    <s v="Branch D"/>
    <x v="2"/>
    <s v="CC-1001"/>
    <s v="P009"/>
    <s v="Keyboard"/>
    <x v="1"/>
    <x v="1"/>
    <n v="2828.74"/>
    <n v="2641.41"/>
    <n v="1828.92"/>
    <n v="193.39"/>
    <n v="92.33"/>
    <n v="150.55000000000001"/>
    <n v="28.48"/>
    <n v="2293.6799999999998"/>
    <n v="999.82"/>
    <n v="535.05999999999995"/>
    <n v="0.18915135360619922"/>
    <n v="187.33"/>
    <n v="141.44"/>
    <n v="483.71"/>
    <n v="3171.02"/>
    <x v="15"/>
    <s v="Maharashtra"/>
    <x v="2"/>
    <x v="2"/>
    <s v="CC-1001"/>
  </r>
  <r>
    <s v="TXN-00202"/>
    <d v="2025-04-18T00:00:00"/>
    <x v="9"/>
    <x v="2"/>
    <x v="0"/>
    <x v="1"/>
    <x v="0"/>
    <s v="Tamil Nadu"/>
    <s v="Chennai"/>
    <s v="Branch B"/>
    <x v="1"/>
    <s v="CC-1003"/>
    <s v="P010"/>
    <s v="Mouse"/>
    <x v="1"/>
    <x v="1"/>
    <n v="6646.51"/>
    <n v="7114.37"/>
    <n v="4118.9399999999996"/>
    <n v="395.29"/>
    <n v="257.70999999999998"/>
    <n v="431.23"/>
    <n v="105.3"/>
    <n v="5308.46"/>
    <n v="2527.5700000000002"/>
    <n v="1338.0500000000002"/>
    <n v="0.2013161794686234"/>
    <n v="-467.86"/>
    <n v="132.93"/>
    <n v="781.63"/>
    <n v="7295.21"/>
    <x v="1"/>
    <s v="Tamil Nadu"/>
    <x v="1"/>
    <x v="1"/>
    <s v="CC-1003"/>
  </r>
  <r>
    <s v="TXN-00203"/>
    <d v="2025-07-27T00:00:00"/>
    <x v="0"/>
    <x v="0"/>
    <x v="0"/>
    <x v="1"/>
    <x v="0"/>
    <s v="Kerala"/>
    <s v="Kozhikode"/>
    <s v="Branch A"/>
    <x v="3"/>
    <s v="CC-1001"/>
    <s v="P001"/>
    <s v="Business Laptop"/>
    <x v="0"/>
    <x v="2"/>
    <n v="50711.35"/>
    <n v="55308.02"/>
    <n v="26431.09"/>
    <n v="4564.4799999999996"/>
    <n v="2625.7"/>
    <n v="5560.1"/>
    <n v="1627.82"/>
    <n v="40809.18"/>
    <n v="24280.26"/>
    <n v="9902.1699999999983"/>
    <n v="0.19526535972716164"/>
    <n v="-4596.67"/>
    <n v="2535.5700000000002"/>
    <n v="2408.79"/>
    <n v="50584.57"/>
    <x v="24"/>
    <s v="Kerala"/>
    <x v="3"/>
    <x v="4"/>
    <s v="CC-1001"/>
  </r>
  <r>
    <s v="TXN-00204"/>
    <d v="2025-12-01T00:00:00"/>
    <x v="6"/>
    <x v="3"/>
    <x v="0"/>
    <x v="2"/>
    <x v="0"/>
    <s v="Delhi"/>
    <s v="Noida"/>
    <s v="Branch D"/>
    <x v="4"/>
    <s v="CC-1001"/>
    <s v="P007"/>
    <s v="Tablet"/>
    <x v="0"/>
    <x v="9"/>
    <n v="28253.27"/>
    <n v="30617.200000000001"/>
    <n v="18803.03"/>
    <n v="3563.17"/>
    <n v="2132.33"/>
    <n v="2511.91"/>
    <n v="1130.29"/>
    <n v="28140.73"/>
    <n v="9450.24"/>
    <n v="112.54000000000087"/>
    <n v="3.983255743494501E-3"/>
    <n v="-2363.9299999999998"/>
    <n v="1412.66"/>
    <n v="3220.87"/>
    <n v="30061.48"/>
    <x v="40"/>
    <s v="Delhi"/>
    <x v="4"/>
    <x v="12"/>
    <s v="CC-1001"/>
  </r>
  <r>
    <s v="TXN-00205"/>
    <d v="2025-04-29T00:00:00"/>
    <x v="9"/>
    <x v="2"/>
    <x v="0"/>
    <x v="0"/>
    <x v="0"/>
    <s v="Rajasthan"/>
    <s v="Jodhpur"/>
    <s v="Branch D"/>
    <x v="4"/>
    <s v="CC-1004"/>
    <s v="P009"/>
    <s v="Keyboard"/>
    <x v="1"/>
    <x v="1"/>
    <n v="6731.64"/>
    <n v="7582.63"/>
    <n v="4593.66"/>
    <n v="597.82000000000005"/>
    <n v="314.27"/>
    <n v="695.54"/>
    <n v="173.64"/>
    <n v="6374.94"/>
    <n v="2137.98"/>
    <n v="356.70000000000073"/>
    <n v="5.2988573363994616E-2"/>
    <n v="-850.99"/>
    <n v="134.63"/>
    <n v="1187.46"/>
    <n v="7784.46"/>
    <x v="11"/>
    <s v="Rajasthan"/>
    <x v="4"/>
    <x v="2"/>
    <s v="CC-1004"/>
  </r>
  <r>
    <s v="TXN-00206"/>
    <d v="2025-12-27T00:00:00"/>
    <x v="6"/>
    <x v="3"/>
    <x v="0"/>
    <x v="3"/>
    <x v="0"/>
    <s v="West Bengal"/>
    <m/>
    <s v="Branch B"/>
    <x v="0"/>
    <s v="CC-1002"/>
    <s v="P019"/>
    <s v="Conference Camera"/>
    <x v="0"/>
    <x v="0"/>
    <n v="27294.21"/>
    <n v="24362.7"/>
    <n v="16240.67"/>
    <n v="1761.51"/>
    <n v="2000.67"/>
    <n v="2943.25"/>
    <n v="794.14"/>
    <n v="23740.240000000002"/>
    <n v="11053.54"/>
    <n v="3553.9699999999975"/>
    <n v="0.13020966717849675"/>
    <n v="2931.52"/>
    <n v="2729.42"/>
    <n v="2947.78"/>
    <n v="27512.57"/>
    <x v="53"/>
    <s v="West Bengal"/>
    <x v="0"/>
    <x v="0"/>
    <s v="CC-1002"/>
  </r>
  <r>
    <s v="TXN-00207"/>
    <d v="2026-02-27T00:00:00"/>
    <x v="2"/>
    <x v="1"/>
    <x v="0"/>
    <x v="0"/>
    <x v="0"/>
    <s v="Goa"/>
    <s v="Panaji"/>
    <s v="Branch C"/>
    <x v="1"/>
    <s v="CC-1003"/>
    <s v="P019"/>
    <s v="Conference Camera"/>
    <x v="0"/>
    <x v="0"/>
    <n v="25282.94"/>
    <n v="26863.7"/>
    <n v="16423.599999999999"/>
    <n v="2021.58"/>
    <n v="1239.28"/>
    <n v="1102.98"/>
    <n v="562.5"/>
    <n v="21349.94"/>
    <n v="8859.34"/>
    <n v="3933"/>
    <n v="0.15555944047646358"/>
    <n v="-1580.76"/>
    <n v="2022.64"/>
    <n v="2791.24"/>
    <n v="26051.54"/>
    <x v="14"/>
    <s v="Goa"/>
    <x v="1"/>
    <x v="0"/>
    <s v="CC-1003"/>
  </r>
  <r>
    <s v="TXN-00208"/>
    <d v="2025-06-01T00:00:00"/>
    <x v="11"/>
    <x v="2"/>
    <x v="0"/>
    <x v="0"/>
    <x v="0"/>
    <s v="Maharashtra"/>
    <s v="Nagpur"/>
    <s v="Branch D"/>
    <x v="1"/>
    <s v="CC-1001"/>
    <s v="P004"/>
    <s v="Office Chair"/>
    <x v="3"/>
    <x v="5"/>
    <n v="27355.34"/>
    <n v="30489.93"/>
    <n v="18065.990000000002"/>
    <n v="3125.08"/>
    <n v="1604.95"/>
    <n v="1401.3"/>
    <n v="916.14"/>
    <n v="25113.47"/>
    <n v="9289.35"/>
    <n v="2241.869999999999"/>
    <n v="8.1953651462566321E-2"/>
    <n v="-3134.59"/>
    <n v="1367.77"/>
    <n v="4677.76"/>
    <n v="30665.33"/>
    <x v="15"/>
    <s v="Maharashtra"/>
    <x v="1"/>
    <x v="17"/>
    <s v="CC-1001"/>
  </r>
  <r>
    <s v="TXN-00209"/>
    <d v="2025-06-10T00:00:00"/>
    <x v="11"/>
    <x v="2"/>
    <x v="0"/>
    <x v="0"/>
    <x v="0"/>
    <s v="Goa"/>
    <s v="Margao"/>
    <s v="Branch A"/>
    <x v="1"/>
    <s v="CC-1003"/>
    <s v="P004"/>
    <s v="Office Chair"/>
    <x v="3"/>
    <x v="5"/>
    <n v="28763.31"/>
    <n v="31854.79"/>
    <n v="15925.01"/>
    <n v="2393.04"/>
    <n v="2051.6999999999998"/>
    <n v="2039.23"/>
    <n v="880.09"/>
    <n v="23289.08"/>
    <n v="12838.3"/>
    <n v="5474.23"/>
    <n v="0.19031989016563111"/>
    <n v="-3091.49"/>
    <n v="575.27"/>
    <n v="3382.57"/>
    <n v="31570.61"/>
    <x v="37"/>
    <s v="Goa"/>
    <x v="1"/>
    <x v="17"/>
    <s v="CC-1003"/>
  </r>
  <r>
    <s v="TXN-00210"/>
    <d v="2025-07-03T00:00:00"/>
    <x v="0"/>
    <x v="0"/>
    <x v="0"/>
    <x v="4"/>
    <x v="0"/>
    <s v="Chhattisgarh"/>
    <s v="Bilaspur"/>
    <s v="Branch C"/>
    <x v="0"/>
    <s v="CC-1002"/>
    <s v="P002"/>
    <s v="Monitor"/>
    <x v="0"/>
    <x v="2"/>
    <n v="24677.74"/>
    <n v="25053.66"/>
    <n v="17522.169999999998"/>
    <n v="2084.9499999999998"/>
    <n v="1498.12"/>
    <n v="2039.87"/>
    <n v="796.76"/>
    <n v="23941.87"/>
    <n v="7155.57"/>
    <n v="735.87000000000262"/>
    <n v="2.9819181172992443E-2"/>
    <n v="-375.91"/>
    <n v="1233.8900000000001"/>
    <n v="1172.19"/>
    <n v="24616.05"/>
    <x v="22"/>
    <s v="Chhattisgarh"/>
    <x v="0"/>
    <x v="3"/>
    <s v="CC-1002"/>
  </r>
  <r>
    <s v="TXN-00211"/>
    <d v="2025-09-20T00:00:00"/>
    <x v="1"/>
    <x v="0"/>
    <x v="0"/>
    <x v="0"/>
    <x v="0"/>
    <s v="Maharashtra"/>
    <s v="Pune"/>
    <s v="Branch B"/>
    <x v="1"/>
    <s v="CC-1004"/>
    <s v="P007"/>
    <s v="Tablet"/>
    <x v="0"/>
    <x v="9"/>
    <n v="34917.730000000003"/>
    <n v="39264.36"/>
    <n v="23280.560000000001"/>
    <n v="3871.26"/>
    <n v="1299.01"/>
    <n v="1643.61"/>
    <n v="1203.3800000000001"/>
    <n v="31297.81"/>
    <n v="11637.17"/>
    <n v="3619.9200000000019"/>
    <n v="0.10366996938231671"/>
    <n v="-4346.63"/>
    <n v="1047.53"/>
    <n v="4064.42"/>
    <n v="37934.620000000003"/>
    <x v="12"/>
    <s v="Maharashtra"/>
    <x v="1"/>
    <x v="12"/>
    <s v="CC-1004"/>
  </r>
  <r>
    <s v="TXN-00212"/>
    <d v="2025-12-13T00:00:00"/>
    <x v="6"/>
    <x v="3"/>
    <x v="0"/>
    <x v="3"/>
    <x v="0"/>
    <s v="Odisha"/>
    <s v="Cuttack"/>
    <s v="Branch A"/>
    <x v="2"/>
    <s v="CC-1003"/>
    <s v="P015"/>
    <s v="Network Router"/>
    <x v="4"/>
    <x v="10"/>
    <n v="17482.77"/>
    <n v="18882.34"/>
    <n v="9747.11"/>
    <n v="2129.9899999999998"/>
    <n v="1446.31"/>
    <n v="1154.27"/>
    <n v="726.12"/>
    <n v="15203.8"/>
    <n v="7735.66"/>
    <n v="2278.9700000000012"/>
    <n v="0.13035520114947466"/>
    <n v="-1399.57"/>
    <n v="1748.28"/>
    <n v="2832.21"/>
    <n v="18566.7"/>
    <x v="28"/>
    <s v="Odisha"/>
    <x v="2"/>
    <x v="14"/>
    <s v="CC-1003"/>
  </r>
  <r>
    <s v="TXN-00213"/>
    <d v="2025-12-14T00:00:00"/>
    <x v="6"/>
    <x v="3"/>
    <x v="0"/>
    <x v="0"/>
    <x v="0"/>
    <s v="Maharashtra"/>
    <s v="Pune"/>
    <s v="Branch A"/>
    <x v="1"/>
    <s v="CC-1003"/>
    <s v="P020"/>
    <s v="Document Scanner"/>
    <x v="0"/>
    <x v="3"/>
    <n v="79192.100000000006"/>
    <n v="88727.18"/>
    <n v="50827.24"/>
    <n v="3995.83"/>
    <n v="4377.63"/>
    <n v="6786.21"/>
    <n v="1634.61"/>
    <n v="67621.53"/>
    <n v="28364.86"/>
    <n v="11570.570000000007"/>
    <n v="0.14610762942263189"/>
    <n v="-9535.08"/>
    <n v="1583.84"/>
    <n v="13969.49"/>
    <n v="91577.75"/>
    <x v="12"/>
    <s v="Maharashtra"/>
    <x v="1"/>
    <x v="6"/>
    <s v="CC-1003"/>
  </r>
  <r>
    <s v="TXN-00214"/>
    <d v="2025-10-04T00:00:00"/>
    <x v="5"/>
    <x v="3"/>
    <x v="0"/>
    <x v="0"/>
    <x v="0"/>
    <s v="Gujarat"/>
    <s v="Vadodara"/>
    <s v="Branch B"/>
    <x v="1"/>
    <s v="CC-1005"/>
    <s v="P003"/>
    <s v="Printer"/>
    <x v="0"/>
    <x v="3"/>
    <n v="14247.77"/>
    <n v="16455.900000000001"/>
    <n v="9253.61"/>
    <n v="1064.54"/>
    <n v="479.04"/>
    <n v="1153.08"/>
    <n v="145.13999999999999"/>
    <n v="12095.42"/>
    <n v="4994.16"/>
    <n v="2152.3500000000004"/>
    <n v="0.15106574572722611"/>
    <n v="-2208.13"/>
    <n v="1424.78"/>
    <n v="1538.76"/>
    <n v="14361.75"/>
    <x v="19"/>
    <s v="Gujarat"/>
    <x v="1"/>
    <x v="5"/>
    <s v="CC-1005"/>
  </r>
  <r>
    <s v="TXN-00215"/>
    <d v="2025-08-03T00:00:00"/>
    <x v="7"/>
    <x v="0"/>
    <x v="0"/>
    <x v="0"/>
    <x v="0"/>
    <s v="Maharashtra"/>
    <s v="Mumbai"/>
    <s v="Branch A"/>
    <x v="2"/>
    <s v="CC-1003"/>
    <s v="P002"/>
    <s v="Monitor"/>
    <x v="0"/>
    <x v="2"/>
    <n v="50404.03"/>
    <n v="47816.42"/>
    <n v="31414.03"/>
    <n v="6262.93"/>
    <n v="4304.21"/>
    <n v="3394.83"/>
    <n v="1434.94"/>
    <n v="46810.94"/>
    <n v="18990"/>
    <n v="3593.0899999999965"/>
    <n v="7.1285768221310802E-2"/>
    <n v="2587.61"/>
    <n v="1008.08"/>
    <n v="8891.27"/>
    <n v="58287.23"/>
    <x v="6"/>
    <s v="Maharashtra"/>
    <x v="2"/>
    <x v="3"/>
    <s v="CC-1003"/>
  </r>
  <r>
    <s v="TXN-00216"/>
    <d v="2025-12-24T00:00:00"/>
    <x v="6"/>
    <x v="3"/>
    <x v="0"/>
    <x v="3"/>
    <x v="0"/>
    <s v="Odisha"/>
    <s v="Bhubaneswar"/>
    <s v="Branch B"/>
    <x v="2"/>
    <s v="CC-1001"/>
    <s v="P014"/>
    <s v="Data Storage"/>
    <x v="2"/>
    <x v="12"/>
    <n v="6369.34"/>
    <n v="6894.41"/>
    <n v="4092.99"/>
    <n v="508.59"/>
    <n v="549.1"/>
    <n v="340.05"/>
    <n v="175.24"/>
    <n v="5665.97"/>
    <n v="2276.36"/>
    <n v="703.36999999999989"/>
    <n v="0.11043059406469115"/>
    <n v="-525.05999999999995"/>
    <n v="318.47000000000003"/>
    <n v="1089.1600000000001"/>
    <n v="7140.04"/>
    <x v="3"/>
    <s v="Odisha"/>
    <x v="2"/>
    <x v="19"/>
    <s v="CC-1001"/>
  </r>
  <r>
    <s v="TXN-00217"/>
    <d v="2025-09-29T00:00:00"/>
    <x v="1"/>
    <x v="0"/>
    <x v="0"/>
    <x v="1"/>
    <x v="0"/>
    <s v="Telangana"/>
    <s v="Hyderabad"/>
    <s v="Branch D"/>
    <x v="2"/>
    <s v="CC-1001"/>
    <s v="P015"/>
    <s v="Network Router"/>
    <x v="4"/>
    <x v="10"/>
    <n v="9860.57"/>
    <n v="10392.23"/>
    <n v="5804.9"/>
    <n v="1241.44"/>
    <n v="285.36"/>
    <n v="935.09"/>
    <n v="107.22"/>
    <n v="8374.02"/>
    <n v="4055.67"/>
    <n v="1486.5499999999993"/>
    <n v="0.15075700491959382"/>
    <n v="-531.66"/>
    <n v="0"/>
    <n v="1183.27"/>
    <n v="11043.84"/>
    <x v="51"/>
    <s v="Telangana"/>
    <x v="2"/>
    <x v="14"/>
    <s v="CC-1001"/>
  </r>
  <r>
    <s v="TXN-00218"/>
    <d v="2026-01-21T00:00:00"/>
    <x v="4"/>
    <x v="1"/>
    <x v="0"/>
    <x v="0"/>
    <x v="0"/>
    <s v="Gujarat"/>
    <s v="Surat"/>
    <s v="Branch C"/>
    <x v="0"/>
    <s v="CC-1002"/>
    <s v="P013"/>
    <s v="CRM Software"/>
    <x v="2"/>
    <x v="4"/>
    <n v="9333.4599999999991"/>
    <n v="8989.09"/>
    <n v="6543.81"/>
    <n v="902.13"/>
    <n v="593"/>
    <n v="638.35"/>
    <n v="110.32"/>
    <n v="8787.61"/>
    <n v="2789.64"/>
    <n v="545.84999999999854"/>
    <n v="5.8483134871740873E-2"/>
    <n v="344.37"/>
    <n v="0"/>
    <n v="1120.01"/>
    <n v="10453.469999999999"/>
    <x v="26"/>
    <s v="Gujarat"/>
    <x v="0"/>
    <x v="15"/>
    <s v="CC-1002"/>
  </r>
  <r>
    <s v="TXN-00219"/>
    <d v="2025-10-26T00:00:00"/>
    <x v="5"/>
    <x v="3"/>
    <x v="0"/>
    <x v="0"/>
    <x v="0"/>
    <s v="Rajasthan"/>
    <s v="Udaipur"/>
    <s v="Branch D"/>
    <x v="0"/>
    <s v="CC-1003"/>
    <s v="P007"/>
    <s v="Tablet"/>
    <x v="0"/>
    <x v="9"/>
    <n v="55530.98"/>
    <n v="60253.120000000003"/>
    <n v="31658.54"/>
    <n v="6330.86"/>
    <n v="4581.1899999999996"/>
    <n v="2777.53"/>
    <n v="945.1"/>
    <n v="46293.21"/>
    <n v="23872.44"/>
    <n v="9237.7700000000041"/>
    <n v="0.16635344811130659"/>
    <n v="-4722.1400000000003"/>
    <n v="1110.6199999999999"/>
    <n v="9795.66"/>
    <n v="64216.02"/>
    <x v="17"/>
    <s v="Rajasthan"/>
    <x v="0"/>
    <x v="12"/>
    <s v="CC-1003"/>
  </r>
  <r>
    <s v="TXN-00220"/>
    <d v="2025-11-09T00:00:00"/>
    <x v="10"/>
    <x v="3"/>
    <x v="0"/>
    <x v="4"/>
    <x v="0"/>
    <s v="Uttar Pradesh"/>
    <s v="Agra"/>
    <s v="Branch A"/>
    <x v="1"/>
    <s v="CC-1004"/>
    <s v="P007"/>
    <s v="Tablet"/>
    <x v="0"/>
    <x v="9"/>
    <n v="37985.67"/>
    <n v="41054.629999999997"/>
    <n v="26364.12"/>
    <n v="2829.33"/>
    <n v="2312.2600000000002"/>
    <n v="3918.33"/>
    <n v="933.22"/>
    <n v="36357.25"/>
    <n v="11621.55"/>
    <n v="1628.4199999999983"/>
    <n v="4.2869324142498957E-2"/>
    <n v="-3068.96"/>
    <n v="0"/>
    <n v="4558.28"/>
    <n v="42543.95"/>
    <x v="7"/>
    <s v="Uttar Pradesh"/>
    <x v="1"/>
    <x v="12"/>
    <s v="CC-1004"/>
  </r>
  <r>
    <s v="TXN-00221"/>
    <d v="2025-05-20T00:00:00"/>
    <x v="3"/>
    <x v="2"/>
    <x v="0"/>
    <x v="1"/>
    <x v="0"/>
    <s v="Tamil Nadu"/>
    <s v="Madurai"/>
    <s v="Branch A"/>
    <x v="0"/>
    <s v="CC-1005"/>
    <s v="P008"/>
    <s v="Headset"/>
    <x v="1"/>
    <x v="8"/>
    <n v="1580.36"/>
    <n v="1464.47"/>
    <n v="837.19"/>
    <n v="158.74"/>
    <n v="62.08"/>
    <n v="65.81"/>
    <n v="61.53"/>
    <n v="1185.3399999999999"/>
    <n v="743.17"/>
    <n v="395.02"/>
    <n v="0.24995570629476829"/>
    <n v="115.89"/>
    <n v="47.41"/>
    <n v="183.95"/>
    <n v="1716.9"/>
    <x v="43"/>
    <s v="Tamil Nadu"/>
    <x v="0"/>
    <x v="11"/>
    <s v="CC-1005"/>
  </r>
  <r>
    <s v="TXN-00222"/>
    <d v="2025-04-13T00:00:00"/>
    <x v="9"/>
    <x v="2"/>
    <x v="0"/>
    <x v="2"/>
    <x v="0"/>
    <s v="Delhi"/>
    <s v="Gurugram"/>
    <s v="Branch B"/>
    <x v="4"/>
    <s v="CC-1002"/>
    <s v="P006"/>
    <s v="Smartphone"/>
    <x v="0"/>
    <x v="9"/>
    <n v="49430.02"/>
    <n v="44725.33"/>
    <n v="29474.59"/>
    <n v="3667.39"/>
    <n v="3045.95"/>
    <n v="5155.7700000000004"/>
    <n v="731.57"/>
    <n v="42075.27"/>
    <n v="19955.439999999999"/>
    <n v="7354.75"/>
    <n v="0.14879115970416359"/>
    <n v="4704.7"/>
    <n v="2471.5"/>
    <n v="5635.02"/>
    <n v="52593.54"/>
    <x v="27"/>
    <s v="Delhi"/>
    <x v="4"/>
    <x v="16"/>
    <s v="CC-1002"/>
  </r>
  <r>
    <s v="TXN-00223"/>
    <d v="2025-11-24T00:00:00"/>
    <x v="10"/>
    <x v="3"/>
    <x v="0"/>
    <x v="1"/>
    <x v="0"/>
    <s v="Kerala"/>
    <s v="Thiruvananthapuram"/>
    <s v="Branch C"/>
    <x v="1"/>
    <s v="CC-1002"/>
    <s v="P010"/>
    <s v="Mouse"/>
    <x v="1"/>
    <x v="1"/>
    <n v="3291.17"/>
    <n v="3084.55"/>
    <n v="1853.9"/>
    <n v="308.64"/>
    <n v="294.45"/>
    <n v="306.52999999999997"/>
    <n v="55.86"/>
    <n v="2819.38"/>
    <n v="1437.27"/>
    <n v="471.78999999999996"/>
    <n v="0.14335023714970663"/>
    <n v="206.63"/>
    <n v="0"/>
    <n v="164.56"/>
    <n v="3455.73"/>
    <x v="8"/>
    <s v="Kerala"/>
    <x v="1"/>
    <x v="1"/>
    <s v="CC-1002"/>
  </r>
  <r>
    <s v="TXN-00224"/>
    <d v="2025-04-13T00:00:00"/>
    <x v="9"/>
    <x v="2"/>
    <x v="0"/>
    <x v="4"/>
    <x v="0"/>
    <s v="Madhya Pradesh"/>
    <s v="Indore"/>
    <s v="Branch C"/>
    <x v="0"/>
    <s v="CC-1005"/>
    <s v="P016"/>
    <s v="Network Switch"/>
    <x v="4"/>
    <x v="10"/>
    <n v="27544.91"/>
    <n v="29916.85"/>
    <n v="17572"/>
    <n v="1635.09"/>
    <n v="2120.4499999999998"/>
    <n v="1373.35"/>
    <n v="948.88"/>
    <n v="23649.77"/>
    <n v="9972.92"/>
    <n v="3895.1399999999994"/>
    <n v="0.14141051831354684"/>
    <n v="-2371.94"/>
    <n v="826.35"/>
    <n v="3206.23"/>
    <n v="29924.79"/>
    <x v="5"/>
    <s v="Madhya Pradesh"/>
    <x v="0"/>
    <x v="13"/>
    <s v="CC-1005"/>
  </r>
  <r>
    <s v="TXN-00225"/>
    <d v="2026-03-31T00:00:00"/>
    <x v="8"/>
    <x v="1"/>
    <x v="0"/>
    <x v="4"/>
    <x v="0"/>
    <s v="Madhya Pradesh"/>
    <s v="Indore"/>
    <s v="Branch C"/>
    <x v="2"/>
    <s v="CC-1004"/>
    <s v="P014"/>
    <s v="Data Storage"/>
    <x v="2"/>
    <x v="12"/>
    <n v="17606.22"/>
    <n v="18412.560000000001"/>
    <n v="10023.6"/>
    <n v="1812.27"/>
    <n v="601.77"/>
    <n v="1508.33"/>
    <n v="290.23"/>
    <n v="14236.19"/>
    <n v="7582.62"/>
    <n v="3370.0300000000007"/>
    <n v="0.19141133076833075"/>
    <n v="-806.34"/>
    <n v="352.12"/>
    <n v="862.7"/>
    <n v="18116.8"/>
    <x v="5"/>
    <s v="Madhya Pradesh"/>
    <x v="2"/>
    <x v="19"/>
    <s v="CC-1004"/>
  </r>
  <r>
    <s v="TXN-00226"/>
    <d v="2025-11-23T00:00:00"/>
    <x v="10"/>
    <x v="3"/>
    <x v="0"/>
    <x v="3"/>
    <x v="0"/>
    <s v="Jharkhand"/>
    <s v="Jamshedpur"/>
    <s v="Branch D"/>
    <x v="4"/>
    <s v="CC-1001"/>
    <s v="P006"/>
    <s v="Smartphone"/>
    <x v="0"/>
    <x v="9"/>
    <n v="43744.19"/>
    <n v="43316.25"/>
    <n v="21910.77"/>
    <n v="4135.7"/>
    <n v="3496.6"/>
    <n v="4535.1400000000003"/>
    <n v="705.56"/>
    <n v="34783.769999999997"/>
    <n v="21833.42"/>
    <n v="8960.4200000000055"/>
    <n v="0.20483680232734919"/>
    <n v="427.94"/>
    <n v="2187.21"/>
    <n v="2077.85"/>
    <n v="43634.83"/>
    <x v="30"/>
    <s v="Jharkhand"/>
    <x v="4"/>
    <x v="16"/>
    <s v="CC-1001"/>
  </r>
  <r>
    <s v="TXN-00227"/>
    <d v="2025-12-10T00:00:00"/>
    <x v="6"/>
    <x v="3"/>
    <x v="0"/>
    <x v="3"/>
    <x v="0"/>
    <s v="Jharkhand"/>
    <s v="Dhanbad"/>
    <s v="Branch C"/>
    <x v="1"/>
    <s v="CC-1005"/>
    <s v="P013"/>
    <s v="CRM Software"/>
    <x v="2"/>
    <x v="4"/>
    <n v="30670.04"/>
    <n v="32761.69"/>
    <n v="20244.18"/>
    <n v="1906.57"/>
    <n v="1680.44"/>
    <n v="2088.5500000000002"/>
    <n v="407.36"/>
    <n v="26327.11"/>
    <n v="10425.86"/>
    <n v="4342.93"/>
    <n v="0.14160170642098935"/>
    <n v="-2091.66"/>
    <n v="920.1"/>
    <n v="5354.99"/>
    <n v="35104.92"/>
    <x v="34"/>
    <s v="Jharkhand"/>
    <x v="1"/>
    <x v="15"/>
    <s v="CC-1005"/>
  </r>
  <r>
    <s v="TXN-00228"/>
    <d v="2025-07-18T00:00:00"/>
    <x v="0"/>
    <x v="0"/>
    <x v="0"/>
    <x v="4"/>
    <x v="0"/>
    <s v="Uttar Pradesh"/>
    <s v="Kanpur"/>
    <s v="Branch C"/>
    <x v="4"/>
    <s v="CC-1005"/>
    <s v="P017"/>
    <s v="UPS System"/>
    <x v="0"/>
    <x v="7"/>
    <n v="63621.75"/>
    <n v="67730.2"/>
    <n v="42149.53"/>
    <n v="5791.73"/>
    <n v="4502.22"/>
    <n v="7304.65"/>
    <n v="1473.05"/>
    <n v="61221.17"/>
    <n v="21472.22"/>
    <n v="2400.5800000000017"/>
    <n v="3.7732064899189378E-2"/>
    <n v="-4108.4399999999996"/>
    <n v="3181.09"/>
    <n v="7252.88"/>
    <n v="67693.55"/>
    <x v="25"/>
    <s v="Uttar Pradesh"/>
    <x v="4"/>
    <x v="10"/>
    <s v="CC-1005"/>
  </r>
  <r>
    <s v="TXN-00229"/>
    <d v="2025-09-18T00:00:00"/>
    <x v="1"/>
    <x v="0"/>
    <x v="0"/>
    <x v="2"/>
    <x v="0"/>
    <s v="Delhi"/>
    <s v="Noida"/>
    <s v="Branch A"/>
    <x v="0"/>
    <s v="CC-1004"/>
    <s v="P015"/>
    <s v="Network Router"/>
    <x v="4"/>
    <x v="10"/>
    <n v="34313.94"/>
    <n v="35356.49"/>
    <n v="16884.46"/>
    <n v="1811.53"/>
    <n v="2087.16"/>
    <n v="2575.41"/>
    <n v="1350.99"/>
    <n v="24709.55"/>
    <n v="17429.48"/>
    <n v="9604.3900000000031"/>
    <n v="0.27989761595433232"/>
    <n v="-1042.55"/>
    <n v="0"/>
    <n v="1715.7"/>
    <n v="36029.64"/>
    <x v="40"/>
    <s v="Delhi"/>
    <x v="0"/>
    <x v="14"/>
    <s v="CC-1004"/>
  </r>
  <r>
    <s v="TXN-00230"/>
    <d v="2025-07-07T00:00:00"/>
    <x v="0"/>
    <x v="0"/>
    <x v="0"/>
    <x v="1"/>
    <x v="0"/>
    <s v="Kerala"/>
    <s v="Kozhikode"/>
    <s v="Branch D"/>
    <x v="2"/>
    <s v="CC-1001"/>
    <s v="P008"/>
    <s v="Headset"/>
    <x v="1"/>
    <x v="8"/>
    <n v="2897.26"/>
    <n v="2879.66"/>
    <n v="1947.96"/>
    <n v="235.74"/>
    <n v="213.82"/>
    <n v="144.97999999999999"/>
    <n v="107.33"/>
    <n v="2649.83"/>
    <n v="949.3"/>
    <n v="247.43000000000029"/>
    <n v="8.5401379234173069E-2"/>
    <n v="17.600000000000001"/>
    <n v="57.95"/>
    <n v="511.08"/>
    <n v="3350.39"/>
    <x v="24"/>
    <s v="Kerala"/>
    <x v="2"/>
    <x v="11"/>
    <s v="CC-1001"/>
  </r>
  <r>
    <s v="TXN-00231"/>
    <d v="2026-03-07T00:00:00"/>
    <x v="8"/>
    <x v="1"/>
    <x v="0"/>
    <x v="0"/>
    <x v="0"/>
    <s v="Rajasthan"/>
    <s v="Jodhpur"/>
    <s v="Branch B"/>
    <x v="1"/>
    <s v="CC-1005"/>
    <s v="P013"/>
    <s v="CRM Software"/>
    <x v="2"/>
    <x v="4"/>
    <n v="25575.09"/>
    <n v="28454.16"/>
    <n v="13714.95"/>
    <n v="1984.8"/>
    <n v="689.42"/>
    <n v="2990.22"/>
    <n v="853.58"/>
    <n v="20232.98"/>
    <n v="11860.14"/>
    <n v="5342.1100000000006"/>
    <n v="0.20887942134318982"/>
    <n v="-2879.07"/>
    <n v="2557.5100000000002"/>
    <n v="2762.11"/>
    <n v="25779.69"/>
    <x v="11"/>
    <s v="Rajasthan"/>
    <x v="1"/>
    <x v="15"/>
    <s v="CC-1005"/>
  </r>
  <r>
    <s v="TXN-00232"/>
    <d v="2025-12-29T00:00:00"/>
    <x v="6"/>
    <x v="3"/>
    <x v="0"/>
    <x v="0"/>
    <x v="0"/>
    <s v="Rajasthan"/>
    <s v="Jodhpur"/>
    <s v="Branch D"/>
    <x v="2"/>
    <s v="CC-1005"/>
    <s v="P019"/>
    <s v="Conference Camera"/>
    <x v="0"/>
    <x v="0"/>
    <n v="40135.99"/>
    <n v="46312.08"/>
    <n v="22538.16"/>
    <n v="3469.74"/>
    <n v="2772.49"/>
    <n v="3349.02"/>
    <n v="888.65"/>
    <n v="33018.050000000003"/>
    <n v="17597.830000000002"/>
    <n v="7117.9399999999951"/>
    <n v="0.17734556940043078"/>
    <n v="-6176.1"/>
    <n v="1204.08"/>
    <n v="7007.74"/>
    <n v="45939.65"/>
    <x v="11"/>
    <s v="Rajasthan"/>
    <x v="2"/>
    <x v="0"/>
    <s v="CC-1005"/>
  </r>
  <r>
    <s v="TXN-00233"/>
    <d v="2025-12-08T00:00:00"/>
    <x v="6"/>
    <x v="3"/>
    <x v="0"/>
    <x v="1"/>
    <x v="0"/>
    <s v="Kerala"/>
    <s v="Kozhikode"/>
    <s v="Branch D"/>
    <x v="1"/>
    <s v="CC-1002"/>
    <s v="P016"/>
    <s v="Network Switch"/>
    <x v="4"/>
    <x v="10"/>
    <n v="39821.29"/>
    <n v="37261.57"/>
    <n v="22674.33"/>
    <n v="4949.41"/>
    <n v="1155.52"/>
    <n v="1887.08"/>
    <n v="625.1"/>
    <n v="31291.439999999999"/>
    <n v="17146.96"/>
    <n v="8529.8500000000022"/>
    <n v="0.21420325659967324"/>
    <n v="2559.7199999999998"/>
    <n v="1991.06"/>
    <n v="1891.51"/>
    <n v="39721.74"/>
    <x v="24"/>
    <s v="Kerala"/>
    <x v="1"/>
    <x v="13"/>
    <s v="CC-1002"/>
  </r>
  <r>
    <s v="TXN-00234"/>
    <d v="2025-08-20T00:00:00"/>
    <x v="7"/>
    <x v="0"/>
    <x v="0"/>
    <x v="3"/>
    <x v="0"/>
    <s v="Bihar"/>
    <s v="Gaya"/>
    <s v="Branch C"/>
    <x v="1"/>
    <s v="CC-1002"/>
    <s v="P009"/>
    <s v="Keyboard"/>
    <x v="1"/>
    <x v="1"/>
    <n v="8487.4"/>
    <n v="8940.35"/>
    <n v="5916.11"/>
    <n v="979.38"/>
    <n v="629.83000000000004"/>
    <n v="377.25"/>
    <n v="86.92"/>
    <n v="7989.5"/>
    <n v="2571.29"/>
    <n v="497.89999999999964"/>
    <n v="5.8663430496971938E-2"/>
    <n v="-452.95"/>
    <n v="169.75"/>
    <n v="1497.18"/>
    <n v="9814.83"/>
    <x v="32"/>
    <s v="Bihar"/>
    <x v="1"/>
    <x v="2"/>
    <s v="CC-1002"/>
  </r>
  <r>
    <s v="TXN-00235"/>
    <d v="2026-01-07T00:00:00"/>
    <x v="4"/>
    <x v="1"/>
    <x v="0"/>
    <x v="0"/>
    <x v="0"/>
    <s v="Goa"/>
    <s v="Vasco da Gama"/>
    <s v="Branch B"/>
    <x v="4"/>
    <s v="CC-1004"/>
    <s v="P016"/>
    <s v="Network Switch"/>
    <x v="4"/>
    <x v="10"/>
    <n v="24056.62"/>
    <n v="22545.46"/>
    <n v="12613.17"/>
    <n v="1861.23"/>
    <n v="1273.73"/>
    <n v="2561.4499999999998"/>
    <n v="341.51"/>
    <n v="18651.09"/>
    <n v="11443.45"/>
    <n v="5405.5299999999988"/>
    <n v="0.22470031118253517"/>
    <n v="1511.17"/>
    <n v="1202.83"/>
    <n v="2742.45"/>
    <n v="25596.25"/>
    <x v="0"/>
    <s v="Goa"/>
    <x v="4"/>
    <x v="13"/>
    <s v="CC-1004"/>
  </r>
  <r>
    <s v="TXN-00236"/>
    <d v="2026-01-19T00:00:00"/>
    <x v="4"/>
    <x v="1"/>
    <x v="0"/>
    <x v="0"/>
    <x v="0"/>
    <s v="Gujarat"/>
    <s v="Surat"/>
    <s v="Branch B"/>
    <x v="0"/>
    <s v="CC-1001"/>
    <s v="P005"/>
    <s v="Office Desk"/>
    <x v="3"/>
    <x v="5"/>
    <n v="12288.98"/>
    <n v="11617.67"/>
    <n v="5943.47"/>
    <n v="1186.05"/>
    <n v="391.78"/>
    <n v="1349.84"/>
    <n v="347.9"/>
    <n v="9219.0499999999993"/>
    <n v="6345.51"/>
    <n v="3069.9300000000003"/>
    <n v="0.24981161984151659"/>
    <n v="671.32"/>
    <n v="614.45000000000005"/>
    <n v="1400.94"/>
    <n v="13075.48"/>
    <x v="26"/>
    <s v="Gujarat"/>
    <x v="0"/>
    <x v="8"/>
    <s v="CC-1001"/>
  </r>
  <r>
    <s v="TXN-00237"/>
    <d v="2025-08-16T00:00:00"/>
    <x v="7"/>
    <x v="0"/>
    <x v="0"/>
    <x v="1"/>
    <x v="0"/>
    <s v="Karnataka"/>
    <s v="Mangaluru"/>
    <s v="Branch C"/>
    <x v="2"/>
    <s v="CC-1005"/>
    <s v="P013"/>
    <s v="CRM Software"/>
    <x v="2"/>
    <x v="4"/>
    <n v="6517.27"/>
    <n v="5915.4"/>
    <n v="4043.44"/>
    <n v="443.84"/>
    <n v="542.37"/>
    <n v="669.19"/>
    <n v="224.78"/>
    <n v="5923.62"/>
    <n v="2473.83"/>
    <n v="593.65000000000055"/>
    <n v="9.1088753419760193E-2"/>
    <n v="601.87"/>
    <n v="325.86"/>
    <n v="1114.45"/>
    <n v="7305.86"/>
    <x v="31"/>
    <s v="Karnataka"/>
    <x v="2"/>
    <x v="15"/>
    <s v="CC-1005"/>
  </r>
  <r>
    <s v="TXN-00238"/>
    <d v="2025-07-17T00:00:00"/>
    <x v="0"/>
    <x v="0"/>
    <x v="0"/>
    <x v="2"/>
    <x v="0"/>
    <s v="Punjab"/>
    <s v="Ludhiana"/>
    <s v="Branch C"/>
    <x v="2"/>
    <s v="CC-1005"/>
    <s v="P009"/>
    <s v="Keyboard"/>
    <x v="1"/>
    <x v="1"/>
    <n v="1765.29"/>
    <n v="1680.59"/>
    <n v="908.48"/>
    <n v="104.6"/>
    <n v="47.26"/>
    <n v="144.55000000000001"/>
    <n v="31.14"/>
    <n v="1236.03"/>
    <n v="856.81"/>
    <n v="529.26"/>
    <n v="0.29981476131400508"/>
    <n v="84.7"/>
    <n v="176.53"/>
    <n v="190.65"/>
    <n v="1779.41"/>
    <x v="35"/>
    <s v="Punjab"/>
    <x v="2"/>
    <x v="2"/>
    <s v="CC-1005"/>
  </r>
  <r>
    <s v="TXN-00239"/>
    <d v="2025-12-05T00:00:00"/>
    <x v="6"/>
    <x v="3"/>
    <x v="0"/>
    <x v="0"/>
    <x v="0"/>
    <s v="Gujarat"/>
    <s v="Surat"/>
    <s v="Branch A"/>
    <x v="2"/>
    <s v="CC-1003"/>
    <s v="P013"/>
    <s v="CRM Software"/>
    <x v="2"/>
    <x v="4"/>
    <n v="19654.61"/>
    <n v="17601.400000000001"/>
    <n v="12063.1"/>
    <n v="1228.08"/>
    <n v="1557.6"/>
    <n v="1349.62"/>
    <n v="824.54"/>
    <n v="17022.93"/>
    <n v="7591.5"/>
    <n v="2631.6800000000003"/>
    <n v="0.13389632254214151"/>
    <n v="2053.1999999999998"/>
    <n v="982.73"/>
    <n v="933.59"/>
    <n v="19605.47"/>
    <x v="26"/>
    <s v="Gujarat"/>
    <x v="2"/>
    <x v="15"/>
    <s v="CC-1003"/>
  </r>
  <r>
    <s v="TXN-00240"/>
    <d v="2025-06-11T00:00:00"/>
    <x v="11"/>
    <x v="2"/>
    <x v="0"/>
    <x v="0"/>
    <x v="0"/>
    <s v="Gujarat"/>
    <s v="Ahmedabad"/>
    <s v="Branch C"/>
    <x v="2"/>
    <s v="CC-1005"/>
    <s v="P003"/>
    <s v="Printer"/>
    <x v="0"/>
    <x v="3"/>
    <n v="21746.95"/>
    <n v="19636.849999999999"/>
    <n v="12634.6"/>
    <n v="2134.13"/>
    <n v="1868.33"/>
    <n v="1412.34"/>
    <n v="407.58"/>
    <n v="18456.98"/>
    <n v="9112.35"/>
    <n v="3289.9700000000012"/>
    <n v="0.15128420307215498"/>
    <n v="2110.1"/>
    <n v="1087.3499999999999"/>
    <n v="3718.73"/>
    <n v="24378.33"/>
    <x v="18"/>
    <s v="Gujarat"/>
    <x v="2"/>
    <x v="5"/>
    <s v="CC-1005"/>
  </r>
  <r>
    <s v="TXN-00241"/>
    <d v="2025-12-29T00:00:00"/>
    <x v="6"/>
    <x v="3"/>
    <x v="0"/>
    <x v="4"/>
    <x v="0"/>
    <s v="Chhattisgarh"/>
    <s v="Raipur"/>
    <s v="Branch C"/>
    <x v="3"/>
    <s v="CC-1003"/>
    <s v="P011"/>
    <s v="Cloud Software"/>
    <x v="2"/>
    <x v="11"/>
    <n v="7011.08"/>
    <n v="7533.2"/>
    <n v="3754.82"/>
    <n v="732.72"/>
    <n v="603.74"/>
    <n v="306.68"/>
    <n v="148.55000000000001"/>
    <n v="5546.51"/>
    <n v="3256.26"/>
    <n v="1464.5699999999997"/>
    <n v="0.20889363692897525"/>
    <n v="-522.12"/>
    <n v="210.33"/>
    <n v="1224.1300000000001"/>
    <n v="8024.88"/>
    <x v="50"/>
    <s v="Chhattisgarh"/>
    <x v="3"/>
    <x v="18"/>
    <s v="CC-1003"/>
  </r>
  <r>
    <s v="TXN-00242"/>
    <d v="2025-05-20T00:00:00"/>
    <x v="3"/>
    <x v="2"/>
    <x v="0"/>
    <x v="2"/>
    <x v="0"/>
    <s v="Uttar Pradesh"/>
    <s v="Lucknow"/>
    <s v="Branch B"/>
    <x v="0"/>
    <s v="CC-1005"/>
    <s v="P016"/>
    <s v="Network Switch"/>
    <x v="4"/>
    <x v="10"/>
    <n v="12065.44"/>
    <n v="12631.29"/>
    <n v="5875.84"/>
    <n v="1478.98"/>
    <n v="424.2"/>
    <n v="695.06"/>
    <n v="339.52"/>
    <n v="8813.59"/>
    <n v="6189.61"/>
    <n v="3251.8500000000004"/>
    <n v="0.26951772997918022"/>
    <n v="-565.85"/>
    <n v="603.27"/>
    <n v="573.11"/>
    <n v="12035.28"/>
    <x v="2"/>
    <s v="Uttar Pradesh"/>
    <x v="0"/>
    <x v="13"/>
    <s v="CC-1005"/>
  </r>
  <r>
    <s v="TXN-00243"/>
    <d v="2025-08-14T00:00:00"/>
    <x v="7"/>
    <x v="0"/>
    <x v="0"/>
    <x v="3"/>
    <x v="0"/>
    <s v="Bihar"/>
    <s v="Muzaffarpur"/>
    <s v="Branch A"/>
    <x v="1"/>
    <s v="CC-1002"/>
    <s v="P008"/>
    <s v="Headset"/>
    <x v="1"/>
    <x v="8"/>
    <n v="1637.46"/>
    <n v="1627.45"/>
    <n v="910.4"/>
    <n v="119.3"/>
    <n v="50.66"/>
    <n v="106.74"/>
    <n v="18.84"/>
    <n v="1205.94"/>
    <n v="727.06"/>
    <n v="431.52"/>
    <n v="0.26353010149866257"/>
    <n v="10.01"/>
    <n v="131"/>
    <n v="180.78"/>
    <n v="1687.24"/>
    <x v="36"/>
    <s v="Bihar"/>
    <x v="1"/>
    <x v="11"/>
    <s v="CC-1002"/>
  </r>
  <r>
    <s v="TXN-00244"/>
    <d v="2025-07-07T00:00:00"/>
    <x v="0"/>
    <x v="0"/>
    <x v="0"/>
    <x v="0"/>
    <x v="0"/>
    <s v="Maharashtra"/>
    <s v="Nagpur"/>
    <s v="Branch A"/>
    <x v="1"/>
    <s v="CC-1002"/>
    <s v="P014"/>
    <s v="Data Storage"/>
    <x v="2"/>
    <x v="12"/>
    <n v="9051.4599999999991"/>
    <n v="9324.2999999999993"/>
    <n v="5287"/>
    <n v="633.24"/>
    <n v="548.39"/>
    <n v="560.74"/>
    <n v="376.14"/>
    <n v="7405.51"/>
    <n v="3764.46"/>
    <n v="1645.9499999999989"/>
    <n v="0.18184359208348699"/>
    <n v="-272.83999999999997"/>
    <n v="181.03"/>
    <n v="1596.68"/>
    <n v="10467.11"/>
    <x v="15"/>
    <s v="Maharashtra"/>
    <x v="1"/>
    <x v="19"/>
    <s v="CC-1002"/>
  </r>
  <r>
    <s v="TXN-00245"/>
    <d v="2026-02-17T00:00:00"/>
    <x v="2"/>
    <x v="1"/>
    <x v="0"/>
    <x v="0"/>
    <x v="0"/>
    <s v="Goa"/>
    <s v="Panaji"/>
    <s v="Branch D"/>
    <x v="4"/>
    <s v="CC-1004"/>
    <s v="P017"/>
    <s v="UPS System"/>
    <x v="0"/>
    <x v="7"/>
    <n v="50012.66"/>
    <n v="54080.08"/>
    <n v="33673.68"/>
    <n v="6288.62"/>
    <n v="2551.34"/>
    <n v="5134.49"/>
    <n v="965.62"/>
    <n v="48613.74"/>
    <n v="16338.97"/>
    <n v="1398.9200000000055"/>
    <n v="2.7971317662367996E-2"/>
    <n v="-4067.43"/>
    <n v="5001.2700000000004"/>
    <n v="2250.5700000000002"/>
    <n v="47261.96"/>
    <x v="14"/>
    <s v="Goa"/>
    <x v="4"/>
    <x v="10"/>
    <s v="CC-1004"/>
  </r>
  <r>
    <s v="TXN-00246"/>
    <d v="2026-02-10T00:00:00"/>
    <x v="2"/>
    <x v="1"/>
    <x v="0"/>
    <x v="2"/>
    <x v="0"/>
    <s v="Punjab"/>
    <s v="Ludhiana"/>
    <s v="Branch B"/>
    <x v="1"/>
    <s v="CC-1001"/>
    <s v="P009"/>
    <s v="Keyboard"/>
    <x v="1"/>
    <x v="1"/>
    <n v="2936.36"/>
    <n v="2780.15"/>
    <n v="1625.96"/>
    <n v="275.19"/>
    <n v="153.04"/>
    <n v="155.09"/>
    <n v="46.93"/>
    <n v="2256.1999999999998"/>
    <n v="1310.4000000000001"/>
    <n v="680.16000000000031"/>
    <n v="0.23163372338541605"/>
    <n v="156.21"/>
    <n v="88.09"/>
    <n v="512.69000000000005"/>
    <n v="3360.96"/>
    <x v="35"/>
    <s v="Punjab"/>
    <x v="1"/>
    <x v="2"/>
    <s v="CC-1001"/>
  </r>
  <r>
    <s v="TXN-00247"/>
    <d v="2025-10-23T00:00:00"/>
    <x v="5"/>
    <x v="3"/>
    <x v="0"/>
    <x v="0"/>
    <x v="0"/>
    <s v="Gujarat"/>
    <s v="Surat"/>
    <s v="Branch B"/>
    <x v="1"/>
    <s v="CC-1001"/>
    <s v="P014"/>
    <s v="Data Storage"/>
    <x v="2"/>
    <x v="12"/>
    <n v="8249.7199999999993"/>
    <n v="7449.84"/>
    <n v="4425.1400000000003"/>
    <n v="960.37"/>
    <n v="714.73"/>
    <n v="531.02"/>
    <n v="158.87"/>
    <n v="6790.12"/>
    <n v="3824.58"/>
    <n v="1459.5999999999995"/>
    <n v="0.17692721692372584"/>
    <n v="799.87"/>
    <n v="164.99"/>
    <n v="970.17"/>
    <n v="9054.89"/>
    <x v="26"/>
    <s v="Gujarat"/>
    <x v="1"/>
    <x v="19"/>
    <s v="CC-1001"/>
  </r>
  <r>
    <s v="TXN-00248"/>
    <d v="2025-07-30T00:00:00"/>
    <x v="0"/>
    <x v="0"/>
    <x v="0"/>
    <x v="3"/>
    <x v="0"/>
    <s v="Odisha"/>
    <s v="Rourkela"/>
    <s v="Branch C"/>
    <x v="3"/>
    <s v="CC-1003"/>
    <s v="P018"/>
    <s v="Projector"/>
    <x v="0"/>
    <x v="6"/>
    <n v="69329.279999999999"/>
    <n v="80701.14"/>
    <n v="46283.38"/>
    <n v="5206.3900000000003"/>
    <n v="2850.25"/>
    <n v="6642.94"/>
    <n v="1576.82"/>
    <n v="62559.78"/>
    <n v="23045.9"/>
    <n v="6769.5"/>
    <n v="9.7642727574842839E-2"/>
    <n v="-11371.86"/>
    <n v="3466.46"/>
    <n v="3293.14"/>
    <n v="69155.960000000006"/>
    <x v="41"/>
    <s v="Odisha"/>
    <x v="3"/>
    <x v="9"/>
    <s v="CC-1003"/>
  </r>
  <r>
    <s v="TXN-00249"/>
    <d v="2026-02-09T00:00:00"/>
    <x v="2"/>
    <x v="1"/>
    <x v="0"/>
    <x v="3"/>
    <x v="0"/>
    <s v="Bihar"/>
    <s v="Muzaffarpur"/>
    <s v="Branch D"/>
    <x v="4"/>
    <s v="CC-1004"/>
    <s v="P012"/>
    <s v="Accounting Software"/>
    <x v="2"/>
    <x v="4"/>
    <n v="12246.34"/>
    <n v="11591.58"/>
    <n v="6811.57"/>
    <n v="866.44"/>
    <n v="375.88"/>
    <n v="577.95000000000005"/>
    <n v="205.29"/>
    <n v="8837.14"/>
    <n v="5434.76"/>
    <n v="3409.2000000000007"/>
    <n v="0.27838521550112122"/>
    <n v="654.76"/>
    <n v="0"/>
    <n v="2204.34"/>
    <n v="14450.68"/>
    <x v="36"/>
    <s v="Bihar"/>
    <x v="4"/>
    <x v="7"/>
    <s v="CC-1004"/>
  </r>
  <r>
    <s v="TXN-00250"/>
    <d v="2025-07-10T00:00:00"/>
    <x v="0"/>
    <x v="0"/>
    <x v="0"/>
    <x v="2"/>
    <x v="0"/>
    <s v="Uttar Pradesh"/>
    <s v="Kanpur"/>
    <s v="Branch B"/>
    <x v="0"/>
    <s v="CC-1004"/>
    <s v="P005"/>
    <s v="Office Desk"/>
    <x v="3"/>
    <x v="5"/>
    <n v="24981.11"/>
    <n v="27182.98"/>
    <n v="15305"/>
    <n v="1681.23"/>
    <n v="963.23"/>
    <n v="1591.58"/>
    <n v="1046.1600000000001"/>
    <n v="20587.2"/>
    <n v="9676.11"/>
    <n v="4393.91"/>
    <n v="0.17588930195655836"/>
    <n v="-2201.88"/>
    <n v="1249.06"/>
    <n v="4271.7700000000004"/>
    <n v="28003.82"/>
    <x v="25"/>
    <s v="Uttar Pradesh"/>
    <x v="0"/>
    <x v="8"/>
    <s v="CC-1004"/>
  </r>
  <r>
    <s v="TXN-00251"/>
    <d v="2026-02-13T00:00:00"/>
    <x v="2"/>
    <x v="1"/>
    <x v="0"/>
    <x v="1"/>
    <x v="0"/>
    <s v="Tamil Nadu"/>
    <s v="Coimbatore"/>
    <s v="Branch A"/>
    <x v="2"/>
    <s v="CC-1005"/>
    <s v="P019"/>
    <s v="Conference Camera"/>
    <x v="0"/>
    <x v="0"/>
    <n v="43967.06"/>
    <n v="47152.54"/>
    <n v="23845.919999999998"/>
    <n v="5315.04"/>
    <n v="3658.93"/>
    <n v="2804.35"/>
    <n v="793.6"/>
    <n v="36417.839999999997"/>
    <n v="20121.14"/>
    <n v="7549.2200000000012"/>
    <n v="0.17170172397244668"/>
    <n v="-3185.47"/>
    <n v="1319.01"/>
    <n v="2132.4"/>
    <n v="44780.45"/>
    <x v="10"/>
    <s v="Tamil Nadu"/>
    <x v="2"/>
    <x v="0"/>
    <s v="CC-1005"/>
  </r>
  <r>
    <s v="TXN-00252"/>
    <d v="2025-11-25T00:00:00"/>
    <x v="10"/>
    <x v="3"/>
    <x v="0"/>
    <x v="0"/>
    <x v="0"/>
    <s v="Rajasthan"/>
    <s v="Jaipur"/>
    <s v="Branch D"/>
    <x v="2"/>
    <s v="CC-1002"/>
    <s v="P005"/>
    <s v="Office Desk"/>
    <x v="3"/>
    <x v="5"/>
    <n v="13644.07"/>
    <n v="13482.28"/>
    <n v="8747.2800000000007"/>
    <n v="977.62"/>
    <n v="413.14"/>
    <n v="1629.19"/>
    <n v="211.03"/>
    <n v="11978.27"/>
    <n v="4896.79"/>
    <n v="1665.7999999999993"/>
    <n v="0.12208966972464956"/>
    <n v="161.79"/>
    <n v="1364.41"/>
    <n v="2210.34"/>
    <n v="14490"/>
    <x v="21"/>
    <s v="Rajasthan"/>
    <x v="2"/>
    <x v="8"/>
    <s v="CC-1002"/>
  </r>
  <r>
    <s v="TXN-00253"/>
    <d v="2025-09-06T00:00:00"/>
    <x v="1"/>
    <x v="0"/>
    <x v="0"/>
    <x v="0"/>
    <x v="0"/>
    <s v="Maharashtra"/>
    <s v="Mumbai"/>
    <s v="Branch A"/>
    <x v="0"/>
    <s v="CC-1005"/>
    <s v="P002"/>
    <s v="Monitor"/>
    <x v="0"/>
    <x v="2"/>
    <n v="39101.279999999999"/>
    <n v="41667.56"/>
    <n v="25012.61"/>
    <n v="3521.34"/>
    <n v="2616.5"/>
    <n v="1637.66"/>
    <n v="978.97"/>
    <n v="33767.08"/>
    <n v="14088.67"/>
    <n v="5334.1999999999971"/>
    <n v="0.13642008650356197"/>
    <n v="-2566.2800000000002"/>
    <n v="782.03"/>
    <n v="1915.96"/>
    <n v="40235.22"/>
    <x v="6"/>
    <s v="Maharashtra"/>
    <x v="0"/>
    <x v="3"/>
    <s v="CC-1005"/>
  </r>
  <r>
    <s v="TXN-00254"/>
    <d v="2026-03-07T00:00:00"/>
    <x v="8"/>
    <x v="1"/>
    <x v="0"/>
    <x v="0"/>
    <x v="0"/>
    <s v="Gujarat"/>
    <s v="Vadodara"/>
    <s v="Branch B"/>
    <x v="1"/>
    <s v="CC-1001"/>
    <s v="P001"/>
    <s v="Business Laptop"/>
    <x v="0"/>
    <x v="2"/>
    <n v="35664.199999999997"/>
    <n v="38361.410000000003"/>
    <n v="23803.02"/>
    <n v="4041.36"/>
    <n v="2288.23"/>
    <n v="2886.34"/>
    <n v="432.79"/>
    <n v="33451.75"/>
    <n v="11861.18"/>
    <n v="2212.4499999999971"/>
    <n v="6.2035598723649971E-2"/>
    <n v="-2697.21"/>
    <n v="713.28"/>
    <n v="1747.55"/>
    <n v="36698.46"/>
    <x v="19"/>
    <s v="Gujarat"/>
    <x v="1"/>
    <x v="4"/>
    <s v="CC-1001"/>
  </r>
  <r>
    <s v="TXN-00255"/>
    <d v="2026-02-25T00:00:00"/>
    <x v="2"/>
    <x v="1"/>
    <x v="0"/>
    <x v="0"/>
    <x v="0"/>
    <s v="Rajasthan"/>
    <s v="Udaipur"/>
    <s v="Branch B"/>
    <x v="4"/>
    <s v="CC-1002"/>
    <s v="P017"/>
    <s v="UPS System"/>
    <x v="0"/>
    <x v="7"/>
    <n v="54847.33"/>
    <n v="55325.52"/>
    <n v="29958.79"/>
    <n v="6114.74"/>
    <n v="2177.86"/>
    <n v="5231.8"/>
    <n v="996.39"/>
    <n v="44479.57"/>
    <n v="24888.54"/>
    <n v="10367.760000000002"/>
    <n v="0.18902943862536248"/>
    <n v="-478.2"/>
    <n v="2742.37"/>
    <n v="9378.89"/>
    <n v="61483.85"/>
    <x v="17"/>
    <s v="Rajasthan"/>
    <x v="4"/>
    <x v="10"/>
    <s v="CC-1002"/>
  </r>
  <r>
    <s v="TXN-00256"/>
    <d v="2025-05-12T00:00:00"/>
    <x v="3"/>
    <x v="2"/>
    <x v="0"/>
    <x v="1"/>
    <x v="0"/>
    <s v="Tamil Nadu"/>
    <s v="Chennai"/>
    <s v="Branch B"/>
    <x v="1"/>
    <s v="CC-1002"/>
    <s v="P011"/>
    <s v="Cloud Software"/>
    <x v="2"/>
    <x v="11"/>
    <n v="10258.23"/>
    <n v="9591.81"/>
    <n v="6386.71"/>
    <n v="850.51"/>
    <n v="340.73"/>
    <n v="433.18"/>
    <n v="326.17"/>
    <n v="8337.2900000000009"/>
    <n v="3871.52"/>
    <n v="1920.9399999999987"/>
    <n v="0.1872584256738247"/>
    <n v="666.42"/>
    <n v="820.66"/>
    <n v="1698.76"/>
    <n v="11136.33"/>
    <x v="1"/>
    <s v="Tamil Nadu"/>
    <x v="1"/>
    <x v="18"/>
    <s v="CC-1002"/>
  </r>
  <r>
    <s v="TXN-00257"/>
    <d v="2025-05-09T00:00:00"/>
    <x v="3"/>
    <x v="2"/>
    <x v="0"/>
    <x v="0"/>
    <x v="0"/>
    <s v="Maharashtra"/>
    <s v="Nagpur"/>
    <s v="Branch D"/>
    <x v="2"/>
    <s v="CC-1003"/>
    <s v="P002"/>
    <s v="Monitor"/>
    <x v="0"/>
    <x v="2"/>
    <n v="65395.4"/>
    <n v="58537.06"/>
    <n v="45364.28"/>
    <n v="6287.8"/>
    <n v="4031.94"/>
    <n v="5233.09"/>
    <n v="812.79"/>
    <n v="61729.9"/>
    <n v="20031.12"/>
    <n v="3665.5"/>
    <n v="5.6051343060826909E-2"/>
    <n v="6858.34"/>
    <n v="0"/>
    <n v="11771.17"/>
    <n v="77166.58"/>
    <x v="15"/>
    <s v="Maharashtra"/>
    <x v="2"/>
    <x v="3"/>
    <s v="CC-1003"/>
  </r>
  <r>
    <s v="TXN-00258"/>
    <d v="2025-09-09T00:00:00"/>
    <x v="1"/>
    <x v="0"/>
    <x v="0"/>
    <x v="4"/>
    <x v="0"/>
    <s v="Chhattisgarh"/>
    <s v="Bhilai"/>
    <s v="Branch D"/>
    <x v="4"/>
    <s v="CC-1005"/>
    <s v="P004"/>
    <s v="Office Chair"/>
    <x v="3"/>
    <x v="5"/>
    <n v="19929.03"/>
    <n v="22544.9"/>
    <n v="12505"/>
    <n v="1923.06"/>
    <n v="826.78"/>
    <n v="2003"/>
    <n v="256.25"/>
    <n v="17514.099999999999"/>
    <n v="7424.03"/>
    <n v="2414.9300000000003"/>
    <n v="0.12117649479176862"/>
    <n v="-2615.87"/>
    <n v="1594.32"/>
    <n v="2200.17"/>
    <n v="20534.87"/>
    <x v="38"/>
    <s v="Chhattisgarh"/>
    <x v="4"/>
    <x v="17"/>
    <s v="CC-1005"/>
  </r>
  <r>
    <s v="TXN-00259"/>
    <d v="2025-11-29T00:00:00"/>
    <x v="10"/>
    <x v="3"/>
    <x v="0"/>
    <x v="0"/>
    <x v="0"/>
    <s v="Goa"/>
    <s v="Margao"/>
    <s v="Branch B"/>
    <x v="0"/>
    <s v="CC-1001"/>
    <s v="P013"/>
    <s v="CRM Software"/>
    <x v="2"/>
    <x v="4"/>
    <n v="20046.55"/>
    <n v="18400.36"/>
    <n v="13535.92"/>
    <n v="2484.58"/>
    <n v="1101.43"/>
    <n v="1602.07"/>
    <n v="423.77"/>
    <n v="19147.759999999998"/>
    <n v="6510.63"/>
    <n v="898.79000000000087"/>
    <n v="4.4835146197225999E-2"/>
    <n v="1646.2"/>
    <n v="1603.72"/>
    <n v="3319.71"/>
    <n v="21762.54"/>
    <x v="37"/>
    <s v="Goa"/>
    <x v="0"/>
    <x v="15"/>
    <s v="CC-1001"/>
  </r>
  <r>
    <s v="TXN-00260"/>
    <d v="2025-12-12T00:00:00"/>
    <x v="6"/>
    <x v="3"/>
    <x v="0"/>
    <x v="0"/>
    <x v="0"/>
    <s v="Goa"/>
    <s v="Vasco da Gama"/>
    <s v="Branch A"/>
    <x v="1"/>
    <s v="CC-1003"/>
    <s v="P017"/>
    <s v="UPS System"/>
    <x v="0"/>
    <x v="7"/>
    <n v="36958.879999999997"/>
    <n v="33544.980000000003"/>
    <n v="24971.87"/>
    <n v="4492.4399999999996"/>
    <n v="2902.54"/>
    <n v="4135.8100000000004"/>
    <n v="1085.07"/>
    <n v="37587.74"/>
    <n v="11987.01"/>
    <n v="-628.86000000000058"/>
    <n v="-1.7015125999489178E-2"/>
    <n v="3413.91"/>
    <n v="2956.71"/>
    <n v="4080.26"/>
    <n v="38082.43"/>
    <x v="0"/>
    <s v="Goa"/>
    <x v="1"/>
    <x v="10"/>
    <s v="CC-1003"/>
  </r>
  <r>
    <s v="TXN-00261"/>
    <d v="2026-02-19T00:00:00"/>
    <x v="2"/>
    <x v="1"/>
    <x v="0"/>
    <x v="1"/>
    <x v="0"/>
    <s v="Karnataka"/>
    <s v="Mangaluru"/>
    <s v="Branch A"/>
    <x v="1"/>
    <s v="CC-1003"/>
    <s v="P007"/>
    <s v="Tablet"/>
    <x v="0"/>
    <x v="9"/>
    <n v="65465.04"/>
    <n v="68054.94"/>
    <n v="45149.17"/>
    <n v="8487.25"/>
    <n v="4116.21"/>
    <n v="6873.69"/>
    <n v="1403.76"/>
    <n v="66030.080000000002"/>
    <n v="20315.87"/>
    <n v="-565.04000000000087"/>
    <n v="-8.6311716910277732E-3"/>
    <n v="-2589.9"/>
    <n v="1309.3"/>
    <n v="7698.69"/>
    <n v="71854.429999999993"/>
    <x v="31"/>
    <s v="Karnataka"/>
    <x v="1"/>
    <x v="12"/>
    <s v="CC-1003"/>
  </r>
  <r>
    <s v="TXN-00262"/>
    <d v="2026-03-06T00:00:00"/>
    <x v="8"/>
    <x v="1"/>
    <x v="0"/>
    <x v="0"/>
    <x v="0"/>
    <s v="Maharashtra"/>
    <s v="Nagpur"/>
    <s v="Branch A"/>
    <x v="0"/>
    <s v="CC-1003"/>
    <s v="P005"/>
    <s v="Office Desk"/>
    <x v="3"/>
    <x v="5"/>
    <n v="24168.59"/>
    <n v="26348.2"/>
    <n v="15971.41"/>
    <n v="2896.09"/>
    <n v="1389.63"/>
    <n v="2378.67"/>
    <n v="765.44"/>
    <n v="23401.25"/>
    <n v="8197.18"/>
    <n v="767.34000000000015"/>
    <n v="3.1749473179858656E-2"/>
    <n v="-2179.61"/>
    <n v="483.37"/>
    <n v="1184.26"/>
    <n v="24869.48"/>
    <x v="15"/>
    <s v="Maharashtra"/>
    <x v="0"/>
    <x v="8"/>
    <s v="CC-1003"/>
  </r>
  <r>
    <s v="TXN-00263"/>
    <d v="2025-06-25T00:00:00"/>
    <x v="11"/>
    <x v="2"/>
    <x v="0"/>
    <x v="1"/>
    <x v="0"/>
    <s v="Telangana"/>
    <s v="Hyderabad"/>
    <s v="Branch A"/>
    <x v="2"/>
    <s v="CC-1003"/>
    <s v="P008"/>
    <s v="Headset"/>
    <x v="1"/>
    <x v="8"/>
    <n v="2894.29"/>
    <n v="2640.79"/>
    <n v="1721.63"/>
    <n v="280.3"/>
    <n v="174.21"/>
    <n v="135.69"/>
    <n v="34.72"/>
    <n v="2346.5500000000002"/>
    <n v="1172.6600000000001"/>
    <n v="547.73999999999978"/>
    <n v="0.18924848581171885"/>
    <n v="253.5"/>
    <n v="0"/>
    <n v="347.31"/>
    <n v="3241.6"/>
    <x v="51"/>
    <s v="Telangana"/>
    <x v="2"/>
    <x v="11"/>
    <s v="CC-1003"/>
  </r>
  <r>
    <s v="TXN-00264"/>
    <d v="2025-12-23T00:00:00"/>
    <x v="6"/>
    <x v="3"/>
    <x v="0"/>
    <x v="0"/>
    <x v="0"/>
    <s v="Goa"/>
    <s v="Vasco da Gama"/>
    <s v="Branch B"/>
    <x v="0"/>
    <s v="CC-1003"/>
    <s v="P006"/>
    <s v="Smartphone"/>
    <x v="0"/>
    <x v="9"/>
    <n v="27907.77"/>
    <n v="29696.42"/>
    <n v="19409.98"/>
    <n v="3203.64"/>
    <n v="1755.5"/>
    <n v="2746.62"/>
    <n v="635.42999999999995"/>
    <n v="27751.16"/>
    <n v="8497.7900000000009"/>
    <n v="156.61000000000058"/>
    <n v="5.6116988207943726E-3"/>
    <n v="-1788.65"/>
    <n v="1395.39"/>
    <n v="3181.49"/>
    <n v="29693.87"/>
    <x v="0"/>
    <s v="Goa"/>
    <x v="0"/>
    <x v="16"/>
    <s v="CC-1003"/>
  </r>
  <r>
    <s v="TXN-00265"/>
    <d v="2025-09-01T00:00:00"/>
    <x v="1"/>
    <x v="0"/>
    <x v="0"/>
    <x v="0"/>
    <x v="0"/>
    <s v="Rajasthan"/>
    <s v="Udaipur"/>
    <s v="Branch C"/>
    <x v="4"/>
    <s v="CC-1005"/>
    <s v="P016"/>
    <s v="Network Switch"/>
    <x v="4"/>
    <x v="10"/>
    <n v="10396.42"/>
    <n v="11338.67"/>
    <n v="5817.05"/>
    <n v="1081.78"/>
    <n v="527.47"/>
    <n v="1044.8399999999999"/>
    <n v="269.23"/>
    <n v="8740.3799999999992"/>
    <n v="4579.37"/>
    <n v="1656.0400000000009"/>
    <n v="0.1592894477137323"/>
    <n v="-942.25"/>
    <n v="311.89"/>
    <n v="1815.22"/>
    <n v="11899.75"/>
    <x v="17"/>
    <s v="Rajasthan"/>
    <x v="4"/>
    <x v="13"/>
    <s v="CC-1005"/>
  </r>
  <r>
    <s v="TXN-00266"/>
    <d v="2025-11-01T00:00:00"/>
    <x v="10"/>
    <x v="3"/>
    <x v="0"/>
    <x v="0"/>
    <x v="0"/>
    <s v="Gujarat"/>
    <s v="Vadodara"/>
    <s v="Branch C"/>
    <x v="1"/>
    <s v="CC-1001"/>
    <s v="P019"/>
    <s v="Conference Camera"/>
    <x v="0"/>
    <x v="0"/>
    <n v="18357.12"/>
    <n v="16490.77"/>
    <n v="11011.2"/>
    <n v="1074.02"/>
    <n v="595.12"/>
    <n v="2116.2800000000002"/>
    <n v="744.25"/>
    <n v="15540.87"/>
    <n v="7345.92"/>
    <n v="2816.2499999999982"/>
    <n v="0.15341458790921442"/>
    <n v="1866.34"/>
    <n v="550.71"/>
    <n v="3205.15"/>
    <n v="21011.55"/>
    <x v="19"/>
    <s v="Gujarat"/>
    <x v="1"/>
    <x v="0"/>
    <s v="CC-1001"/>
  </r>
  <r>
    <s v="TXN-00267"/>
    <d v="2026-03-24T00:00:00"/>
    <x v="8"/>
    <x v="1"/>
    <x v="0"/>
    <x v="1"/>
    <x v="0"/>
    <s v="Telangana"/>
    <s v="Hyderabad"/>
    <s v="Branch D"/>
    <x v="3"/>
    <s v="CC-1002"/>
    <s v="P006"/>
    <s v="Smartphone"/>
    <x v="0"/>
    <x v="9"/>
    <n v="39362.67"/>
    <n v="43265.39"/>
    <n v="20172.79"/>
    <n v="2590.5"/>
    <n v="1445.94"/>
    <n v="2401.0300000000002"/>
    <n v="1117.27"/>
    <n v="27727.53"/>
    <n v="19189.88"/>
    <n v="11635.14"/>
    <n v="0.29558818037495932"/>
    <n v="-3902.72"/>
    <n v="0"/>
    <n v="7085.28"/>
    <n v="46447.95"/>
    <x v="51"/>
    <s v="Telangana"/>
    <x v="3"/>
    <x v="16"/>
    <s v="CC-1002"/>
  </r>
  <r>
    <s v="TXN-00268"/>
    <d v="2025-09-08T00:00:00"/>
    <x v="1"/>
    <x v="0"/>
    <x v="0"/>
    <x v="2"/>
    <x v="0"/>
    <s v="Delhi"/>
    <s v="Gurugram"/>
    <s v="Branch D"/>
    <x v="2"/>
    <s v="CC-1003"/>
    <s v="P004"/>
    <s v="Office Chair"/>
    <x v="3"/>
    <x v="5"/>
    <n v="22311.1"/>
    <n v="25469.77"/>
    <n v="13798.87"/>
    <n v="1732.2"/>
    <n v="1722.32"/>
    <n v="1856.78"/>
    <n v="285.02"/>
    <n v="19395.2"/>
    <n v="8512.23"/>
    <n v="2915.8999999999978"/>
    <n v="0.13069279416971813"/>
    <n v="-3158.67"/>
    <n v="1115.56"/>
    <n v="3815.2"/>
    <n v="25010.75"/>
    <x v="27"/>
    <s v="Delhi"/>
    <x v="2"/>
    <x v="17"/>
    <s v="CC-1003"/>
  </r>
  <r>
    <s v="TXN-00269"/>
    <d v="2025-08-24T00:00:00"/>
    <x v="7"/>
    <x v="0"/>
    <x v="0"/>
    <x v="2"/>
    <x v="0"/>
    <s v="Delhi"/>
    <s v="Noida"/>
    <s v="Branch C"/>
    <x v="2"/>
    <s v="CC-1004"/>
    <s v="P005"/>
    <s v="Office Desk"/>
    <x v="3"/>
    <x v="5"/>
    <n v="12839.9"/>
    <n v="14207.86"/>
    <n v="7970.88"/>
    <n v="1492.96"/>
    <n v="387.92"/>
    <n v="1003.4"/>
    <n v="411.56"/>
    <n v="11266.72"/>
    <n v="4869.0200000000004"/>
    <n v="1573.1800000000003"/>
    <n v="0.12252276108069381"/>
    <n v="-1367.96"/>
    <n v="1027.19"/>
    <n v="2126.29"/>
    <n v="13939"/>
    <x v="40"/>
    <s v="Delhi"/>
    <x v="2"/>
    <x v="8"/>
    <s v="CC-1004"/>
  </r>
  <r>
    <s v="TXN-00270"/>
    <d v="2025-09-28T00:00:00"/>
    <x v="1"/>
    <x v="0"/>
    <x v="0"/>
    <x v="2"/>
    <x v="0"/>
    <s v="Delhi"/>
    <s v="New Delhi"/>
    <s v="Branch C"/>
    <x v="2"/>
    <s v="CC-1002"/>
    <s v="P013"/>
    <s v="CRM Software"/>
    <x v="2"/>
    <x v="4"/>
    <n v="15640.43"/>
    <n v="17525.189999999999"/>
    <n v="9269.84"/>
    <n v="1310.86"/>
    <n v="1403.2"/>
    <n v="638.75"/>
    <n v="646.38"/>
    <n v="13269.03"/>
    <n v="6370.59"/>
    <n v="2371.3999999999996"/>
    <n v="0.15161987234366317"/>
    <n v="-1884.75"/>
    <n v="0"/>
    <n v="2815.28"/>
    <n v="18455.71"/>
    <x v="48"/>
    <s v="Delhi"/>
    <x v="2"/>
    <x v="15"/>
    <s v="CC-1002"/>
  </r>
  <r>
    <s v="TXN-00271"/>
    <d v="2026-03-16T00:00:00"/>
    <x v="8"/>
    <x v="1"/>
    <x v="0"/>
    <x v="2"/>
    <x v="0"/>
    <s v="Delhi"/>
    <s v="Gurugram"/>
    <s v="Branch A"/>
    <x v="1"/>
    <s v="CC-1005"/>
    <s v="P001"/>
    <s v="Business Laptop"/>
    <x v="0"/>
    <x v="2"/>
    <n v="42899.51"/>
    <n v="45607.040000000001"/>
    <n v="20840"/>
    <n v="2544.66"/>
    <n v="1426.89"/>
    <n v="2365.59"/>
    <n v="1118.67"/>
    <n v="28295.82"/>
    <n v="22059.51"/>
    <n v="14603.690000000002"/>
    <n v="0.34041624251652297"/>
    <n v="-2707.53"/>
    <n v="2144.98"/>
    <n v="7335.82"/>
    <n v="48090.36"/>
    <x v="27"/>
    <s v="Delhi"/>
    <x v="1"/>
    <x v="4"/>
    <s v="CC-1005"/>
  </r>
  <r>
    <s v="TXN-00272"/>
    <d v="2026-03-30T00:00:00"/>
    <x v="8"/>
    <x v="1"/>
    <x v="0"/>
    <x v="2"/>
    <x v="0"/>
    <s v="Punjab"/>
    <s v="Jalandhar"/>
    <s v="Branch D"/>
    <x v="1"/>
    <s v="CC-1004"/>
    <s v="P017"/>
    <s v="UPS System"/>
    <x v="0"/>
    <x v="7"/>
    <n v="32952.76"/>
    <n v="31155.26"/>
    <n v="23214.91"/>
    <n v="2876.42"/>
    <n v="1777.81"/>
    <n v="1356.51"/>
    <n v="614.87"/>
    <n v="29840.52"/>
    <n v="9737.84"/>
    <n v="3112.2400000000016"/>
    <n v="9.4445503199125092E-2"/>
    <n v="1797.5"/>
    <n v="2636.22"/>
    <n v="1515.83"/>
    <n v="31832.36"/>
    <x v="52"/>
    <s v="Punjab"/>
    <x v="1"/>
    <x v="10"/>
    <s v="CC-1004"/>
  </r>
  <r>
    <s v="TXN-00273"/>
    <d v="2025-11-10T00:00:00"/>
    <x v="10"/>
    <x v="3"/>
    <x v="0"/>
    <x v="1"/>
    <x v="0"/>
    <s v="Telangana"/>
    <s v="Hyderabad"/>
    <s v="Branch A"/>
    <x v="1"/>
    <s v="CC-1005"/>
    <s v="P005"/>
    <s v="Office Desk"/>
    <x v="3"/>
    <x v="5"/>
    <n v="26389.52"/>
    <n v="25018.1"/>
    <n v="16888.38"/>
    <n v="1488.59"/>
    <n v="1417.62"/>
    <n v="1400.47"/>
    <n v="434.27"/>
    <n v="21629.34"/>
    <n v="9501.14"/>
    <n v="4760.18"/>
    <n v="0.18038145445616291"/>
    <n v="1371.42"/>
    <n v="527.79"/>
    <n v="3103.41"/>
    <n v="28965.14"/>
    <x v="51"/>
    <s v="Telangana"/>
    <x v="1"/>
    <x v="8"/>
    <s v="CC-1005"/>
  </r>
  <r>
    <s v="TXN-00274"/>
    <d v="2025-04-06T00:00:00"/>
    <x v="9"/>
    <x v="2"/>
    <x v="0"/>
    <x v="1"/>
    <x v="0"/>
    <s v="Tamil Nadu"/>
    <s v="Chennai"/>
    <s v="Branch A"/>
    <x v="3"/>
    <s v="CC-1002"/>
    <s v="P020"/>
    <s v="Document Scanner"/>
    <x v="0"/>
    <x v="3"/>
    <n v="30401.16"/>
    <n v="26988.41"/>
    <n v="18629.52"/>
    <n v="2785.84"/>
    <n v="2725.4"/>
    <n v="1706.94"/>
    <n v="578.64"/>
    <n v="26426.35"/>
    <n v="11771.64"/>
    <n v="3974.8100000000013"/>
    <n v="0.13074533998044816"/>
    <n v="3412.75"/>
    <n v="0"/>
    <n v="5472.21"/>
    <n v="35873.370000000003"/>
    <x v="1"/>
    <s v="Tamil Nadu"/>
    <x v="3"/>
    <x v="6"/>
    <s v="CC-1002"/>
  </r>
  <r>
    <s v="TXN-00275"/>
    <d v="2026-02-21T00:00:00"/>
    <x v="2"/>
    <x v="1"/>
    <x v="0"/>
    <x v="2"/>
    <x v="0"/>
    <s v="Delhi"/>
    <s v="Gurugram"/>
    <s v="Branch D"/>
    <x v="0"/>
    <s v="CC-1004"/>
    <s v="P001"/>
    <s v="Business Laptop"/>
    <x v="0"/>
    <x v="2"/>
    <n v="36999.550000000003"/>
    <n v="37602.04"/>
    <n v="21769.64"/>
    <n v="4623.25"/>
    <n v="3291.56"/>
    <n v="3837.55"/>
    <n v="1349.99"/>
    <n v="34871.980000000003"/>
    <n v="15229.91"/>
    <n v="2127.5699999999997"/>
    <n v="5.7502591247731376E-2"/>
    <n v="-602.48"/>
    <n v="1849.98"/>
    <n v="1757.48"/>
    <n v="36907.050000000003"/>
    <x v="27"/>
    <s v="Delhi"/>
    <x v="0"/>
    <x v="4"/>
    <s v="CC-1004"/>
  </r>
  <r>
    <s v="TXN-00276"/>
    <d v="2026-01-04T00:00:00"/>
    <x v="4"/>
    <x v="1"/>
    <x v="0"/>
    <x v="4"/>
    <x v="0"/>
    <s v="Uttar Pradesh"/>
    <s v="Lucknow"/>
    <s v="Branch C"/>
    <x v="1"/>
    <s v="CC-1005"/>
    <s v="P011"/>
    <s v="Cloud Software"/>
    <x v="2"/>
    <x v="11"/>
    <n v="14137"/>
    <n v="12458.32"/>
    <n v="9060.4699999999993"/>
    <n v="1432.72"/>
    <n v="730.9"/>
    <n v="1119.25"/>
    <n v="346.93"/>
    <n v="12690.27"/>
    <n v="5076.54"/>
    <n v="1446.7299999999996"/>
    <n v="0.10233642215462967"/>
    <n v="1678.68"/>
    <n v="0"/>
    <n v="1696.44"/>
    <n v="15833.44"/>
    <x v="2"/>
    <s v="Uttar Pradesh"/>
    <x v="1"/>
    <x v="18"/>
    <s v="CC-1005"/>
  </r>
  <r>
    <s v="TXN-00277"/>
    <d v="2026-01-27T00:00:00"/>
    <x v="4"/>
    <x v="1"/>
    <x v="0"/>
    <x v="4"/>
    <x v="0"/>
    <s v="Uttar Pradesh"/>
    <s v="Kanpur"/>
    <s v="Branch D"/>
    <x v="0"/>
    <s v="CC-1005"/>
    <s v="P013"/>
    <s v="CRM Software"/>
    <x v="2"/>
    <x v="4"/>
    <n v="6946.11"/>
    <n v="7399.4"/>
    <n v="3680.52"/>
    <n v="673.88"/>
    <n v="224.38"/>
    <n v="462.33"/>
    <n v="259.49"/>
    <n v="5300.6"/>
    <n v="3265.59"/>
    <n v="1645.5099999999993"/>
    <n v="0.23689662271400819"/>
    <n v="-453.29"/>
    <n v="208.38"/>
    <n v="1212.79"/>
    <n v="7950.52"/>
    <x v="25"/>
    <s v="Uttar Pradesh"/>
    <x v="0"/>
    <x v="15"/>
    <s v="CC-1005"/>
  </r>
  <r>
    <s v="TXN-00278"/>
    <d v="2025-10-20T00:00:00"/>
    <x v="5"/>
    <x v="3"/>
    <x v="0"/>
    <x v="0"/>
    <x v="0"/>
    <s v="Goa"/>
    <s v="Panaji"/>
    <s v="Branch B"/>
    <x v="2"/>
    <s v="CC-1005"/>
    <s v="P012"/>
    <s v="Accounting Software"/>
    <x v="2"/>
    <x v="4"/>
    <n v="18356.2"/>
    <n v="20226.79"/>
    <n v="11508.35"/>
    <n v="942.3"/>
    <n v="691.3"/>
    <n v="1924.42"/>
    <n v="358.73"/>
    <n v="15425.1"/>
    <n v="6847.85"/>
    <n v="2931.1000000000004"/>
    <n v="0.15967901853324765"/>
    <n v="-1870.59"/>
    <n v="917.81"/>
    <n v="2092.61"/>
    <n v="19531"/>
    <x v="14"/>
    <s v="Goa"/>
    <x v="2"/>
    <x v="7"/>
    <s v="CC-1005"/>
  </r>
  <r>
    <s v="TXN-00279"/>
    <d v="2025-04-28T00:00:00"/>
    <x v="9"/>
    <x v="2"/>
    <x v="0"/>
    <x v="0"/>
    <x v="0"/>
    <s v="Maharashtra"/>
    <s v="Pune"/>
    <s v="Branch A"/>
    <x v="4"/>
    <s v="CC-1003"/>
    <s v="P002"/>
    <s v="Monitor"/>
    <x v="0"/>
    <x v="2"/>
    <n v="49911.63"/>
    <n v="54040.74"/>
    <n v="31367.79"/>
    <n v="4765.7700000000004"/>
    <n v="1439.78"/>
    <n v="4523.2"/>
    <n v="1842.35"/>
    <n v="43938.89"/>
    <n v="18543.849999999999"/>
    <n v="5972.739999999998"/>
    <n v="0.11966629821546598"/>
    <n v="-4129.1099999999997"/>
    <n v="4991.16"/>
    <n v="2246.02"/>
    <n v="47166.49"/>
    <x v="12"/>
    <s v="Maharashtra"/>
    <x v="4"/>
    <x v="3"/>
    <s v="CC-1003"/>
  </r>
  <r>
    <s v="TXN-00280"/>
    <d v="2025-10-31T00:00:00"/>
    <x v="5"/>
    <x v="3"/>
    <x v="0"/>
    <x v="4"/>
    <x v="0"/>
    <s v="Madhya Pradesh"/>
    <s v="Bhopal"/>
    <s v="Branch A"/>
    <x v="1"/>
    <s v="CC-1003"/>
    <s v="P011"/>
    <s v="Cloud Software"/>
    <x v="2"/>
    <x v="11"/>
    <n v="23300.41"/>
    <n v="27065.74"/>
    <n v="13140.62"/>
    <n v="1619.48"/>
    <n v="1575.89"/>
    <n v="1302.6099999999999"/>
    <n v="489.9"/>
    <n v="18128.5"/>
    <n v="10159.790000000001"/>
    <n v="5171.91"/>
    <n v="0.22196648041815573"/>
    <n v="-3765.33"/>
    <n v="466.01"/>
    <n v="1141.72"/>
    <n v="23976.12"/>
    <x v="23"/>
    <s v="Madhya Pradesh"/>
    <x v="1"/>
    <x v="18"/>
    <s v="CC-1003"/>
  </r>
  <r>
    <s v="TXN-00281"/>
    <d v="2026-01-28T00:00:00"/>
    <x v="4"/>
    <x v="1"/>
    <x v="0"/>
    <x v="2"/>
    <x v="0"/>
    <s v="Punjab"/>
    <s v="Jalandhar"/>
    <s v="Branch B"/>
    <x v="1"/>
    <s v="CC-1003"/>
    <s v="P006"/>
    <s v="Smartphone"/>
    <x v="0"/>
    <x v="9"/>
    <n v="40137.730000000003"/>
    <n v="40287.08"/>
    <n v="21151.84"/>
    <n v="3654.7"/>
    <n v="1343.92"/>
    <n v="3020.09"/>
    <n v="847.13"/>
    <n v="30017.69"/>
    <n v="18985.900000000001"/>
    <n v="10120.040000000005"/>
    <n v="0.25213284358632149"/>
    <n v="-149.35"/>
    <n v="3211.02"/>
    <n v="1846.34"/>
    <n v="38773.050000000003"/>
    <x v="52"/>
    <s v="Punjab"/>
    <x v="1"/>
    <x v="16"/>
    <s v="CC-1003"/>
  </r>
  <r>
    <s v="TXN-00282"/>
    <d v="2025-04-28T00:00:00"/>
    <x v="9"/>
    <x v="2"/>
    <x v="0"/>
    <x v="3"/>
    <x v="0"/>
    <s v="West Bengal"/>
    <s v="Durgapur"/>
    <s v="Branch B"/>
    <x v="3"/>
    <s v="CC-1003"/>
    <s v="P006"/>
    <s v="Smartphone"/>
    <x v="0"/>
    <x v="9"/>
    <n v="20981.08"/>
    <n v="19122.21"/>
    <n v="10718.46"/>
    <n v="2012.25"/>
    <n v="607.58000000000004"/>
    <n v="891.16"/>
    <n v="734.43"/>
    <n v="14963.89"/>
    <n v="10262.620000000001"/>
    <n v="6017.1900000000023"/>
    <n v="0.28679124239552978"/>
    <n v="1858.87"/>
    <n v="629.42999999999995"/>
    <n v="1017.58"/>
    <n v="21369.23"/>
    <x v="39"/>
    <s v="West Bengal"/>
    <x v="3"/>
    <x v="16"/>
    <s v="CC-1003"/>
  </r>
  <r>
    <s v="TXN-00283"/>
    <d v="2025-05-05T00:00:00"/>
    <x v="3"/>
    <x v="2"/>
    <x v="0"/>
    <x v="4"/>
    <x v="0"/>
    <s v="Madhya Pradesh"/>
    <s v="Bhopal"/>
    <s v="Branch A"/>
    <x v="2"/>
    <s v="CC-1003"/>
    <s v="P002"/>
    <s v="Monitor"/>
    <x v="0"/>
    <x v="2"/>
    <n v="66335.929999999993"/>
    <n v="74498.460000000006"/>
    <n v="38681.919999999998"/>
    <n v="7296.21"/>
    <n v="5595.28"/>
    <n v="5689.62"/>
    <n v="1083.0999999999999"/>
    <n v="58346.13"/>
    <n v="27654.02"/>
    <n v="7989.7999999999956"/>
    <n v="0.12044453134221525"/>
    <n v="-8162.53"/>
    <n v="1326.72"/>
    <n v="3250.46"/>
    <n v="68259.679999999993"/>
    <x v="23"/>
    <s v="Madhya Pradesh"/>
    <x v="2"/>
    <x v="3"/>
    <s v="CC-1003"/>
  </r>
  <r>
    <s v="TXN-00284"/>
    <d v="2025-05-04T00:00:00"/>
    <x v="3"/>
    <x v="2"/>
    <x v="0"/>
    <x v="3"/>
    <x v="0"/>
    <s v="West Bengal"/>
    <s v="Durgapur"/>
    <s v="Branch A"/>
    <x v="3"/>
    <s v="CC-1001"/>
    <s v="P016"/>
    <s v="Network Switch"/>
    <x v="4"/>
    <x v="10"/>
    <n v="14164.85"/>
    <n v="15748.5"/>
    <n v="9229.48"/>
    <n v="1364.33"/>
    <n v="367.57"/>
    <n v="974.97"/>
    <n v="441.51"/>
    <n v="12377.86"/>
    <n v="4935.38"/>
    <n v="1786.9899999999998"/>
    <n v="0.12615664832313789"/>
    <n v="-1583.65"/>
    <n v="424.95"/>
    <n v="2473.1799999999998"/>
    <n v="16213.09"/>
    <x v="39"/>
    <s v="West Bengal"/>
    <x v="3"/>
    <x v="13"/>
    <s v="CC-1001"/>
  </r>
  <r>
    <s v="TXN-00285"/>
    <d v="2025-07-18T00:00:00"/>
    <x v="0"/>
    <x v="0"/>
    <x v="0"/>
    <x v="0"/>
    <x v="0"/>
    <s v="Rajasthan"/>
    <s v="Jaipur"/>
    <s v="Branch D"/>
    <x v="1"/>
    <s v="CC-1001"/>
    <s v="P020"/>
    <s v="Document Scanner"/>
    <x v="0"/>
    <x v="3"/>
    <n v="58788.19"/>
    <n v="65978.89"/>
    <n v="40717.839999999997"/>
    <n v="6777.47"/>
    <n v="1542.1"/>
    <n v="5812.59"/>
    <n v="1016.68"/>
    <n v="55866.68"/>
    <n v="18070.349999999999"/>
    <n v="2921.510000000002"/>
    <n v="4.9695525580903274E-2"/>
    <n v="-7190.7"/>
    <n v="0"/>
    <n v="10581.87"/>
    <n v="69370.06"/>
    <x v="21"/>
    <s v="Rajasthan"/>
    <x v="1"/>
    <x v="6"/>
    <s v="CC-1001"/>
  </r>
  <r>
    <s v="TXN-00286"/>
    <d v="2025-10-08T00:00:00"/>
    <x v="5"/>
    <x v="3"/>
    <x v="0"/>
    <x v="1"/>
    <x v="0"/>
    <s v="Karnataka"/>
    <s v="Mysuru"/>
    <s v="Branch A"/>
    <x v="1"/>
    <s v="CC-1005"/>
    <s v="P010"/>
    <s v="Mouse"/>
    <x v="1"/>
    <x v="1"/>
    <n v="8296.4"/>
    <n v="8980.59"/>
    <n v="4458.29"/>
    <n v="917.94"/>
    <n v="617.26"/>
    <n v="539.33000000000004"/>
    <n v="202.22"/>
    <n v="6735.03"/>
    <n v="3838.12"/>
    <n v="1561.37"/>
    <n v="0.18819849573308906"/>
    <n v="-684.19"/>
    <n v="165.93"/>
    <n v="1463.49"/>
    <n v="9593.9599999999991"/>
    <x v="33"/>
    <s v="Karnataka"/>
    <x v="1"/>
    <x v="1"/>
    <s v="CC-1005"/>
  </r>
  <r>
    <s v="TXN-00287"/>
    <d v="2026-03-07T00:00:00"/>
    <x v="8"/>
    <x v="1"/>
    <x v="0"/>
    <x v="4"/>
    <x v="0"/>
    <s v="Chhattisgarh"/>
    <s v="Bhilai"/>
    <s v="Branch C"/>
    <x v="4"/>
    <s v="CC-1001"/>
    <s v="P018"/>
    <s v="Projector"/>
    <x v="0"/>
    <x v="6"/>
    <n v="26174.55"/>
    <n v="24466.34"/>
    <n v="18627.13"/>
    <n v="2205.33"/>
    <n v="1729.65"/>
    <n v="2567.4299999999998"/>
    <n v="597.91999999999996"/>
    <n v="25727.46"/>
    <n v="7547.42"/>
    <n v="447.09000000000015"/>
    <n v="1.7081095950073646E-2"/>
    <n v="1708.22"/>
    <n v="0"/>
    <n v="1308.73"/>
    <n v="27483.279999999999"/>
    <x v="38"/>
    <s v="Chhattisgarh"/>
    <x v="4"/>
    <x v="9"/>
    <s v="CC-1001"/>
  </r>
  <r>
    <s v="TXN-00288"/>
    <d v="2026-03-06T00:00:00"/>
    <x v="8"/>
    <x v="1"/>
    <x v="0"/>
    <x v="0"/>
    <x v="0"/>
    <s v="Goa"/>
    <s v="Margao"/>
    <s v="Branch C"/>
    <x v="1"/>
    <s v="CC-1001"/>
    <s v="P004"/>
    <s v="Office Chair"/>
    <x v="3"/>
    <x v="5"/>
    <n v="24069.84"/>
    <n v="26706.89"/>
    <n v="12380.53"/>
    <n v="2469.98"/>
    <n v="1605.51"/>
    <n v="1012.03"/>
    <n v="904.52"/>
    <n v="18372.57"/>
    <n v="11689.31"/>
    <n v="5697.27"/>
    <n v="0.23669746039026435"/>
    <n v="-2637.05"/>
    <n v="1925.59"/>
    <n v="2657.31"/>
    <n v="24801.57"/>
    <x v="37"/>
    <s v="Goa"/>
    <x v="1"/>
    <x v="17"/>
    <s v="CC-1001"/>
  </r>
  <r>
    <s v="TXN-00289"/>
    <d v="2025-09-26T00:00:00"/>
    <x v="1"/>
    <x v="0"/>
    <x v="0"/>
    <x v="1"/>
    <x v="0"/>
    <s v="Kerala"/>
    <s v="Kozhikode"/>
    <s v="Branch B"/>
    <x v="0"/>
    <s v="CC-1005"/>
    <s v="P013"/>
    <s v="CRM Software"/>
    <x v="2"/>
    <x v="4"/>
    <n v="30575.4"/>
    <n v="29416.89"/>
    <n v="21367.21"/>
    <n v="1767.28"/>
    <n v="2460.29"/>
    <n v="2025.71"/>
    <n v="363.3"/>
    <n v="27983.78"/>
    <n v="9208.2000000000007"/>
    <n v="2591.6200000000026"/>
    <n v="8.4761605735329787E-2"/>
    <n v="1158.52"/>
    <n v="1528.77"/>
    <n v="1452.33"/>
    <n v="30498.959999999999"/>
    <x v="24"/>
    <s v="Kerala"/>
    <x v="0"/>
    <x v="15"/>
    <s v="CC-1005"/>
  </r>
  <r>
    <s v="TXN-00290"/>
    <d v="2025-07-24T00:00:00"/>
    <x v="0"/>
    <x v="0"/>
    <x v="0"/>
    <x v="1"/>
    <x v="0"/>
    <s v="Kerala"/>
    <s v="Kozhikode"/>
    <s v="Branch C"/>
    <x v="2"/>
    <s v="CC-1003"/>
    <s v="P016"/>
    <s v="Network Switch"/>
    <x v="4"/>
    <x v="10"/>
    <n v="18595.759999999998"/>
    <n v="20558.5"/>
    <n v="12549.67"/>
    <n v="2336.7399999999998"/>
    <n v="843.13"/>
    <n v="2021"/>
    <n v="271.67"/>
    <n v="18022.2"/>
    <n v="6046.09"/>
    <n v="573.55999999999767"/>
    <n v="3.084359015173339E-2"/>
    <n v="-1962.74"/>
    <n v="929.79"/>
    <n v="3179.87"/>
    <n v="20845.849999999999"/>
    <x v="24"/>
    <s v="Kerala"/>
    <x v="2"/>
    <x v="13"/>
    <s v="CC-1003"/>
  </r>
  <r>
    <s v="TXN-00291"/>
    <d v="2026-02-06T00:00:00"/>
    <x v="2"/>
    <x v="1"/>
    <x v="0"/>
    <x v="0"/>
    <x v="0"/>
    <s v="Goa"/>
    <s v="Vasco da Gama"/>
    <s v="Branch C"/>
    <x v="1"/>
    <s v="CC-1003"/>
    <s v="P001"/>
    <s v="Business Laptop"/>
    <x v="0"/>
    <x v="2"/>
    <n v="50815.839999999997"/>
    <n v="50562.73"/>
    <n v="26443.89"/>
    <n v="5941.15"/>
    <n v="3083.46"/>
    <n v="2801.76"/>
    <n v="1789.4"/>
    <n v="40059.67"/>
    <n v="24371.94"/>
    <n v="10756.169999999998"/>
    <n v="0.21166962899757238"/>
    <n v="253.11"/>
    <n v="1524.48"/>
    <n v="8872.4500000000007"/>
    <n v="58163.81"/>
    <x v="0"/>
    <s v="Goa"/>
    <x v="1"/>
    <x v="4"/>
    <s v="CC-1003"/>
  </r>
  <r>
    <s v="TXN-00292"/>
    <d v="2025-11-13T00:00:00"/>
    <x v="10"/>
    <x v="3"/>
    <x v="0"/>
    <x v="0"/>
    <x v="0"/>
    <s v="Rajasthan"/>
    <s v="Udaipur"/>
    <s v="Branch D"/>
    <x v="4"/>
    <s v="CC-1003"/>
    <s v="P020"/>
    <s v="Document Scanner"/>
    <x v="0"/>
    <x v="3"/>
    <n v="46974.12"/>
    <n v="54332.97"/>
    <n v="24148.39"/>
    <n v="3492.03"/>
    <n v="1599.52"/>
    <n v="4178.8500000000004"/>
    <n v="973.33"/>
    <n v="34392.11"/>
    <n v="22825.73"/>
    <n v="12582.010000000002"/>
    <n v="0.26784982879934743"/>
    <n v="-7358.85"/>
    <n v="939.48"/>
    <n v="2301.73"/>
    <n v="48336.37"/>
    <x v="17"/>
    <s v="Rajasthan"/>
    <x v="4"/>
    <x v="6"/>
    <s v="CC-1003"/>
  </r>
  <r>
    <s v="TXN-00293"/>
    <d v="2025-04-27T00:00:00"/>
    <x v="9"/>
    <x v="2"/>
    <x v="0"/>
    <x v="0"/>
    <x v="0"/>
    <s v="Rajasthan"/>
    <s v="Udaipur"/>
    <s v="Branch D"/>
    <x v="0"/>
    <s v="CC-1005"/>
    <s v="P009"/>
    <s v="Keyboard"/>
    <x v="1"/>
    <x v="1"/>
    <n v="2982.98"/>
    <n v="3146.42"/>
    <n v="2144.5100000000002"/>
    <n v="366.67"/>
    <n v="117.53"/>
    <n v="132.72"/>
    <n v="56.52"/>
    <n v="2817.95"/>
    <n v="838.48"/>
    <n v="165.0300000000002"/>
    <n v="5.5323870760112435E-2"/>
    <n v="-163.43"/>
    <n v="89.49"/>
    <n v="144.66999999999999"/>
    <n v="3038.17"/>
    <x v="17"/>
    <s v="Rajasthan"/>
    <x v="0"/>
    <x v="2"/>
    <s v="CC-1005"/>
  </r>
  <r>
    <s v="TXN-00294"/>
    <d v="2025-06-21T00:00:00"/>
    <x v="11"/>
    <x v="2"/>
    <x v="0"/>
    <x v="3"/>
    <x v="0"/>
    <s v="West Bengal"/>
    <s v="Siliguri"/>
    <s v="Branch C"/>
    <x v="1"/>
    <s v="CC-1001"/>
    <s v="P006"/>
    <s v="Smartphone"/>
    <x v="0"/>
    <x v="9"/>
    <n v="20716.61"/>
    <n v="21176.560000000001"/>
    <n v="12187.67"/>
    <n v="2476.34"/>
    <n v="1231.69"/>
    <n v="1604.26"/>
    <n v="504.96"/>
    <n v="18004.919999999998"/>
    <n v="8528.9500000000007"/>
    <n v="2711.6900000000023"/>
    <n v="0.13089448514983881"/>
    <n v="-459.95"/>
    <n v="1657.33"/>
    <n v="3430.67"/>
    <n v="22489.95"/>
    <x v="44"/>
    <s v="West Bengal"/>
    <x v="1"/>
    <x v="16"/>
    <s v="CC-1001"/>
  </r>
  <r>
    <s v="TXN-00295"/>
    <d v="2026-01-31T00:00:00"/>
    <x v="4"/>
    <x v="1"/>
    <x v="0"/>
    <x v="0"/>
    <x v="0"/>
    <s v="Maharashtra"/>
    <s v="Nagpur"/>
    <s v="Branch A"/>
    <x v="1"/>
    <s v="CC-1002"/>
    <s v="P004"/>
    <s v="Office Chair"/>
    <x v="3"/>
    <x v="5"/>
    <n v="18174.7"/>
    <n v="19243.650000000001"/>
    <n v="13067.18"/>
    <n v="1541.6"/>
    <n v="1542.03"/>
    <n v="1228.6300000000001"/>
    <n v="216.56"/>
    <n v="17596.009999999998"/>
    <n v="5107.5200000000004"/>
    <n v="578.69000000000233"/>
    <n v="3.1840415522677253E-2"/>
    <n v="-1068.95"/>
    <n v="363.49"/>
    <n v="2137.35"/>
    <n v="19948.55"/>
    <x v="15"/>
    <s v="Maharashtra"/>
    <x v="1"/>
    <x v="17"/>
    <s v="CC-1002"/>
  </r>
  <r>
    <s v="TXN-00296"/>
    <d v="2025-10-02T00:00:00"/>
    <x v="5"/>
    <x v="3"/>
    <x v="0"/>
    <x v="2"/>
    <x v="0"/>
    <s v="Haryana"/>
    <s v="Faridabad"/>
    <s v="Branch D"/>
    <x v="1"/>
    <s v="CC-1002"/>
    <s v="P006"/>
    <s v="Smartphone"/>
    <x v="0"/>
    <x v="9"/>
    <n v="66904.11"/>
    <n v="73382.8"/>
    <n v="35836.65"/>
    <n v="7121.61"/>
    <n v="3010.73"/>
    <n v="3972.36"/>
    <n v="839.99"/>
    <n v="50781.34"/>
    <n v="31067.46"/>
    <n v="16122.770000000004"/>
    <n v="0.24098325200051243"/>
    <n v="-6478.68"/>
    <n v="3345.21"/>
    <n v="11440.6"/>
    <n v="74999.509999999995"/>
    <x v="13"/>
    <s v="Haryana"/>
    <x v="1"/>
    <x v="16"/>
    <s v="CC-1002"/>
  </r>
  <r>
    <s v="TXN-00297"/>
    <d v="2025-07-15T00:00:00"/>
    <x v="0"/>
    <x v="0"/>
    <x v="0"/>
    <x v="2"/>
    <x v="0"/>
    <s v="Uttar Pradesh"/>
    <s v="Kanpur"/>
    <s v="Branch B"/>
    <x v="1"/>
    <s v="CC-1002"/>
    <s v="P010"/>
    <s v="Mouse"/>
    <x v="1"/>
    <x v="1"/>
    <n v="3758.12"/>
    <n v="3398.66"/>
    <n v="2211.7600000000002"/>
    <n v="410.11"/>
    <n v="261.64999999999998"/>
    <n v="395.38"/>
    <n v="153"/>
    <n v="3431.9"/>
    <n v="1546.36"/>
    <n v="326.2199999999998"/>
    <n v="8.6804040318031309E-2"/>
    <n v="359.47"/>
    <n v="187.91"/>
    <n v="642.64"/>
    <n v="4212.8599999999997"/>
    <x v="25"/>
    <s v="Uttar Pradesh"/>
    <x v="1"/>
    <x v="1"/>
    <s v="CC-1002"/>
  </r>
  <r>
    <s v="TXN-00298"/>
    <d v="2026-01-11T00:00:00"/>
    <x v="4"/>
    <x v="1"/>
    <x v="0"/>
    <x v="0"/>
    <x v="0"/>
    <s v="Gujarat"/>
    <s v="Vadodara"/>
    <s v="Branch C"/>
    <x v="3"/>
    <s v="CC-1002"/>
    <s v="P007"/>
    <s v="Tablet"/>
    <x v="0"/>
    <x v="9"/>
    <n v="48073.53"/>
    <n v="50069.47"/>
    <n v="34522.21"/>
    <n v="5701.64"/>
    <n v="1506.09"/>
    <n v="4639.5600000000004"/>
    <n v="1062.2"/>
    <n v="47431.7"/>
    <n v="13551.32"/>
    <n v="641.83000000000175"/>
    <n v="1.3351006260617885E-2"/>
    <n v="-1995.94"/>
    <n v="0"/>
    <n v="5768.82"/>
    <n v="53842.35"/>
    <x v="19"/>
    <s v="Gujarat"/>
    <x v="3"/>
    <x v="12"/>
    <s v="CC-1002"/>
  </r>
  <r>
    <s v="TXN-00299"/>
    <d v="2025-10-01T00:00:00"/>
    <x v="5"/>
    <x v="3"/>
    <x v="0"/>
    <x v="0"/>
    <x v="0"/>
    <s v="Rajasthan"/>
    <s v="Udaipur"/>
    <s v="Branch B"/>
    <x v="4"/>
    <s v="CC-1001"/>
    <s v="P017"/>
    <s v="UPS System"/>
    <x v="0"/>
    <x v="7"/>
    <n v="22918.78"/>
    <n v="21455.13"/>
    <n v="14056.82"/>
    <n v="1680.15"/>
    <n v="1194.77"/>
    <n v="1607.74"/>
    <n v="931.8"/>
    <n v="19471.28"/>
    <n v="8861.9599999999991"/>
    <n v="3447.5"/>
    <n v="0.15042249194765167"/>
    <n v="1463.66"/>
    <n v="1833.5"/>
    <n v="2530.23"/>
    <n v="23615.51"/>
    <x v="17"/>
    <s v="Rajasthan"/>
    <x v="4"/>
    <x v="10"/>
    <s v="CC-1001"/>
  </r>
  <r>
    <s v="TXN-00300"/>
    <d v="2025-05-12T00:00:00"/>
    <x v="3"/>
    <x v="2"/>
    <x v="0"/>
    <x v="2"/>
    <x v="0"/>
    <s v="Haryana"/>
    <s v="Faridabad"/>
    <s v="Branch D"/>
    <x v="2"/>
    <s v="CC-1002"/>
    <s v="P017"/>
    <s v="UPS System"/>
    <x v="0"/>
    <x v="7"/>
    <n v="37850.300000000003"/>
    <n v="42895.54"/>
    <n v="26487.41"/>
    <n v="4066.43"/>
    <n v="1644.01"/>
    <n v="2502"/>
    <n v="406"/>
    <n v="35105.86"/>
    <n v="11362.89"/>
    <n v="2744.4400000000023"/>
    <n v="7.2507747626835248E-2"/>
    <n v="-5045.24"/>
    <n v="1892.52"/>
    <n v="1797.89"/>
    <n v="37755.68"/>
    <x v="13"/>
    <s v="Haryana"/>
    <x v="2"/>
    <x v="10"/>
    <s v="CC-1002"/>
  </r>
  <r>
    <s v="TXN-00301"/>
    <d v="2026-03-07T00:00:00"/>
    <x v="8"/>
    <x v="1"/>
    <x v="0"/>
    <x v="3"/>
    <x v="0"/>
    <s v="West Bengal"/>
    <s v="Kolkata"/>
    <s v="Branch C"/>
    <x v="3"/>
    <s v="CC-1005"/>
    <s v="P016"/>
    <s v="Network Switch"/>
    <x v="4"/>
    <x v="10"/>
    <n v="14803.36"/>
    <n v="13085.71"/>
    <n v="8923.8700000000008"/>
    <n v="1651.39"/>
    <n v="1269.56"/>
    <n v="1668.87"/>
    <n v="572.70000000000005"/>
    <n v="14086.39"/>
    <n v="5879.49"/>
    <n v="716.97000000000116"/>
    <n v="4.8432923336323722E-2"/>
    <n v="1717.65"/>
    <n v="1184.27"/>
    <n v="680.95"/>
    <n v="14300.04"/>
    <x v="20"/>
    <s v="West Bengal"/>
    <x v="3"/>
    <x v="13"/>
    <s v="CC-1005"/>
  </r>
  <r>
    <s v="TXN-00302"/>
    <d v="2026-02-21T00:00:00"/>
    <x v="2"/>
    <x v="1"/>
    <x v="0"/>
    <x v="3"/>
    <x v="0"/>
    <s v="Odisha"/>
    <s v="Cuttack"/>
    <s v="Branch A"/>
    <x v="3"/>
    <s v="CC-1003"/>
    <s v="P002"/>
    <s v="Monitor"/>
    <x v="0"/>
    <x v="2"/>
    <n v="24224.38"/>
    <n v="24975.42"/>
    <n v="16258.09"/>
    <n v="2644.27"/>
    <n v="1622.06"/>
    <n v="1270.8599999999999"/>
    <n v="706.06"/>
    <n v="22501.33"/>
    <n v="7966.29"/>
    <n v="1723.0499999999993"/>
    <n v="7.1128755410871158E-2"/>
    <n v="-751.04"/>
    <n v="0"/>
    <n v="2906.93"/>
    <n v="27131.3"/>
    <x v="28"/>
    <s v="Odisha"/>
    <x v="3"/>
    <x v="3"/>
    <s v="CC-1003"/>
  </r>
  <r>
    <s v="TXN-00303"/>
    <d v="2025-05-15T00:00:00"/>
    <x v="3"/>
    <x v="2"/>
    <x v="0"/>
    <x v="2"/>
    <x v="0"/>
    <s v="Haryana"/>
    <s v="Faridabad"/>
    <s v="Branch A"/>
    <x v="4"/>
    <s v="CC-1004"/>
    <s v="P001"/>
    <s v="Business Laptop"/>
    <x v="0"/>
    <x v="2"/>
    <n v="17171.18"/>
    <n v="17131.09"/>
    <n v="12148.05"/>
    <n v="1052.52"/>
    <n v="1281.46"/>
    <n v="836.14"/>
    <n v="761.44"/>
    <n v="16079.61"/>
    <n v="5023.13"/>
    <n v="1091.5699999999997"/>
    <n v="6.3569888615692086E-2"/>
    <n v="40.090000000000003"/>
    <n v="515.14"/>
    <n v="2998.09"/>
    <n v="19654.13"/>
    <x v="13"/>
    <s v="Haryana"/>
    <x v="4"/>
    <x v="4"/>
    <s v="CC-1004"/>
  </r>
  <r>
    <s v="TXN-00304"/>
    <d v="2025-09-01T00:00:00"/>
    <x v="1"/>
    <x v="0"/>
    <x v="0"/>
    <x v="0"/>
    <x v="0"/>
    <s v="Goa"/>
    <s v="Vasco da Gama"/>
    <s v="Branch A"/>
    <x v="1"/>
    <s v="CC-1001"/>
    <s v="P009"/>
    <s v="Keyboard"/>
    <x v="1"/>
    <x v="1"/>
    <n v="10718.53"/>
    <n v="11443.42"/>
    <n v="7224.12"/>
    <n v="595.12"/>
    <n v="501.21"/>
    <n v="697.74"/>
    <n v="345.65"/>
    <n v="9363.84"/>
    <n v="3494.41"/>
    <n v="1354.6900000000005"/>
    <n v="0.12638766696552609"/>
    <n v="-724.89"/>
    <n v="321.56"/>
    <n v="519.85"/>
    <n v="10916.82"/>
    <x v="0"/>
    <s v="Goa"/>
    <x v="1"/>
    <x v="2"/>
    <s v="CC-1001"/>
  </r>
  <r>
    <s v="TXN-00305"/>
    <d v="2025-11-12T00:00:00"/>
    <x v="10"/>
    <x v="3"/>
    <x v="0"/>
    <x v="0"/>
    <x v="0"/>
    <s v="Maharashtra"/>
    <s v="Pune"/>
    <s v="Branch D"/>
    <x v="1"/>
    <s v="CC-1002"/>
    <s v="P019"/>
    <s v="Conference Camera"/>
    <x v="0"/>
    <x v="0"/>
    <n v="27118.6"/>
    <n v="29093.88"/>
    <n v="16928.16"/>
    <n v="2866.07"/>
    <n v="1316.95"/>
    <n v="2872.4"/>
    <n v="464.9"/>
    <n v="24448.47"/>
    <n v="10190.44"/>
    <n v="2670.1299999999974"/>
    <n v="9.8461203749456008E-2"/>
    <n v="-1975.28"/>
    <n v="813.56"/>
    <n v="4734.91"/>
    <n v="31039.95"/>
    <x v="12"/>
    <s v="Maharashtra"/>
    <x v="1"/>
    <x v="0"/>
    <s v="CC-1002"/>
  </r>
  <r>
    <s v="TXN-00306"/>
    <d v="2025-08-08T00:00:00"/>
    <x v="7"/>
    <x v="0"/>
    <x v="0"/>
    <x v="1"/>
    <x v="0"/>
    <s v="Tamil Nadu"/>
    <s v="Madurai"/>
    <s v="Branch A"/>
    <x v="1"/>
    <s v="CC-1004"/>
    <s v="P001"/>
    <s v="Business Laptop"/>
    <x v="0"/>
    <x v="2"/>
    <n v="68884.3"/>
    <n v="68065.83"/>
    <n v="34503.949999999997"/>
    <n v="4558.21"/>
    <n v="4164.53"/>
    <n v="3896.41"/>
    <n v="2000.34"/>
    <n v="49123.43"/>
    <n v="34380.36"/>
    <n v="19760.870000000003"/>
    <n v="0.28687044798306727"/>
    <n v="818.47"/>
    <n v="1377.69"/>
    <n v="12151.19"/>
    <n v="79657.81"/>
    <x v="43"/>
    <s v="Tamil Nadu"/>
    <x v="1"/>
    <x v="4"/>
    <s v="CC-1004"/>
  </r>
  <r>
    <s v="TXN-00307"/>
    <d v="2026-03-18T00:00:00"/>
    <x v="8"/>
    <x v="1"/>
    <x v="0"/>
    <x v="3"/>
    <x v="0"/>
    <s v="Odisha"/>
    <s v="Bhubaneswar"/>
    <s v="Branch D"/>
    <x v="4"/>
    <s v="CC-1005"/>
    <s v="P018"/>
    <s v="Projector"/>
    <x v="0"/>
    <x v="6"/>
    <n v="55373.279999999999"/>
    <n v="61047.37"/>
    <n v="33844.29"/>
    <n v="6686.78"/>
    <n v="3378.3"/>
    <n v="4582.96"/>
    <n v="932.54"/>
    <n v="49424.87"/>
    <n v="21528.99"/>
    <n v="5948.4099999999962"/>
    <n v="0.10742383330010424"/>
    <n v="-5674.09"/>
    <n v="0"/>
    <n v="9967.19"/>
    <n v="65340.47"/>
    <x v="3"/>
    <s v="Odisha"/>
    <x v="4"/>
    <x v="9"/>
    <s v="CC-1005"/>
  </r>
  <r>
    <s v="TXN-00308"/>
    <d v="2025-06-21T00:00:00"/>
    <x v="11"/>
    <x v="2"/>
    <x v="0"/>
    <x v="1"/>
    <x v="0"/>
    <s v="Tamil Nadu"/>
    <s v="Chennai"/>
    <s v="Branch A"/>
    <x v="1"/>
    <s v="CC-1002"/>
    <s v="P020"/>
    <s v="Document Scanner"/>
    <x v="0"/>
    <x v="3"/>
    <n v="49828.71"/>
    <n v="44664.14"/>
    <n v="27673.39"/>
    <n v="4481.3900000000003"/>
    <n v="1947.19"/>
    <n v="5471.69"/>
    <n v="650.21"/>
    <n v="40223.870000000003"/>
    <n v="22155.31"/>
    <n v="9604.8399999999965"/>
    <n v="0.19275714743568512"/>
    <n v="5164.57"/>
    <n v="1494.86"/>
    <n v="8700.09"/>
    <n v="57033.94"/>
    <x v="1"/>
    <s v="Tamil Nadu"/>
    <x v="1"/>
    <x v="6"/>
    <s v="CC-1002"/>
  </r>
  <r>
    <s v="TXN-00309"/>
    <d v="2025-09-21T00:00:00"/>
    <x v="1"/>
    <x v="0"/>
    <x v="0"/>
    <x v="4"/>
    <x v="0"/>
    <s v="Chhattisgarh"/>
    <s v="Raipur"/>
    <s v="Branch C"/>
    <x v="1"/>
    <s v="CC-1002"/>
    <s v="P019"/>
    <s v="Conference Camera"/>
    <x v="0"/>
    <x v="0"/>
    <n v="54015.91"/>
    <n v="60689.14"/>
    <n v="30359.31"/>
    <n v="4574.91"/>
    <n v="4329.41"/>
    <n v="3730.36"/>
    <n v="2041.14"/>
    <n v="45035.12"/>
    <n v="23656.6"/>
    <n v="8980.7900000000009"/>
    <n v="0.16626194023205385"/>
    <n v="-6673.23"/>
    <n v="5401.59"/>
    <n v="8750.58"/>
    <n v="57364.9"/>
    <x v="50"/>
    <s v="Chhattisgarh"/>
    <x v="1"/>
    <x v="0"/>
    <s v="CC-1002"/>
  </r>
  <r>
    <s v="TXN-00310"/>
    <d v="2026-01-27T00:00:00"/>
    <x v="4"/>
    <x v="1"/>
    <x v="0"/>
    <x v="3"/>
    <x v="0"/>
    <s v="Jharkhand"/>
    <s v="Ranchi"/>
    <s v="Branch B"/>
    <x v="3"/>
    <s v="CC-1001"/>
    <s v="P010"/>
    <s v="Mouse"/>
    <x v="1"/>
    <x v="1"/>
    <n v="1657.99"/>
    <n v="1749.22"/>
    <n v="980.55"/>
    <n v="165.03"/>
    <n v="93.21"/>
    <n v="154.09"/>
    <n v="29.3"/>
    <n v="1422.17"/>
    <n v="677.44"/>
    <n v="235.81999999999994"/>
    <n v="0.14223246219820382"/>
    <n v="-91.23"/>
    <n v="0"/>
    <n v="198.96"/>
    <n v="1856.95"/>
    <x v="9"/>
    <s v="Jharkhand"/>
    <x v="3"/>
    <x v="1"/>
    <s v="CC-1001"/>
  </r>
  <r>
    <s v="TXN-00311"/>
    <d v="2025-09-08T00:00:00"/>
    <x v="1"/>
    <x v="0"/>
    <x v="0"/>
    <x v="0"/>
    <x v="0"/>
    <s v="Maharashtra"/>
    <s v="Nagpur"/>
    <s v="Branch C"/>
    <x v="4"/>
    <s v="CC-1005"/>
    <s v="P011"/>
    <s v="Cloud Software"/>
    <x v="2"/>
    <x v="11"/>
    <n v="23560.28"/>
    <n v="22851.13"/>
    <n v="16749.11"/>
    <n v="2187.59"/>
    <n v="1535.87"/>
    <n v="2225.36"/>
    <n v="785.4"/>
    <n v="23483.32"/>
    <n v="6811.17"/>
    <n v="76.959999999999127"/>
    <n v="3.266514659418272E-3"/>
    <n v="709.15"/>
    <n v="706.81"/>
    <n v="2742.42"/>
    <n v="25595.89"/>
    <x v="15"/>
    <s v="Maharashtra"/>
    <x v="4"/>
    <x v="18"/>
    <s v="CC-1005"/>
  </r>
  <r>
    <s v="TXN-00312"/>
    <d v="2025-06-05T00:00:00"/>
    <x v="11"/>
    <x v="2"/>
    <x v="0"/>
    <x v="2"/>
    <x v="0"/>
    <s v="Haryana"/>
    <s v="Panipat"/>
    <s v="Branch A"/>
    <x v="0"/>
    <s v="CC-1004"/>
    <s v="P002"/>
    <s v="Monitor"/>
    <x v="0"/>
    <x v="2"/>
    <n v="29906.5"/>
    <n v="31703.14"/>
    <n v="19603.71"/>
    <n v="3336.96"/>
    <n v="2643.78"/>
    <n v="2568.52"/>
    <n v="656.67"/>
    <n v="28809.65"/>
    <n v="10302.780000000001"/>
    <n v="1096.8499999999985"/>
    <n v="3.6675973450587616E-2"/>
    <n v="-1796.65"/>
    <n v="1495.32"/>
    <n v="1420.56"/>
    <n v="29831.73"/>
    <x v="16"/>
    <s v="Haryana"/>
    <x v="0"/>
    <x v="3"/>
    <s v="CC-1004"/>
  </r>
  <r>
    <s v="TXN-00313"/>
    <d v="2025-10-09T00:00:00"/>
    <x v="5"/>
    <x v="3"/>
    <x v="0"/>
    <x v="2"/>
    <x v="0"/>
    <s v="Punjab"/>
    <s v="Jalandhar"/>
    <s v="Branch B"/>
    <x v="0"/>
    <s v="CC-1003"/>
    <s v="P008"/>
    <s v="Headset"/>
    <x v="1"/>
    <x v="8"/>
    <n v="6178.28"/>
    <n v="6067.07"/>
    <n v="4255.08"/>
    <n v="352.48"/>
    <n v="466.41"/>
    <n v="666.04"/>
    <n v="101.1"/>
    <n v="5841.1"/>
    <n v="1923.2"/>
    <n v="337.17999999999938"/>
    <n v="5.4575059725360357E-2"/>
    <n v="111.2"/>
    <n v="185.35"/>
    <n v="299.64999999999998"/>
    <n v="6292.57"/>
    <x v="52"/>
    <s v="Punjab"/>
    <x v="0"/>
    <x v="11"/>
    <s v="CC-1003"/>
  </r>
  <r>
    <s v="TXN-00314"/>
    <d v="2025-04-23T00:00:00"/>
    <x v="9"/>
    <x v="2"/>
    <x v="0"/>
    <x v="0"/>
    <x v="0"/>
    <s v="Maharashtra"/>
    <s v="Nagpur"/>
    <s v="Branch C"/>
    <x v="1"/>
    <s v="CC-1001"/>
    <s v="P008"/>
    <s v="Headset"/>
    <x v="1"/>
    <x v="8"/>
    <n v="4030.8"/>
    <n v="4584.55"/>
    <n v="2579.96"/>
    <n v="341.94"/>
    <n v="350.49"/>
    <n v="393.16"/>
    <n v="171.53"/>
    <n v="3837.09"/>
    <n v="1450.84"/>
    <n v="193.71000000000004"/>
    <n v="4.8057457576659725E-2"/>
    <n v="-553.75"/>
    <n v="120.92"/>
    <n v="469.19"/>
    <n v="4379.0600000000004"/>
    <x v="15"/>
    <s v="Maharashtra"/>
    <x v="1"/>
    <x v="11"/>
    <s v="CC-1001"/>
  </r>
  <r>
    <s v="TXN-00315"/>
    <d v="2025-09-16T00:00:00"/>
    <x v="1"/>
    <x v="0"/>
    <x v="0"/>
    <x v="0"/>
    <x v="0"/>
    <s v="Maharashtra"/>
    <s v="Mumbai"/>
    <s v="Branch C"/>
    <x v="1"/>
    <s v="CC-1003"/>
    <s v="P001"/>
    <s v="Business Laptop"/>
    <x v="0"/>
    <x v="2"/>
    <n v="49441.19"/>
    <n v="45974.21"/>
    <n v="28237.69"/>
    <n v="4913.25"/>
    <n v="4352.72"/>
    <n v="4855.6400000000003"/>
    <n v="2090.92"/>
    <n v="44450.22"/>
    <n v="21203.5"/>
    <n v="4990.9700000000012"/>
    <n v="0.1009476106865551"/>
    <n v="3466.98"/>
    <n v="2472.06"/>
    <n v="5636.3"/>
    <n v="52605.43"/>
    <x v="6"/>
    <s v="Maharashtra"/>
    <x v="1"/>
    <x v="4"/>
    <s v="CC-1003"/>
  </r>
  <r>
    <s v="TXN-00316"/>
    <d v="2025-08-03T00:00:00"/>
    <x v="7"/>
    <x v="0"/>
    <x v="0"/>
    <x v="0"/>
    <x v="0"/>
    <s v="Goa"/>
    <s v="Panaji"/>
    <s v="Branch C"/>
    <x v="1"/>
    <s v="CC-1002"/>
    <s v="P008"/>
    <s v="Headset"/>
    <x v="1"/>
    <x v="8"/>
    <n v="2812.53"/>
    <n v="3089.29"/>
    <n v="1898.89"/>
    <n v="198.56"/>
    <n v="211.89"/>
    <n v="199.25"/>
    <n v="78"/>
    <n v="2586.59"/>
    <n v="913.63"/>
    <n v="225.94000000000005"/>
    <n v="8.0333365332992013E-2"/>
    <n v="-276.76"/>
    <n v="225"/>
    <n v="465.75"/>
    <n v="3053.28"/>
    <x v="14"/>
    <s v="Goa"/>
    <x v="1"/>
    <x v="11"/>
    <s v="CC-1002"/>
  </r>
  <r>
    <s v="TXN-00317"/>
    <d v="2026-03-08T00:00:00"/>
    <x v="8"/>
    <x v="1"/>
    <x v="0"/>
    <x v="3"/>
    <x v="0"/>
    <s v="Odisha"/>
    <s v="Cuttack"/>
    <s v="Branch C"/>
    <x v="4"/>
    <s v="CC-1001"/>
    <s v="P001"/>
    <s v="Business Laptop"/>
    <x v="0"/>
    <x v="2"/>
    <n v="65172.18"/>
    <n v="74214.62"/>
    <n v="36225.26"/>
    <n v="7701.85"/>
    <n v="1802.71"/>
    <n v="2865.81"/>
    <n v="2073.9899999999998"/>
    <n v="50669.62"/>
    <n v="28946.92"/>
    <n v="14502.559999999998"/>
    <n v="0.22252685118097934"/>
    <n v="-9042.44"/>
    <n v="0"/>
    <n v="7820.66"/>
    <n v="72992.850000000006"/>
    <x v="28"/>
    <s v="Odisha"/>
    <x v="4"/>
    <x v="4"/>
    <s v="CC-1001"/>
  </r>
  <r>
    <s v="TXN-00318"/>
    <d v="2025-07-29T00:00:00"/>
    <x v="0"/>
    <x v="0"/>
    <x v="0"/>
    <x v="4"/>
    <x v="0"/>
    <s v="Chhattisgarh"/>
    <s v="Raipur"/>
    <s v="Branch A"/>
    <x v="1"/>
    <s v="CC-1001"/>
    <s v="P018"/>
    <s v="Projector"/>
    <x v="0"/>
    <x v="6"/>
    <n v="17510.830000000002"/>
    <n v="19808.98"/>
    <n v="9413.06"/>
    <n v="1148.6500000000001"/>
    <n v="1012.46"/>
    <n v="1777.34"/>
    <n v="213.07"/>
    <n v="13564.6"/>
    <n v="8097.76"/>
    <n v="3946.2300000000014"/>
    <n v="0.22535939187348636"/>
    <n v="-2298.15"/>
    <n v="875.54"/>
    <n v="831.76"/>
    <n v="17467.05"/>
    <x v="50"/>
    <s v="Chhattisgarh"/>
    <x v="1"/>
    <x v="9"/>
    <s v="CC-1001"/>
  </r>
  <r>
    <s v="TXN-00319"/>
    <d v="2025-11-12T00:00:00"/>
    <x v="10"/>
    <x v="3"/>
    <x v="0"/>
    <x v="3"/>
    <x v="0"/>
    <s v="Jharkhand"/>
    <s v="Jamshedpur"/>
    <s v="Branch C"/>
    <x v="1"/>
    <s v="CC-1001"/>
    <s v="P002"/>
    <s v="Monitor"/>
    <x v="0"/>
    <x v="2"/>
    <n v="30425.03"/>
    <n v="27138.42"/>
    <n v="17883.189999999999"/>
    <n v="2927.16"/>
    <n v="1889.67"/>
    <n v="2026.13"/>
    <n v="640.25"/>
    <n v="25366.400000000001"/>
    <n v="12541.84"/>
    <n v="5058.6299999999974"/>
    <n v="0.16626540713353438"/>
    <n v="3286.61"/>
    <n v="0"/>
    <n v="3651"/>
    <n v="34076.03"/>
    <x v="30"/>
    <s v="Jharkhand"/>
    <x v="1"/>
    <x v="3"/>
    <s v="CC-1001"/>
  </r>
  <r>
    <s v="TXN-00320"/>
    <d v="2026-03-09T00:00:00"/>
    <x v="8"/>
    <x v="1"/>
    <x v="0"/>
    <x v="0"/>
    <x v="0"/>
    <s v="Goa"/>
    <s v="Margao"/>
    <s v="Branch B"/>
    <x v="0"/>
    <s v="CC-1001"/>
    <s v="P015"/>
    <s v="Monitor "/>
    <x v="4"/>
    <x v="10"/>
    <n v="15871.81"/>
    <n v="18005.849999999999"/>
    <n v="10228.459999999999"/>
    <n v="1161.8699999999999"/>
    <n v="604.64"/>
    <n v="971.62"/>
    <n v="253.02"/>
    <n v="13219.62"/>
    <n v="5643.35"/>
    <n v="2652.1899999999987"/>
    <n v="0.16710066463749243"/>
    <n v="-2134.04"/>
    <n v="0"/>
    <n v="1904.62"/>
    <n v="17776.43"/>
    <x v="37"/>
    <s v="Goa"/>
    <x v="0"/>
    <x v="14"/>
    <s v="CC-1001"/>
  </r>
  <r>
    <s v="TXN-00321"/>
    <d v="2025-04-18T00:00:00"/>
    <x v="9"/>
    <x v="2"/>
    <x v="0"/>
    <x v="4"/>
    <x v="0"/>
    <s v="Madhya Pradesh"/>
    <s v="Indore"/>
    <s v="Branch B"/>
    <x v="1"/>
    <s v="CC-1003"/>
    <s v="P003"/>
    <s v="Printer"/>
    <x v="0"/>
    <x v="3"/>
    <n v="63011.02"/>
    <n v="65180.03"/>
    <n v="31751.200000000001"/>
    <n v="3231.35"/>
    <n v="5522.26"/>
    <n v="4420.78"/>
    <n v="1960.43"/>
    <n v="46886.02"/>
    <n v="31259.82"/>
    <n v="16125"/>
    <n v="0.25590761742945917"/>
    <n v="-2169.0100000000002"/>
    <n v="0"/>
    <n v="11341.98"/>
    <n v="74353.009999999995"/>
    <x v="5"/>
    <s v="Madhya Pradesh"/>
    <x v="1"/>
    <x v="5"/>
    <s v="CC-1003"/>
  </r>
  <r>
    <s v="TXN-00322"/>
    <d v="2026-01-07T00:00:00"/>
    <x v="4"/>
    <x v="1"/>
    <x v="0"/>
    <x v="4"/>
    <x v="0"/>
    <s v="Uttar Pradesh"/>
    <s v="Kanpur"/>
    <s v="Branch D"/>
    <x v="2"/>
    <s v="CC-1005"/>
    <s v="P013"/>
    <s v="CRM Software"/>
    <x v="2"/>
    <x v="4"/>
    <n v="25687.45"/>
    <n v="27409.83"/>
    <n v="13139.36"/>
    <n v="1920.79"/>
    <n v="979.12"/>
    <n v="2895.13"/>
    <n v="940.52"/>
    <n v="19874.919999999998"/>
    <n v="12548.08"/>
    <n v="5812.5300000000025"/>
    <n v="0.2262789805916898"/>
    <n v="-1722.38"/>
    <n v="1284.3699999999999"/>
    <n v="2928.37"/>
    <n v="27331.439999999999"/>
    <x v="25"/>
    <s v="Uttar Pradesh"/>
    <x v="2"/>
    <x v="15"/>
    <s v="CC-1005"/>
  </r>
  <r>
    <s v="TXN-00323"/>
    <d v="2025-11-26T00:00:00"/>
    <x v="10"/>
    <x v="3"/>
    <x v="0"/>
    <x v="2"/>
    <x v="0"/>
    <s v="Punjab"/>
    <s v="Ludhiana"/>
    <s v="Branch D"/>
    <x v="1"/>
    <s v="CC-1002"/>
    <s v="P005"/>
    <s v="Office Desk"/>
    <x v="3"/>
    <x v="5"/>
    <n v="30504.23"/>
    <n v="29154.7"/>
    <n v="17883.990000000002"/>
    <n v="3592.84"/>
    <n v="1171.07"/>
    <n v="3543.61"/>
    <n v="670.03"/>
    <n v="26861.54"/>
    <n v="12620.24"/>
    <n v="3642.6899999999987"/>
    <n v="0.11941589740177014"/>
    <n v="1349.53"/>
    <n v="3050.42"/>
    <n v="4941.6899999999996"/>
    <n v="32395.49"/>
    <x v="35"/>
    <s v="Punjab"/>
    <x v="1"/>
    <x v="8"/>
    <s v="CC-1002"/>
  </r>
  <r>
    <s v="TXN-00324"/>
    <d v="2025-09-06T00:00:00"/>
    <x v="1"/>
    <x v="0"/>
    <x v="0"/>
    <x v="2"/>
    <x v="0"/>
    <s v="Delhi"/>
    <s v="Gurugram"/>
    <s v="Branch A"/>
    <x v="1"/>
    <s v="CC-1001"/>
    <s v="P009"/>
    <s v="Keyboard"/>
    <x v="1"/>
    <x v="1"/>
    <n v="7007.87"/>
    <n v="6982.58"/>
    <n v="4759.01"/>
    <n v="425.35"/>
    <n v="601.28"/>
    <n v="701.58"/>
    <n v="300.95999999999998"/>
    <n v="6788.19"/>
    <n v="2248.85"/>
    <n v="219.68000000000029"/>
    <n v="3.1347613468857199E-2"/>
    <n v="25.29"/>
    <n v="350.39"/>
    <n v="798.9"/>
    <n v="7456.37"/>
    <x v="27"/>
    <s v="Delhi"/>
    <x v="1"/>
    <x v="2"/>
    <s v="CC-1001"/>
  </r>
  <r>
    <s v="TXN-00325"/>
    <d v="2025-05-12T00:00:00"/>
    <x v="3"/>
    <x v="2"/>
    <x v="0"/>
    <x v="3"/>
    <x v="0"/>
    <s v="West Bengal"/>
    <s v="Kolkata"/>
    <s v="Branch C"/>
    <x v="2"/>
    <s v="CC-1005"/>
    <s v="P019"/>
    <s v="Conference Camera"/>
    <x v="0"/>
    <x v="0"/>
    <n v="33946.44"/>
    <n v="37394.17"/>
    <n v="16814.04"/>
    <n v="2748.91"/>
    <n v="1472.59"/>
    <n v="2184.77"/>
    <n v="1507.33"/>
    <n v="24727.63"/>
    <n v="17132.41"/>
    <n v="9218.8100000000013"/>
    <n v="0.2715692720650531"/>
    <n v="-3447.73"/>
    <n v="1697.32"/>
    <n v="5804.84"/>
    <n v="38053.96"/>
    <x v="20"/>
    <s v="West Bengal"/>
    <x v="2"/>
    <x v="0"/>
    <s v="CC-1005"/>
  </r>
  <r>
    <s v="TXN-00326"/>
    <d v="2026-01-06T00:00:00"/>
    <x v="4"/>
    <x v="1"/>
    <x v="0"/>
    <x v="3"/>
    <x v="0"/>
    <s v="Odisha"/>
    <s v="Bhubaneswar"/>
    <s v="Branch C"/>
    <x v="0"/>
    <s v="CC-1005"/>
    <s v="P018"/>
    <s v="Projector"/>
    <x v="0"/>
    <x v="6"/>
    <n v="56811.15"/>
    <n v="61133.120000000003"/>
    <n v="31005.1"/>
    <n v="5535.93"/>
    <n v="3226.86"/>
    <n v="2878.48"/>
    <n v="1050.3800000000001"/>
    <n v="43696.76"/>
    <n v="25806.05"/>
    <n v="13114.39"/>
    <n v="0.23084183298525024"/>
    <n v="-4321.97"/>
    <n v="1136.22"/>
    <n v="10021.49"/>
    <n v="65696.42"/>
    <x v="3"/>
    <s v="Odisha"/>
    <x v="0"/>
    <x v="9"/>
    <s v="CC-1005"/>
  </r>
  <r>
    <s v="TXN-00327"/>
    <d v="2025-07-25T00:00:00"/>
    <x v="0"/>
    <x v="0"/>
    <x v="0"/>
    <x v="1"/>
    <x v="0"/>
    <s v="Tamil Nadu"/>
    <s v="Chennai"/>
    <s v="Branch C"/>
    <x v="0"/>
    <s v="CC-1001"/>
    <s v="P016"/>
    <s v="Network Switch"/>
    <x v="4"/>
    <x v="10"/>
    <n v="42790.13"/>
    <n v="45065.06"/>
    <n v="27461.39"/>
    <n v="2196.54"/>
    <n v="2012.48"/>
    <n v="4435.32"/>
    <n v="543.94000000000005"/>
    <n v="36649.67"/>
    <n v="15328.75"/>
    <n v="6140.4599999999991"/>
    <n v="0.1435017841731259"/>
    <n v="-2274.9299999999998"/>
    <n v="855.8"/>
    <n v="5032.12"/>
    <n v="46966.45"/>
    <x v="1"/>
    <s v="Tamil Nadu"/>
    <x v="0"/>
    <x v="13"/>
    <s v="CC-1001"/>
  </r>
  <r>
    <s v="TXN-00328"/>
    <d v="2025-11-01T00:00:00"/>
    <x v="10"/>
    <x v="3"/>
    <x v="0"/>
    <x v="2"/>
    <x v="0"/>
    <s v="Uttar Pradesh"/>
    <s v="Agra"/>
    <s v="Branch B"/>
    <x v="1"/>
    <s v="CC-1003"/>
    <s v="P011"/>
    <s v="Cloud Software"/>
    <x v="2"/>
    <x v="11"/>
    <n v="21441.3"/>
    <n v="23482.05"/>
    <n v="13287.1"/>
    <n v="2440.54"/>
    <n v="1740.69"/>
    <n v="1641.35"/>
    <n v="570.96"/>
    <n v="19680.64"/>
    <n v="8154.19"/>
    <n v="1760.6599999999999"/>
    <n v="8.2115356811387361E-2"/>
    <n v="-2040.75"/>
    <n v="643.24"/>
    <n v="3743.65"/>
    <n v="24541.71"/>
    <x v="7"/>
    <s v="Uttar Pradesh"/>
    <x v="1"/>
    <x v="18"/>
    <s v="CC-1003"/>
  </r>
  <r>
    <s v="TXN-00329"/>
    <d v="2025-10-31T00:00:00"/>
    <x v="5"/>
    <x v="3"/>
    <x v="0"/>
    <x v="0"/>
    <x v="0"/>
    <s v="Gujarat"/>
    <s v="Ahmedabad"/>
    <s v="Branch B"/>
    <x v="3"/>
    <s v="CC-1001"/>
    <s v="P012"/>
    <s v="Accounting Software"/>
    <x v="2"/>
    <x v="4"/>
    <n v="17648.759999999998"/>
    <n v="20178.27"/>
    <n v="9335.4699999999993"/>
    <n v="2049.3200000000002"/>
    <n v="1080.98"/>
    <n v="783.05"/>
    <n v="776.8"/>
    <n v="14025.63"/>
    <n v="8313.2999999999993"/>
    <n v="3623.1299999999992"/>
    <n v="0.20529090995628019"/>
    <n v="-2529.5100000000002"/>
    <n v="529.46"/>
    <n v="2054.3200000000002"/>
    <n v="19173.62"/>
    <x v="18"/>
    <s v="Gujarat"/>
    <x v="3"/>
    <x v="7"/>
    <s v="CC-1001"/>
  </r>
  <r>
    <s v="TXN-00330"/>
    <d v="2025-05-07T00:00:00"/>
    <x v="3"/>
    <x v="2"/>
    <x v="0"/>
    <x v="4"/>
    <x v="0"/>
    <s v="Chhattisgarh"/>
    <s v="Raipur"/>
    <s v="Branch B"/>
    <x v="1"/>
    <s v="CC-1004"/>
    <s v="P004"/>
    <s v="Office Chair"/>
    <x v="3"/>
    <x v="5"/>
    <n v="31665.97"/>
    <n v="29779.37"/>
    <n v="15272.19"/>
    <n v="1774.06"/>
    <n v="1565.26"/>
    <n v="3345.31"/>
    <n v="324.58"/>
    <n v="22281.39"/>
    <n v="16393.78"/>
    <n v="9384.5800000000017"/>
    <n v="0.29636167785164963"/>
    <n v="1886.6"/>
    <n v="949.98"/>
    <n v="3685.92"/>
    <n v="34401.910000000003"/>
    <x v="50"/>
    <s v="Chhattisgarh"/>
    <x v="1"/>
    <x v="17"/>
    <s v="CC-1004"/>
  </r>
  <r>
    <s v="TXN-00331"/>
    <d v="2025-11-17T00:00:00"/>
    <x v="10"/>
    <x v="3"/>
    <x v="0"/>
    <x v="4"/>
    <x v="0"/>
    <s v="Chhattisgarh"/>
    <s v="Bhilai"/>
    <s v="Branch B"/>
    <x v="1"/>
    <s v="CC-1003"/>
    <s v="P008"/>
    <s v="Headset"/>
    <x v="1"/>
    <x v="8"/>
    <n v="2882.25"/>
    <n v="3086.23"/>
    <n v="1913.26"/>
    <n v="162.38"/>
    <n v="80.87"/>
    <n v="119.77"/>
    <n v="47.87"/>
    <n v="2324.15"/>
    <n v="968.99"/>
    <n v="558.09999999999991"/>
    <n v="0.19363344609246244"/>
    <n v="-203.99"/>
    <n v="86.47"/>
    <n v="503.24"/>
    <n v="3299.02"/>
    <x v="38"/>
    <s v="Chhattisgarh"/>
    <x v="1"/>
    <x v="11"/>
    <s v="CC-1003"/>
  </r>
  <r>
    <s v="TXN-00332"/>
    <d v="2025-09-18T00:00:00"/>
    <x v="1"/>
    <x v="0"/>
    <x v="0"/>
    <x v="2"/>
    <x v="0"/>
    <s v="Uttar Pradesh"/>
    <s v="Kanpur"/>
    <s v="Branch A"/>
    <x v="1"/>
    <s v="CC-1001"/>
    <s v="P011"/>
    <s v="Cloud Software"/>
    <x v="2"/>
    <x v="11"/>
    <n v="17944.2"/>
    <n v="17886.099999999999"/>
    <n v="12435"/>
    <n v="2180.48"/>
    <n v="840.29"/>
    <n v="1600.72"/>
    <n v="761.58"/>
    <n v="17818.080000000002"/>
    <n v="5509.19"/>
    <n v="126.11999999999898"/>
    <n v="7.0284548767846422E-3"/>
    <n v="58.09"/>
    <n v="1794.42"/>
    <n v="1937.97"/>
    <n v="18087.75"/>
    <x v="25"/>
    <s v="Uttar Pradesh"/>
    <x v="1"/>
    <x v="18"/>
    <s v="CC-1001"/>
  </r>
  <r>
    <s v="TXN-00333"/>
    <d v="2025-09-29T00:00:00"/>
    <x v="1"/>
    <x v="0"/>
    <x v="0"/>
    <x v="4"/>
    <x v="0"/>
    <s v="Madhya Pradesh"/>
    <s v="Bhopal"/>
    <s v="Branch B"/>
    <x v="1"/>
    <s v="CC-1001"/>
    <s v="P019"/>
    <s v="Conference Camera"/>
    <x v="0"/>
    <x v="0"/>
    <n v="49968.44"/>
    <n v="44796.2"/>
    <n v="30922.97"/>
    <n v="2828.5"/>
    <n v="1751.09"/>
    <n v="3755.88"/>
    <n v="1392.43"/>
    <n v="40650.86"/>
    <n v="19045.47"/>
    <n v="9317.5800000000017"/>
    <n v="0.18646929942179508"/>
    <n v="5172.24"/>
    <n v="999.37"/>
    <n v="5876.29"/>
    <n v="54845.36"/>
    <x v="23"/>
    <s v="Madhya Pradesh"/>
    <x v="1"/>
    <x v="0"/>
    <s v="CC-1001"/>
  </r>
  <r>
    <s v="TXN-00334"/>
    <d v="2025-07-18T00:00:00"/>
    <x v="0"/>
    <x v="0"/>
    <x v="0"/>
    <x v="4"/>
    <x v="0"/>
    <s v="Uttar Pradesh"/>
    <s v="Agra"/>
    <s v="Branch B"/>
    <x v="1"/>
    <s v="CC-1005"/>
    <s v="P017"/>
    <s v="UPS System"/>
    <x v="0"/>
    <x v="7"/>
    <n v="45788.639999999999"/>
    <n v="51430.03"/>
    <n v="32400.44"/>
    <n v="2623.97"/>
    <n v="1625.23"/>
    <n v="5350.85"/>
    <n v="1319.35"/>
    <n v="43319.83"/>
    <n v="13388.2"/>
    <n v="2468.8099999999977"/>
    <n v="5.3917521900628575E-2"/>
    <n v="-5641.39"/>
    <n v="0"/>
    <n v="5494.64"/>
    <n v="51283.28"/>
    <x v="7"/>
    <s v="Uttar Pradesh"/>
    <x v="1"/>
    <x v="10"/>
    <s v="CC-1005"/>
  </r>
  <r>
    <s v="TXN-00335"/>
    <d v="2025-06-02T00:00:00"/>
    <x v="11"/>
    <x v="2"/>
    <x v="0"/>
    <x v="0"/>
    <x v="0"/>
    <s v="Goa"/>
    <s v="Panaji"/>
    <s v="Branch A"/>
    <x v="4"/>
    <s v="CC-1005"/>
    <s v="P007"/>
    <s v="Tablet"/>
    <x v="0"/>
    <x v="9"/>
    <n v="42781.42"/>
    <n v="39818.74"/>
    <n v="30571.15"/>
    <n v="5059.5600000000004"/>
    <n v="2455.3000000000002"/>
    <n v="3775.87"/>
    <n v="768.1"/>
    <n v="42629.99"/>
    <n v="12210.26"/>
    <n v="151.43000000000029"/>
    <n v="3.5396207045021015E-3"/>
    <n v="2962.67"/>
    <n v="2139.0700000000002"/>
    <n v="7315.62"/>
    <n v="47957.97"/>
    <x v="14"/>
    <s v="Goa"/>
    <x v="4"/>
    <x v="12"/>
    <s v="CC-1005"/>
  </r>
  <r>
    <s v="TXN-00336"/>
    <d v="2025-08-24T00:00:00"/>
    <x v="7"/>
    <x v="0"/>
    <x v="0"/>
    <x v="2"/>
    <x v="0"/>
    <s v="Haryana"/>
    <s v="Faridabad"/>
    <s v="Branch A"/>
    <x v="2"/>
    <s v="CC-1003"/>
    <s v="P003"/>
    <s v="Printer"/>
    <x v="0"/>
    <x v="3"/>
    <n v="24000.51"/>
    <n v="21328.85"/>
    <n v="12900.63"/>
    <n v="1262.21"/>
    <n v="1123.94"/>
    <n v="1946.66"/>
    <n v="909.2"/>
    <n v="18142.650000000001"/>
    <n v="11099.87"/>
    <n v="5857.8599999999969"/>
    <n v="0.2440723134633388"/>
    <n v="2671.66"/>
    <n v="720.02"/>
    <n v="4190.49"/>
    <n v="27470.98"/>
    <x v="13"/>
    <s v="Haryana"/>
    <x v="2"/>
    <x v="5"/>
    <s v="CC-1003"/>
  </r>
  <r>
    <s v="TXN-00337"/>
    <d v="2025-10-30T00:00:00"/>
    <x v="5"/>
    <x v="3"/>
    <x v="0"/>
    <x v="1"/>
    <x v="0"/>
    <s v="Karnataka"/>
    <s v="Mysuru"/>
    <s v="Branch C"/>
    <x v="1"/>
    <s v="CC-1004"/>
    <s v="P018"/>
    <s v="Projector"/>
    <x v="0"/>
    <x v="6"/>
    <n v="46035.3"/>
    <n v="50274.55"/>
    <n v="29326.48"/>
    <n v="5515.1"/>
    <n v="1881.44"/>
    <n v="3499.09"/>
    <n v="1952.08"/>
    <n v="42174.19"/>
    <n v="16708.830000000002"/>
    <n v="3861.1100000000006"/>
    <n v="8.3872810647481394E-2"/>
    <n v="-4239.25"/>
    <n v="2301.77"/>
    <n v="5248.02"/>
    <n v="48981.56"/>
    <x v="33"/>
    <s v="Karnataka"/>
    <x v="1"/>
    <x v="9"/>
    <s v="CC-1004"/>
  </r>
  <r>
    <s v="TXN-00338"/>
    <d v="2025-05-08T00:00:00"/>
    <x v="3"/>
    <x v="2"/>
    <x v="0"/>
    <x v="1"/>
    <x v="0"/>
    <s v="Karnataka"/>
    <s v="Mangaluru"/>
    <s v="Branch A"/>
    <x v="1"/>
    <s v="CC-1003"/>
    <s v="P003"/>
    <s v="Printer"/>
    <x v="0"/>
    <x v="3"/>
    <n v="46427.14"/>
    <n v="50468.02"/>
    <n v="31616.32"/>
    <n v="3521"/>
    <n v="3843.51"/>
    <n v="2453.71"/>
    <n v="745.43"/>
    <n v="42179.96"/>
    <n v="14810.82"/>
    <n v="4247.18"/>
    <n v="9.1480543492448607E-2"/>
    <n v="-4040.88"/>
    <n v="928.54"/>
    <n v="2274.9299999999998"/>
    <n v="47773.53"/>
    <x v="31"/>
    <s v="Karnataka"/>
    <x v="1"/>
    <x v="5"/>
    <s v="CC-1003"/>
  </r>
  <r>
    <s v="TXN-00339"/>
    <d v="2025-09-13T00:00:00"/>
    <x v="1"/>
    <x v="0"/>
    <x v="0"/>
    <x v="2"/>
    <x v="0"/>
    <s v="Haryana"/>
    <s v="Gurugram"/>
    <s v="Branch A"/>
    <x v="2"/>
    <s v="CC-1004"/>
    <s v="P010"/>
    <s v="Mouse"/>
    <x v="1"/>
    <x v="1"/>
    <n v="3203.3"/>
    <n v="3116.3"/>
    <n v="2287.08"/>
    <n v="265.52"/>
    <n v="172.68"/>
    <n v="275.88"/>
    <n v="142.28"/>
    <n v="3143.44"/>
    <n v="916.22"/>
    <n v="59.860000000000127"/>
    <n v="1.8686979052851785E-2"/>
    <n v="87"/>
    <n v="64.069999999999993"/>
    <n v="565.05999999999995"/>
    <n v="3704.3"/>
    <x v="27"/>
    <s v="Haryana"/>
    <x v="2"/>
    <x v="1"/>
    <s v="CC-1004"/>
  </r>
  <r>
    <s v="TXN-00340"/>
    <d v="2025-12-08T00:00:00"/>
    <x v="6"/>
    <x v="3"/>
    <x v="0"/>
    <x v="1"/>
    <x v="0"/>
    <s v="Telangana"/>
    <s v="Nizamabad"/>
    <s v="Branch B"/>
    <x v="1"/>
    <s v="CC-1005"/>
    <s v="P019"/>
    <s v="Conference Camera"/>
    <x v="0"/>
    <x v="0"/>
    <n v="35033.31"/>
    <n v="31148.33"/>
    <n v="23910.76"/>
    <n v="3041.81"/>
    <n v="1371.32"/>
    <n v="1776.27"/>
    <n v="1519.25"/>
    <n v="31619.41"/>
    <n v="11122.55"/>
    <n v="3413.8999999999978"/>
    <n v="9.7447258052407781E-2"/>
    <n v="3884.98"/>
    <n v="0"/>
    <n v="1751.67"/>
    <n v="36784.980000000003"/>
    <x v="29"/>
    <s v="Telangana"/>
    <x v="1"/>
    <x v="0"/>
    <s v="CC-1005"/>
  </r>
  <r>
    <s v="TXN-00341"/>
    <d v="2025-09-23T00:00:00"/>
    <x v="1"/>
    <x v="0"/>
    <x v="0"/>
    <x v="1"/>
    <x v="0"/>
    <s v="Karnataka"/>
    <s v="Mysuru"/>
    <s v="Branch D"/>
    <x v="1"/>
    <s v="CC-1001"/>
    <s v="P020"/>
    <s v="Document Scanner"/>
    <x v="0"/>
    <x v="3"/>
    <n v="27943.62"/>
    <n v="30492.34"/>
    <n v="14871.28"/>
    <n v="2216.89"/>
    <n v="1408.63"/>
    <n v="3300.6"/>
    <n v="1213.1300000000001"/>
    <n v="23010.52"/>
    <n v="13072.34"/>
    <n v="4933.0999999999985"/>
    <n v="0.17653761395266607"/>
    <n v="-2548.7199999999998"/>
    <n v="2235.4899999999998"/>
    <n v="1285.4100000000001"/>
    <n v="26993.54"/>
    <x v="33"/>
    <s v="Karnataka"/>
    <x v="1"/>
    <x v="6"/>
    <s v="CC-1001"/>
  </r>
  <r>
    <s v="TXN-00342"/>
    <d v="2025-09-15T00:00:00"/>
    <x v="1"/>
    <x v="0"/>
    <x v="0"/>
    <x v="0"/>
    <x v="0"/>
    <s v="Goa"/>
    <s v="Vasco da Gama"/>
    <s v="Branch D"/>
    <x v="0"/>
    <s v="CC-1005"/>
    <s v="P004"/>
    <s v="Office Chair"/>
    <x v="3"/>
    <x v="5"/>
    <n v="18503.560000000001"/>
    <n v="19860.71"/>
    <n v="9693.7800000000007"/>
    <n v="1269.2"/>
    <n v="1227.08"/>
    <n v="2209.98"/>
    <n v="688.7"/>
    <n v="15088.75"/>
    <n v="8809.77"/>
    <n v="3414.8100000000013"/>
    <n v="0.18454881114769273"/>
    <n v="-1357.15"/>
    <n v="370.07"/>
    <n v="906.67"/>
    <n v="19040.16"/>
    <x v="0"/>
    <s v="Goa"/>
    <x v="0"/>
    <x v="17"/>
    <s v="CC-1005"/>
  </r>
  <r>
    <s v="TXN-00343"/>
    <d v="2025-04-22T00:00:00"/>
    <x v="9"/>
    <x v="2"/>
    <x v="0"/>
    <x v="1"/>
    <x v="0"/>
    <s v="Telangana"/>
    <s v="Nizamabad"/>
    <s v="Branch C"/>
    <x v="2"/>
    <s v="CC-1004"/>
    <s v="P005"/>
    <s v="Office Desk"/>
    <x v="3"/>
    <x v="5"/>
    <n v="31203.56"/>
    <n v="29566.880000000001"/>
    <n v="19937.71"/>
    <n v="3082.12"/>
    <n v="2636.12"/>
    <n v="1638.47"/>
    <n v="1133.0899999999999"/>
    <n v="28427.51"/>
    <n v="11265.85"/>
    <n v="2776.0500000000029"/>
    <n v="8.896581031138763E-2"/>
    <n v="1636.68"/>
    <n v="1560.18"/>
    <n v="3557.21"/>
    <n v="33200.589999999997"/>
    <x v="29"/>
    <s v="Telangana"/>
    <x v="2"/>
    <x v="8"/>
    <s v="CC-1004"/>
  </r>
  <r>
    <s v="TXN-00344"/>
    <d v="2025-12-15T00:00:00"/>
    <x v="6"/>
    <x v="3"/>
    <x v="0"/>
    <x v="1"/>
    <x v="0"/>
    <s v="Tamil Nadu"/>
    <s v="Madurai"/>
    <s v="Branch B"/>
    <x v="4"/>
    <s v="CC-1002"/>
    <s v="P010"/>
    <s v="Mouse"/>
    <x v="1"/>
    <x v="1"/>
    <n v="6886.41"/>
    <n v="6115.99"/>
    <n v="4048"/>
    <n v="507.64"/>
    <n v="588.29"/>
    <n v="344.11"/>
    <n v="226.13"/>
    <n v="5714.16"/>
    <n v="2838.41"/>
    <n v="1172.25"/>
    <n v="0.17022657669235494"/>
    <n v="770.42"/>
    <n v="0"/>
    <n v="826.37"/>
    <n v="7712.78"/>
    <x v="43"/>
    <s v="Tamil Nadu"/>
    <x v="4"/>
    <x v="1"/>
    <s v="CC-1002"/>
  </r>
  <r>
    <s v="TXN-00345"/>
    <d v="2025-10-16T00:00:00"/>
    <x v="5"/>
    <x v="3"/>
    <x v="0"/>
    <x v="1"/>
    <x v="0"/>
    <s v="Karnataka"/>
    <s v="Mangaluru"/>
    <s v="Branch B"/>
    <x v="2"/>
    <s v="CC-1003"/>
    <s v="P014"/>
    <s v="Data Storage"/>
    <x v="2"/>
    <x v="12"/>
    <n v="28208.639999999999"/>
    <n v="31320.880000000001"/>
    <n v="14311.7"/>
    <n v="2863.53"/>
    <n v="2235"/>
    <n v="2431.25"/>
    <n v="920.29"/>
    <n v="22761.78"/>
    <n v="13896.94"/>
    <n v="5446.8600000000006"/>
    <n v="0.19309190375714677"/>
    <n v="-3112.24"/>
    <n v="846.26"/>
    <n v="3283.49"/>
    <n v="30645.87"/>
    <x v="31"/>
    <s v="Karnataka"/>
    <x v="2"/>
    <x v="19"/>
    <s v="CC-1003"/>
  </r>
  <r>
    <s v="TXN-00346"/>
    <d v="2025-12-30T00:00:00"/>
    <x v="6"/>
    <x v="3"/>
    <x v="0"/>
    <x v="0"/>
    <x v="0"/>
    <s v="Maharashtra"/>
    <s v="Mumbai"/>
    <s v="Branch B"/>
    <x v="3"/>
    <s v="CC-1002"/>
    <s v="P015"/>
    <s v="Network Router"/>
    <x v="4"/>
    <x v="10"/>
    <n v="12506.89"/>
    <n v="13989"/>
    <n v="6493.64"/>
    <n v="729.72"/>
    <n v="430.97"/>
    <n v="1377.89"/>
    <n v="356.28"/>
    <n v="9388.49"/>
    <n v="6013.25"/>
    <n v="3118.3999999999996"/>
    <n v="0.24933456678678712"/>
    <n v="-1482.11"/>
    <n v="375.21"/>
    <n v="606.58000000000004"/>
    <n v="12738.27"/>
    <x v="6"/>
    <s v="Maharashtra"/>
    <x v="3"/>
    <x v="14"/>
    <s v="CC-1002"/>
  </r>
  <r>
    <s v="TXN-00347"/>
    <d v="2025-07-01T00:00:00"/>
    <x v="0"/>
    <x v="0"/>
    <x v="0"/>
    <x v="4"/>
    <x v="0"/>
    <s v="Madhya Pradesh"/>
    <s v="Bhopal"/>
    <s v="Branch C"/>
    <x v="1"/>
    <s v="CC-1005"/>
    <s v="P007"/>
    <s v="Tablet"/>
    <x v="0"/>
    <x v="9"/>
    <n v="22085.439999999999"/>
    <n v="21986.44"/>
    <n v="15599.3"/>
    <n v="2182.71"/>
    <n v="1750.79"/>
    <n v="2138.4899999999998"/>
    <n v="307.82"/>
    <n v="21979.1"/>
    <n v="6486.14"/>
    <n v="106.34000000000015"/>
    <n v="4.8149368996044523E-3"/>
    <n v="99"/>
    <n v="1104.27"/>
    <n v="2517.7399999999998"/>
    <n v="23498.91"/>
    <x v="23"/>
    <s v="Madhya Pradesh"/>
    <x v="1"/>
    <x v="12"/>
    <s v="CC-1005"/>
  </r>
  <r>
    <s v="TXN-00348"/>
    <d v="2025-08-03T00:00:00"/>
    <x v="7"/>
    <x v="0"/>
    <x v="0"/>
    <x v="2"/>
    <x v="0"/>
    <s v="Haryana"/>
    <s v="Faridabad"/>
    <s v="Branch C"/>
    <x v="2"/>
    <s v="CC-1005"/>
    <s v="P020"/>
    <s v="Document Scanner"/>
    <x v="0"/>
    <x v="3"/>
    <n v="65757.64"/>
    <n v="59345.48"/>
    <n v="35083.17"/>
    <n v="5433.66"/>
    <n v="3130.45"/>
    <n v="2744.17"/>
    <n v="868.8"/>
    <n v="47260.26"/>
    <n v="30674.47"/>
    <n v="18497.379999999997"/>
    <n v="0.28129628739717538"/>
    <n v="6412.16"/>
    <n v="3287.88"/>
    <n v="11244.56"/>
    <n v="73714.31"/>
    <x v="13"/>
    <s v="Haryana"/>
    <x v="2"/>
    <x v="6"/>
    <s v="CC-1005"/>
  </r>
  <r>
    <s v="TXN-00349"/>
    <d v="2025-07-08T00:00:00"/>
    <x v="0"/>
    <x v="0"/>
    <x v="0"/>
    <x v="3"/>
    <x v="0"/>
    <s v="Jharkhand"/>
    <s v="Dhanbad"/>
    <s v="Branch A"/>
    <x v="4"/>
    <s v="CC-1004"/>
    <s v="P003"/>
    <s v="Printer"/>
    <x v="0"/>
    <x v="3"/>
    <n v="22626.04"/>
    <n v="20346.96"/>
    <n v="14078.99"/>
    <n v="2624.69"/>
    <n v="1827.99"/>
    <n v="1744.24"/>
    <n v="847.33"/>
    <n v="21123.24"/>
    <n v="8547.0499999999993"/>
    <n v="1502.7999999999993"/>
    <n v="6.6419046373116963E-2"/>
    <n v="2279.09"/>
    <n v="2262.6"/>
    <n v="2443.61"/>
    <n v="22807.05"/>
    <x v="34"/>
    <s v="Jharkhand"/>
    <x v="4"/>
    <x v="5"/>
    <s v="CC-1004"/>
  </r>
  <r>
    <s v="TXN-00350"/>
    <d v="2025-09-11T00:00:00"/>
    <x v="1"/>
    <x v="0"/>
    <x v="0"/>
    <x v="3"/>
    <x v="0"/>
    <s v="West Bengal"/>
    <s v="Siliguri"/>
    <s v="Branch B"/>
    <x v="4"/>
    <s v="CC-1003"/>
    <s v="P010"/>
    <s v="Mouse"/>
    <x v="1"/>
    <x v="1"/>
    <n v="7889.89"/>
    <n v="8717.25"/>
    <n v="5111.76"/>
    <n v="588.23"/>
    <n v="226.53"/>
    <n v="532.13"/>
    <n v="263.07"/>
    <n v="6721.72"/>
    <n v="2778.12"/>
    <n v="1168.17"/>
    <n v="0.14805909841582077"/>
    <n v="-827.36"/>
    <n v="0"/>
    <n v="394.49"/>
    <n v="8284.3799999999992"/>
    <x v="44"/>
    <s v="West Bengal"/>
    <x v="4"/>
    <x v="1"/>
    <s v="CC-1003"/>
  </r>
  <r>
    <s v="TXN-00351"/>
    <d v="2025-12-15T00:00:00"/>
    <x v="6"/>
    <x v="3"/>
    <x v="0"/>
    <x v="4"/>
    <x v="0"/>
    <s v="Uttar Pradesh"/>
    <s v="Lucknow"/>
    <s v="Branch D"/>
    <x v="4"/>
    <s v="CC-1003"/>
    <s v="P002"/>
    <s v="Monitor"/>
    <x v="0"/>
    <x v="2"/>
    <n v="61548.66"/>
    <n v="58680.28"/>
    <n v="35766.68"/>
    <n v="7207.79"/>
    <n v="5047.78"/>
    <n v="3659.34"/>
    <n v="1801.53"/>
    <n v="53483.11"/>
    <n v="25781.98"/>
    <n v="8065.5500000000029"/>
    <n v="0.13104347032088112"/>
    <n v="2868.38"/>
    <n v="1230.97"/>
    <n v="3015.88"/>
    <n v="63333.57"/>
    <x v="2"/>
    <s v="Uttar Pradesh"/>
    <x v="4"/>
    <x v="3"/>
    <s v="CC-1003"/>
  </r>
  <r>
    <s v="TXN-00352"/>
    <d v="2026-03-07T00:00:00"/>
    <x v="8"/>
    <x v="1"/>
    <x v="0"/>
    <x v="0"/>
    <x v="0"/>
    <s v="Rajasthan"/>
    <s v="Jodhpur"/>
    <s v="Branch B"/>
    <x v="3"/>
    <s v="CC-1001"/>
    <s v="P016"/>
    <s v="Network Switch"/>
    <x v="4"/>
    <x v="10"/>
    <n v="27047.06"/>
    <n v="29912.31"/>
    <n v="17704.7"/>
    <n v="3234"/>
    <n v="1009.23"/>
    <n v="1949.87"/>
    <n v="1167.7"/>
    <n v="25065.49"/>
    <n v="9342.36"/>
    <n v="1981.5699999999997"/>
    <n v="7.3263785416973218E-2"/>
    <n v="-2865.25"/>
    <n v="811.41"/>
    <n v="1311.78"/>
    <n v="27547.43"/>
    <x v="11"/>
    <s v="Rajasthan"/>
    <x v="3"/>
    <x v="13"/>
    <s v="CC-1001"/>
  </r>
  <r>
    <s v="TXN-00353"/>
    <d v="2025-07-11T00:00:00"/>
    <x v="0"/>
    <x v="0"/>
    <x v="0"/>
    <x v="2"/>
    <x v="0"/>
    <s v="Punjab"/>
    <s v="Jalandhar"/>
    <s v="Branch B"/>
    <x v="4"/>
    <s v="CC-1001"/>
    <s v="P009"/>
    <s v="Keyboard"/>
    <x v="1"/>
    <x v="1"/>
    <n v="4600.43"/>
    <n v="5382.35"/>
    <n v="2694.83"/>
    <n v="325.86"/>
    <n v="365.72"/>
    <n v="447.39"/>
    <n v="156.61000000000001"/>
    <n v="3990.4"/>
    <n v="1905.6"/>
    <n v="610.0300000000002"/>
    <n v="0.13260282191012582"/>
    <n v="-781.92"/>
    <n v="368.03"/>
    <n v="761.83"/>
    <n v="4994.22"/>
    <x v="52"/>
    <s v="Punjab"/>
    <x v="4"/>
    <x v="2"/>
    <s v="CC-1001"/>
  </r>
  <r>
    <s v="TXN-00354"/>
    <d v="2026-03-27T00:00:00"/>
    <x v="8"/>
    <x v="1"/>
    <x v="0"/>
    <x v="2"/>
    <x v="0"/>
    <s v="Punjab"/>
    <s v="Amritsar"/>
    <s v="Branch A"/>
    <x v="2"/>
    <s v="CC-1003"/>
    <s v="P001"/>
    <s v="Business Laptop"/>
    <x v="0"/>
    <x v="2"/>
    <n v="22886.9"/>
    <n v="22497.599999999999"/>
    <n v="12790.5"/>
    <n v="2247.0500000000002"/>
    <n v="1051.68"/>
    <n v="2337.9299999999998"/>
    <n v="285.58"/>
    <n v="18712.740000000002"/>
    <n v="10096.4"/>
    <n v="4174.16"/>
    <n v="0.18238206135387491"/>
    <n v="389.3"/>
    <n v="1144.3499999999999"/>
    <n v="3913.66"/>
    <n v="25656.22"/>
    <x v="47"/>
    <s v="Punjab"/>
    <x v="2"/>
    <x v="4"/>
    <s v="CC-1003"/>
  </r>
  <r>
    <s v="TXN-00355"/>
    <d v="2025-08-28T00:00:00"/>
    <x v="7"/>
    <x v="0"/>
    <x v="0"/>
    <x v="0"/>
    <x v="0"/>
    <s v="Goa"/>
    <s v="Panaji"/>
    <s v="Branch A"/>
    <x v="1"/>
    <s v="CC-1001"/>
    <s v="P020"/>
    <s v="Document Scanner"/>
    <x v="0"/>
    <x v="3"/>
    <n v="55040.39"/>
    <n v="61462.400000000001"/>
    <n v="36651.25"/>
    <n v="3710.73"/>
    <n v="3598.53"/>
    <n v="2413.3200000000002"/>
    <n v="1481.97"/>
    <n v="47855.79"/>
    <n v="18389.14"/>
    <n v="7184.5999999999985"/>
    <n v="0.13053323205013626"/>
    <n v="-6422.01"/>
    <n v="0"/>
    <n v="9907.27"/>
    <n v="64947.67"/>
    <x v="14"/>
    <s v="Goa"/>
    <x v="1"/>
    <x v="6"/>
    <s v="CC-1001"/>
  </r>
  <r>
    <s v="TXN-00356"/>
    <d v="2025-04-24T00:00:00"/>
    <x v="9"/>
    <x v="2"/>
    <x v="0"/>
    <x v="3"/>
    <x v="0"/>
    <s v="Jharkhand"/>
    <s v="Dhanbad"/>
    <s v="Branch A"/>
    <x v="1"/>
    <s v="CC-1001"/>
    <s v="P002"/>
    <s v="Monitor"/>
    <x v="0"/>
    <x v="2"/>
    <n v="55216.77"/>
    <n v="53717.01"/>
    <n v="32440.58"/>
    <n v="4551.95"/>
    <n v="4912.3999999999996"/>
    <n v="3499.63"/>
    <n v="1121.93"/>
    <n v="46526.49"/>
    <n v="22776.19"/>
    <n v="8690.2799999999988"/>
    <n v="0.15738479451079807"/>
    <n v="1499.76"/>
    <n v="1656.5"/>
    <n v="6427.23"/>
    <n v="59987.5"/>
    <x v="34"/>
    <s v="Jharkhand"/>
    <x v="1"/>
    <x v="3"/>
    <s v="CC-1001"/>
  </r>
  <r>
    <s v="TXN-00357"/>
    <d v="2026-02-09T00:00:00"/>
    <x v="2"/>
    <x v="1"/>
    <x v="0"/>
    <x v="3"/>
    <x v="0"/>
    <s v="Jharkhand"/>
    <s v="Dhanbad"/>
    <s v="Branch A"/>
    <x v="4"/>
    <s v="CC-1005"/>
    <s v="P016"/>
    <s v="Network Switch"/>
    <x v="4"/>
    <x v="10"/>
    <n v="32851.440000000002"/>
    <n v="30572.36"/>
    <n v="23403.31"/>
    <n v="2832.8"/>
    <n v="2840.71"/>
    <n v="3092.82"/>
    <n v="675.28"/>
    <n v="32844.92"/>
    <n v="9448.1200000000008"/>
    <n v="6.5200000000040745"/>
    <n v="1.9846922996386382E-4"/>
    <n v="2279.0700000000002"/>
    <n v="657.03"/>
    <n v="3863.33"/>
    <n v="36057.74"/>
    <x v="34"/>
    <s v="Jharkhand"/>
    <x v="4"/>
    <x v="13"/>
    <s v="CC-1005"/>
  </r>
  <r>
    <s v="TXN-00358"/>
    <d v="2026-02-04T00:00:00"/>
    <x v="2"/>
    <x v="1"/>
    <x v="0"/>
    <x v="1"/>
    <x v="0"/>
    <s v="Telangana"/>
    <s v="Hyderabad"/>
    <s v="Branch D"/>
    <x v="3"/>
    <s v="CC-1001"/>
    <s v="P005"/>
    <s v="Office Desk"/>
    <x v="3"/>
    <x v="5"/>
    <n v="9201.58"/>
    <n v="9873.56"/>
    <n v="4852.21"/>
    <n v="531.92999999999995"/>
    <n v="329.83"/>
    <n v="1048.05"/>
    <n v="356.57"/>
    <n v="7118.6"/>
    <n v="4349.37"/>
    <n v="2082.9799999999996"/>
    <n v="0.22637199263604724"/>
    <n v="-671.98"/>
    <n v="276.05"/>
    <n v="1606.6"/>
    <n v="10532.13"/>
    <x v="51"/>
    <s v="Telangana"/>
    <x v="3"/>
    <x v="8"/>
    <s v="CC-1001"/>
  </r>
  <r>
    <s v="TXN-00359"/>
    <d v="2025-04-22T00:00:00"/>
    <x v="9"/>
    <x v="2"/>
    <x v="0"/>
    <x v="1"/>
    <x v="0"/>
    <s v="Kerala"/>
    <s v="Kozhikode"/>
    <s v="Branch C"/>
    <x v="1"/>
    <s v="CC-1002"/>
    <s v="P017"/>
    <s v="UPS System"/>
    <x v="0"/>
    <x v="7"/>
    <n v="65366.28"/>
    <n v="73845.42"/>
    <n v="46932.33"/>
    <n v="4123.91"/>
    <n v="4573.3900000000003"/>
    <n v="6140.74"/>
    <n v="2895.62"/>
    <n v="64665.99"/>
    <n v="18433.96"/>
    <n v="700.29000000000087"/>
    <n v="1.0713321914601854E-2"/>
    <n v="-8479.14"/>
    <n v="6536.63"/>
    <n v="10589.34"/>
    <n v="69418.990000000005"/>
    <x v="24"/>
    <s v="Kerala"/>
    <x v="1"/>
    <x v="10"/>
    <s v="CC-1002"/>
  </r>
  <r>
    <s v="TXN-00360"/>
    <d v="2025-04-02T00:00:00"/>
    <x v="9"/>
    <x v="2"/>
    <x v="0"/>
    <x v="2"/>
    <x v="0"/>
    <s v="Haryana"/>
    <s v="Panipat"/>
    <s v="Branch A"/>
    <x v="2"/>
    <s v="CC-1004"/>
    <s v="P012"/>
    <s v="Accounting Software"/>
    <x v="2"/>
    <x v="4"/>
    <n v="14312.75"/>
    <n v="12931.43"/>
    <n v="8839.89"/>
    <n v="828.24"/>
    <n v="775.79"/>
    <n v="1649.4"/>
    <n v="620.45000000000005"/>
    <n v="12713.77"/>
    <n v="5472.86"/>
    <n v="1598.9799999999996"/>
    <n v="0.11171717524584721"/>
    <n v="1381.32"/>
    <n v="286.25"/>
    <n v="2524.77"/>
    <n v="16551.259999999998"/>
    <x v="16"/>
    <s v="Haryana"/>
    <x v="2"/>
    <x v="7"/>
    <s v="CC-1004"/>
  </r>
  <r>
    <s v="TXN-00361"/>
    <d v="2025-07-09T00:00:00"/>
    <x v="0"/>
    <x v="0"/>
    <x v="0"/>
    <x v="4"/>
    <x v="0"/>
    <s v="Chhattisgarh"/>
    <s v="Raipur"/>
    <s v="Branch A"/>
    <x v="0"/>
    <s v="CC-1001"/>
    <s v="P015"/>
    <s v="Network Router"/>
    <x v="4"/>
    <x v="10"/>
    <n v="19401.349999999999"/>
    <n v="21034.32"/>
    <n v="10707.48"/>
    <n v="1680.54"/>
    <n v="605.54"/>
    <n v="2170.0700000000002"/>
    <n v="829.21"/>
    <n v="15992.84"/>
    <n v="8693.8700000000008"/>
    <n v="3408.5099999999984"/>
    <n v="0.17568416630801459"/>
    <n v="-1632.98"/>
    <n v="1940.13"/>
    <n v="3143.02"/>
    <n v="20604.23"/>
    <x v="50"/>
    <s v="Chhattisgarh"/>
    <x v="0"/>
    <x v="14"/>
    <s v="CC-1001"/>
  </r>
  <r>
    <s v="TXN-00362"/>
    <d v="2026-03-28T00:00:00"/>
    <x v="8"/>
    <x v="1"/>
    <x v="0"/>
    <x v="2"/>
    <x v="0"/>
    <s v="Delhi"/>
    <s v="Gurugram"/>
    <s v="Branch B"/>
    <x v="4"/>
    <s v="CC-1004"/>
    <s v="P016"/>
    <s v="Network Switch"/>
    <x v="4"/>
    <x v="10"/>
    <n v="30674.1"/>
    <n v="29433.37"/>
    <n v="19603.400000000001"/>
    <n v="3902.85"/>
    <n v="2592.8200000000002"/>
    <n v="2460.98"/>
    <n v="1160.3699999999999"/>
    <n v="29720.42"/>
    <n v="11070.7"/>
    <n v="953.68000000000029"/>
    <n v="3.1090724748240383E-2"/>
    <n v="1240.73"/>
    <n v="0"/>
    <n v="5521.34"/>
    <n v="36195.440000000002"/>
    <x v="27"/>
    <s v="Delhi"/>
    <x v="4"/>
    <x v="13"/>
    <s v="CC-1004"/>
  </r>
  <r>
    <s v="TXN-00363"/>
    <d v="2025-08-15T00:00:00"/>
    <x v="7"/>
    <x v="0"/>
    <x v="0"/>
    <x v="2"/>
    <x v="0"/>
    <s v="Delhi"/>
    <s v="Gurugram"/>
    <s v="Branch C"/>
    <x v="1"/>
    <s v="CC-1004"/>
    <s v="P003"/>
    <s v="Printer"/>
    <x v="0"/>
    <x v="3"/>
    <n v="24995.26"/>
    <n v="22689.66"/>
    <n v="14393.87"/>
    <n v="2087.46"/>
    <n v="1460.89"/>
    <n v="2417.4699999999998"/>
    <n v="1042.6400000000001"/>
    <n v="21402.33"/>
    <n v="10601.4"/>
    <n v="3592.9299999999967"/>
    <n v="0.14374445394846849"/>
    <n v="2305.6"/>
    <n v="0"/>
    <n v="1249.76"/>
    <n v="26245.03"/>
    <x v="27"/>
    <s v="Delhi"/>
    <x v="1"/>
    <x v="5"/>
    <s v="CC-1004"/>
  </r>
  <r>
    <s v="TXN-00364"/>
    <d v="2025-08-08T00:00:00"/>
    <x v="7"/>
    <x v="0"/>
    <x v="0"/>
    <x v="2"/>
    <x v="0"/>
    <s v="Delhi"/>
    <s v="Noida"/>
    <s v="Branch D"/>
    <x v="2"/>
    <s v="CC-1002"/>
    <s v="P013"/>
    <s v="CRM Software"/>
    <x v="2"/>
    <x v="4"/>
    <n v="24815.31"/>
    <n v="27112.59"/>
    <n v="16270.15"/>
    <n v="1586.12"/>
    <n v="1203.02"/>
    <n v="2257.8000000000002"/>
    <n v="309.56"/>
    <n v="21626.65"/>
    <n v="8545.17"/>
    <n v="3188.66"/>
    <n v="0.12849567464601488"/>
    <n v="-2297.2800000000002"/>
    <n v="744.46"/>
    <n v="2888.5"/>
    <n v="26959.35"/>
    <x v="40"/>
    <s v="Delhi"/>
    <x v="2"/>
    <x v="15"/>
    <s v="CC-1002"/>
  </r>
  <r>
    <s v="TXN-00365"/>
    <d v="2025-04-03T00:00:00"/>
    <x v="9"/>
    <x v="2"/>
    <x v="0"/>
    <x v="3"/>
    <x v="0"/>
    <s v="Odisha"/>
    <s v="Bhubaneswar"/>
    <s v="Branch B"/>
    <x v="2"/>
    <s v="CC-1002"/>
    <s v="P017"/>
    <s v="UPS System"/>
    <x v="0"/>
    <x v="7"/>
    <n v="59465.05"/>
    <n v="63109.74"/>
    <n v="37534.61"/>
    <n v="4958.83"/>
    <n v="2044.43"/>
    <n v="2823.68"/>
    <n v="629.35"/>
    <n v="47990.89"/>
    <n v="21930.44"/>
    <n v="11474.160000000003"/>
    <n v="0.1929563668070573"/>
    <n v="-3644.69"/>
    <n v="4757.2"/>
    <n v="2735.39"/>
    <n v="57443.24"/>
    <x v="3"/>
    <s v="Odisha"/>
    <x v="2"/>
    <x v="10"/>
    <s v="CC-1002"/>
  </r>
  <r>
    <s v="TXN-00366"/>
    <d v="2025-07-23T00:00:00"/>
    <x v="0"/>
    <x v="0"/>
    <x v="0"/>
    <x v="1"/>
    <x v="0"/>
    <s v="Karnataka"/>
    <s v="Mysuru"/>
    <s v="Branch D"/>
    <x v="4"/>
    <s v="CC-1001"/>
    <s v="P019"/>
    <s v="Conference Camera"/>
    <x v="0"/>
    <x v="0"/>
    <n v="73590.73"/>
    <n v="73740.28"/>
    <n v="48788.2"/>
    <n v="4526.57"/>
    <n v="1881"/>
    <n v="3061.22"/>
    <n v="2246.8000000000002"/>
    <n v="60503.79"/>
    <n v="24802.53"/>
    <n v="13086.939999999995"/>
    <n v="0.17783408317868291"/>
    <n v="-149.55000000000001"/>
    <n v="2207.7199999999998"/>
    <n v="8565.9599999999991"/>
    <n v="79948.97"/>
    <x v="33"/>
    <s v="Karnataka"/>
    <x v="4"/>
    <x v="0"/>
    <s v="CC-1001"/>
  </r>
  <r>
    <s v="TXN-00367"/>
    <d v="2025-09-17T00:00:00"/>
    <x v="1"/>
    <x v="0"/>
    <x v="0"/>
    <x v="0"/>
    <x v="0"/>
    <s v="Rajasthan"/>
    <s v="Jaipur"/>
    <s v="Branch A"/>
    <x v="3"/>
    <s v="CC-1003"/>
    <s v="P001"/>
    <s v="Business Laptop"/>
    <x v="0"/>
    <x v="2"/>
    <n v="35839.120000000003"/>
    <n v="37865.08"/>
    <n v="19015.63"/>
    <n v="2470.66"/>
    <n v="2359"/>
    <n v="3813.11"/>
    <n v="879.74"/>
    <n v="28538.15"/>
    <n v="16823.490000000002"/>
    <n v="7300.9700000000012"/>
    <n v="0.20371510237974594"/>
    <n v="-2025.96"/>
    <n v="716.78"/>
    <n v="6322.02"/>
    <n v="41444.36"/>
    <x v="21"/>
    <s v="Rajasthan"/>
    <x v="3"/>
    <x v="4"/>
    <s v="CC-1003"/>
  </r>
  <r>
    <s v="TXN-00368"/>
    <d v="2025-09-08T00:00:00"/>
    <x v="1"/>
    <x v="0"/>
    <x v="0"/>
    <x v="3"/>
    <x v="0"/>
    <s v="West Bengal"/>
    <s v="Siliguri"/>
    <s v="Branch B"/>
    <x v="1"/>
    <s v="CC-1002"/>
    <s v="P016"/>
    <s v="Network Switch"/>
    <x v="4"/>
    <x v="10"/>
    <n v="28109.43"/>
    <n v="28459.42"/>
    <n v="14374.08"/>
    <n v="2059.86"/>
    <n v="2290.42"/>
    <n v="3158.27"/>
    <n v="281.83"/>
    <n v="22164.45"/>
    <n v="13735.35"/>
    <n v="5944.98"/>
    <n v="0.21149414982801143"/>
    <n v="-350"/>
    <n v="1405.47"/>
    <n v="4806.71"/>
    <n v="31510.67"/>
    <x v="44"/>
    <s v="West Bengal"/>
    <x v="1"/>
    <x v="13"/>
    <s v="CC-1002"/>
  </r>
  <r>
    <s v="TXN-00369"/>
    <d v="2026-02-24T00:00:00"/>
    <x v="2"/>
    <x v="1"/>
    <x v="0"/>
    <x v="2"/>
    <x v="0"/>
    <s v="Punjab"/>
    <s v="Ludhiana"/>
    <s v="Branch B"/>
    <x v="4"/>
    <s v="CC-1002"/>
    <s v="P007"/>
    <s v="Tablet"/>
    <x v="0"/>
    <x v="9"/>
    <n v="70131.63"/>
    <n v="80623.34"/>
    <n v="41346.949999999997"/>
    <n v="4345"/>
    <n v="5992.45"/>
    <n v="5378.84"/>
    <n v="1147.1500000000001"/>
    <n v="58210.400000000001"/>
    <n v="28784.68"/>
    <n v="11921.230000000003"/>
    <n v="0.16998364361415816"/>
    <n v="-10491.71"/>
    <n v="1402.63"/>
    <n v="3436.45"/>
    <n v="72165.45"/>
    <x v="35"/>
    <s v="Punjab"/>
    <x v="4"/>
    <x v="12"/>
    <s v="CC-1002"/>
  </r>
  <r>
    <s v="TXN-00370"/>
    <d v="2025-05-22T00:00:00"/>
    <x v="3"/>
    <x v="2"/>
    <x v="0"/>
    <x v="3"/>
    <x v="0"/>
    <s v="West Bengal"/>
    <s v="Durgapur"/>
    <s v="Branch C"/>
    <x v="4"/>
    <s v="CC-1003"/>
    <s v="P006"/>
    <s v="Smartphone"/>
    <x v="0"/>
    <x v="9"/>
    <n v="27576.400000000001"/>
    <n v="31341.95"/>
    <n v="15611.04"/>
    <n v="2771.14"/>
    <n v="1970.84"/>
    <n v="2051.34"/>
    <n v="571.53"/>
    <n v="22975.89"/>
    <n v="11965.36"/>
    <n v="4600.510000000002"/>
    <n v="0.16682779478104473"/>
    <n v="-3765.55"/>
    <n v="2757.64"/>
    <n v="4467.38"/>
    <n v="29286.14"/>
    <x v="39"/>
    <s v="West Bengal"/>
    <x v="4"/>
    <x v="16"/>
    <s v="CC-1003"/>
  </r>
  <r>
    <s v="TXN-00371"/>
    <d v="2025-07-30T00:00:00"/>
    <x v="0"/>
    <x v="0"/>
    <x v="0"/>
    <x v="0"/>
    <x v="0"/>
    <s v="Maharashtra"/>
    <s v="Mumbai"/>
    <s v="Branch C"/>
    <x v="1"/>
    <s v="CC-1005"/>
    <s v="P018"/>
    <s v="Projector"/>
    <x v="0"/>
    <x v="6"/>
    <n v="23982.43"/>
    <n v="21282.03"/>
    <n v="13853.59"/>
    <n v="1622.55"/>
    <n v="1430.91"/>
    <n v="2870.21"/>
    <n v="911.78"/>
    <n v="20689.04"/>
    <n v="10128.84"/>
    <n v="3293.3899999999994"/>
    <n v="0.13732511676256323"/>
    <n v="2700.4"/>
    <n v="1918.59"/>
    <n v="3971.49"/>
    <n v="26035.33"/>
    <x v="6"/>
    <s v="Maharashtra"/>
    <x v="1"/>
    <x v="9"/>
    <s v="CC-1005"/>
  </r>
  <r>
    <s v="TXN-00372"/>
    <d v="2025-08-21T00:00:00"/>
    <x v="7"/>
    <x v="0"/>
    <x v="0"/>
    <x v="3"/>
    <x v="0"/>
    <s v="Odisha"/>
    <s v="Bhubaneswar"/>
    <s v="Branch C"/>
    <x v="1"/>
    <s v="CC-1001"/>
    <s v="P019"/>
    <s v="Conference Camera"/>
    <x v="0"/>
    <x v="0"/>
    <n v="25576.66"/>
    <n v="27727.02"/>
    <n v="17343.669999999998"/>
    <n v="1578.81"/>
    <n v="904.86"/>
    <n v="2639.68"/>
    <n v="807.46"/>
    <n v="23274.49"/>
    <n v="8232.98"/>
    <n v="2302.1699999999983"/>
    <n v="9.0010579958446427E-2"/>
    <n v="-2150.36"/>
    <n v="0"/>
    <n v="4603.8"/>
    <n v="30180.45"/>
    <x v="3"/>
    <s v="Odisha"/>
    <x v="1"/>
    <x v="0"/>
    <s v="CC-1001"/>
  </r>
  <r>
    <s v="TXN-00373"/>
    <d v="2026-03-12T00:00:00"/>
    <x v="8"/>
    <x v="1"/>
    <x v="0"/>
    <x v="4"/>
    <x v="0"/>
    <s v="Chhattisgarh"/>
    <s v="Bilaspur"/>
    <s v="Branch A"/>
    <x v="2"/>
    <s v="CC-1005"/>
    <s v="P010"/>
    <s v="Mouse"/>
    <x v="1"/>
    <x v="1"/>
    <n v="2428.64"/>
    <n v="2164.25"/>
    <n v="1212.77"/>
    <n v="252.06"/>
    <n v="169.51"/>
    <n v="163.49"/>
    <n v="42.61"/>
    <n v="1840.45"/>
    <n v="1215.8699999999999"/>
    <n v="588.18999999999983"/>
    <n v="0.24218904407404962"/>
    <n v="264.39999999999998"/>
    <n v="194.29"/>
    <n v="111.72"/>
    <n v="2346.0700000000002"/>
    <x v="22"/>
    <s v="Chhattisgarh"/>
    <x v="2"/>
    <x v="1"/>
    <s v="CC-1005"/>
  </r>
  <r>
    <s v="TXN-00374"/>
    <d v="2026-01-27T00:00:00"/>
    <x v="4"/>
    <x v="1"/>
    <x v="0"/>
    <x v="0"/>
    <x v="0"/>
    <s v="Gujarat"/>
    <s v="Ahmedabad"/>
    <s v="Branch A"/>
    <x v="4"/>
    <s v="CC-1005"/>
    <s v="P003"/>
    <s v="Printer"/>
    <x v="0"/>
    <x v="3"/>
    <n v="43606.9"/>
    <n v="50997.33"/>
    <n v="23794.11"/>
    <n v="3574.57"/>
    <n v="3876.04"/>
    <n v="3615.78"/>
    <n v="1203.2"/>
    <n v="36063.699999999997"/>
    <n v="19812.79"/>
    <n v="7543.2000000000044"/>
    <n v="0.17298179875203246"/>
    <n v="-7390.43"/>
    <n v="872.14"/>
    <n v="7692.26"/>
    <n v="50427.01"/>
    <x v="18"/>
    <s v="Gujarat"/>
    <x v="4"/>
    <x v="5"/>
    <s v="CC-1005"/>
  </r>
  <r>
    <s v="TXN-00375"/>
    <d v="2025-04-27T00:00:00"/>
    <x v="9"/>
    <x v="2"/>
    <x v="0"/>
    <x v="4"/>
    <x v="0"/>
    <s v="Uttar Pradesh"/>
    <s v="Lucknow"/>
    <s v="Branch A"/>
    <x v="1"/>
    <s v="CC-1004"/>
    <s v="P013"/>
    <s v="CRM Software"/>
    <x v="2"/>
    <x v="4"/>
    <n v="30366.82"/>
    <n v="34176.14"/>
    <n v="19439.61"/>
    <n v="1823.42"/>
    <n v="2270.23"/>
    <n v="1725.3"/>
    <n v="647.44000000000005"/>
    <n v="25906"/>
    <n v="10927.21"/>
    <n v="4460.82"/>
    <n v="0.14689783125134603"/>
    <n v="-3809.32"/>
    <n v="2429.35"/>
    <n v="3352.5"/>
    <n v="31289.97"/>
    <x v="2"/>
    <s v="Uttar Pradesh"/>
    <x v="1"/>
    <x v="15"/>
    <s v="CC-1004"/>
  </r>
  <r>
    <s v="TXN-00376"/>
    <d v="2025-12-17T00:00:00"/>
    <x v="6"/>
    <x v="3"/>
    <x v="0"/>
    <x v="4"/>
    <x v="0"/>
    <s v="Madhya Pradesh"/>
    <s v="Bhopal"/>
    <s v="Branch C"/>
    <x v="0"/>
    <s v="CC-1005"/>
    <s v="P002"/>
    <s v="Monitor"/>
    <x v="0"/>
    <x v="2"/>
    <n v="42806.13"/>
    <n v="47990.29"/>
    <n v="28948.81"/>
    <n v="5492.7"/>
    <n v="2466.5500000000002"/>
    <n v="3270.24"/>
    <n v="1556.93"/>
    <n v="41735.24"/>
    <n v="13857.31"/>
    <n v="1070.8899999999994"/>
    <n v="2.5017211319967477E-2"/>
    <n v="-5184.17"/>
    <n v="0"/>
    <n v="5136.74"/>
    <n v="47942.86"/>
    <x v="23"/>
    <s v="Madhya Pradesh"/>
    <x v="0"/>
    <x v="3"/>
    <s v="CC-1005"/>
  </r>
  <r>
    <s v="TXN-00377"/>
    <d v="2025-04-16T00:00:00"/>
    <x v="9"/>
    <x v="2"/>
    <x v="0"/>
    <x v="2"/>
    <x v="0"/>
    <s v="Uttar Pradesh"/>
    <s v="Lucknow"/>
    <s v="Branch A"/>
    <x v="1"/>
    <s v="CC-1001"/>
    <s v="P014"/>
    <s v="Data Storage"/>
    <x v="2"/>
    <x v="12"/>
    <n v="31552.41"/>
    <n v="28514.63"/>
    <n v="18533.91"/>
    <n v="1834.81"/>
    <n v="821.46"/>
    <n v="2817.46"/>
    <n v="1376.6"/>
    <n v="25384.240000000002"/>
    <n v="13018.5"/>
    <n v="6168.1699999999983"/>
    <n v="0.19548966307169557"/>
    <n v="3037.78"/>
    <n v="2524.19"/>
    <n v="5225.08"/>
    <n v="34253.300000000003"/>
    <x v="2"/>
    <s v="Uttar Pradesh"/>
    <x v="1"/>
    <x v="19"/>
    <s v="CC-1001"/>
  </r>
  <r>
    <s v="TXN-00378"/>
    <d v="2026-02-13T00:00:00"/>
    <x v="2"/>
    <x v="1"/>
    <x v="0"/>
    <x v="1"/>
    <x v="0"/>
    <s v="Kerala"/>
    <s v="Kochi"/>
    <s v="Branch B"/>
    <x v="2"/>
    <s v="CC-1001"/>
    <s v="P018"/>
    <s v="Projector"/>
    <x v="0"/>
    <x v="6"/>
    <n v="64963.9"/>
    <n v="59645.51"/>
    <n v="37848.620000000003"/>
    <n v="4084.2"/>
    <n v="4581.42"/>
    <n v="6542.48"/>
    <n v="890.19"/>
    <n v="53946.92"/>
    <n v="27115.279999999999"/>
    <n v="11016.980000000003"/>
    <n v="0.16958618555844096"/>
    <n v="5318.39"/>
    <n v="1948.92"/>
    <n v="11342.7"/>
    <n v="74357.679999999993"/>
    <x v="4"/>
    <s v="Kerala"/>
    <x v="2"/>
    <x v="9"/>
    <s v="CC-1001"/>
  </r>
  <r>
    <s v="TXN-00379"/>
    <d v="2026-01-04T00:00:00"/>
    <x v="4"/>
    <x v="1"/>
    <x v="0"/>
    <x v="3"/>
    <x v="0"/>
    <s v="West Bengal"/>
    <s v="Durgapur"/>
    <s v="Branch B"/>
    <x v="0"/>
    <s v="CC-1003"/>
    <s v="P007"/>
    <s v="Tablet"/>
    <x v="0"/>
    <x v="9"/>
    <n v="41962.87"/>
    <n v="41190.06"/>
    <n v="20700.45"/>
    <n v="3958.57"/>
    <n v="2652.63"/>
    <n v="4815.79"/>
    <n v="1486"/>
    <n v="33613.43"/>
    <n v="21262.42"/>
    <n v="8349.4400000000023"/>
    <n v="0.1989720912797433"/>
    <n v="772.81"/>
    <n v="3357.03"/>
    <n v="6949.05"/>
    <n v="45554.89"/>
    <x v="39"/>
    <s v="West Bengal"/>
    <x v="0"/>
    <x v="12"/>
    <s v="CC-1003"/>
  </r>
  <r>
    <s v="TXN-00380"/>
    <d v="2025-07-29T00:00:00"/>
    <x v="0"/>
    <x v="0"/>
    <x v="0"/>
    <x v="3"/>
    <x v="0"/>
    <s v="Jharkhand"/>
    <s v="Ranchi"/>
    <s v="Branch D"/>
    <x v="4"/>
    <s v="CC-1005"/>
    <s v="P011"/>
    <s v="Cloud Software"/>
    <x v="2"/>
    <x v="11"/>
    <n v="10230.51"/>
    <n v="10416.719999999999"/>
    <n v="5664.64"/>
    <n v="540.29999999999995"/>
    <n v="470.65"/>
    <n v="854.54"/>
    <n v="299.86"/>
    <n v="7829.99"/>
    <n v="4565.87"/>
    <n v="2400.5200000000004"/>
    <n v="0.23464323870461984"/>
    <n v="-186.21"/>
    <n v="306.92"/>
    <n v="1190.83"/>
    <n v="11114.42"/>
    <x v="9"/>
    <s v="Jharkhand"/>
    <x v="4"/>
    <x v="18"/>
    <s v="CC-1005"/>
  </r>
  <r>
    <s v="TXN-00381"/>
    <d v="2025-09-25T00:00:00"/>
    <x v="1"/>
    <x v="0"/>
    <x v="0"/>
    <x v="1"/>
    <x v="0"/>
    <s v="Kerala"/>
    <s v="Kochi"/>
    <s v="Branch D"/>
    <x v="1"/>
    <s v="CC-1003"/>
    <s v="P020"/>
    <s v="Document Scanner"/>
    <x v="0"/>
    <x v="3"/>
    <n v="41675.17"/>
    <n v="44976.25"/>
    <n v="22380.17"/>
    <n v="3715.02"/>
    <n v="1816.86"/>
    <n v="4076.73"/>
    <n v="1795.61"/>
    <n v="33784.39"/>
    <n v="19295"/>
    <n v="7890.7799999999988"/>
    <n v="0.18934007947658041"/>
    <n v="-3301.09"/>
    <n v="3334.01"/>
    <n v="4600.9399999999996"/>
    <n v="42942.09"/>
    <x v="4"/>
    <s v="Kerala"/>
    <x v="1"/>
    <x v="6"/>
    <s v="CC-1003"/>
  </r>
  <r>
    <s v="TXN-00382"/>
    <d v="2025-11-23T00:00:00"/>
    <x v="10"/>
    <x v="3"/>
    <x v="0"/>
    <x v="4"/>
    <x v="0"/>
    <s v="Chhattisgarh"/>
    <s v="Bhilai"/>
    <s v="Branch B"/>
    <x v="1"/>
    <s v="CC-1002"/>
    <s v="P010"/>
    <s v="Mouse"/>
    <x v="1"/>
    <x v="1"/>
    <n v="3488.92"/>
    <n v="3315.56"/>
    <n v="1778.15"/>
    <n v="208.97"/>
    <n v="219.5"/>
    <n v="344.64"/>
    <n v="74.150000000000006"/>
    <n v="2625.41"/>
    <n v="1710.77"/>
    <n v="863.51000000000022"/>
    <n v="0.24750065922979037"/>
    <n v="173.36"/>
    <n v="0"/>
    <n v="174.45"/>
    <n v="3663.37"/>
    <x v="38"/>
    <s v="Chhattisgarh"/>
    <x v="1"/>
    <x v="1"/>
    <s v="CC-1002"/>
  </r>
  <r>
    <s v="TXN-00383"/>
    <d v="2025-05-07T00:00:00"/>
    <x v="3"/>
    <x v="2"/>
    <x v="0"/>
    <x v="0"/>
    <x v="0"/>
    <s v="Rajasthan"/>
    <s v="Udaipur"/>
    <s v="Branch D"/>
    <x v="1"/>
    <s v="CC-1002"/>
    <s v="P019"/>
    <s v="Conference Camera"/>
    <x v="0"/>
    <x v="0"/>
    <n v="22439.43"/>
    <n v="22327.59"/>
    <n v="15279.43"/>
    <n v="2675.31"/>
    <n v="1440.27"/>
    <n v="2203.62"/>
    <n v="314.83999999999997"/>
    <n v="21913.46"/>
    <n v="7160"/>
    <n v="525.97000000000116"/>
    <n v="2.3439543696074327E-2"/>
    <n v="111.83"/>
    <n v="1121.97"/>
    <n v="3837.14"/>
    <n v="25154.6"/>
    <x v="17"/>
    <s v="Rajasthan"/>
    <x v="1"/>
    <x v="0"/>
    <s v="CC-1002"/>
  </r>
  <r>
    <s v="TXN-00384"/>
    <d v="2025-09-12T00:00:00"/>
    <x v="1"/>
    <x v="0"/>
    <x v="0"/>
    <x v="0"/>
    <x v="0"/>
    <s v="Gujarat"/>
    <s v="Vadodara"/>
    <s v="Branch B"/>
    <x v="1"/>
    <s v="CC-1004"/>
    <s v="P015"/>
    <s v="Network Router"/>
    <x v="4"/>
    <x v="10"/>
    <n v="29093.17"/>
    <n v="26579.62"/>
    <n v="19895.990000000002"/>
    <n v="2694.84"/>
    <n v="1618.62"/>
    <n v="3447.19"/>
    <n v="1044.83"/>
    <n v="28701.46"/>
    <n v="9197.18"/>
    <n v="391.70999999999913"/>
    <n v="1.3463984845927727E-2"/>
    <n v="2513.5500000000002"/>
    <n v="0"/>
    <n v="5236.7700000000004"/>
    <n v="34329.94"/>
    <x v="19"/>
    <s v="Gujarat"/>
    <x v="1"/>
    <x v="14"/>
    <s v="CC-1004"/>
  </r>
  <r>
    <s v="TXN-00385"/>
    <d v="2025-05-20T00:00:00"/>
    <x v="3"/>
    <x v="2"/>
    <x v="0"/>
    <x v="2"/>
    <x v="0"/>
    <s v="Punjab"/>
    <s v="Jalandhar"/>
    <s v="Branch A"/>
    <x v="4"/>
    <s v="CC-1004"/>
    <s v="P012"/>
    <s v="Accounting Software"/>
    <x v="2"/>
    <x v="4"/>
    <n v="10649.76"/>
    <n v="10986.36"/>
    <n v="6849.85"/>
    <n v="705.33"/>
    <n v="782.39"/>
    <n v="1274.24"/>
    <n v="354.61"/>
    <n v="9966.43"/>
    <n v="3799.91"/>
    <n v="683.32999999999993"/>
    <n v="6.4163887261309172E-2"/>
    <n v="-336.6"/>
    <n v="319.49"/>
    <n v="1859.45"/>
    <n v="12189.72"/>
    <x v="52"/>
    <s v="Punjab"/>
    <x v="4"/>
    <x v="7"/>
    <s v="CC-1004"/>
  </r>
  <r>
    <s v="TXN-00386"/>
    <d v="2026-01-31T00:00:00"/>
    <x v="4"/>
    <x v="1"/>
    <x v="0"/>
    <x v="0"/>
    <x v="0"/>
    <s v="Maharashtra"/>
    <s v="Pune"/>
    <s v="Branch D"/>
    <x v="3"/>
    <s v="CC-1003"/>
    <s v="P003"/>
    <s v="Printer"/>
    <x v="0"/>
    <x v="3"/>
    <n v="17231.2"/>
    <n v="15436.53"/>
    <n v="10859.13"/>
    <n v="936.7"/>
    <n v="1367.62"/>
    <n v="1394.95"/>
    <n v="490.15"/>
    <n v="15048.55"/>
    <n v="6372.07"/>
    <n v="2182.6500000000015"/>
    <n v="0.12666848507358752"/>
    <n v="1794.67"/>
    <n v="861.56"/>
    <n v="818.48"/>
    <n v="17188.12"/>
    <x v="12"/>
    <s v="Maharashtra"/>
    <x v="3"/>
    <x v="5"/>
    <s v="CC-1003"/>
  </r>
  <r>
    <s v="TXN-00387"/>
    <d v="2025-11-23T00:00:00"/>
    <x v="10"/>
    <x v="3"/>
    <x v="0"/>
    <x v="1"/>
    <x v="0"/>
    <s v="Telangana"/>
    <s v="Nizamabad"/>
    <s v="Branch A"/>
    <x v="1"/>
    <s v="CC-1004"/>
    <s v="P014"/>
    <s v="Data Storage"/>
    <x v="2"/>
    <x v="12"/>
    <n v="6780.78"/>
    <n v="7570.13"/>
    <n v="3738.45"/>
    <n v="412.61"/>
    <n v="233.71"/>
    <n v="649.55999999999995"/>
    <n v="220.36"/>
    <n v="5254.7"/>
    <n v="3042.32"/>
    <n v="1526.08"/>
    <n v="0.22505965390412314"/>
    <n v="-789.35"/>
    <n v="542.46"/>
    <n v="1122.9000000000001"/>
    <n v="7361.21"/>
    <x v="29"/>
    <s v="Telangana"/>
    <x v="1"/>
    <x v="19"/>
    <s v="CC-1004"/>
  </r>
  <r>
    <s v="TXN-00388"/>
    <d v="2025-10-20T00:00:00"/>
    <x v="5"/>
    <x v="3"/>
    <x v="0"/>
    <x v="0"/>
    <x v="0"/>
    <s v="Rajasthan"/>
    <s v="Jaipur"/>
    <s v="Branch B"/>
    <x v="2"/>
    <s v="CC-1001"/>
    <s v="P011"/>
    <s v="Cloud Software"/>
    <x v="2"/>
    <x v="11"/>
    <n v="7814.7"/>
    <n v="7820.62"/>
    <n v="5476.62"/>
    <n v="797.26"/>
    <n v="241.3"/>
    <n v="905.16"/>
    <n v="148.87"/>
    <n v="7569.2"/>
    <n v="2338.08"/>
    <n v="245.5"/>
    <n v="3.1415153492776432E-2"/>
    <n v="-5.92"/>
    <n v="234.44"/>
    <n v="909.63"/>
    <n v="8489.89"/>
    <x v="21"/>
    <s v="Rajasthan"/>
    <x v="2"/>
    <x v="18"/>
    <s v="CC-1001"/>
  </r>
  <r>
    <s v="TXN-00389"/>
    <d v="2026-01-05T00:00:00"/>
    <x v="4"/>
    <x v="1"/>
    <x v="0"/>
    <x v="0"/>
    <x v="0"/>
    <s v="Gujarat"/>
    <s v="Ahmedabad"/>
    <s v="Branch A"/>
    <x v="3"/>
    <s v="CC-1003"/>
    <s v="P004"/>
    <s v="Office Chair"/>
    <x v="3"/>
    <x v="5"/>
    <n v="30800.62"/>
    <n v="28522.1"/>
    <n v="17493.900000000001"/>
    <n v="2459.9899999999998"/>
    <n v="1073.1500000000001"/>
    <n v="3199.45"/>
    <n v="1070.4100000000001"/>
    <n v="25296.9"/>
    <n v="13306.72"/>
    <n v="5503.7199999999975"/>
    <n v="0.17868861081367834"/>
    <n v="2278.5100000000002"/>
    <n v="616.01"/>
    <n v="3622.15"/>
    <n v="33806.76"/>
    <x v="18"/>
    <s v="Gujarat"/>
    <x v="3"/>
    <x v="17"/>
    <s v="CC-1003"/>
  </r>
  <r>
    <s v="TXN-00390"/>
    <d v="2025-05-23T00:00:00"/>
    <x v="3"/>
    <x v="2"/>
    <x v="0"/>
    <x v="2"/>
    <x v="0"/>
    <s v="Uttar Pradesh"/>
    <s v="Kanpur"/>
    <s v="Branch B"/>
    <x v="1"/>
    <s v="CC-1001"/>
    <s v="P007"/>
    <s v="Tablet"/>
    <x v="0"/>
    <x v="9"/>
    <n v="30986"/>
    <n v="31926.39"/>
    <n v="17727.259999999998"/>
    <n v="3958.97"/>
    <n v="1095.21"/>
    <n v="2117.35"/>
    <n v="764.79"/>
    <n v="25663.58"/>
    <n v="13258.74"/>
    <n v="5322.4199999999983"/>
    <n v="0.17176854063125277"/>
    <n v="-940.39"/>
    <n v="929.58"/>
    <n v="5410.16"/>
    <n v="35466.58"/>
    <x v="25"/>
    <s v="Uttar Pradesh"/>
    <x v="1"/>
    <x v="12"/>
    <s v="CC-1001"/>
  </r>
  <r>
    <s v="TXN-00391"/>
    <d v="2026-01-15T00:00:00"/>
    <x v="4"/>
    <x v="1"/>
    <x v="0"/>
    <x v="3"/>
    <x v="0"/>
    <s v="Odisha"/>
    <s v="Bhubaneswar"/>
    <s v="Branch D"/>
    <x v="3"/>
    <s v="CC-1001"/>
    <s v="P016"/>
    <s v="Network Switch"/>
    <x v="4"/>
    <x v="10"/>
    <n v="9265.6299999999992"/>
    <n v="8407.89"/>
    <n v="5685.77"/>
    <n v="1124.3800000000001"/>
    <n v="404.59"/>
    <n v="613.57000000000005"/>
    <n v="130.15"/>
    <n v="7958.46"/>
    <n v="3579.86"/>
    <n v="1307.1699999999992"/>
    <n v="0.1410772931792009"/>
    <n v="857.74"/>
    <n v="277.97000000000003"/>
    <n v="449.38"/>
    <n v="9437.0499999999993"/>
    <x v="3"/>
    <s v="Odisha"/>
    <x v="3"/>
    <x v="13"/>
    <s v="CC-1001"/>
  </r>
  <r>
    <s v="TXN-00392"/>
    <d v="2026-01-09T00:00:00"/>
    <x v="4"/>
    <x v="1"/>
    <x v="0"/>
    <x v="0"/>
    <x v="0"/>
    <s v="Goa"/>
    <s v="Margao"/>
    <s v="Branch A"/>
    <x v="4"/>
    <s v="CC-1003"/>
    <s v="P003"/>
    <s v="Printer"/>
    <x v="0"/>
    <x v="3"/>
    <n v="27690.94"/>
    <n v="31869.74"/>
    <n v="13629.62"/>
    <n v="3297.56"/>
    <n v="1305.95"/>
    <n v="3100.31"/>
    <n v="1188.79"/>
    <n v="22522.23"/>
    <n v="14061.33"/>
    <n v="5168.7099999999991"/>
    <n v="0.18665707989689043"/>
    <n v="-4178.79"/>
    <n v="1384.55"/>
    <n v="4735.1499999999996"/>
    <n v="31041.55"/>
    <x v="37"/>
    <s v="Goa"/>
    <x v="4"/>
    <x v="5"/>
    <s v="CC-1003"/>
  </r>
  <r>
    <s v="TXN-00393"/>
    <d v="2026-03-15T00:00:00"/>
    <x v="8"/>
    <x v="1"/>
    <x v="0"/>
    <x v="3"/>
    <x v="0"/>
    <s v="Odisha"/>
    <s v="Rourkela"/>
    <s v="Branch D"/>
    <x v="1"/>
    <s v="CC-1004"/>
    <s v="P001"/>
    <s v="Business Laptop"/>
    <x v="0"/>
    <x v="2"/>
    <n v="49983.16"/>
    <n v="56384.02"/>
    <n v="30741.51"/>
    <n v="5546.88"/>
    <n v="3568.02"/>
    <n v="2829.09"/>
    <n v="1494.92"/>
    <n v="44180.42"/>
    <n v="19241.650000000001"/>
    <n v="5802.7400000000052"/>
    <n v="0.11609390042566346"/>
    <n v="-6400.86"/>
    <n v="3998.65"/>
    <n v="5518.14"/>
    <n v="51502.65"/>
    <x v="41"/>
    <s v="Odisha"/>
    <x v="1"/>
    <x v="4"/>
    <s v="CC-1004"/>
  </r>
  <r>
    <s v="TXN-00394"/>
    <d v="2025-05-27T00:00:00"/>
    <x v="3"/>
    <x v="2"/>
    <x v="0"/>
    <x v="2"/>
    <x v="0"/>
    <s v="Delhi"/>
    <s v="Noida"/>
    <s v="Branch C"/>
    <x v="4"/>
    <s v="CC-1005"/>
    <s v="P020"/>
    <s v="Document Scanner"/>
    <x v="0"/>
    <x v="3"/>
    <n v="47075.13"/>
    <n v="50917.2"/>
    <n v="30529.05"/>
    <n v="3753.68"/>
    <n v="1231.08"/>
    <n v="4531.26"/>
    <n v="506.5"/>
    <n v="40551.58"/>
    <n v="16546.080000000002"/>
    <n v="6523.5499999999956"/>
    <n v="0.13857741869220533"/>
    <n v="-3842.07"/>
    <n v="2353.7600000000002"/>
    <n v="2236.0700000000002"/>
    <n v="46957.440000000002"/>
    <x v="40"/>
    <s v="Delhi"/>
    <x v="4"/>
    <x v="6"/>
    <s v="CC-1005"/>
  </r>
  <r>
    <s v="TXN-00395"/>
    <d v="2025-08-14T00:00:00"/>
    <x v="7"/>
    <x v="0"/>
    <x v="0"/>
    <x v="3"/>
    <x v="0"/>
    <s v="Bihar"/>
    <s v="Gaya"/>
    <s v="Branch D"/>
    <x v="0"/>
    <s v="CC-1001"/>
    <s v="P001"/>
    <s v="Business Laptop"/>
    <x v="0"/>
    <x v="2"/>
    <n v="49139.86"/>
    <n v="47215.14"/>
    <n v="26860.11"/>
    <n v="6126.42"/>
    <n v="3539.53"/>
    <n v="4234.62"/>
    <n v="1605.41"/>
    <n v="42366.09"/>
    <n v="22279.74"/>
    <n v="6773.7700000000041"/>
    <n v="0.13784675007214112"/>
    <n v="1924.72"/>
    <n v="0"/>
    <n v="8845.17"/>
    <n v="57985.03"/>
    <x v="32"/>
    <s v="Bihar"/>
    <x v="0"/>
    <x v="4"/>
    <s v="CC-1001"/>
  </r>
  <r>
    <s v="TXN-00396"/>
    <d v="2025-07-30T00:00:00"/>
    <x v="0"/>
    <x v="0"/>
    <x v="0"/>
    <x v="1"/>
    <x v="0"/>
    <s v="Kerala"/>
    <s v="Kochi"/>
    <s v="Branch C"/>
    <x v="1"/>
    <s v="CC-1002"/>
    <s v="P009"/>
    <s v="Keyboard"/>
    <x v="1"/>
    <x v="1"/>
    <n v="8574.6200000000008"/>
    <n v="8746.16"/>
    <n v="4224.29"/>
    <n v="454.5"/>
    <n v="614.09"/>
    <n v="712.1"/>
    <n v="238.41"/>
    <n v="6243.39"/>
    <n v="4350.33"/>
    <n v="2331.2300000000005"/>
    <n v="0.271875604983078"/>
    <n v="-171.53"/>
    <n v="171.49"/>
    <n v="1512.56"/>
    <n v="9915.69"/>
    <x v="4"/>
    <s v="Kerala"/>
    <x v="1"/>
    <x v="2"/>
    <s v="CC-1002"/>
  </r>
  <r>
    <s v="TXN-00397"/>
    <d v="2026-03-26T00:00:00"/>
    <x v="8"/>
    <x v="1"/>
    <x v="0"/>
    <x v="3"/>
    <x v="0"/>
    <s v="Odisha"/>
    <s v="Bhubaneswar"/>
    <s v="Branch B"/>
    <x v="0"/>
    <s v="CC-1003"/>
    <s v="P013"/>
    <s v="CRM Software"/>
    <x v="2"/>
    <x v="4"/>
    <n v="23141.5"/>
    <n v="25958.5"/>
    <n v="15691.32"/>
    <n v="2764.4"/>
    <n v="1201.47"/>
    <n v="2217.63"/>
    <n v="448.69"/>
    <n v="22323.51"/>
    <n v="7450.18"/>
    <n v="817.9900000000016"/>
    <n v="3.5347319750232337E-2"/>
    <n v="-2817"/>
    <n v="2314.15"/>
    <n v="1041.3699999999999"/>
    <n v="21868.720000000001"/>
    <x v="3"/>
    <s v="Odisha"/>
    <x v="0"/>
    <x v="15"/>
    <s v="CC-1003"/>
  </r>
  <r>
    <s v="TXN-00398"/>
    <d v="2025-04-07T00:00:00"/>
    <x v="9"/>
    <x v="2"/>
    <x v="0"/>
    <x v="2"/>
    <x v="0"/>
    <s v="Haryana"/>
    <s v="Panipat"/>
    <s v="Branch B"/>
    <x v="3"/>
    <s v="CC-1002"/>
    <s v="P008"/>
    <s v="Headset"/>
    <x v="1"/>
    <x v="8"/>
    <n v="11259.34"/>
    <n v="10959.37"/>
    <n v="5969.41"/>
    <n v="1327.23"/>
    <n v="944.56"/>
    <n v="938.22"/>
    <n v="360.63"/>
    <n v="9540.0499999999993"/>
    <n v="5289.93"/>
    <n v="1719.2900000000009"/>
    <n v="0.15269900367161848"/>
    <n v="299.97000000000003"/>
    <n v="225.19"/>
    <n v="1986.15"/>
    <n v="13020.3"/>
    <x v="16"/>
    <s v="Haryana"/>
    <x v="3"/>
    <x v="11"/>
    <s v="CC-1002"/>
  </r>
  <r>
    <s v="TXN-00399"/>
    <d v="2025-08-21T00:00:00"/>
    <x v="7"/>
    <x v="0"/>
    <x v="0"/>
    <x v="2"/>
    <x v="0"/>
    <s v="Haryana"/>
    <s v="Gurugram"/>
    <s v="Branch D"/>
    <x v="4"/>
    <s v="CC-1005"/>
    <s v="P009"/>
    <s v="Keyboard"/>
    <x v="1"/>
    <x v="1"/>
    <n v="3010.68"/>
    <n v="3261.28"/>
    <n v="1825.03"/>
    <n v="323.49"/>
    <n v="189.05"/>
    <n v="348.7"/>
    <n v="35.770000000000003"/>
    <n v="2722.04"/>
    <n v="1185.6500000000001"/>
    <n v="288.63999999999987"/>
    <n v="9.587202891041223E-2"/>
    <n v="-250.61"/>
    <n v="0"/>
    <n v="150.53"/>
    <n v="3161.21"/>
    <x v="27"/>
    <s v="Haryana"/>
    <x v="4"/>
    <x v="2"/>
    <s v="CC-1005"/>
  </r>
  <r>
    <s v="TXN-00400"/>
    <d v="2026-01-24T00:00:00"/>
    <x v="4"/>
    <x v="1"/>
    <x v="0"/>
    <x v="2"/>
    <x v="0"/>
    <s v="Haryana"/>
    <s v="Panipat"/>
    <s v="Branch C"/>
    <x v="2"/>
    <s v="CC-1003"/>
    <s v="P013"/>
    <s v="CRM Software"/>
    <x v="2"/>
    <x v="4"/>
    <n v="13899.66"/>
    <n v="14011.37"/>
    <n v="8835.9599999999991"/>
    <n v="1503.69"/>
    <n v="920.07"/>
    <n v="712.23"/>
    <n v="354.49"/>
    <n v="12326.44"/>
    <n v="5063.7"/>
    <n v="1573.2199999999993"/>
    <n v="0.11318406349507826"/>
    <n v="-111.71"/>
    <n v="694.98"/>
    <n v="2376.84"/>
    <n v="15581.52"/>
    <x v="16"/>
    <s v="Haryana"/>
    <x v="2"/>
    <x v="15"/>
    <s v="CC-1003"/>
  </r>
  <r>
    <s v="TXN-00401"/>
    <d v="2025-08-14T00:00:00"/>
    <x v="7"/>
    <x v="0"/>
    <x v="0"/>
    <x v="3"/>
    <x v="0"/>
    <s v="Odisha"/>
    <s v="Bhubaneswar"/>
    <s v="Branch A"/>
    <x v="0"/>
    <s v="CC-1005"/>
    <s v="P018"/>
    <s v="Projector"/>
    <x v="0"/>
    <x v="6"/>
    <n v="46403.28"/>
    <n v="53205.07"/>
    <n v="25938.400000000001"/>
    <n v="3488"/>
    <n v="2704.65"/>
    <n v="5348.22"/>
    <n v="541.64"/>
    <n v="38020.9"/>
    <n v="20464.88"/>
    <n v="8382.3799999999974"/>
    <n v="0.18064197186060979"/>
    <n v="-6801.78"/>
    <n v="1392.1"/>
    <n v="8102.01"/>
    <n v="53113.2"/>
    <x v="3"/>
    <s v="Odisha"/>
    <x v="0"/>
    <x v="9"/>
    <s v="CC-1005"/>
  </r>
  <r>
    <s v="TXN-00402"/>
    <d v="2025-06-18T00:00:00"/>
    <x v="11"/>
    <x v="2"/>
    <x v="0"/>
    <x v="2"/>
    <x v="0"/>
    <s v="Punjab"/>
    <s v="Ludhiana"/>
    <s v="Branch C"/>
    <x v="2"/>
    <s v="CC-1002"/>
    <s v="P012"/>
    <s v="Accounting Software"/>
    <x v="2"/>
    <x v="4"/>
    <n v="12324.69"/>
    <n v="11815.46"/>
    <n v="7205.71"/>
    <n v="770.94"/>
    <n v="1067.22"/>
    <n v="1249.08"/>
    <n v="238.98"/>
    <n v="10531.92"/>
    <n v="5118.97"/>
    <n v="1792.7700000000004"/>
    <n v="0.14546167084121389"/>
    <n v="509.23"/>
    <n v="616.23"/>
    <n v="2107.52"/>
    <n v="13815.97"/>
    <x v="35"/>
    <s v="Punjab"/>
    <x v="2"/>
    <x v="7"/>
    <s v="CC-1002"/>
  </r>
  <r>
    <s v="TXN-00403"/>
    <d v="2025-10-01T00:00:00"/>
    <x v="5"/>
    <x v="3"/>
    <x v="0"/>
    <x v="3"/>
    <x v="0"/>
    <s v="West Bengal"/>
    <s v="Durgapur"/>
    <s v="Branch C"/>
    <x v="0"/>
    <s v="CC-1001"/>
    <s v="P016"/>
    <s v="Network Switch"/>
    <x v="4"/>
    <x v="10"/>
    <n v="31601.85"/>
    <n v="30202.54"/>
    <n v="20150.47"/>
    <n v="2081.19"/>
    <n v="1085.8499999999999"/>
    <n v="3790.88"/>
    <n v="1004.41"/>
    <n v="28112.79"/>
    <n v="11451.38"/>
    <n v="3489.0599999999977"/>
    <n v="0.11040682744839299"/>
    <n v="1399.31"/>
    <n v="948.06"/>
    <n v="3678.46"/>
    <n v="34332.25"/>
    <x v="39"/>
    <s v="West Bengal"/>
    <x v="0"/>
    <x v="13"/>
    <s v="CC-1001"/>
  </r>
  <r>
    <s v="TXN-00404"/>
    <d v="2025-05-04T00:00:00"/>
    <x v="3"/>
    <x v="2"/>
    <x v="0"/>
    <x v="2"/>
    <x v="0"/>
    <s v="Punjab"/>
    <s v="Ludhiana"/>
    <s v="Branch B"/>
    <x v="1"/>
    <s v="CC-1001"/>
    <s v="P003"/>
    <s v="Printer"/>
    <x v="0"/>
    <x v="3"/>
    <n v="33473.449999999997"/>
    <n v="39316.879999999997"/>
    <n v="21619.35"/>
    <n v="4038.75"/>
    <n v="2899.9"/>
    <n v="2642.4"/>
    <n v="1157.56"/>
    <n v="32357.96"/>
    <n v="11854.11"/>
    <n v="1115.489999999998"/>
    <n v="3.3324619959998088E-2"/>
    <n v="-5843.43"/>
    <n v="2677.88"/>
    <n v="3695.47"/>
    <n v="34491.050000000003"/>
    <x v="35"/>
    <s v="Punjab"/>
    <x v="1"/>
    <x v="5"/>
    <s v="CC-1001"/>
  </r>
  <r>
    <s v="TXN-00405"/>
    <d v="2026-02-12T00:00:00"/>
    <x v="2"/>
    <x v="1"/>
    <x v="0"/>
    <x v="4"/>
    <x v="0"/>
    <s v="Uttar Pradesh"/>
    <s v="Agra"/>
    <s v="Branch D"/>
    <x v="2"/>
    <s v="CC-1003"/>
    <s v="P009"/>
    <s v="Keyboard"/>
    <x v="1"/>
    <x v="1"/>
    <n v="8831.99"/>
    <n v="9142.34"/>
    <n v="4487.49"/>
    <n v="814.79"/>
    <n v="293.63"/>
    <n v="771.91"/>
    <n v="237.47"/>
    <n v="6605.3"/>
    <n v="4344.5"/>
    <n v="2226.6899999999996"/>
    <n v="0.25211645393620236"/>
    <n v="-310.35000000000002"/>
    <n v="441.6"/>
    <n v="419.52"/>
    <n v="8809.91"/>
    <x v="7"/>
    <s v="Uttar Pradesh"/>
    <x v="2"/>
    <x v="2"/>
    <s v="CC-1003"/>
  </r>
  <r>
    <s v="TXN-00406"/>
    <d v="2025-12-18T00:00:00"/>
    <x v="6"/>
    <x v="3"/>
    <x v="0"/>
    <x v="2"/>
    <x v="0"/>
    <s v="Uttar Pradesh"/>
    <s v="Kanpur"/>
    <s v="Branch D"/>
    <x v="3"/>
    <s v="CC-1001"/>
    <s v="P017"/>
    <s v="UPS System"/>
    <x v="0"/>
    <x v="7"/>
    <n v="43101.9"/>
    <n v="43241.760000000002"/>
    <n v="22940.9"/>
    <n v="5486.08"/>
    <n v="1443.54"/>
    <n v="3006.23"/>
    <n v="470"/>
    <n v="33346.74"/>
    <n v="20161"/>
    <n v="9755.1600000000035"/>
    <n v="0.22632784169607378"/>
    <n v="-139.86000000000001"/>
    <n v="862.04"/>
    <n v="7603.18"/>
    <n v="49843.040000000001"/>
    <x v="25"/>
    <s v="Uttar Pradesh"/>
    <x v="3"/>
    <x v="10"/>
    <s v="CC-1001"/>
  </r>
  <r>
    <s v="TXN-00407"/>
    <d v="2025-07-03T00:00:00"/>
    <x v="0"/>
    <x v="0"/>
    <x v="0"/>
    <x v="0"/>
    <x v="0"/>
    <s v="Goa"/>
    <s v="Margao"/>
    <s v="Branch D"/>
    <x v="1"/>
    <s v="CC-1004"/>
    <s v="P003"/>
    <s v="Printer"/>
    <x v="0"/>
    <x v="3"/>
    <n v="67871.070000000007"/>
    <n v="78359.97"/>
    <n v="46497.36"/>
    <n v="7102.98"/>
    <n v="1927.65"/>
    <n v="6965.46"/>
    <n v="2687.21"/>
    <n v="65180.67"/>
    <n v="21373.71"/>
    <n v="2690.4000000000087"/>
    <n v="3.9639864230813046E-2"/>
    <n v="-10488.91"/>
    <n v="5429.69"/>
    <n v="7492.97"/>
    <n v="69934.350000000006"/>
    <x v="37"/>
    <s v="Goa"/>
    <x v="1"/>
    <x v="5"/>
    <s v="CC-1004"/>
  </r>
  <r>
    <s v="TXN-00408"/>
    <d v="2025-08-06T00:00:00"/>
    <x v="7"/>
    <x v="0"/>
    <x v="0"/>
    <x v="0"/>
    <x v="0"/>
    <s v="Goa"/>
    <s v="Margao"/>
    <s v="Branch C"/>
    <x v="2"/>
    <s v="CC-1003"/>
    <s v="P002"/>
    <s v="Monitor"/>
    <x v="0"/>
    <x v="2"/>
    <n v="25089.93"/>
    <n v="28044.560000000001"/>
    <n v="13168.64"/>
    <n v="1388.3"/>
    <n v="2255.75"/>
    <n v="1053.4100000000001"/>
    <n v="984.37"/>
    <n v="18850.46"/>
    <n v="11921.28"/>
    <n v="6239.4700000000012"/>
    <n v="0.24868423307677626"/>
    <n v="-2954.64"/>
    <n v="752.7"/>
    <n v="4380.7"/>
    <n v="28717.93"/>
    <x v="37"/>
    <s v="Goa"/>
    <x v="2"/>
    <x v="3"/>
    <s v="CC-1003"/>
  </r>
  <r>
    <s v="TXN-00409"/>
    <d v="2026-01-22T00:00:00"/>
    <x v="4"/>
    <x v="1"/>
    <x v="0"/>
    <x v="4"/>
    <x v="0"/>
    <s v="Chhattisgarh"/>
    <s v="Raipur"/>
    <s v="Branch B"/>
    <x v="1"/>
    <s v="CC-1003"/>
    <s v="P006"/>
    <s v="Smartphone"/>
    <x v="0"/>
    <x v="9"/>
    <n v="32640.75"/>
    <n v="35721.01"/>
    <n v="20551.23"/>
    <n v="4166.41"/>
    <n v="2001.92"/>
    <n v="2184.04"/>
    <n v="919.35"/>
    <n v="29822.95"/>
    <n v="12089.52"/>
    <n v="2817.7999999999993"/>
    <n v="8.6327673230547686E-2"/>
    <n v="-3080.27"/>
    <n v="3264.07"/>
    <n v="5287.8"/>
    <n v="34664.47"/>
    <x v="50"/>
    <s v="Chhattisgarh"/>
    <x v="1"/>
    <x v="16"/>
    <s v="CC-1003"/>
  </r>
  <r>
    <s v="TXN-00410"/>
    <d v="2025-10-10T00:00:00"/>
    <x v="5"/>
    <x v="3"/>
    <x v="0"/>
    <x v="3"/>
    <x v="0"/>
    <s v="Odisha"/>
    <s v="Cuttack"/>
    <s v="Branch D"/>
    <x v="2"/>
    <s v="CC-1001"/>
    <s v="P013"/>
    <s v="CRM Software"/>
    <x v="2"/>
    <x v="4"/>
    <n v="14944.42"/>
    <n v="14310.95"/>
    <n v="7266.2"/>
    <n v="1088.21"/>
    <n v="911.73"/>
    <n v="599.69000000000005"/>
    <n v="297.58"/>
    <n v="10163.42"/>
    <n v="7678.22"/>
    <n v="4781"/>
    <n v="0.31991873890053946"/>
    <n v="633.47"/>
    <n v="1195.55"/>
    <n v="1649.86"/>
    <n v="15398.74"/>
    <x v="28"/>
    <s v="Odisha"/>
    <x v="2"/>
    <x v="15"/>
    <s v="CC-1001"/>
  </r>
  <r>
    <s v="TXN-00411"/>
    <d v="2025-08-31T00:00:00"/>
    <x v="7"/>
    <x v="0"/>
    <x v="0"/>
    <x v="3"/>
    <x v="0"/>
    <s v="Odisha"/>
    <s v="Bhubaneswar"/>
    <s v="Branch D"/>
    <x v="1"/>
    <s v="CC-1004"/>
    <s v="P013"/>
    <s v="CRM Software"/>
    <x v="2"/>
    <x v="4"/>
    <n v="19177.830000000002"/>
    <n v="21177.200000000001"/>
    <n v="11735.75"/>
    <n v="1652.9"/>
    <n v="690.64"/>
    <n v="1744.14"/>
    <n v="846.07"/>
    <n v="16669.509999999998"/>
    <n v="7442.08"/>
    <n v="2508.3200000000033"/>
    <n v="0.13079269135246288"/>
    <n v="-1999.36"/>
    <n v="1534.23"/>
    <n v="882.18"/>
    <n v="18525.79"/>
    <x v="3"/>
    <s v="Odisha"/>
    <x v="1"/>
    <x v="15"/>
    <s v="CC-1004"/>
  </r>
  <r>
    <s v="TXN-00412"/>
    <d v="2025-11-06T00:00:00"/>
    <x v="10"/>
    <x v="3"/>
    <x v="0"/>
    <x v="4"/>
    <x v="0"/>
    <s v="Uttar Pradesh"/>
    <s v="Lucknow"/>
    <s v="Branch C"/>
    <x v="4"/>
    <s v="CC-1004"/>
    <s v="P010"/>
    <s v="Mouse"/>
    <x v="1"/>
    <x v="1"/>
    <n v="6394.89"/>
    <n v="6530.53"/>
    <n v="3144.98"/>
    <n v="417.49"/>
    <n v="488.46"/>
    <n v="488.04"/>
    <n v="131.47"/>
    <n v="4670.4399999999996"/>
    <n v="3249.91"/>
    <n v="1724.4500000000007"/>
    <n v="0.26966061965100269"/>
    <n v="-135.63999999999999"/>
    <n v="191.85"/>
    <n v="1116.55"/>
    <n v="7319.6"/>
    <x v="2"/>
    <s v="Uttar Pradesh"/>
    <x v="4"/>
    <x v="1"/>
    <s v="CC-1004"/>
  </r>
  <r>
    <s v="TXN-00413"/>
    <d v="2025-07-03T00:00:00"/>
    <x v="0"/>
    <x v="0"/>
    <x v="0"/>
    <x v="1"/>
    <x v="0"/>
    <s v="Telangana"/>
    <s v="Warangal"/>
    <s v="Branch D"/>
    <x v="1"/>
    <s v="CC-1005"/>
    <s v="P011"/>
    <s v="Cloud Software"/>
    <x v="2"/>
    <x v="11"/>
    <n v="19664.52"/>
    <n v="20823.12"/>
    <n v="11166.43"/>
    <n v="2252.94"/>
    <n v="1160.47"/>
    <n v="970.24"/>
    <n v="285.48"/>
    <n v="15835.56"/>
    <n v="8498.09"/>
    <n v="3828.9600000000009"/>
    <n v="0.19471413489879238"/>
    <n v="-1158.5999999999999"/>
    <n v="983.23"/>
    <n v="3362.63"/>
    <n v="22043.93"/>
    <x v="46"/>
    <s v="Telangana"/>
    <x v="1"/>
    <x v="18"/>
    <s v="CC-1005"/>
  </r>
  <r>
    <s v="TXN-00414"/>
    <d v="2025-05-13T00:00:00"/>
    <x v="3"/>
    <x v="2"/>
    <x v="0"/>
    <x v="2"/>
    <x v="0"/>
    <s v="Haryana"/>
    <s v="Faridabad"/>
    <s v="Branch A"/>
    <x v="1"/>
    <s v="CC-1001"/>
    <s v="P006"/>
    <s v="Smartphone"/>
    <x v="0"/>
    <x v="9"/>
    <n v="49269.46"/>
    <n v="52080.35"/>
    <n v="28647.66"/>
    <n v="3255.24"/>
    <n v="2210.75"/>
    <n v="4038.13"/>
    <n v="1616.8"/>
    <n v="39768.58"/>
    <n v="20621.8"/>
    <n v="9500.8799999999974"/>
    <n v="0.19283507470956648"/>
    <n v="-2810.88"/>
    <n v="2463.4699999999998"/>
    <n v="8425.08"/>
    <n v="55231.07"/>
    <x v="13"/>
    <s v="Haryana"/>
    <x v="1"/>
    <x v="16"/>
    <s v="CC-1001"/>
  </r>
  <r>
    <s v="TXN-00415"/>
    <d v="2026-01-27T00:00:00"/>
    <x v="4"/>
    <x v="1"/>
    <x v="0"/>
    <x v="2"/>
    <x v="0"/>
    <s v="Uttar Pradesh"/>
    <s v="Kanpur"/>
    <s v="Branch C"/>
    <x v="1"/>
    <s v="CC-1002"/>
    <s v="P007"/>
    <s v="Tablet"/>
    <x v="0"/>
    <x v="9"/>
    <n v="47879.12"/>
    <n v="50024.01"/>
    <n v="33666.199999999997"/>
    <n v="6024.59"/>
    <n v="1412.66"/>
    <n v="3663.38"/>
    <n v="1500.49"/>
    <n v="46267.32"/>
    <n v="14212.92"/>
    <n v="1611.8000000000029"/>
    <n v="3.3663943698213392E-2"/>
    <n v="-2144.88"/>
    <n v="957.58"/>
    <n v="5630.58"/>
    <n v="52552.12"/>
    <x v="25"/>
    <s v="Uttar Pradesh"/>
    <x v="1"/>
    <x v="12"/>
    <s v="CC-1002"/>
  </r>
  <r>
    <s v="TXN-00416"/>
    <d v="2025-11-16T00:00:00"/>
    <x v="10"/>
    <x v="3"/>
    <x v="0"/>
    <x v="1"/>
    <x v="0"/>
    <s v="Telangana"/>
    <s v="Nizamabad"/>
    <s v="Branch B"/>
    <x v="4"/>
    <s v="CC-1003"/>
    <s v="P015"/>
    <s v="Network Router"/>
    <x v="4"/>
    <x v="10"/>
    <n v="17018.71"/>
    <n v="15944.26"/>
    <n v="11813.32"/>
    <n v="1437.66"/>
    <n v="644.5"/>
    <n v="1277.1099999999999"/>
    <n v="413.66"/>
    <n v="15586.25"/>
    <n v="5205.3900000000003"/>
    <n v="1432.4599999999991"/>
    <n v="8.4169716741163067E-2"/>
    <n v="1074.45"/>
    <n v="510.56"/>
    <n v="1980.98"/>
    <n v="18489.12"/>
    <x v="29"/>
    <s v="Telangana"/>
    <x v="4"/>
    <x v="14"/>
    <s v="CC-1003"/>
  </r>
  <r>
    <s v="TXN-00417"/>
    <d v="2025-05-13T00:00:00"/>
    <x v="3"/>
    <x v="2"/>
    <x v="0"/>
    <x v="1"/>
    <x v="0"/>
    <s v="Tamil Nadu"/>
    <s v="Coimbatore"/>
    <s v="Branch B"/>
    <x v="2"/>
    <s v="CC-1001"/>
    <s v="P002"/>
    <s v="Monitor"/>
    <x v="0"/>
    <x v="2"/>
    <n v="43068.71"/>
    <n v="42914.42"/>
    <n v="28900.47"/>
    <n v="3206.92"/>
    <n v="1280.6500000000001"/>
    <n v="4936.16"/>
    <n v="1025.44"/>
    <n v="39349.620000000003"/>
    <n v="14168.24"/>
    <n v="3719.0899999999965"/>
    <n v="8.6352481883018944E-2"/>
    <n v="154.29"/>
    <n v="3445.5"/>
    <n v="4754.79"/>
    <n v="44378"/>
    <x v="10"/>
    <s v="Tamil Nadu"/>
    <x v="2"/>
    <x v="3"/>
    <s v="CC-1001"/>
  </r>
  <r>
    <s v="TXN-00418"/>
    <d v="2026-01-05T00:00:00"/>
    <x v="4"/>
    <x v="1"/>
    <x v="0"/>
    <x v="0"/>
    <x v="0"/>
    <s v="Maharashtra"/>
    <s v="Nagpur"/>
    <s v="Branch D"/>
    <x v="2"/>
    <s v="CC-1005"/>
    <s v="P016"/>
    <s v="Network Switch"/>
    <x v="4"/>
    <x v="10"/>
    <n v="22318.87"/>
    <n v="23358.68"/>
    <n v="13539.05"/>
    <n v="2286.23"/>
    <n v="896.26"/>
    <n v="2436.15"/>
    <n v="464.86"/>
    <n v="19622.560000000001"/>
    <n v="8779.82"/>
    <n v="2696.3099999999977"/>
    <n v="0.12080853555757966"/>
    <n v="-1039.81"/>
    <n v="1115.94"/>
    <n v="1060.1500000000001"/>
    <n v="22263.07"/>
    <x v="15"/>
    <s v="Maharashtra"/>
    <x v="2"/>
    <x v="13"/>
    <s v="CC-1005"/>
  </r>
  <r>
    <s v="TXN-00419"/>
    <d v="2026-01-20T00:00:00"/>
    <x v="4"/>
    <x v="1"/>
    <x v="0"/>
    <x v="1"/>
    <x v="0"/>
    <s v="Karnataka"/>
    <s v="Mangaluru"/>
    <s v="Branch C"/>
    <x v="1"/>
    <s v="CC-1003"/>
    <s v="P010"/>
    <s v="Mouse"/>
    <x v="1"/>
    <x v="1"/>
    <n v="3351.53"/>
    <n v="3756.94"/>
    <n v="2060.69"/>
    <n v="366.22"/>
    <n v="227.97"/>
    <n v="229.39"/>
    <n v="128.4"/>
    <n v="3012.67"/>
    <n v="1290.8399999999999"/>
    <n v="338.86000000000013"/>
    <n v="0.10110606200750108"/>
    <n v="-405.41"/>
    <n v="67.03"/>
    <n v="394.14"/>
    <n v="3678.64"/>
    <x v="31"/>
    <s v="Karnataka"/>
    <x v="1"/>
    <x v="1"/>
    <s v="CC-1003"/>
  </r>
  <r>
    <s v="TXN-00420"/>
    <d v="2025-11-17T00:00:00"/>
    <x v="10"/>
    <x v="3"/>
    <x v="0"/>
    <x v="2"/>
    <x v="0"/>
    <s v="Haryana"/>
    <s v="Gurugram"/>
    <s v="Branch B"/>
    <x v="3"/>
    <s v="CC-1001"/>
    <s v="P001"/>
    <s v="Business Laptop"/>
    <x v="0"/>
    <x v="2"/>
    <n v="66460.800000000003"/>
    <n v="71673.97"/>
    <n v="46308.93"/>
    <n v="3847"/>
    <n v="2664.09"/>
    <n v="6427.56"/>
    <n v="2580.7399999999998"/>
    <n v="61828.32"/>
    <n v="20151.87"/>
    <n v="4632.4800000000032"/>
    <n v="6.9702441138234913E-2"/>
    <n v="-5213.18"/>
    <n v="5316.86"/>
    <n v="7337.27"/>
    <n v="68481.210000000006"/>
    <x v="27"/>
    <s v="Haryana"/>
    <x v="3"/>
    <x v="4"/>
    <s v="CC-1001"/>
  </r>
  <r>
    <s v="TXN-00421"/>
    <d v="2025-10-28T00:00:00"/>
    <x v="5"/>
    <x v="3"/>
    <x v="0"/>
    <x v="0"/>
    <x v="0"/>
    <s v="Goa"/>
    <s v="Vasco da Gama"/>
    <s v="Branch D"/>
    <x v="1"/>
    <s v="CC-1001"/>
    <s v="P019"/>
    <s v="Conference Camera"/>
    <x v="0"/>
    <x v="0"/>
    <n v="26862.84"/>
    <n v="27085.82"/>
    <n v="16737.04"/>
    <n v="1535.81"/>
    <n v="1260.6300000000001"/>
    <n v="1267.28"/>
    <n v="1172.67"/>
    <n v="21973.43"/>
    <n v="10125.799999999999"/>
    <n v="4889.41"/>
    <n v="0.18201388981954253"/>
    <n v="-222.98"/>
    <n v="2149.0300000000002"/>
    <n v="2965.66"/>
    <n v="27679.47"/>
    <x v="0"/>
    <s v="Goa"/>
    <x v="1"/>
    <x v="0"/>
    <s v="CC-1001"/>
  </r>
  <r>
    <s v="TXN-00422"/>
    <d v="2025-06-21T00:00:00"/>
    <x v="11"/>
    <x v="2"/>
    <x v="0"/>
    <x v="2"/>
    <x v="0"/>
    <s v="Punjab"/>
    <s v="Ludhiana"/>
    <s v="Branch D"/>
    <x v="2"/>
    <s v="CC-1005"/>
    <s v="P018"/>
    <s v="Projector"/>
    <x v="0"/>
    <x v="6"/>
    <n v="60666.13"/>
    <n v="55985.97"/>
    <n v="40247.15"/>
    <n v="6867.28"/>
    <n v="4037.59"/>
    <n v="6568.76"/>
    <n v="2172.34"/>
    <n v="59893.11"/>
    <n v="20418.98"/>
    <n v="773.0199999999968"/>
    <n v="1.2742200631554986E-2"/>
    <n v="4680.16"/>
    <n v="4853.29"/>
    <n v="6697.54"/>
    <n v="62510.38"/>
    <x v="35"/>
    <s v="Punjab"/>
    <x v="2"/>
    <x v="9"/>
    <s v="CC-1005"/>
  </r>
  <r>
    <s v="TXN-00423"/>
    <d v="2025-07-20T00:00:00"/>
    <x v="0"/>
    <x v="0"/>
    <x v="0"/>
    <x v="4"/>
    <x v="0"/>
    <s v="Madhya Pradesh"/>
    <s v="Bhopal"/>
    <s v="Branch A"/>
    <x v="1"/>
    <s v="CC-1001"/>
    <s v="P007"/>
    <s v="Tablet"/>
    <x v="0"/>
    <x v="9"/>
    <n v="34770.589999999997"/>
    <n v="32429.63"/>
    <n v="18171.599999999999"/>
    <n v="4284.2"/>
    <n v="1920.67"/>
    <n v="1566.59"/>
    <n v="1075.68"/>
    <n v="27018.74"/>
    <n v="16599"/>
    <n v="7751.8499999999949"/>
    <n v="0.22294272257100026"/>
    <n v="2340.9699999999998"/>
    <n v="1738.53"/>
    <n v="1651.6"/>
    <n v="34683.67"/>
    <x v="23"/>
    <s v="Madhya Pradesh"/>
    <x v="1"/>
    <x v="12"/>
    <s v="CC-1001"/>
  </r>
  <r>
    <s v="TXN-00424"/>
    <d v="2025-09-16T00:00:00"/>
    <x v="1"/>
    <x v="0"/>
    <x v="0"/>
    <x v="3"/>
    <x v="0"/>
    <s v="Odisha"/>
    <s v="Cuttack"/>
    <s v="Branch D"/>
    <x v="1"/>
    <s v="CC-1002"/>
    <s v="P004"/>
    <s v="Office Chair"/>
    <x v="3"/>
    <x v="5"/>
    <n v="13333.89"/>
    <n v="14278.35"/>
    <n v="6927.43"/>
    <n v="1125.2"/>
    <n v="582.30999999999995"/>
    <n v="1319.3"/>
    <n v="344.94"/>
    <n v="10299.18"/>
    <n v="6406.46"/>
    <n v="3034.7099999999991"/>
    <n v="0.22759374796102258"/>
    <n v="-944.46"/>
    <n v="1333.39"/>
    <n v="600.02"/>
    <n v="12600.52"/>
    <x v="28"/>
    <s v="Odisha"/>
    <x v="1"/>
    <x v="17"/>
    <s v="CC-1002"/>
  </r>
  <r>
    <s v="TXN-00425"/>
    <d v="2025-12-13T00:00:00"/>
    <x v="6"/>
    <x v="3"/>
    <x v="0"/>
    <x v="3"/>
    <x v="0"/>
    <s v="West Bengal"/>
    <s v="Siliguri"/>
    <s v="Branch D"/>
    <x v="1"/>
    <s v="CC-1004"/>
    <s v="P010"/>
    <s v="Mouse"/>
    <x v="1"/>
    <x v="1"/>
    <n v="9559.4500000000007"/>
    <n v="10884.05"/>
    <n v="5883.16"/>
    <n v="791.75"/>
    <n v="445.87"/>
    <n v="477.94"/>
    <n v="131.24"/>
    <n v="7729.96"/>
    <n v="3676.3"/>
    <n v="1829.4900000000007"/>
    <n v="0.1913802572323722"/>
    <n v="-1324.6"/>
    <n v="477.97"/>
    <n v="1089.78"/>
    <n v="10171.26"/>
    <x v="44"/>
    <s v="West Bengal"/>
    <x v="1"/>
    <x v="1"/>
    <s v="CC-1004"/>
  </r>
  <r>
    <s v="TXN-00426"/>
    <d v="2025-04-28T00:00:00"/>
    <x v="9"/>
    <x v="2"/>
    <x v="0"/>
    <x v="4"/>
    <x v="0"/>
    <s v="Madhya Pradesh"/>
    <s v="Gwalior"/>
    <s v="Branch A"/>
    <x v="0"/>
    <s v="CC-1005"/>
    <s v="P014"/>
    <s v="Data Storage"/>
    <x v="2"/>
    <x v="12"/>
    <n v="6649.72"/>
    <n v="6778.09"/>
    <n v="3883.3"/>
    <n v="757.9"/>
    <n v="485.87"/>
    <n v="492.78"/>
    <n v="144.16"/>
    <n v="5764.02"/>
    <n v="2766.41"/>
    <n v="885.69999999999982"/>
    <n v="0.13319357807546781"/>
    <n v="-128.37"/>
    <n v="132.99"/>
    <n v="1173.01"/>
    <n v="7689.73"/>
    <x v="42"/>
    <s v="Madhya Pradesh"/>
    <x v="0"/>
    <x v="19"/>
    <s v="CC-1005"/>
  </r>
  <r>
    <s v="TXN-00427"/>
    <d v="2025-04-30T00:00:00"/>
    <x v="9"/>
    <x v="2"/>
    <x v="0"/>
    <x v="2"/>
    <x v="0"/>
    <s v="Haryana"/>
    <s v="Gurugram"/>
    <s v="Branch B"/>
    <x v="1"/>
    <s v="CC-1004"/>
    <s v="P004"/>
    <s v="Office Chair"/>
    <x v="3"/>
    <x v="5"/>
    <n v="36091.599999999999"/>
    <n v="39445.79"/>
    <n v="21500.99"/>
    <n v="3306.92"/>
    <n v="3190.17"/>
    <n v="4232.16"/>
    <n v="632.85"/>
    <n v="32863.089999999997"/>
    <n v="14590.6"/>
    <n v="3228.510000000002"/>
    <n v="8.9453224573030898E-2"/>
    <n v="-3354.19"/>
    <n v="2887.33"/>
    <n v="1660.21"/>
    <n v="34864.480000000003"/>
    <x v="27"/>
    <s v="Haryana"/>
    <x v="1"/>
    <x v="17"/>
    <s v="CC-1004"/>
  </r>
  <r>
    <s v="TXN-00428"/>
    <d v="2025-07-15T00:00:00"/>
    <x v="0"/>
    <x v="0"/>
    <x v="0"/>
    <x v="2"/>
    <x v="0"/>
    <s v="Delhi"/>
    <s v="New Delhi"/>
    <s v="Branch D"/>
    <x v="4"/>
    <s v="CC-1005"/>
    <s v="P015"/>
    <s v="Network Router"/>
    <x v="4"/>
    <x v="10"/>
    <n v="27743.26"/>
    <n v="31938.99"/>
    <n v="14359"/>
    <n v="2200.9"/>
    <n v="1810.05"/>
    <n v="1463.5"/>
    <n v="1217.4000000000001"/>
    <n v="21050.85"/>
    <n v="13384.27"/>
    <n v="6692.41"/>
    <n v="0.24122651771997958"/>
    <n v="-4195.7299999999996"/>
    <n v="2219.46"/>
    <n v="1276.19"/>
    <n v="26799.99"/>
    <x v="48"/>
    <s v="Delhi"/>
    <x v="4"/>
    <x v="14"/>
    <s v="CC-1005"/>
  </r>
  <r>
    <s v="TXN-00429"/>
    <d v="2026-02-24T00:00:00"/>
    <x v="2"/>
    <x v="1"/>
    <x v="0"/>
    <x v="0"/>
    <x v="0"/>
    <s v="Gujarat"/>
    <s v="Ahmedabad"/>
    <s v="Branch B"/>
    <x v="1"/>
    <s v="CC-1002"/>
    <s v="P004"/>
    <s v="Office Chair"/>
    <x v="3"/>
    <x v="5"/>
    <n v="18987.95"/>
    <n v="21580.25"/>
    <n v="11082.52"/>
    <n v="1535.9"/>
    <n v="1326.09"/>
    <n v="1674.65"/>
    <n v="261.14999999999998"/>
    <n v="15880.3"/>
    <n v="7905.44"/>
    <n v="3107.6500000000015"/>
    <n v="0.16366432395282279"/>
    <n v="-2592.3000000000002"/>
    <n v="569.64"/>
    <n v="3315.3"/>
    <n v="21733.61"/>
    <x v="18"/>
    <s v="Gujarat"/>
    <x v="1"/>
    <x v="17"/>
    <s v="CC-1002"/>
  </r>
  <r>
    <s v="TXN-00430"/>
    <d v="2025-08-31T00:00:00"/>
    <x v="7"/>
    <x v="0"/>
    <x v="0"/>
    <x v="4"/>
    <x v="0"/>
    <s v="Uttar Pradesh"/>
    <s v="Kanpur"/>
    <s v="Branch D"/>
    <x v="4"/>
    <s v="CC-1003"/>
    <s v="P010"/>
    <s v="Mouse"/>
    <x v="1"/>
    <x v="1"/>
    <n v="4988.55"/>
    <n v="4977.83"/>
    <n v="2609.59"/>
    <n v="480.13"/>
    <n v="435.34"/>
    <n v="400.31"/>
    <n v="64.36"/>
    <n v="3989.73"/>
    <n v="2378.96"/>
    <n v="998.82000000000016"/>
    <n v="0.20022250954686235"/>
    <n v="10.72"/>
    <n v="249.43"/>
    <n v="568.69000000000005"/>
    <n v="5307.81"/>
    <x v="25"/>
    <s v="Uttar Pradesh"/>
    <x v="4"/>
    <x v="1"/>
    <s v="CC-1003"/>
  </r>
  <r>
    <s v="TXN-00431"/>
    <d v="2026-02-09T00:00:00"/>
    <x v="2"/>
    <x v="1"/>
    <x v="0"/>
    <x v="3"/>
    <x v="0"/>
    <s v="Odisha"/>
    <s v="Cuttack"/>
    <s v="Branch D"/>
    <x v="3"/>
    <s v="CC-1002"/>
    <s v="P005"/>
    <s v="Office Desk"/>
    <x v="3"/>
    <x v="5"/>
    <n v="21732.73"/>
    <n v="21222.14"/>
    <n v="12859.62"/>
    <n v="2726.49"/>
    <n v="1859.51"/>
    <n v="1228.98"/>
    <n v="489.81"/>
    <n v="19164.41"/>
    <n v="8873.11"/>
    <n v="2568.3199999999997"/>
    <n v="0.11817751382361993"/>
    <n v="510.59"/>
    <n v="0"/>
    <n v="2607.9299999999998"/>
    <n v="24340.66"/>
    <x v="28"/>
    <s v="Odisha"/>
    <x v="3"/>
    <x v="8"/>
    <s v="CC-1002"/>
  </r>
  <r>
    <s v="TXN-00432"/>
    <d v="2025-12-09T00:00:00"/>
    <x v="6"/>
    <x v="3"/>
    <x v="0"/>
    <x v="3"/>
    <x v="0"/>
    <s v="West Bengal"/>
    <s v="Durgapur"/>
    <s v="Branch D"/>
    <x v="3"/>
    <s v="CC-1002"/>
    <s v="P017"/>
    <s v="UPS System"/>
    <x v="0"/>
    <x v="7"/>
    <n v="74193.39"/>
    <n v="65371.57"/>
    <n v="41311.94"/>
    <n v="6213.1"/>
    <n v="2962.66"/>
    <n v="4152.29"/>
    <n v="840.05"/>
    <n v="55480.04"/>
    <n v="32881.449999999997"/>
    <n v="18713.349999999999"/>
    <n v="0.25222395148678339"/>
    <n v="8821.83"/>
    <n v="3709.67"/>
    <n v="8458.0499999999993"/>
    <n v="78941.77"/>
    <x v="39"/>
    <s v="West Bengal"/>
    <x v="3"/>
    <x v="10"/>
    <s v="CC-1002"/>
  </r>
  <r>
    <s v="TXN-00433"/>
    <d v="2026-03-08T00:00:00"/>
    <x v="8"/>
    <x v="1"/>
    <x v="0"/>
    <x v="1"/>
    <x v="0"/>
    <s v="Karnataka"/>
    <s v="Mysuru"/>
    <s v="Branch C"/>
    <x v="1"/>
    <s v="CC-1005"/>
    <s v="P012"/>
    <s v="Accounting Software"/>
    <x v="2"/>
    <x v="4"/>
    <n v="23926.17"/>
    <n v="22600.84"/>
    <n v="13160.54"/>
    <n v="1526.98"/>
    <n v="1188.1400000000001"/>
    <n v="2700.47"/>
    <n v="754.56"/>
    <n v="19330.7"/>
    <n v="10765.62"/>
    <n v="4595.4699999999975"/>
    <n v="0.19206876821488764"/>
    <n v="1325.32"/>
    <n v="717.78"/>
    <n v="4177.51"/>
    <n v="27385.89"/>
    <x v="33"/>
    <s v="Karnataka"/>
    <x v="1"/>
    <x v="7"/>
    <s v="CC-1005"/>
  </r>
  <r>
    <s v="TXN-00434"/>
    <d v="2025-11-26T00:00:00"/>
    <x v="10"/>
    <x v="3"/>
    <x v="0"/>
    <x v="2"/>
    <x v="0"/>
    <s v="Uttar Pradesh"/>
    <s v="Agra"/>
    <s v="Branch A"/>
    <x v="0"/>
    <s v="CC-1004"/>
    <s v="P012"/>
    <s v="Accounting Software"/>
    <x v="2"/>
    <x v="4"/>
    <n v="13584.45"/>
    <n v="15466.74"/>
    <n v="8653"/>
    <n v="1235.2"/>
    <n v="479.94"/>
    <n v="601.47"/>
    <n v="347.75"/>
    <n v="11317.37"/>
    <n v="4931.45"/>
    <n v="2267.08"/>
    <n v="0.16688787547526765"/>
    <n v="-1882.3"/>
    <n v="0"/>
    <n v="1630.13"/>
    <n v="15214.58"/>
    <x v="7"/>
    <s v="Uttar Pradesh"/>
    <x v="0"/>
    <x v="7"/>
    <s v="CC-1004"/>
  </r>
  <r>
    <s v="TXN-00435"/>
    <d v="2025-06-05T00:00:00"/>
    <x v="11"/>
    <x v="2"/>
    <x v="0"/>
    <x v="3"/>
    <x v="0"/>
    <s v="Odisha"/>
    <s v="Bhubaneswar"/>
    <s v="Branch B"/>
    <x v="0"/>
    <s v="CC-1005"/>
    <s v="P016"/>
    <s v="Network Switch"/>
    <x v="4"/>
    <x v="10"/>
    <n v="9061.64"/>
    <n v="10049.25"/>
    <n v="4646.45"/>
    <n v="618.85"/>
    <n v="746.34"/>
    <n v="377.05"/>
    <n v="329.35"/>
    <n v="6718.04"/>
    <n v="4415.1899999999996"/>
    <n v="2343.5999999999995"/>
    <n v="0.25862868090102892"/>
    <n v="-987.61"/>
    <n v="271.85000000000002"/>
    <n v="1054.77"/>
    <n v="9844.56"/>
    <x v="3"/>
    <s v="Odisha"/>
    <x v="0"/>
    <x v="13"/>
    <s v="CC-1005"/>
  </r>
  <r>
    <s v="TXN-00436"/>
    <d v="2025-04-03T00:00:00"/>
    <x v="9"/>
    <x v="2"/>
    <x v="0"/>
    <x v="3"/>
    <x v="0"/>
    <s v="Jharkhand"/>
    <s v="Jamshedpur"/>
    <s v="Branch D"/>
    <x v="3"/>
    <s v="CC-1001"/>
    <s v="P011"/>
    <s v="Cloud Software"/>
    <x v="2"/>
    <x v="11"/>
    <n v="15727.15"/>
    <n v="18411.62"/>
    <n v="11070.95"/>
    <n v="1881.81"/>
    <n v="824.4"/>
    <n v="1498.86"/>
    <n v="654.23"/>
    <n v="15930.26"/>
    <n v="4656.2"/>
    <n v="-203.11000000000058"/>
    <n v="-1.2914609449264525E-2"/>
    <n v="-2684.47"/>
    <n v="1258.17"/>
    <n v="1736.28"/>
    <n v="16205.25"/>
    <x v="30"/>
    <s v="Jharkhand"/>
    <x v="3"/>
    <x v="18"/>
    <s v="CC-1001"/>
  </r>
  <r>
    <s v="TXN-00437"/>
    <d v="2025-12-27T00:00:00"/>
    <x v="6"/>
    <x v="3"/>
    <x v="0"/>
    <x v="2"/>
    <x v="0"/>
    <s v="Punjab"/>
    <s v="Amritsar"/>
    <s v="Branch B"/>
    <x v="3"/>
    <s v="CC-1004"/>
    <s v="P011"/>
    <s v="Cloud Software"/>
    <x v="2"/>
    <x v="11"/>
    <n v="8651.7999999999993"/>
    <n v="8531.2999999999993"/>
    <n v="4427.93"/>
    <n v="897.91"/>
    <n v="502.37"/>
    <n v="845.19"/>
    <n v="193.32"/>
    <n v="6866.71"/>
    <n v="4223.87"/>
    <n v="1785.0899999999992"/>
    <n v="0.20632585126794417"/>
    <n v="120.5"/>
    <n v="173.04"/>
    <n v="1017.45"/>
    <n v="9496.2199999999993"/>
    <x v="47"/>
    <s v="Punjab"/>
    <x v="3"/>
    <x v="18"/>
    <s v="CC-1004"/>
  </r>
  <r>
    <s v="TXN-00438"/>
    <d v="2025-08-11T00:00:00"/>
    <x v="7"/>
    <x v="0"/>
    <x v="0"/>
    <x v="3"/>
    <x v="0"/>
    <s v="West Bengal"/>
    <s v="Durgapur"/>
    <s v="Branch D"/>
    <x v="2"/>
    <s v="CC-1005"/>
    <s v="P015"/>
    <s v="Network Router"/>
    <x v="4"/>
    <x v="10"/>
    <n v="19553.82"/>
    <n v="18143.79"/>
    <n v="13592.01"/>
    <n v="1610.44"/>
    <n v="1067.94"/>
    <n v="1886.18"/>
    <n v="757.31"/>
    <n v="18913.88"/>
    <n v="5961.81"/>
    <n v="639.93999999999869"/>
    <n v="3.2727109076385007E-2"/>
    <n v="1410.03"/>
    <n v="391.08"/>
    <n v="3449.29"/>
    <n v="22612.04"/>
    <x v="39"/>
    <s v="West Bengal"/>
    <x v="2"/>
    <x v="14"/>
    <s v="CC-1005"/>
  </r>
  <r>
    <s v="TXN-00439"/>
    <d v="2025-07-22T00:00:00"/>
    <x v="0"/>
    <x v="0"/>
    <x v="0"/>
    <x v="1"/>
    <x v="0"/>
    <s v="Telangana"/>
    <s v="Hyderabad"/>
    <s v="Branch D"/>
    <x v="1"/>
    <s v="CC-1003"/>
    <s v="P015"/>
    <s v="Network Router"/>
    <x v="4"/>
    <x v="10"/>
    <n v="6269.26"/>
    <n v="5908.59"/>
    <n v="3386.13"/>
    <n v="717.66"/>
    <n v="270.7"/>
    <n v="346.83"/>
    <n v="173.34"/>
    <n v="4894.6499999999996"/>
    <n v="2883.13"/>
    <n v="1374.6100000000006"/>
    <n v="0.21926192245974813"/>
    <n v="360.67"/>
    <n v="501.54"/>
    <n v="288.39"/>
    <n v="6056.11"/>
    <x v="51"/>
    <s v="Telangana"/>
    <x v="1"/>
    <x v="14"/>
    <s v="CC-1003"/>
  </r>
  <r>
    <s v="TXN-00440"/>
    <d v="2026-02-01T00:00:00"/>
    <x v="2"/>
    <x v="1"/>
    <x v="0"/>
    <x v="4"/>
    <x v="0"/>
    <s v="Madhya Pradesh"/>
    <s v="Indore"/>
    <s v="Branch D"/>
    <x v="2"/>
    <s v="CC-1003"/>
    <s v="P009"/>
    <s v="Keyboard"/>
    <x v="1"/>
    <x v="1"/>
    <n v="6604.16"/>
    <n v="5962.84"/>
    <n v="4331.33"/>
    <n v="656.13"/>
    <n v="166.35"/>
    <n v="269.14"/>
    <n v="252.99"/>
    <n v="5675.94"/>
    <n v="2272.84"/>
    <n v="928.22000000000025"/>
    <n v="0.14055080434150599"/>
    <n v="641.33000000000004"/>
    <n v="132.08000000000001"/>
    <n v="1164.97"/>
    <n v="7637.05"/>
    <x v="5"/>
    <s v="Madhya Pradesh"/>
    <x v="2"/>
    <x v="2"/>
    <s v="CC-1003"/>
  </r>
  <r>
    <s v="TXN-00441"/>
    <d v="2026-03-31T00:00:00"/>
    <x v="8"/>
    <x v="1"/>
    <x v="0"/>
    <x v="3"/>
    <x v="0"/>
    <s v="Jharkhand"/>
    <s v="Jamshedpur"/>
    <s v="Branch B"/>
    <x v="4"/>
    <s v="CC-1005"/>
    <s v="P020"/>
    <s v="Document Scanner"/>
    <x v="0"/>
    <x v="3"/>
    <n v="33690.25"/>
    <n v="34759.300000000003"/>
    <n v="16316.77"/>
    <n v="4198.54"/>
    <n v="1013.78"/>
    <n v="3202.51"/>
    <n v="1262.55"/>
    <n v="25994.15"/>
    <n v="17373.48"/>
    <n v="7696.0999999999985"/>
    <n v="0.22843701070784569"/>
    <n v="-1069.05"/>
    <n v="2695.22"/>
    <n v="1549.75"/>
    <n v="32544.78"/>
    <x v="30"/>
    <s v="Jharkhand"/>
    <x v="4"/>
    <x v="6"/>
    <s v="CC-1005"/>
  </r>
  <r>
    <s v="TXN-00442"/>
    <d v="2026-02-22T00:00:00"/>
    <x v="2"/>
    <x v="1"/>
    <x v="0"/>
    <x v="0"/>
    <x v="0"/>
    <s v="Maharashtra"/>
    <s v="Nagpur"/>
    <s v="Branch C"/>
    <x v="3"/>
    <s v="CC-1002"/>
    <s v="P016"/>
    <s v="Network Switch"/>
    <x v="4"/>
    <x v="10"/>
    <n v="26473.27"/>
    <n v="30441.18"/>
    <n v="18494.169999999998"/>
    <n v="3321.46"/>
    <n v="1557.02"/>
    <n v="2492.92"/>
    <n v="986.08"/>
    <n v="26851.66"/>
    <n v="7979.1"/>
    <n v="-378.38999999999942"/>
    <n v="-1.4293285264721714E-2"/>
    <n v="-3967.91"/>
    <n v="0"/>
    <n v="4765.1899999999996"/>
    <n v="31238.46"/>
    <x v="15"/>
    <s v="Maharashtra"/>
    <x v="3"/>
    <x v="13"/>
    <s v="CC-1002"/>
  </r>
  <r>
    <s v="TXN-00443"/>
    <d v="2026-03-05T00:00:00"/>
    <x v="8"/>
    <x v="1"/>
    <x v="0"/>
    <x v="1"/>
    <x v="0"/>
    <s v="Tamil Nadu"/>
    <s v="Madurai"/>
    <s v="Branch B"/>
    <x v="1"/>
    <s v="CC-1001"/>
    <s v="P008"/>
    <s v="Headset"/>
    <x v="1"/>
    <x v="8"/>
    <n v="5139.62"/>
    <n v="4637.63"/>
    <n v="3088.33"/>
    <n v="332.07"/>
    <n v="320.24"/>
    <n v="467.67"/>
    <n v="151.54"/>
    <n v="4359.8500000000004"/>
    <n v="2051.29"/>
    <n v="779.76999999999953"/>
    <n v="0.15171744214552818"/>
    <n v="501.99"/>
    <n v="256.98"/>
    <n v="585.91999999999996"/>
    <n v="5468.56"/>
    <x v="43"/>
    <s v="Tamil Nadu"/>
    <x v="1"/>
    <x v="11"/>
    <s v="CC-1001"/>
  </r>
  <r>
    <s v="TXN-00444"/>
    <d v="2025-09-07T00:00:00"/>
    <x v="1"/>
    <x v="0"/>
    <x v="0"/>
    <x v="3"/>
    <x v="0"/>
    <s v="West Bengal"/>
    <s v="Durgapur"/>
    <s v="Branch D"/>
    <x v="1"/>
    <s v="CC-1005"/>
    <s v="P011"/>
    <s v="Cloud Software"/>
    <x v="2"/>
    <x v="11"/>
    <n v="17995.14"/>
    <n v="16298.88"/>
    <n v="9030.4"/>
    <n v="2228.84"/>
    <n v="1256.1199999999999"/>
    <n v="902.78"/>
    <n v="404.63"/>
    <n v="13822.77"/>
    <n v="8964.74"/>
    <n v="4172.369999999999"/>
    <n v="0.23186093578599551"/>
    <n v="1696.25"/>
    <n v="899.76"/>
    <n v="3077.17"/>
    <n v="20172.55"/>
    <x v="39"/>
    <s v="West Bengal"/>
    <x v="1"/>
    <x v="18"/>
    <s v="CC-1005"/>
  </r>
  <r>
    <s v="TXN-00445"/>
    <d v="2025-10-27T00:00:00"/>
    <x v="5"/>
    <x v="3"/>
    <x v="0"/>
    <x v="0"/>
    <x v="0"/>
    <s v="Goa"/>
    <s v="Panaji"/>
    <s v="Branch B"/>
    <x v="1"/>
    <s v="CC-1005"/>
    <s v="P014"/>
    <s v="Data Storage"/>
    <x v="2"/>
    <x v="12"/>
    <n v="30251.46"/>
    <n v="28996.07"/>
    <n v="15007.08"/>
    <n v="1580.8"/>
    <n v="1237.54"/>
    <n v="3343.36"/>
    <n v="742.88"/>
    <n v="21911.66"/>
    <n v="15244.38"/>
    <n v="8339.7999999999993"/>
    <n v="0.27568256209782932"/>
    <n v="1255.3900000000001"/>
    <n v="1512.57"/>
    <n v="5173"/>
    <n v="33911.89"/>
    <x v="14"/>
    <s v="Goa"/>
    <x v="1"/>
    <x v="19"/>
    <s v="CC-1005"/>
  </r>
  <r>
    <s v="TXN-00446"/>
    <d v="2025-11-28T00:00:00"/>
    <x v="10"/>
    <x v="3"/>
    <x v="0"/>
    <x v="0"/>
    <x v="0"/>
    <s v="Maharashtra"/>
    <s v="Mumbai"/>
    <s v="Branch D"/>
    <x v="1"/>
    <s v="CC-1001"/>
    <s v="P007"/>
    <s v="Tablet"/>
    <x v="0"/>
    <x v="9"/>
    <n v="55259.16"/>
    <n v="63671.76"/>
    <n v="28148.77"/>
    <n v="5123.79"/>
    <n v="4540.37"/>
    <n v="4022.97"/>
    <n v="1484.8"/>
    <n v="43320.71"/>
    <n v="27110.39"/>
    <n v="11938.450000000004"/>
    <n v="0.2160447245307385"/>
    <n v="-8412.6"/>
    <n v="0"/>
    <n v="6631.1"/>
    <n v="61890.26"/>
    <x v="6"/>
    <s v="Maharashtra"/>
    <x v="1"/>
    <x v="12"/>
    <s v="CC-1001"/>
  </r>
  <r>
    <s v="TXN-00447"/>
    <d v="2025-06-01T00:00:00"/>
    <x v="11"/>
    <x v="2"/>
    <x v="0"/>
    <x v="2"/>
    <x v="0"/>
    <s v="Punjab"/>
    <s v="Jalandhar"/>
    <s v="Branch B"/>
    <x v="3"/>
    <s v="CC-1002"/>
    <s v="P011"/>
    <s v="Cloud Software"/>
    <x v="2"/>
    <x v="11"/>
    <n v="28073.72"/>
    <n v="30339.72"/>
    <n v="14326.25"/>
    <n v="3527.8"/>
    <n v="943.76"/>
    <n v="2862.78"/>
    <n v="540.94000000000005"/>
    <n v="22201.54"/>
    <n v="13747.48"/>
    <n v="5872.18"/>
    <n v="0.20916999955830579"/>
    <n v="-2266"/>
    <n v="2807.37"/>
    <n v="4547.9399999999996"/>
    <n v="29814.29"/>
    <x v="52"/>
    <s v="Punjab"/>
    <x v="3"/>
    <x v="18"/>
    <s v="CC-1002"/>
  </r>
  <r>
    <s v="TXN-00448"/>
    <d v="2025-07-05T00:00:00"/>
    <x v="0"/>
    <x v="0"/>
    <x v="0"/>
    <x v="1"/>
    <x v="0"/>
    <s v="Karnataka"/>
    <s v="Bengaluru"/>
    <s v="Branch A"/>
    <x v="1"/>
    <s v="CC-1003"/>
    <s v="P001"/>
    <s v="Business Laptop"/>
    <x v="0"/>
    <x v="2"/>
    <n v="26856.32"/>
    <n v="30244"/>
    <n v="16657.28"/>
    <n v="2435.39"/>
    <n v="1227.32"/>
    <n v="2644.66"/>
    <n v="539.01"/>
    <n v="23503.65"/>
    <n v="10199.049999999999"/>
    <n v="3352.6699999999983"/>
    <n v="0.12483728224864755"/>
    <n v="-3387.68"/>
    <n v="1342.82"/>
    <n v="1275.68"/>
    <n v="26789.18"/>
    <x v="49"/>
    <s v="Karnataka"/>
    <x v="1"/>
    <x v="4"/>
    <s v="CC-1003"/>
  </r>
  <r>
    <s v="TXN-00449"/>
    <d v="2025-10-27T00:00:00"/>
    <x v="5"/>
    <x v="3"/>
    <x v="0"/>
    <x v="0"/>
    <x v="0"/>
    <s v="Goa"/>
    <s v="Vasco da Gama"/>
    <s v="Branch A"/>
    <x v="0"/>
    <s v="CC-1005"/>
    <s v="P006"/>
    <s v="Smartphone"/>
    <x v="0"/>
    <x v="9"/>
    <n v="49021.65"/>
    <n v="56447.87"/>
    <n v="33152.559999999998"/>
    <n v="3809.04"/>
    <n v="3799.33"/>
    <n v="3358.53"/>
    <n v="663.42"/>
    <n v="44782.89"/>
    <n v="15869.08"/>
    <n v="4238.760000000002"/>
    <n v="8.646710178053986E-2"/>
    <n v="-7426.22"/>
    <n v="4902.16"/>
    <n v="7941.51"/>
    <n v="52060.99"/>
    <x v="0"/>
    <s v="Goa"/>
    <x v="0"/>
    <x v="16"/>
    <s v="CC-1005"/>
  </r>
  <r>
    <s v="TXN-00450"/>
    <d v="2025-06-21T00:00:00"/>
    <x v="11"/>
    <x v="2"/>
    <x v="0"/>
    <x v="1"/>
    <x v="0"/>
    <s v="Tamil Nadu"/>
    <s v="Chennai"/>
    <s v="Branch A"/>
    <x v="4"/>
    <s v="CC-1005"/>
    <s v="P004"/>
    <s v="Office Chair"/>
    <x v="3"/>
    <x v="5"/>
    <n v="16967.07"/>
    <n v="17947.27"/>
    <n v="9691.2800000000007"/>
    <n v="1529.66"/>
    <n v="1091.49"/>
    <n v="1438.66"/>
    <n v="458.52"/>
    <n v="14209.61"/>
    <n v="7275.79"/>
    <n v="2757.4599999999991"/>
    <n v="0.16251833699041726"/>
    <n v="-980.2"/>
    <n v="509.01"/>
    <n v="822.9"/>
    <n v="17280.96"/>
    <x v="1"/>
    <s v="Tamil Nadu"/>
    <x v="4"/>
    <x v="17"/>
    <s v="CC-1005"/>
  </r>
  <r>
    <s v="TXN-00451"/>
    <d v="2026-03-25T00:00:00"/>
    <x v="8"/>
    <x v="1"/>
    <x v="0"/>
    <x v="4"/>
    <x v="0"/>
    <s v="Madhya Pradesh"/>
    <s v="Bhopal"/>
    <s v="Branch C"/>
    <x v="3"/>
    <s v="CC-1002"/>
    <s v="P019"/>
    <s v="Conference Camera"/>
    <x v="0"/>
    <x v="0"/>
    <n v="29381.69"/>
    <n v="30425.32"/>
    <n v="14897.29"/>
    <n v="3664.45"/>
    <n v="1085.1400000000001"/>
    <n v="1769.4"/>
    <n v="711.99"/>
    <n v="22128.27"/>
    <n v="14484.4"/>
    <n v="7253.4199999999983"/>
    <n v="0.24686871313392791"/>
    <n v="-1043.6300000000001"/>
    <n v="881.45"/>
    <n v="5130.04"/>
    <n v="33630.28"/>
    <x v="23"/>
    <s v="Madhya Pradesh"/>
    <x v="3"/>
    <x v="0"/>
    <s v="CC-1002"/>
  </r>
  <r>
    <s v="TXN-00452"/>
    <d v="2025-04-23T00:00:00"/>
    <x v="9"/>
    <x v="2"/>
    <x v="0"/>
    <x v="1"/>
    <x v="0"/>
    <s v="Kerala"/>
    <s v="Thiruvananthapuram"/>
    <s v="Branch B"/>
    <x v="2"/>
    <s v="CC-1003"/>
    <s v="P011"/>
    <s v="Cloud Software"/>
    <x v="2"/>
    <x v="11"/>
    <n v="6056.35"/>
    <n v="5350.17"/>
    <n v="3704.5"/>
    <n v="774.43"/>
    <n v="324.10000000000002"/>
    <n v="504.25"/>
    <n v="265.75"/>
    <n v="5573.04"/>
    <n v="2351.85"/>
    <n v="483.3100000000004"/>
    <n v="7.980219108869209E-2"/>
    <n v="706.17"/>
    <n v="121.13"/>
    <n v="1068.3399999999999"/>
    <n v="7003.56"/>
    <x v="8"/>
    <s v="Kerala"/>
    <x v="2"/>
    <x v="18"/>
    <s v="CC-1003"/>
  </r>
  <r>
    <s v="TXN-00453"/>
    <d v="2025-11-20T00:00:00"/>
    <x v="10"/>
    <x v="3"/>
    <x v="0"/>
    <x v="2"/>
    <x v="0"/>
    <s v="Punjab"/>
    <s v="Amritsar"/>
    <s v="Branch C"/>
    <x v="1"/>
    <s v="CC-1005"/>
    <s v="P007"/>
    <s v="Tablet"/>
    <x v="0"/>
    <x v="9"/>
    <n v="21704.400000000001"/>
    <n v="21304.3"/>
    <n v="12884.26"/>
    <n v="2149.9"/>
    <n v="1768.3"/>
    <n v="2017.47"/>
    <n v="546.77"/>
    <n v="19366.7"/>
    <n v="8820.14"/>
    <n v="2337.7000000000007"/>
    <n v="0.1077062715394114"/>
    <n v="400.09"/>
    <n v="1736.35"/>
    <n v="3594.25"/>
    <n v="23562.3"/>
    <x v="47"/>
    <s v="Punjab"/>
    <x v="1"/>
    <x v="12"/>
    <s v="CC-1005"/>
  </r>
  <r>
    <s v="TXN-00454"/>
    <d v="2025-10-16T00:00:00"/>
    <x v="5"/>
    <x v="3"/>
    <x v="0"/>
    <x v="0"/>
    <x v="0"/>
    <s v="Rajasthan"/>
    <s v="Udaipur"/>
    <s v="Branch A"/>
    <x v="1"/>
    <s v="CC-1003"/>
    <s v="P007"/>
    <s v="Tablet"/>
    <x v="0"/>
    <x v="9"/>
    <n v="49635.46"/>
    <n v="55776.57"/>
    <n v="33991.11"/>
    <n v="6112.47"/>
    <n v="2096.7800000000002"/>
    <n v="5574.87"/>
    <n v="1053.42"/>
    <n v="48828.65"/>
    <n v="15644.35"/>
    <n v="806.80999999999767"/>
    <n v="1.6254709838490419E-2"/>
    <n v="-6141.1"/>
    <n v="2481.77"/>
    <n v="2357.6799999999998"/>
    <n v="49511.37"/>
    <x v="17"/>
    <s v="Rajasthan"/>
    <x v="1"/>
    <x v="12"/>
    <s v="CC-1003"/>
  </r>
  <r>
    <s v="TXN-00455"/>
    <d v="2025-07-20T00:00:00"/>
    <x v="0"/>
    <x v="0"/>
    <x v="0"/>
    <x v="4"/>
    <x v="0"/>
    <s v="Madhya Pradesh"/>
    <s v="Bhopal"/>
    <s v="Branch A"/>
    <x v="1"/>
    <s v="CC-1001"/>
    <s v="P006"/>
    <s v="Smartphone"/>
    <x v="0"/>
    <x v="9"/>
    <n v="22226.9"/>
    <n v="20088.12"/>
    <n v="11690.41"/>
    <n v="1798.13"/>
    <n v="1256.17"/>
    <n v="1520.31"/>
    <n v="471.76"/>
    <n v="16736.79"/>
    <n v="10536.5"/>
    <n v="5490.1100000000006"/>
    <n v="0.24700295587778773"/>
    <n v="2138.79"/>
    <n v="2222.69"/>
    <n v="3600.76"/>
    <n v="23604.97"/>
    <x v="23"/>
    <s v="Madhya Pradesh"/>
    <x v="1"/>
    <x v="16"/>
    <s v="CC-1001"/>
  </r>
  <r>
    <s v="TXN-00456"/>
    <d v="2025-05-18T00:00:00"/>
    <x v="3"/>
    <x v="2"/>
    <x v="0"/>
    <x v="2"/>
    <x v="0"/>
    <s v="Delhi"/>
    <s v="Gurugram"/>
    <s v="Branch A"/>
    <x v="1"/>
    <s v="CC-1001"/>
    <s v="P001"/>
    <s v="Business Laptop"/>
    <x v="0"/>
    <x v="2"/>
    <n v="50767.77"/>
    <n v="45491.63"/>
    <n v="26080.41"/>
    <n v="5066.82"/>
    <n v="1954.99"/>
    <n v="4077.95"/>
    <n v="1475.86"/>
    <n v="38656.04"/>
    <n v="24687.360000000001"/>
    <n v="12111.729999999996"/>
    <n v="0.2385712431331925"/>
    <n v="5276.14"/>
    <n v="1015.36"/>
    <n v="8955.43"/>
    <n v="58707.85"/>
    <x v="27"/>
    <s v="Delhi"/>
    <x v="1"/>
    <x v="4"/>
    <s v="CC-1001"/>
  </r>
  <r>
    <s v="TXN-00457"/>
    <d v="2025-06-04T00:00:00"/>
    <x v="11"/>
    <x v="2"/>
    <x v="0"/>
    <x v="1"/>
    <x v="0"/>
    <s v="Kerala"/>
    <s v="Thiruvananthapuram"/>
    <s v="Branch A"/>
    <x v="1"/>
    <s v="CC-1001"/>
    <s v="P010"/>
    <s v="Mouse"/>
    <x v="1"/>
    <x v="1"/>
    <n v="7462.74"/>
    <n v="7658.56"/>
    <n v="4234.28"/>
    <n v="754.86"/>
    <n v="249.16"/>
    <n v="555.41999999999996"/>
    <n v="146.38"/>
    <n v="5940.1"/>
    <n v="3228.46"/>
    <n v="1522.6399999999994"/>
    <n v="0.20403229912873816"/>
    <n v="-195.82"/>
    <n v="597.02"/>
    <n v="343.29"/>
    <n v="7209"/>
    <x v="8"/>
    <s v="Kerala"/>
    <x v="1"/>
    <x v="1"/>
    <s v="CC-1001"/>
  </r>
  <r>
    <s v="TXN-00458"/>
    <d v="2025-08-09T00:00:00"/>
    <x v="7"/>
    <x v="0"/>
    <x v="0"/>
    <x v="0"/>
    <x v="0"/>
    <s v="Gujarat"/>
    <s v="Ahmedabad"/>
    <s v="Branch B"/>
    <x v="1"/>
    <s v="CC-1002"/>
    <s v="P015"/>
    <s v="Network Router"/>
    <x v="4"/>
    <x v="10"/>
    <n v="25961.72"/>
    <n v="22888.36"/>
    <n v="16626.96"/>
    <n v="3318.17"/>
    <n v="1673.07"/>
    <n v="1287.54"/>
    <n v="551.04999999999995"/>
    <n v="23456.79"/>
    <n v="9334.77"/>
    <n v="2504.9300000000003"/>
    <n v="9.6485517908674781E-2"/>
    <n v="3073.36"/>
    <n v="2076.94"/>
    <n v="1194.24"/>
    <n v="25079.03"/>
    <x v="18"/>
    <s v="Gujarat"/>
    <x v="1"/>
    <x v="14"/>
    <s v="CC-1002"/>
  </r>
  <r>
    <s v="TXN-00459"/>
    <d v="2025-06-28T00:00:00"/>
    <x v="11"/>
    <x v="2"/>
    <x v="0"/>
    <x v="3"/>
    <x v="0"/>
    <s v="Bihar"/>
    <s v="Gaya"/>
    <s v="Branch C"/>
    <x v="1"/>
    <s v="CC-1002"/>
    <s v="P012"/>
    <s v="Accounting Software"/>
    <x v="2"/>
    <x v="4"/>
    <n v="15991.94"/>
    <n v="18206.63"/>
    <n v="11292.3"/>
    <n v="1462.93"/>
    <n v="766.02"/>
    <n v="939.12"/>
    <n v="187.78"/>
    <n v="14648.16"/>
    <n v="4699.6400000000003"/>
    <n v="1343.7800000000007"/>
    <n v="8.4028579396871209E-2"/>
    <n v="-2214.6799999999998"/>
    <n v="319.83999999999997"/>
    <n v="2820.98"/>
    <n v="18493.080000000002"/>
    <x v="32"/>
    <s v="Bihar"/>
    <x v="1"/>
    <x v="7"/>
    <s v="CC-1002"/>
  </r>
  <r>
    <s v="TXN-00460"/>
    <d v="2025-09-06T00:00:00"/>
    <x v="1"/>
    <x v="0"/>
    <x v="0"/>
    <x v="2"/>
    <x v="0"/>
    <s v="Uttar Pradesh"/>
    <s v="Kanpur"/>
    <s v="Branch B"/>
    <x v="1"/>
    <s v="CC-1001"/>
    <s v="P013"/>
    <s v="CRM Software"/>
    <x v="2"/>
    <x v="4"/>
    <n v="6547.4"/>
    <n v="6978.68"/>
    <n v="4204.2700000000004"/>
    <n v="734.53"/>
    <n v="400.6"/>
    <n v="600.14"/>
    <n v="68.569999999999993"/>
    <n v="6008.11"/>
    <n v="2343.13"/>
    <n v="539.29"/>
    <n v="8.2367046461190696E-2"/>
    <n v="-431.28"/>
    <n v="0"/>
    <n v="1178.53"/>
    <n v="7725.93"/>
    <x v="25"/>
    <s v="Uttar Pradesh"/>
    <x v="1"/>
    <x v="15"/>
    <s v="CC-1001"/>
  </r>
  <r>
    <s v="TXN-00461"/>
    <d v="2025-11-14T00:00:00"/>
    <x v="10"/>
    <x v="3"/>
    <x v="0"/>
    <x v="0"/>
    <x v="0"/>
    <s v="Maharashtra"/>
    <s v="Mumbai"/>
    <s v="Branch B"/>
    <x v="1"/>
    <s v="CC-1002"/>
    <s v="P001"/>
    <s v="Business Laptop"/>
    <x v="0"/>
    <x v="2"/>
    <n v="47996.35"/>
    <n v="45038.07"/>
    <n v="31466.560000000001"/>
    <n v="2991.7"/>
    <n v="3869.31"/>
    <n v="3896.04"/>
    <n v="657.53"/>
    <n v="42881.13"/>
    <n v="16529.8"/>
    <n v="5115.2200000000012"/>
    <n v="0.10657518748821528"/>
    <n v="2958.28"/>
    <n v="2399.8200000000002"/>
    <n v="5471.58"/>
    <n v="51068.12"/>
    <x v="6"/>
    <s v="Maharashtra"/>
    <x v="1"/>
    <x v="4"/>
    <s v="CC-1002"/>
  </r>
  <r>
    <s v="TXN-00462"/>
    <d v="2025-06-11T00:00:00"/>
    <x v="11"/>
    <x v="2"/>
    <x v="0"/>
    <x v="2"/>
    <x v="0"/>
    <s v="Punjab"/>
    <s v="Ludhiana"/>
    <s v="Branch A"/>
    <x v="1"/>
    <s v="CC-1003"/>
    <s v="P020"/>
    <s v="Document Scanner"/>
    <x v="0"/>
    <x v="3"/>
    <n v="34565.629999999997"/>
    <n v="37509.339999999997"/>
    <n v="20754.64"/>
    <n v="3879.49"/>
    <n v="2754.43"/>
    <n v="2985.82"/>
    <n v="1094.44"/>
    <n v="31468.84"/>
    <n v="13810.99"/>
    <n v="3096.7899999999972"/>
    <n v="8.9591597202191814E-2"/>
    <n v="-2943.71"/>
    <n v="691.31"/>
    <n v="6097.38"/>
    <n v="39971.699999999997"/>
    <x v="35"/>
    <s v="Punjab"/>
    <x v="1"/>
    <x v="6"/>
    <s v="CC-1003"/>
  </r>
  <r>
    <s v="TXN-00463"/>
    <d v="2025-04-11T00:00:00"/>
    <x v="9"/>
    <x v="2"/>
    <x v="0"/>
    <x v="1"/>
    <x v="0"/>
    <s v="Kerala"/>
    <s v="Kozhikode"/>
    <s v="Branch D"/>
    <x v="1"/>
    <s v="CC-1004"/>
    <s v="P011"/>
    <s v="Cloud Software"/>
    <x v="2"/>
    <x v="11"/>
    <n v="19595.21"/>
    <n v="17351.830000000002"/>
    <n v="12648.96"/>
    <n v="1452.23"/>
    <n v="1287.19"/>
    <n v="1019.8"/>
    <n v="517.63"/>
    <n v="16925.82"/>
    <n v="6946.24"/>
    <n v="2669.3899999999994"/>
    <n v="0.13622665947443277"/>
    <n v="2243.37"/>
    <n v="587.86"/>
    <n v="2280.88"/>
    <n v="21288.23"/>
    <x v="24"/>
    <s v="Kerala"/>
    <x v="1"/>
    <x v="18"/>
    <s v="CC-1004"/>
  </r>
  <r>
    <s v="TXN-00464"/>
    <d v="2025-05-29T00:00:00"/>
    <x v="3"/>
    <x v="2"/>
    <x v="0"/>
    <x v="0"/>
    <x v="0"/>
    <s v="Gujarat"/>
    <s v="Vadodara"/>
    <s v="Branch A"/>
    <x v="0"/>
    <s v="CC-1002"/>
    <s v="P004"/>
    <s v="Office Chair"/>
    <x v="3"/>
    <x v="5"/>
    <n v="16088.8"/>
    <n v="18140.77"/>
    <n v="9596.35"/>
    <n v="1503.86"/>
    <n v="720.93"/>
    <n v="877.56"/>
    <n v="209.26"/>
    <n v="12907.96"/>
    <n v="6492.45"/>
    <n v="3180.84"/>
    <n v="0.19770523594053008"/>
    <n v="-2051.9699999999998"/>
    <n v="804.44"/>
    <n v="764.22"/>
    <n v="16048.58"/>
    <x v="19"/>
    <s v="Gujarat"/>
    <x v="0"/>
    <x v="17"/>
    <s v="CC-1002"/>
  </r>
  <r>
    <s v="TXN-00465"/>
    <d v="2026-02-19T00:00:00"/>
    <x v="2"/>
    <x v="1"/>
    <x v="0"/>
    <x v="2"/>
    <x v="0"/>
    <s v="Uttar Pradesh"/>
    <s v="Lucknow"/>
    <s v="Branch D"/>
    <x v="3"/>
    <s v="CC-1004"/>
    <s v="P015"/>
    <s v="Network Router"/>
    <x v="4"/>
    <x v="10"/>
    <n v="9186.8799999999992"/>
    <n v="9913.75"/>
    <n v="5877.66"/>
    <n v="669.7"/>
    <n v="504.42"/>
    <n v="509.65"/>
    <n v="159.51"/>
    <n v="7720.94"/>
    <n v="3309.22"/>
    <n v="1465.9399999999996"/>
    <n v="0.15956886342262006"/>
    <n v="-726.87"/>
    <n v="0"/>
    <n v="1653.64"/>
    <n v="10840.52"/>
    <x v="2"/>
    <s v="Uttar Pradesh"/>
    <x v="3"/>
    <x v="14"/>
    <s v="CC-1004"/>
  </r>
  <r>
    <s v="TXN-00466"/>
    <d v="2026-01-18T00:00:00"/>
    <x v="4"/>
    <x v="1"/>
    <x v="0"/>
    <x v="4"/>
    <x v="0"/>
    <s v="Madhya Pradesh"/>
    <s v="Bhopal"/>
    <s v="Branch D"/>
    <x v="1"/>
    <s v="CC-1002"/>
    <s v="P004"/>
    <s v="Office Chair"/>
    <x v="3"/>
    <x v="5"/>
    <n v="21537.45"/>
    <n v="25127.56"/>
    <n v="14328.9"/>
    <n v="2528.27"/>
    <n v="1603.24"/>
    <n v="1151.32"/>
    <n v="843.73"/>
    <n v="20455.46"/>
    <n v="7208.55"/>
    <n v="1081.9900000000016"/>
    <n v="5.0237609373440288E-2"/>
    <n v="-3590.12"/>
    <n v="430.75"/>
    <n v="3799.21"/>
    <n v="24905.9"/>
    <x v="23"/>
    <s v="Madhya Pradesh"/>
    <x v="1"/>
    <x v="17"/>
    <s v="CC-1002"/>
  </r>
  <r>
    <s v="TXN-00467"/>
    <d v="2025-07-31T00:00:00"/>
    <x v="0"/>
    <x v="0"/>
    <x v="0"/>
    <x v="1"/>
    <x v="0"/>
    <s v="Kerala"/>
    <s v="Kozhikode"/>
    <s v="Branch A"/>
    <x v="1"/>
    <s v="CC-1004"/>
    <s v="P003"/>
    <s v="Printer"/>
    <x v="0"/>
    <x v="3"/>
    <n v="32768.339999999997"/>
    <n v="31363.52"/>
    <n v="19499.43"/>
    <n v="2601.2199999999998"/>
    <n v="2765.58"/>
    <n v="2276.21"/>
    <n v="755.98"/>
    <n v="27898.43"/>
    <n v="13268.91"/>
    <n v="4869.9099999999962"/>
    <n v="0.14861631684729823"/>
    <n v="1404.82"/>
    <n v="983.05"/>
    <n v="5721.35"/>
    <n v="37506.639999999999"/>
    <x v="24"/>
    <s v="Kerala"/>
    <x v="1"/>
    <x v="5"/>
    <s v="CC-1004"/>
  </r>
  <r>
    <s v="TXN-00468"/>
    <d v="2025-05-25T00:00:00"/>
    <x v="3"/>
    <x v="2"/>
    <x v="0"/>
    <x v="0"/>
    <x v="0"/>
    <s v="Goa"/>
    <s v="Panaji"/>
    <s v="Branch A"/>
    <x v="2"/>
    <s v="CC-1001"/>
    <s v="P016"/>
    <s v="Network Switch"/>
    <x v="4"/>
    <x v="10"/>
    <n v="19027.71"/>
    <n v="20554.2"/>
    <n v="9191.59"/>
    <n v="2278.08"/>
    <n v="1028.22"/>
    <n v="1283.18"/>
    <n v="282.33999999999997"/>
    <n v="14063.41"/>
    <n v="9836.11"/>
    <n v="4964.2999999999993"/>
    <n v="0.26089844757987163"/>
    <n v="-1526.49"/>
    <n v="570.83000000000004"/>
    <n v="2214.83"/>
    <n v="20671.7"/>
    <x v="14"/>
    <s v="Goa"/>
    <x v="2"/>
    <x v="13"/>
    <s v="CC-1001"/>
  </r>
  <r>
    <s v="TXN-00469"/>
    <d v="2025-11-11T00:00:00"/>
    <x v="10"/>
    <x v="3"/>
    <x v="0"/>
    <x v="4"/>
    <x v="0"/>
    <s v="Madhya Pradesh"/>
    <s v="Gwalior"/>
    <s v="Branch A"/>
    <x v="2"/>
    <s v="CC-1005"/>
    <s v="P018"/>
    <s v="Projector"/>
    <x v="0"/>
    <x v="6"/>
    <n v="31138.2"/>
    <n v="32106.16"/>
    <n v="21426.17"/>
    <n v="3930.07"/>
    <n v="1597.88"/>
    <n v="2506.88"/>
    <n v="1370.18"/>
    <n v="30831.18"/>
    <n v="9712.0300000000007"/>
    <n v="307.02000000000044"/>
    <n v="9.8599148313004738E-3"/>
    <n v="-967.96"/>
    <n v="622.76"/>
    <n v="5492.78"/>
    <n v="36008.22"/>
    <x v="42"/>
    <s v="Madhya Pradesh"/>
    <x v="2"/>
    <x v="9"/>
    <s v="CC-1005"/>
  </r>
  <r>
    <s v="TXN-00470"/>
    <d v="2025-07-31T00:00:00"/>
    <x v="0"/>
    <x v="0"/>
    <x v="0"/>
    <x v="4"/>
    <x v="0"/>
    <s v="Uttar Pradesh"/>
    <s v="Kanpur"/>
    <s v="Branch D"/>
    <x v="0"/>
    <s v="CC-1001"/>
    <s v="P008"/>
    <s v="Headset"/>
    <x v="1"/>
    <x v="8"/>
    <n v="10411.91"/>
    <n v="9232.9699999999993"/>
    <n v="5279.73"/>
    <n v="1028.25"/>
    <n v="815.64"/>
    <n v="654.07000000000005"/>
    <n v="191.29"/>
    <n v="7968.99"/>
    <n v="5132.18"/>
    <n v="2442.92"/>
    <n v="0.23462746028346385"/>
    <n v="1178.93"/>
    <n v="832.95"/>
    <n v="478.95"/>
    <n v="10057.9"/>
    <x v="25"/>
    <s v="Uttar Pradesh"/>
    <x v="0"/>
    <x v="11"/>
    <s v="CC-1001"/>
  </r>
  <r>
    <s v="TXN-00471"/>
    <d v="2025-07-24T00:00:00"/>
    <x v="0"/>
    <x v="0"/>
    <x v="0"/>
    <x v="0"/>
    <x v="0"/>
    <s v="Gujarat"/>
    <s v="Vadodara"/>
    <s v="Branch D"/>
    <x v="2"/>
    <s v="CC-1005"/>
    <s v="P003"/>
    <s v="Printer"/>
    <x v="0"/>
    <x v="3"/>
    <n v="47549.69"/>
    <n v="53911.34"/>
    <n v="27702.51"/>
    <n v="3413.08"/>
    <n v="2376.08"/>
    <n v="5081.87"/>
    <n v="722.86"/>
    <n v="39296.400000000001"/>
    <n v="19847.169999999998"/>
    <n v="8253.2900000000009"/>
    <n v="0.17357189920691388"/>
    <n v="-6361.65"/>
    <n v="1426.49"/>
    <n v="5534.78"/>
    <n v="51657.98"/>
    <x v="19"/>
    <s v="Gujarat"/>
    <x v="2"/>
    <x v="5"/>
    <s v="CC-1005"/>
  </r>
  <r>
    <s v="TXN-00472"/>
    <d v="2025-06-24T00:00:00"/>
    <x v="11"/>
    <x v="2"/>
    <x v="0"/>
    <x v="0"/>
    <x v="0"/>
    <s v="Rajasthan"/>
    <s v="Jodhpur"/>
    <s v="Branch A"/>
    <x v="3"/>
    <s v="CC-1001"/>
    <s v="P001"/>
    <s v="Business Laptop"/>
    <x v="0"/>
    <x v="2"/>
    <n v="23059.89"/>
    <n v="27136.07"/>
    <n v="11992.04"/>
    <n v="1239.1199999999999"/>
    <n v="1744.93"/>
    <n v="1388.36"/>
    <n v="900.2"/>
    <n v="17264.66"/>
    <n v="11067.84"/>
    <n v="5795.23"/>
    <n v="0.25131212681413484"/>
    <n v="-4076.18"/>
    <n v="1152.99"/>
    <n v="3943.24"/>
    <n v="25850.13"/>
    <x v="11"/>
    <s v="Rajasthan"/>
    <x v="3"/>
    <x v="4"/>
    <s v="CC-1001"/>
  </r>
  <r>
    <s v="TXN-00473"/>
    <d v="2025-09-01T00:00:00"/>
    <x v="1"/>
    <x v="0"/>
    <x v="0"/>
    <x v="3"/>
    <x v="0"/>
    <s v="Jharkhand"/>
    <s v="Ranchi"/>
    <s v="Branch C"/>
    <x v="1"/>
    <s v="CC-1001"/>
    <s v="P001"/>
    <s v="Business Laptop"/>
    <x v="0"/>
    <x v="2"/>
    <n v="38708.400000000001"/>
    <n v="40724.65"/>
    <n v="26212.11"/>
    <n v="2023.89"/>
    <n v="2554.96"/>
    <n v="2630.89"/>
    <n v="783.59"/>
    <n v="34205.440000000002"/>
    <n v="12496.29"/>
    <n v="4502.9599999999991"/>
    <n v="0.11633030556675034"/>
    <n v="-2016.26"/>
    <n v="1161.25"/>
    <n v="4505.66"/>
    <n v="42052.800000000003"/>
    <x v="9"/>
    <s v="Jharkhand"/>
    <x v="1"/>
    <x v="4"/>
    <s v="CC-1001"/>
  </r>
  <r>
    <s v="TXN-00474"/>
    <d v="2026-02-22T00:00:00"/>
    <x v="2"/>
    <x v="1"/>
    <x v="0"/>
    <x v="2"/>
    <x v="0"/>
    <s v="Punjab"/>
    <s v="Amritsar"/>
    <s v="Branch B"/>
    <x v="1"/>
    <s v="CC-1004"/>
    <s v="P014"/>
    <s v="Data Storage"/>
    <x v="2"/>
    <x v="12"/>
    <n v="19741.71"/>
    <n v="19813.349999999999"/>
    <n v="10536.28"/>
    <n v="2459.87"/>
    <n v="1119.8800000000001"/>
    <n v="1785.36"/>
    <n v="704.77"/>
    <n v="16606.169999999998"/>
    <n v="9205.42"/>
    <n v="3135.5400000000009"/>
    <n v="0.15882818661605308"/>
    <n v="-71.64"/>
    <n v="592.25"/>
    <n v="3446.9"/>
    <n v="22596.36"/>
    <x v="47"/>
    <s v="Punjab"/>
    <x v="1"/>
    <x v="19"/>
    <s v="CC-1004"/>
  </r>
  <r>
    <s v="TXN-00475"/>
    <d v="2025-04-09T00:00:00"/>
    <x v="9"/>
    <x v="2"/>
    <x v="0"/>
    <x v="2"/>
    <x v="0"/>
    <s v="Delhi"/>
    <s v="New Delhi"/>
    <s v="Branch A"/>
    <x v="3"/>
    <s v="CC-1002"/>
    <s v="P001"/>
    <s v="Business Laptop"/>
    <x v="0"/>
    <x v="2"/>
    <n v="18590.14"/>
    <n v="21044.03"/>
    <n v="12157.56"/>
    <n v="2260.21"/>
    <n v="606.79999999999995"/>
    <n v="2216.2800000000002"/>
    <n v="322.14999999999998"/>
    <n v="17563"/>
    <n v="6432.58"/>
    <n v="1027.1399999999994"/>
    <n v="5.5251870077363562E-2"/>
    <n v="-2453.89"/>
    <n v="0"/>
    <n v="3346.23"/>
    <n v="21936.37"/>
    <x v="48"/>
    <s v="Delhi"/>
    <x v="3"/>
    <x v="4"/>
    <s v="CC-1002"/>
  </r>
  <r>
    <s v="TXN-00476"/>
    <d v="2026-02-19T00:00:00"/>
    <x v="2"/>
    <x v="1"/>
    <x v="0"/>
    <x v="1"/>
    <x v="0"/>
    <s v="Telangana"/>
    <s v="Warangal"/>
    <s v="Branch B"/>
    <x v="0"/>
    <s v="CC-1001"/>
    <s v="P015"/>
    <s v="Network Router"/>
    <x v="4"/>
    <x v="10"/>
    <n v="18394.2"/>
    <n v="17223.79"/>
    <n v="11587.44"/>
    <n v="1414.81"/>
    <n v="712.38"/>
    <n v="1196.6300000000001"/>
    <n v="299.08"/>
    <n v="15210.34"/>
    <n v="6806.76"/>
    <n v="3183.8600000000006"/>
    <n v="0.17309043067923588"/>
    <n v="1170.4000000000001"/>
    <n v="1471.54"/>
    <n v="2030.72"/>
    <n v="18953.38"/>
    <x v="46"/>
    <s v="Telangana"/>
    <x v="0"/>
    <x v="14"/>
    <s v="CC-1001"/>
  </r>
  <r>
    <s v="TXN-00477"/>
    <d v="2026-02-02T00:00:00"/>
    <x v="2"/>
    <x v="1"/>
    <x v="0"/>
    <x v="0"/>
    <x v="0"/>
    <s v="Rajasthan"/>
    <s v="Jaipur"/>
    <s v="Branch A"/>
    <x v="4"/>
    <s v="CC-1001"/>
    <s v="P013"/>
    <s v="CRM Software"/>
    <x v="2"/>
    <x v="4"/>
    <n v="27024.15"/>
    <n v="25056"/>
    <n v="17450.830000000002"/>
    <n v="2461.2199999999998"/>
    <n v="1818.44"/>
    <n v="3004.41"/>
    <n v="686.82"/>
    <n v="25421.72"/>
    <n v="9573.32"/>
    <n v="1602.4300000000003"/>
    <n v="5.9296222082840723E-2"/>
    <n v="1968.15"/>
    <n v="2161.9299999999998"/>
    <n v="4475.2"/>
    <n v="29337.42"/>
    <x v="21"/>
    <s v="Rajasthan"/>
    <x v="4"/>
    <x v="15"/>
    <s v="CC-1001"/>
  </r>
  <r>
    <s v="TXN-00478"/>
    <d v="2025-07-09T00:00:00"/>
    <x v="0"/>
    <x v="0"/>
    <x v="0"/>
    <x v="2"/>
    <x v="0"/>
    <s v="Uttar Pradesh"/>
    <s v="Kanpur"/>
    <s v="Branch B"/>
    <x v="4"/>
    <s v="CC-1003"/>
    <s v="P007"/>
    <s v="Tablet"/>
    <x v="0"/>
    <x v="9"/>
    <n v="37486.400000000001"/>
    <n v="33621.550000000003"/>
    <n v="18208.349999999999"/>
    <n v="3223.9"/>
    <n v="1747.8"/>
    <n v="2813.88"/>
    <n v="719.52"/>
    <n v="26713.45"/>
    <n v="19278.05"/>
    <n v="10772.95"/>
    <n v="0.28738289086175256"/>
    <n v="3864.85"/>
    <n v="0"/>
    <n v="6747.55"/>
    <n v="44233.96"/>
    <x v="25"/>
    <s v="Uttar Pradesh"/>
    <x v="4"/>
    <x v="12"/>
    <s v="CC-1003"/>
  </r>
  <r>
    <s v="TXN-00479"/>
    <d v="2025-11-01T00:00:00"/>
    <x v="10"/>
    <x v="3"/>
    <x v="0"/>
    <x v="2"/>
    <x v="0"/>
    <s v="Delhi"/>
    <s v="New Delhi"/>
    <s v="Branch D"/>
    <x v="0"/>
    <s v="CC-1002"/>
    <s v="P011"/>
    <s v="Cloud Software"/>
    <x v="2"/>
    <x v="11"/>
    <n v="28454.19"/>
    <n v="31470.16"/>
    <n v="18549.8"/>
    <n v="2946.46"/>
    <n v="1593.56"/>
    <n v="2600.21"/>
    <n v="322.75"/>
    <n v="26012.78"/>
    <n v="9904.39"/>
    <n v="2441.41"/>
    <n v="8.5801423270175675E-2"/>
    <n v="-3015.97"/>
    <n v="1422.71"/>
    <n v="4865.67"/>
    <n v="31897.15"/>
    <x v="48"/>
    <s v="Delhi"/>
    <x v="0"/>
    <x v="18"/>
    <s v="CC-1002"/>
  </r>
  <r>
    <s v="TXN-00480"/>
    <d v="2025-06-20T00:00:00"/>
    <x v="11"/>
    <x v="2"/>
    <x v="0"/>
    <x v="1"/>
    <x v="0"/>
    <s v="Tamil Nadu"/>
    <s v="Chennai"/>
    <s v="Branch C"/>
    <x v="0"/>
    <s v="CC-1002"/>
    <s v="P010"/>
    <s v="Mouse"/>
    <x v="1"/>
    <x v="1"/>
    <n v="7637.04"/>
    <n v="8484.23"/>
    <n v="4694.68"/>
    <n v="921.23"/>
    <n v="452.94"/>
    <n v="621.73"/>
    <n v="230.83"/>
    <n v="6921.42"/>
    <n v="2942.36"/>
    <n v="715.61999999999989"/>
    <n v="9.3703843373872581E-2"/>
    <n v="-847.19"/>
    <n v="381.85"/>
    <n v="1305.93"/>
    <n v="8561.1200000000008"/>
    <x v="1"/>
    <s v="Tamil Nadu"/>
    <x v="0"/>
    <x v="1"/>
    <s v="CC-1002"/>
  </r>
  <r>
    <s v="TXN-00481"/>
    <d v="2025-06-16T00:00:00"/>
    <x v="11"/>
    <x v="2"/>
    <x v="0"/>
    <x v="1"/>
    <x v="0"/>
    <s v="Kerala"/>
    <s v="Kozhikode"/>
    <s v="Branch C"/>
    <x v="0"/>
    <s v="CC-1003"/>
    <s v="P015"/>
    <s v="Network Router"/>
    <x v="4"/>
    <x v="10"/>
    <n v="16533.32"/>
    <n v="18359.05"/>
    <n v="10900.98"/>
    <n v="1238.95"/>
    <n v="742.44"/>
    <n v="1769.52"/>
    <n v="207.2"/>
    <n v="14859.09"/>
    <n v="5632.34"/>
    <n v="1674.2299999999996"/>
    <n v="0.101263992954833"/>
    <n v="-1825.72"/>
    <n v="1322.67"/>
    <n v="1825.28"/>
    <n v="17035.939999999999"/>
    <x v="24"/>
    <s v="Kerala"/>
    <x v="0"/>
    <x v="14"/>
    <s v="CC-1003"/>
  </r>
  <r>
    <s v="TXN-00482"/>
    <d v="2026-01-17T00:00:00"/>
    <x v="4"/>
    <x v="1"/>
    <x v="0"/>
    <x v="0"/>
    <x v="0"/>
    <s v="Maharashtra"/>
    <s v="Mumbai"/>
    <s v="Branch C"/>
    <x v="3"/>
    <s v="CC-1002"/>
    <s v="P016"/>
    <s v="Network Switch"/>
    <x v="4"/>
    <x v="10"/>
    <n v="15240.29"/>
    <n v="17968.38"/>
    <n v="10061.48"/>
    <n v="1548.07"/>
    <n v="732.96"/>
    <n v="669.55"/>
    <n v="168.97"/>
    <n v="13181.04"/>
    <n v="5178.8100000000004"/>
    <n v="2059.25"/>
    <n v="0.13511881991746874"/>
    <n v="-2728.09"/>
    <n v="762.01"/>
    <n v="2606.09"/>
    <n v="17084.37"/>
    <x v="6"/>
    <s v="Maharashtra"/>
    <x v="3"/>
    <x v="13"/>
    <s v="CC-1002"/>
  </r>
  <r>
    <s v="TXN-00483"/>
    <d v="2025-10-28T00:00:00"/>
    <x v="5"/>
    <x v="3"/>
    <x v="0"/>
    <x v="2"/>
    <x v="0"/>
    <s v="Delhi"/>
    <s v="New Delhi"/>
    <s v="Branch A"/>
    <x v="1"/>
    <s v="CC-1004"/>
    <s v="P014"/>
    <s v="Data Storage"/>
    <x v="2"/>
    <x v="12"/>
    <n v="12129.32"/>
    <n v="14145.69"/>
    <n v="6471.98"/>
    <n v="1501.42"/>
    <n v="639.01"/>
    <n v="1441.47"/>
    <n v="356.51"/>
    <n v="10410.39"/>
    <n v="5657.34"/>
    <n v="1718.9300000000003"/>
    <n v="0.14171693054515838"/>
    <n v="-2016.37"/>
    <n v="1212.93"/>
    <n v="545.82000000000005"/>
    <n v="11462.21"/>
    <x v="48"/>
    <s v="Delhi"/>
    <x v="1"/>
    <x v="19"/>
    <s v="CC-1004"/>
  </r>
  <r>
    <s v="TXN-00484"/>
    <d v="2025-04-22T00:00:00"/>
    <x v="9"/>
    <x v="2"/>
    <x v="0"/>
    <x v="3"/>
    <x v="0"/>
    <s v="Odisha"/>
    <s v="Cuttack"/>
    <s v="Branch D"/>
    <x v="3"/>
    <s v="CC-1001"/>
    <s v="P019"/>
    <s v="Conference Camera"/>
    <x v="0"/>
    <x v="0"/>
    <n v="46383.26"/>
    <n v="42781.04"/>
    <n v="22272.75"/>
    <n v="5325.32"/>
    <n v="1423.61"/>
    <n v="4207.33"/>
    <n v="1948.63"/>
    <n v="35177.65"/>
    <n v="24110.51"/>
    <n v="11205.61"/>
    <n v="0.24158737441050931"/>
    <n v="3602.22"/>
    <n v="927.67"/>
    <n v="8182.01"/>
    <n v="53637.599999999999"/>
    <x v="28"/>
    <s v="Odisha"/>
    <x v="3"/>
    <x v="0"/>
    <s v="CC-1001"/>
  </r>
  <r>
    <s v="TXN-00485"/>
    <d v="2025-12-26T00:00:00"/>
    <x v="6"/>
    <x v="3"/>
    <x v="0"/>
    <x v="2"/>
    <x v="0"/>
    <s v="Uttar Pradesh"/>
    <s v="Lucknow"/>
    <s v="Branch D"/>
    <x v="2"/>
    <s v="CC-1003"/>
    <s v="P018"/>
    <s v="Projector"/>
    <x v="0"/>
    <x v="6"/>
    <n v="39374.879999999997"/>
    <n v="43410.46"/>
    <n v="21759.88"/>
    <n v="4055.21"/>
    <n v="1389.48"/>
    <n v="3742.56"/>
    <n v="570.41"/>
    <n v="31517.53"/>
    <n v="17614.990000000002"/>
    <n v="7857.3499999999985"/>
    <n v="0.19955235419130163"/>
    <n v="-4035.58"/>
    <n v="1181.25"/>
    <n v="1909.68"/>
    <n v="40103.31"/>
    <x v="2"/>
    <s v="Uttar Pradesh"/>
    <x v="2"/>
    <x v="9"/>
    <s v="CC-1003"/>
  </r>
  <r>
    <s v="TXN-00486"/>
    <d v="2026-02-11T00:00:00"/>
    <x v="2"/>
    <x v="1"/>
    <x v="0"/>
    <x v="0"/>
    <x v="0"/>
    <s v="Maharashtra"/>
    <s v="Mumbai"/>
    <s v="Branch B"/>
    <x v="4"/>
    <s v="CC-1004"/>
    <s v="P016"/>
    <s v="Network Switch"/>
    <x v="4"/>
    <x v="10"/>
    <n v="19413.78"/>
    <n v="19364.490000000002"/>
    <n v="12642.2"/>
    <n v="1994.84"/>
    <n v="1273.6500000000001"/>
    <n v="1215.3699999999999"/>
    <n v="451"/>
    <n v="17577.05"/>
    <n v="6771.58"/>
    <n v="1836.7299999999996"/>
    <n v="9.4609602045557309E-2"/>
    <n v="49.29"/>
    <n v="0"/>
    <n v="3494.48"/>
    <n v="22908.26"/>
    <x v="6"/>
    <s v="Maharashtra"/>
    <x v="4"/>
    <x v="13"/>
    <s v="CC-1004"/>
  </r>
  <r>
    <s v="TXN-00487"/>
    <d v="2026-02-12T00:00:00"/>
    <x v="2"/>
    <x v="1"/>
    <x v="0"/>
    <x v="3"/>
    <x v="0"/>
    <s v="Odisha"/>
    <s v="Bhubaneswar"/>
    <s v="Branch A"/>
    <x v="1"/>
    <s v="CC-1002"/>
    <s v="P003"/>
    <s v="Printer"/>
    <x v="0"/>
    <x v="3"/>
    <n v="18338.32"/>
    <n v="20557.09"/>
    <n v="12751.58"/>
    <n v="1677.18"/>
    <n v="1001.41"/>
    <n v="778.75"/>
    <n v="747.69"/>
    <n v="16956.61"/>
    <n v="5586.74"/>
    <n v="1381.7099999999991"/>
    <n v="7.5345506022361869E-2"/>
    <n v="-2218.7800000000002"/>
    <n v="0"/>
    <n v="3300.9"/>
    <n v="21639.21"/>
    <x v="3"/>
    <s v="Odisha"/>
    <x v="1"/>
    <x v="5"/>
    <s v="CC-1002"/>
  </r>
  <r>
    <s v="TXN-00488"/>
    <d v="2025-09-21T00:00:00"/>
    <x v="1"/>
    <x v="0"/>
    <x v="0"/>
    <x v="1"/>
    <x v="0"/>
    <s v="Tamil Nadu"/>
    <s v="Coimbatore"/>
    <s v="Branch A"/>
    <x v="1"/>
    <s v="CC-1001"/>
    <s v="P019"/>
    <s v="Conference Camera"/>
    <x v="0"/>
    <x v="0"/>
    <n v="40198.69"/>
    <n v="42653.8"/>
    <n v="28305.84"/>
    <n v="2664.09"/>
    <n v="1388.79"/>
    <n v="4360.18"/>
    <n v="1360.01"/>
    <n v="38078.910000000003"/>
    <n v="11892.85"/>
    <n v="2119.7799999999988"/>
    <n v="5.2732564170623442E-2"/>
    <n v="-2455.11"/>
    <n v="803.97"/>
    <n v="4727.37"/>
    <n v="44122.080000000002"/>
    <x v="10"/>
    <s v="Tamil Nadu"/>
    <x v="1"/>
    <x v="0"/>
    <s v="CC-1001"/>
  </r>
  <r>
    <s v="TXN-00489"/>
    <d v="2025-04-24T00:00:00"/>
    <x v="9"/>
    <x v="2"/>
    <x v="0"/>
    <x v="3"/>
    <x v="0"/>
    <s v="Odisha"/>
    <s v="Bhubaneswar"/>
    <s v="Branch C"/>
    <x v="1"/>
    <s v="CC-1005"/>
    <s v="P018"/>
    <s v="Projector"/>
    <x v="0"/>
    <x v="6"/>
    <n v="22934.9"/>
    <n v="21717.68"/>
    <n v="11319.84"/>
    <n v="1336.45"/>
    <n v="1216.6500000000001"/>
    <n v="1339.25"/>
    <n v="643.51"/>
    <n v="15855.7"/>
    <n v="11615.07"/>
    <n v="7079.2000000000007"/>
    <n v="0.30866496038788049"/>
    <n v="1217.22"/>
    <n v="458.7"/>
    <n v="4045.72"/>
    <n v="26521.919999999998"/>
    <x v="3"/>
    <s v="Odisha"/>
    <x v="1"/>
    <x v="9"/>
    <s v="CC-1005"/>
  </r>
  <r>
    <s v="TXN-00490"/>
    <d v="2025-11-21T00:00:00"/>
    <x v="10"/>
    <x v="3"/>
    <x v="0"/>
    <x v="3"/>
    <x v="0"/>
    <s v="Jharkhand"/>
    <s v="Jamshedpur"/>
    <s v="Branch A"/>
    <x v="0"/>
    <s v="CC-1002"/>
    <s v="P003"/>
    <s v="Printer"/>
    <x v="0"/>
    <x v="3"/>
    <n v="76705.08"/>
    <n v="75231.100000000006"/>
    <n v="47140.39"/>
    <n v="4418.5600000000004"/>
    <n v="2917.13"/>
    <n v="5605.4"/>
    <n v="1320.64"/>
    <n v="61402.11"/>
    <n v="29564.69"/>
    <n v="15302.970000000001"/>
    <n v="0.19950399634548327"/>
    <n v="1473.98"/>
    <n v="6136.41"/>
    <n v="3528.43"/>
    <n v="74097.11"/>
    <x v="30"/>
    <s v="Jharkhand"/>
    <x v="0"/>
    <x v="5"/>
    <s v="CC-1002"/>
  </r>
  <r>
    <s v="TXN-00491"/>
    <d v="2025-04-01T00:00:00"/>
    <x v="9"/>
    <x v="2"/>
    <x v="0"/>
    <x v="1"/>
    <x v="0"/>
    <s v="Tamil Nadu"/>
    <s v="Coimbatore"/>
    <s v="Branch D"/>
    <x v="3"/>
    <s v="CC-1001"/>
    <s v="P003"/>
    <s v="Printer"/>
    <x v="0"/>
    <x v="3"/>
    <n v="30552.240000000002"/>
    <n v="31145.16"/>
    <n v="20683.150000000001"/>
    <n v="3029.66"/>
    <n v="2416.39"/>
    <n v="2429.54"/>
    <n v="432.2"/>
    <n v="28990.94"/>
    <n v="9869.09"/>
    <n v="1561.3000000000029"/>
    <n v="5.1102636009667468E-2"/>
    <n v="-592.91999999999996"/>
    <n v="0"/>
    <n v="3666.27"/>
    <n v="34218.5"/>
    <x v="10"/>
    <s v="Tamil Nadu"/>
    <x v="3"/>
    <x v="5"/>
    <s v="CC-1001"/>
  </r>
  <r>
    <s v="TXN-00492"/>
    <d v="2025-11-19T00:00:00"/>
    <x v="10"/>
    <x v="3"/>
    <x v="0"/>
    <x v="1"/>
    <x v="0"/>
    <s v="Kerala"/>
    <s v="Kozhikode"/>
    <s v="Branch C"/>
    <x v="1"/>
    <s v="CC-1002"/>
    <s v="P016"/>
    <s v="Network Switch"/>
    <x v="4"/>
    <x v="10"/>
    <n v="21126.14"/>
    <n v="24180.37"/>
    <n v="12216.26"/>
    <n v="1546.23"/>
    <n v="548.09"/>
    <n v="1816.58"/>
    <n v="508.71"/>
    <n v="16635.86"/>
    <n v="8909.8799999999992"/>
    <n v="4490.2799999999988"/>
    <n v="0.21254616318930003"/>
    <n v="-3054.23"/>
    <n v="633.78"/>
    <n v="1024.6199999999999"/>
    <n v="21516.97"/>
    <x v="24"/>
    <s v="Kerala"/>
    <x v="1"/>
    <x v="13"/>
    <s v="CC-1002"/>
  </r>
  <r>
    <s v="TXN-00493"/>
    <d v="2025-08-24T00:00:00"/>
    <x v="7"/>
    <x v="0"/>
    <x v="0"/>
    <x v="4"/>
    <x v="0"/>
    <s v="Madhya Pradesh"/>
    <s v="Gwalior"/>
    <s v="Branch B"/>
    <x v="2"/>
    <s v="CC-1003"/>
    <s v="P007"/>
    <s v="Tablet"/>
    <x v="0"/>
    <x v="9"/>
    <n v="79927.37"/>
    <n v="83176.95"/>
    <n v="48792.7"/>
    <n v="8176.75"/>
    <n v="4009.02"/>
    <n v="7335.56"/>
    <n v="924.51"/>
    <n v="69238.53"/>
    <n v="31134.67"/>
    <n v="10688.839999999997"/>
    <n v="0.13373191185947939"/>
    <n v="-3249.57"/>
    <n v="0"/>
    <n v="9591.2800000000007"/>
    <n v="89518.66"/>
    <x v="42"/>
    <s v="Madhya Pradesh"/>
    <x v="2"/>
    <x v="12"/>
    <s v="CC-1003"/>
  </r>
  <r>
    <s v="TXN-00494"/>
    <d v="2025-04-17T00:00:00"/>
    <x v="9"/>
    <x v="2"/>
    <x v="0"/>
    <x v="3"/>
    <x v="0"/>
    <s v="Bihar"/>
    <s v="Muzaffarpur"/>
    <s v="Branch A"/>
    <x v="2"/>
    <s v="CC-1003"/>
    <s v="P018"/>
    <s v="Projector"/>
    <x v="0"/>
    <x v="6"/>
    <n v="32554.57"/>
    <n v="30117.82"/>
    <n v="19560.64"/>
    <n v="3715.5"/>
    <n v="1748.17"/>
    <n v="2579.92"/>
    <n v="1292.6400000000001"/>
    <n v="28896.87"/>
    <n v="12993.94"/>
    <n v="3657.7000000000007"/>
    <n v="0.1123559610831905"/>
    <n v="2436.75"/>
    <n v="1627.73"/>
    <n v="3711.22"/>
    <n v="34638.07"/>
    <x v="36"/>
    <s v="Bihar"/>
    <x v="2"/>
    <x v="9"/>
    <s v="CC-1003"/>
  </r>
  <r>
    <s v="TXN-00495"/>
    <d v="2025-04-21T00:00:00"/>
    <x v="9"/>
    <x v="2"/>
    <x v="0"/>
    <x v="4"/>
    <x v="0"/>
    <s v="Chhattisgarh"/>
    <s v="Raipur"/>
    <s v="Branch C"/>
    <x v="2"/>
    <s v="CC-1005"/>
    <s v="P012"/>
    <s v="Accounting Software"/>
    <x v="2"/>
    <x v="4"/>
    <n v="5639.87"/>
    <n v="5457.65"/>
    <n v="3805"/>
    <n v="321.51"/>
    <n v="436.35"/>
    <n v="527.52"/>
    <n v="200.98"/>
    <n v="5291.36"/>
    <n v="1834.87"/>
    <n v="348.51000000000022"/>
    <n v="6.1793977520758499E-2"/>
    <n v="182.22"/>
    <n v="169.2"/>
    <n v="984.72"/>
    <n v="6455.4"/>
    <x v="50"/>
    <s v="Chhattisgarh"/>
    <x v="2"/>
    <x v="7"/>
    <s v="CC-1005"/>
  </r>
  <r>
    <s v="TXN-00496"/>
    <d v="2025-05-19T00:00:00"/>
    <x v="3"/>
    <x v="2"/>
    <x v="0"/>
    <x v="1"/>
    <x v="0"/>
    <s v="Karnataka"/>
    <s v="Mysuru"/>
    <s v="Branch C"/>
    <x v="3"/>
    <s v="CC-1005"/>
    <s v="P020"/>
    <s v="Document Scanner"/>
    <x v="0"/>
    <x v="3"/>
    <n v="23350.75"/>
    <n v="27357.4"/>
    <n v="11418.81"/>
    <n v="1757.85"/>
    <n v="1060.52"/>
    <n v="2117.38"/>
    <n v="319.98"/>
    <n v="16674.54"/>
    <n v="11931.94"/>
    <n v="6676.2099999999991"/>
    <n v="0.28590987441516863"/>
    <n v="-4006.64"/>
    <n v="1167.54"/>
    <n v="1109.1600000000001"/>
    <n v="23292.37"/>
    <x v="33"/>
    <s v="Karnataka"/>
    <x v="3"/>
    <x v="6"/>
    <s v="CC-1005"/>
  </r>
  <r>
    <s v="TXN-00497"/>
    <d v="2025-08-20T00:00:00"/>
    <x v="7"/>
    <x v="0"/>
    <x v="0"/>
    <x v="0"/>
    <x v="0"/>
    <s v="Goa"/>
    <s v="Panaji"/>
    <s v="Branch D"/>
    <x v="1"/>
    <s v="CC-1001"/>
    <s v="P019"/>
    <s v="Conference Camera"/>
    <x v="0"/>
    <x v="0"/>
    <n v="46202.97"/>
    <n v="45639.37"/>
    <n v="27448.54"/>
    <n v="3653.78"/>
    <n v="3080.14"/>
    <n v="5179.3900000000003"/>
    <n v="727.11"/>
    <n v="40088.959999999999"/>
    <n v="18754.419999999998"/>
    <n v="6114.010000000002"/>
    <n v="0.13232937189968527"/>
    <n v="563.6"/>
    <n v="1386.09"/>
    <n v="2240.84"/>
    <n v="47057.72"/>
    <x v="14"/>
    <s v="Goa"/>
    <x v="1"/>
    <x v="0"/>
    <s v="CC-1001"/>
  </r>
  <r>
    <s v="TXN-00498"/>
    <d v="2025-09-05T00:00:00"/>
    <x v="1"/>
    <x v="0"/>
    <x v="0"/>
    <x v="4"/>
    <x v="0"/>
    <s v="Chhattisgarh"/>
    <s v="Bilaspur"/>
    <s v="Branch C"/>
    <x v="1"/>
    <s v="CC-1004"/>
    <s v="P019"/>
    <s v="Conference Camera"/>
    <x v="0"/>
    <x v="0"/>
    <n v="23318.34"/>
    <n v="20919.810000000001"/>
    <n v="16194.72"/>
    <n v="2154.2600000000002"/>
    <n v="1597.48"/>
    <n v="2484.0100000000002"/>
    <n v="355.86"/>
    <n v="22786.33"/>
    <n v="7123.62"/>
    <n v="532.0099999999984"/>
    <n v="2.2815088895693194E-2"/>
    <n v="2398.5300000000002"/>
    <n v="0"/>
    <n v="4197.3"/>
    <n v="27515.64"/>
    <x v="22"/>
    <s v="Chhattisgarh"/>
    <x v="1"/>
    <x v="0"/>
    <s v="CC-1004"/>
  </r>
  <r>
    <s v="TXN-00499"/>
    <d v="2025-11-07T00:00:00"/>
    <x v="10"/>
    <x v="3"/>
    <x v="0"/>
    <x v="1"/>
    <x v="0"/>
    <s v="Telangana"/>
    <s v="Hyderabad"/>
    <s v="Branch D"/>
    <x v="1"/>
    <s v="CC-1005"/>
    <s v="P019"/>
    <s v="Conference Camera"/>
    <x v="0"/>
    <x v="0"/>
    <n v="80468.86"/>
    <n v="86191.34"/>
    <n v="41746.68"/>
    <n v="9854.86"/>
    <n v="4711.9399999999996"/>
    <n v="4208.5200000000004"/>
    <n v="3400.65"/>
    <n v="63922.65"/>
    <n v="38722.17"/>
    <n v="16546.21"/>
    <n v="0.2056225227995028"/>
    <n v="-5722.48"/>
    <n v="4023.44"/>
    <n v="13760.17"/>
    <n v="90205.59"/>
    <x v="51"/>
    <s v="Telangana"/>
    <x v="1"/>
    <x v="0"/>
    <s v="CC-1005"/>
  </r>
  <r>
    <s v="TXN-00500"/>
    <d v="2025-08-05T00:00:00"/>
    <x v="7"/>
    <x v="0"/>
    <x v="0"/>
    <x v="0"/>
    <x v="0"/>
    <s v="Goa"/>
    <s v="Vasco da Gama"/>
    <s v="Branch C"/>
    <x v="1"/>
    <s v="CC-1004"/>
    <s v="P010"/>
    <s v="Mouse"/>
    <x v="1"/>
    <x v="1"/>
    <n v="4662.53"/>
    <n v="4519.3999999999996"/>
    <n v="2976.29"/>
    <n v="284.22000000000003"/>
    <n v="324.73"/>
    <n v="527.16"/>
    <n v="145.94"/>
    <n v="4258.34"/>
    <n v="1686.23"/>
    <n v="404.1899999999996"/>
    <n v="8.6688986451561631E-2"/>
    <n v="143.13"/>
    <n v="233.13"/>
    <n v="797.29"/>
    <n v="5226.6899999999996"/>
    <x v="0"/>
    <s v="Goa"/>
    <x v="1"/>
    <x v="1"/>
    <s v="CC-1004"/>
  </r>
  <r>
    <s v="TXN-00501"/>
    <d v="2026-03-02T00:00:00"/>
    <x v="8"/>
    <x v="1"/>
    <x v="0"/>
    <x v="1"/>
    <x v="0"/>
    <s v="Telangana"/>
    <s v="Hyderabad"/>
    <s v="Branch B"/>
    <x v="1"/>
    <s v="CC-1002"/>
    <s v="P010"/>
    <s v="Mouse"/>
    <x v="1"/>
    <x v="1"/>
    <n v="5235.58"/>
    <n v="4767.4399999999996"/>
    <n v="3021.53"/>
    <n v="287.93"/>
    <n v="410.31"/>
    <n v="248.1"/>
    <n v="175.86"/>
    <n v="4143.74"/>
    <n v="2214.0500000000002"/>
    <n v="1091.8400000000001"/>
    <n v="0.20854232004859063"/>
    <n v="468.14"/>
    <n v="0"/>
    <n v="942.4"/>
    <n v="6177.98"/>
    <x v="51"/>
    <s v="Telangana"/>
    <x v="1"/>
    <x v="1"/>
    <s v="CC-1002"/>
  </r>
  <r>
    <s v="TXN-00502"/>
    <d v="2025-11-27T00:00:00"/>
    <x v="10"/>
    <x v="3"/>
    <x v="0"/>
    <x v="0"/>
    <x v="0"/>
    <s v="Goa"/>
    <s v="Margao"/>
    <s v="Branch D"/>
    <x v="2"/>
    <s v="CC-1002"/>
    <s v="P006"/>
    <s v="Smartphone"/>
    <x v="0"/>
    <x v="9"/>
    <n v="48152.35"/>
    <n v="55289.84"/>
    <n v="28866.78"/>
    <n v="5650.42"/>
    <n v="3711.96"/>
    <n v="3507.44"/>
    <n v="869.29"/>
    <n v="42605.89"/>
    <n v="19285.560000000001"/>
    <n v="5546.4599999999991"/>
    <n v="0.11518565552875404"/>
    <n v="-7137.5"/>
    <n v="1444.57"/>
    <n v="8407.4"/>
    <n v="55115.17"/>
    <x v="37"/>
    <s v="Goa"/>
    <x v="2"/>
    <x v="16"/>
    <s v="CC-1002"/>
  </r>
  <r>
    <s v="TXN-00503"/>
    <d v="2025-05-31T00:00:00"/>
    <x v="3"/>
    <x v="2"/>
    <x v="0"/>
    <x v="0"/>
    <x v="0"/>
    <s v="Goa"/>
    <s v="Margao"/>
    <s v="Branch C"/>
    <x v="1"/>
    <s v="CC-1002"/>
    <s v="P019"/>
    <s v="Conference Camera"/>
    <x v="0"/>
    <x v="0"/>
    <n v="24095.69"/>
    <n v="26946.58"/>
    <n v="12138.26"/>
    <n v="1727.91"/>
    <n v="1941.68"/>
    <n v="1631.7"/>
    <n v="1061.57"/>
    <n v="18501.13"/>
    <n v="11957.43"/>
    <n v="5594.5599999999977"/>
    <n v="0.23218094190288793"/>
    <n v="-2850.89"/>
    <n v="2409.5700000000002"/>
    <n v="2602.33"/>
    <n v="24288.45"/>
    <x v="37"/>
    <s v="Goa"/>
    <x v="1"/>
    <x v="0"/>
    <s v="CC-1002"/>
  </r>
  <r>
    <s v="TXN-00504"/>
    <d v="2025-07-23T00:00:00"/>
    <x v="0"/>
    <x v="0"/>
    <x v="0"/>
    <x v="4"/>
    <x v="0"/>
    <s v="Uttar Pradesh"/>
    <s v="Lucknow"/>
    <s v="Branch B"/>
    <x v="2"/>
    <s v="CC-1003"/>
    <s v="P001"/>
    <s v="Business Laptop"/>
    <x v="0"/>
    <x v="2"/>
    <n v="49074.35"/>
    <n v="45059.75"/>
    <n v="25624.73"/>
    <n v="6223.67"/>
    <n v="3437.95"/>
    <n v="5109.12"/>
    <n v="1173.72"/>
    <n v="41569.199999999997"/>
    <n v="23449.62"/>
    <n v="7505.1500000000015"/>
    <n v="0.15293427218088476"/>
    <n v="4014.6"/>
    <n v="1472.23"/>
    <n v="2380.11"/>
    <n v="49982.23"/>
    <x v="2"/>
    <s v="Uttar Pradesh"/>
    <x v="2"/>
    <x v="4"/>
    <s v="CC-1003"/>
  </r>
  <r>
    <s v="TXN-00505"/>
    <d v="2025-06-25T00:00:00"/>
    <x v="11"/>
    <x v="2"/>
    <x v="0"/>
    <x v="3"/>
    <x v="0"/>
    <s v="Bihar"/>
    <s v="Gaya"/>
    <s v="Branch C"/>
    <x v="1"/>
    <s v="CC-1005"/>
    <s v="P009"/>
    <s v="Keyboard"/>
    <x v="1"/>
    <x v="1"/>
    <n v="1140"/>
    <n v="1283.73"/>
    <n v="604.47"/>
    <n v="78.97"/>
    <n v="38.130000000000003"/>
    <n v="110.85"/>
    <n v="14.16"/>
    <n v="846.57"/>
    <n v="535.53"/>
    <n v="293.42999999999995"/>
    <n v="0.25739473684210523"/>
    <n v="-143.72999999999999"/>
    <n v="34.200000000000003"/>
    <n v="132.69999999999999"/>
    <n v="1238.49"/>
    <x v="32"/>
    <s v="Bihar"/>
    <x v="1"/>
    <x v="2"/>
    <s v="CC-1005"/>
  </r>
  <r>
    <s v="TXN-00506"/>
    <d v="2025-10-03T00:00:00"/>
    <x v="5"/>
    <x v="3"/>
    <x v="0"/>
    <x v="0"/>
    <x v="0"/>
    <s v="Goa"/>
    <s v="Margao"/>
    <s v="Branch C"/>
    <x v="4"/>
    <s v="CC-1001"/>
    <s v="P017"/>
    <s v="UPS System"/>
    <x v="0"/>
    <x v="7"/>
    <n v="65094.64"/>
    <n v="74721.440000000002"/>
    <n v="38243.519999999997"/>
    <n v="6017.21"/>
    <n v="3386.57"/>
    <n v="7032.18"/>
    <n v="1174.28"/>
    <n v="55853.760000000002"/>
    <n v="26851.119999999999"/>
    <n v="9240.8799999999974"/>
    <n v="0.14196068985096158"/>
    <n v="-9626.81"/>
    <n v="1301.8900000000001"/>
    <n v="7655.13"/>
    <n v="71447.87"/>
    <x v="37"/>
    <s v="Goa"/>
    <x v="4"/>
    <x v="10"/>
    <s v="CC-1001"/>
  </r>
  <r>
    <s v="TXN-00507"/>
    <d v="2025-12-10T00:00:00"/>
    <x v="6"/>
    <x v="3"/>
    <x v="0"/>
    <x v="3"/>
    <x v="0"/>
    <s v="Odisha"/>
    <s v="Rourkela"/>
    <s v="Branch D"/>
    <x v="4"/>
    <s v="CC-1004"/>
    <s v="P010"/>
    <s v="Mouse"/>
    <x v="1"/>
    <x v="1"/>
    <n v="2729.09"/>
    <n v="2880.35"/>
    <n v="1844.57"/>
    <n v="352.22"/>
    <n v="137.21"/>
    <n v="119.52"/>
    <n v="103.82"/>
    <n v="2557.33"/>
    <n v="884.51"/>
    <n v="171.76000000000022"/>
    <n v="6.2936729825692886E-2"/>
    <n v="-151.27000000000001"/>
    <n v="136.44999999999999"/>
    <n v="129.63"/>
    <n v="2722.26"/>
    <x v="41"/>
    <s v="Odisha"/>
    <x v="4"/>
    <x v="1"/>
    <s v="CC-1004"/>
  </r>
  <r>
    <s v="TXN-00508"/>
    <d v="2025-11-14T00:00:00"/>
    <x v="10"/>
    <x v="3"/>
    <x v="0"/>
    <x v="0"/>
    <x v="0"/>
    <s v="Maharashtra"/>
    <s v="Pune"/>
    <s v="Branch B"/>
    <x v="1"/>
    <s v="CC-1003"/>
    <s v="P010"/>
    <s v="Mouse"/>
    <x v="1"/>
    <x v="1"/>
    <n v="6341.99"/>
    <n v="6114.56"/>
    <n v="4156.95"/>
    <n v="439.97"/>
    <n v="229.33"/>
    <n v="522.5"/>
    <n v="127.79"/>
    <n v="5476.54"/>
    <n v="2185.04"/>
    <n v="865.44999999999982"/>
    <n v="0.1364634759752065"/>
    <n v="227.43"/>
    <n v="317.10000000000002"/>
    <n v="301.24"/>
    <n v="6326.14"/>
    <x v="12"/>
    <s v="Maharashtra"/>
    <x v="1"/>
    <x v="1"/>
    <s v="CC-1003"/>
  </r>
  <r>
    <s v="TXN-00509"/>
    <d v="2025-07-14T00:00:00"/>
    <x v="0"/>
    <x v="0"/>
    <x v="0"/>
    <x v="2"/>
    <x v="0"/>
    <s v="Haryana"/>
    <s v="Faridabad"/>
    <s v="Branch A"/>
    <x v="1"/>
    <s v="CC-1001"/>
    <s v="P004"/>
    <s v="Office Chair"/>
    <x v="3"/>
    <x v="5"/>
    <n v="15990.95"/>
    <n v="16991.53"/>
    <n v="11401.82"/>
    <n v="1277.49"/>
    <n v="1108.0899999999999"/>
    <n v="720.92"/>
    <n v="381.68"/>
    <n v="14890.01"/>
    <n v="4589.13"/>
    <n v="1100.9400000000005"/>
    <n v="6.8847691975773825E-2"/>
    <n v="-1000.58"/>
    <n v="1599.1"/>
    <n v="1727.02"/>
    <n v="16118.88"/>
    <x v="13"/>
    <s v="Haryana"/>
    <x v="1"/>
    <x v="17"/>
    <s v="CC-1001"/>
  </r>
  <r>
    <s v="TXN-00510"/>
    <d v="2025-08-16T00:00:00"/>
    <x v="7"/>
    <x v="0"/>
    <x v="0"/>
    <x v="4"/>
    <x v="0"/>
    <s v="Madhya Pradesh"/>
    <s v="Indore"/>
    <s v="Branch A"/>
    <x v="0"/>
    <s v="CC-1001"/>
    <s v="P005"/>
    <s v="Office Desk"/>
    <x v="3"/>
    <x v="5"/>
    <n v="7913.24"/>
    <n v="9150.24"/>
    <n v="4407.87"/>
    <n v="555.35"/>
    <n v="472.61"/>
    <n v="838.04"/>
    <n v="107.7"/>
    <n v="6381.58"/>
    <n v="3505.37"/>
    <n v="1531.6599999999999"/>
    <n v="0.19355662156082715"/>
    <n v="-1237"/>
    <n v="791.32"/>
    <n v="1281.94"/>
    <n v="8403.86"/>
    <x v="5"/>
    <s v="Madhya Pradesh"/>
    <x v="0"/>
    <x v="8"/>
    <s v="CC-1001"/>
  </r>
  <r>
    <s v="TXN-00511"/>
    <d v="2025-09-27T00:00:00"/>
    <x v="1"/>
    <x v="0"/>
    <x v="0"/>
    <x v="3"/>
    <x v="0"/>
    <s v="Odisha"/>
    <s v="Cuttack"/>
    <s v="Branch C"/>
    <x v="0"/>
    <s v="CC-1003"/>
    <s v="P019"/>
    <s v="Conference Camera"/>
    <x v="0"/>
    <x v="0"/>
    <n v="24009.79"/>
    <n v="24592.81"/>
    <n v="13693.14"/>
    <n v="1898.1"/>
    <n v="681.82"/>
    <n v="2277.16"/>
    <n v="606.66999999999996"/>
    <n v="19156.88"/>
    <n v="10316.65"/>
    <n v="4852.91"/>
    <n v="0.20212213434603132"/>
    <n v="-583.02"/>
    <n v="480.2"/>
    <n v="4235.33"/>
    <n v="27764.92"/>
    <x v="28"/>
    <s v="Odisha"/>
    <x v="0"/>
    <x v="0"/>
    <s v="CC-1003"/>
  </r>
  <r>
    <s v="TXN-00512"/>
    <d v="2025-12-30T00:00:00"/>
    <x v="6"/>
    <x v="3"/>
    <x v="0"/>
    <x v="2"/>
    <x v="0"/>
    <s v="Haryana"/>
    <s v="Panipat"/>
    <s v="Branch C"/>
    <x v="0"/>
    <s v="CC-1001"/>
    <s v="P008"/>
    <s v="Headset"/>
    <x v="1"/>
    <x v="8"/>
    <n v="2279.35"/>
    <n v="2044.39"/>
    <n v="1569.08"/>
    <n v="167.71"/>
    <n v="57.25"/>
    <n v="131.99"/>
    <n v="49.95"/>
    <n v="1975.98"/>
    <n v="710.26"/>
    <n v="303.36999999999989"/>
    <n v="0.13309496128282181"/>
    <n v="234.95"/>
    <n v="227.93"/>
    <n v="246.17"/>
    <n v="2297.58"/>
    <x v="16"/>
    <s v="Haryana"/>
    <x v="0"/>
    <x v="11"/>
    <s v="CC-1001"/>
  </r>
  <r>
    <s v="TXN-00513"/>
    <d v="2025-04-17T00:00:00"/>
    <x v="9"/>
    <x v="2"/>
    <x v="0"/>
    <x v="4"/>
    <x v="0"/>
    <s v="Karnataka"/>
    <s v="Bhilai"/>
    <s v="Branch C"/>
    <x v="2"/>
    <s v="CC-1001"/>
    <s v="P018"/>
    <s v="Projector"/>
    <x v="0"/>
    <x v="6"/>
    <n v="29505.95"/>
    <n v="29309.41"/>
    <n v="16405.43"/>
    <n v="3074.06"/>
    <n v="1293.04"/>
    <n v="2542.6999999999998"/>
    <n v="363.11"/>
    <n v="23678.34"/>
    <n v="13100.52"/>
    <n v="5827.6100000000006"/>
    <n v="0.19750626568539567"/>
    <n v="196.54"/>
    <n v="590.12"/>
    <n v="3469.9"/>
    <n v="32385.73"/>
    <x v="38"/>
    <s v="Chhattisgarh"/>
    <x v="2"/>
    <x v="9"/>
    <s v="CC-1001"/>
  </r>
  <r>
    <s v="TXN-00514"/>
    <d v="2025-04-18T00:00:00"/>
    <x v="9"/>
    <x v="2"/>
    <x v="0"/>
    <x v="2"/>
    <x v="0"/>
    <s v="Punjab"/>
    <s v="Ludhiana"/>
    <s v="Branch B"/>
    <x v="1"/>
    <s v="CC-1001"/>
    <s v="P002"/>
    <s v="Monitor"/>
    <x v="0"/>
    <x v="2"/>
    <n v="73104.36"/>
    <n v="85846.14"/>
    <n v="51346.41"/>
    <n v="8907.76"/>
    <n v="5304.03"/>
    <n v="5070.51"/>
    <n v="1002.58"/>
    <n v="71631.3"/>
    <n v="21757.94"/>
    <n v="1473.0599999999977"/>
    <n v="2.0150097750667645E-2"/>
    <n v="-12741.79"/>
    <n v="3655.22"/>
    <n v="12500.84"/>
    <n v="81949.98"/>
    <x v="35"/>
    <s v="Punjab"/>
    <x v="1"/>
    <x v="3"/>
    <s v="CC-1001"/>
  </r>
  <r>
    <s v="TXN-00515"/>
    <d v="2026-01-23T00:00:00"/>
    <x v="4"/>
    <x v="1"/>
    <x v="0"/>
    <x v="4"/>
    <x v="0"/>
    <s v="Madhya Pradesh"/>
    <s v="Indore"/>
    <s v="Branch B"/>
    <x v="1"/>
    <s v="CC-1003"/>
    <s v="P015"/>
    <s v="Network Router"/>
    <x v="4"/>
    <x v="10"/>
    <n v="18154.12"/>
    <n v="17933.78"/>
    <n v="9262.09"/>
    <n v="1763.61"/>
    <n v="1073.53"/>
    <n v="1020.98"/>
    <n v="468.66"/>
    <n v="13588.87"/>
    <n v="8892.02"/>
    <n v="4565.2499999999982"/>
    <n v="0.2514718422044141"/>
    <n v="220.34"/>
    <n v="1452.33"/>
    <n v="2004.21"/>
    <n v="18706"/>
    <x v="5"/>
    <s v="Madhya Pradesh"/>
    <x v="1"/>
    <x v="14"/>
    <s v="CC-1003"/>
  </r>
  <r>
    <s v="TXN-00516"/>
    <d v="2025-12-10T00:00:00"/>
    <x v="6"/>
    <x v="3"/>
    <x v="0"/>
    <x v="3"/>
    <x v="0"/>
    <s v="West Bengal"/>
    <s v="Siliguri"/>
    <s v="Branch B"/>
    <x v="2"/>
    <s v="CC-1004"/>
    <s v="P018"/>
    <s v="Projector"/>
    <x v="0"/>
    <x v="6"/>
    <n v="17279.64"/>
    <n v="18629.46"/>
    <n v="11323.34"/>
    <n v="1490.56"/>
    <n v="1200.6099999999999"/>
    <n v="1188.72"/>
    <n v="576.67999999999995"/>
    <n v="15779.91"/>
    <n v="5956.3"/>
    <n v="1499.7299999999996"/>
    <n v="8.6791738716778796E-2"/>
    <n v="-1349.82"/>
    <n v="0"/>
    <n v="2073.56"/>
    <n v="19353.2"/>
    <x v="44"/>
    <s v="West Bengal"/>
    <x v="2"/>
    <x v="9"/>
    <s v="CC-1004"/>
  </r>
  <r>
    <s v="TXN-00517"/>
    <d v="2025-11-08T00:00:00"/>
    <x v="10"/>
    <x v="3"/>
    <x v="0"/>
    <x v="2"/>
    <x v="0"/>
    <s v="Uttar Pradesh"/>
    <s v="Lucknow"/>
    <s v="Branch D"/>
    <x v="2"/>
    <s v="CC-1001"/>
    <s v="P008"/>
    <s v="Headset"/>
    <x v="1"/>
    <x v="8"/>
    <n v="2095.9499999999998"/>
    <n v="1976.59"/>
    <n v="1256.4100000000001"/>
    <n v="184.61"/>
    <n v="175.22"/>
    <n v="89.66"/>
    <n v="44.43"/>
    <n v="1750.33"/>
    <n v="839.54"/>
    <n v="345.61999999999989"/>
    <n v="0.16489897182661797"/>
    <n v="119.36"/>
    <n v="104.8"/>
    <n v="358.41"/>
    <n v="2349.56"/>
    <x v="2"/>
    <s v="Uttar Pradesh"/>
    <x v="2"/>
    <x v="11"/>
    <s v="CC-1001"/>
  </r>
  <r>
    <s v="TXN-00518"/>
    <d v="2026-03-23T00:00:00"/>
    <x v="8"/>
    <x v="1"/>
    <x v="0"/>
    <x v="0"/>
    <x v="0"/>
    <s v="Goa"/>
    <s v="Margao"/>
    <s v="Branch B"/>
    <x v="1"/>
    <s v="CC-1005"/>
    <s v="P010"/>
    <s v="Mouse"/>
    <x v="1"/>
    <x v="1"/>
    <n v="9239.91"/>
    <n v="8584.4599999999991"/>
    <n v="4509.78"/>
    <n v="566.29999999999995"/>
    <n v="596.64"/>
    <n v="502.13"/>
    <n v="165.41"/>
    <n v="6340.26"/>
    <n v="4730.13"/>
    <n v="2899.6499999999996"/>
    <n v="0.31381799173368569"/>
    <n v="655.44"/>
    <n v="0"/>
    <n v="1663.18"/>
    <n v="10903.09"/>
    <x v="37"/>
    <s v="Goa"/>
    <x v="1"/>
    <x v="1"/>
    <s v="CC-1005"/>
  </r>
  <r>
    <s v="TXN-00519"/>
    <d v="2025-08-12T00:00:00"/>
    <x v="7"/>
    <x v="0"/>
    <x v="0"/>
    <x v="0"/>
    <x v="0"/>
    <s v="Goa"/>
    <s v="Panaji"/>
    <s v="Branch D"/>
    <x v="4"/>
    <s v="CC-1002"/>
    <s v="P013"/>
    <s v="CRM Software"/>
    <x v="2"/>
    <x v="4"/>
    <n v="26112.33"/>
    <n v="26401.83"/>
    <n v="17450.580000000002"/>
    <n v="1500.51"/>
    <n v="1536.89"/>
    <n v="2791.69"/>
    <n v="1019.86"/>
    <n v="24299.53"/>
    <n v="8661.75"/>
    <n v="1812.8000000000029"/>
    <n v="6.9423142247359876E-2"/>
    <n v="-289.49"/>
    <n v="2611.23"/>
    <n v="4230.2"/>
    <n v="27731.3"/>
    <x v="14"/>
    <s v="Goa"/>
    <x v="4"/>
    <x v="15"/>
    <s v="CC-1002"/>
  </r>
  <r>
    <s v="TXN-00520"/>
    <d v="2025-09-25T00:00:00"/>
    <x v="1"/>
    <x v="0"/>
    <x v="0"/>
    <x v="0"/>
    <x v="0"/>
    <s v="Goa"/>
    <s v="Margao"/>
    <s v="Branch A"/>
    <x v="0"/>
    <s v="CC-1005"/>
    <s v="P012"/>
    <s v="Accounting Software"/>
    <x v="2"/>
    <x v="4"/>
    <n v="22337.439999999999"/>
    <n v="26312.3"/>
    <n v="14787.22"/>
    <n v="2535.09"/>
    <n v="1453.5"/>
    <n v="2655.34"/>
    <n v="723.7"/>
    <n v="22154.84"/>
    <n v="7550.22"/>
    <n v="182.59999999999854"/>
    <n v="8.1746162496686529E-3"/>
    <n v="-3974.86"/>
    <n v="1786.99"/>
    <n v="3699.08"/>
    <n v="24249.52"/>
    <x v="37"/>
    <s v="Goa"/>
    <x v="0"/>
    <x v="7"/>
    <s v="CC-1005"/>
  </r>
  <r>
    <s v="TXN-00521"/>
    <d v="2025-12-08T00:00:00"/>
    <x v="6"/>
    <x v="3"/>
    <x v="0"/>
    <x v="1"/>
    <x v="0"/>
    <s v="Telangana"/>
    <s v="Hyderabad"/>
    <s v="Branch C"/>
    <x v="1"/>
    <s v="CC-1003"/>
    <s v="P020"/>
    <s v="Document Scanner"/>
    <x v="0"/>
    <x v="3"/>
    <n v="28205.15"/>
    <n v="26564.23"/>
    <n v="16525.259999999998"/>
    <n v="1556.93"/>
    <n v="2218.1999999999998"/>
    <n v="1412.38"/>
    <n v="1173.57"/>
    <n v="22886.33"/>
    <n v="11679.89"/>
    <n v="5318.82"/>
    <n v="0.18857619973657291"/>
    <n v="1640.92"/>
    <n v="2256.41"/>
    <n v="3113.85"/>
    <n v="29062.59"/>
    <x v="51"/>
    <s v="Telangana"/>
    <x v="1"/>
    <x v="6"/>
    <s v="CC-1003"/>
  </r>
  <r>
    <s v="TXN-00522"/>
    <d v="2025-06-01T00:00:00"/>
    <x v="11"/>
    <x v="2"/>
    <x v="0"/>
    <x v="2"/>
    <x v="0"/>
    <s v="Delhi"/>
    <s v="Gurugram"/>
    <s v="Branch A"/>
    <x v="3"/>
    <s v="CC-1002"/>
    <s v="P004"/>
    <s v="Office Chair"/>
    <x v="3"/>
    <x v="5"/>
    <n v="29901.63"/>
    <n v="30463.35"/>
    <n v="19986.759999999998"/>
    <n v="3460.4"/>
    <n v="1825.25"/>
    <n v="1626.16"/>
    <n v="788.55"/>
    <n v="27687.13"/>
    <n v="9914.86"/>
    <n v="2214.5"/>
    <n v="7.4059507792718984E-2"/>
    <n v="-561.73"/>
    <n v="2990.16"/>
    <n v="4844.0600000000004"/>
    <n v="31755.53"/>
    <x v="27"/>
    <s v="Delhi"/>
    <x v="3"/>
    <x v="17"/>
    <s v="CC-1002"/>
  </r>
  <r>
    <s v="TXN-00523"/>
    <d v="2025-05-17T00:00:00"/>
    <x v="3"/>
    <x v="2"/>
    <x v="0"/>
    <x v="0"/>
    <x v="0"/>
    <s v="Rajasthan"/>
    <s v="Udaipur"/>
    <s v="Branch B"/>
    <x v="0"/>
    <s v="CC-1003"/>
    <s v="P020"/>
    <s v="Document Scanner"/>
    <x v="0"/>
    <x v="3"/>
    <n v="62654.09"/>
    <n v="58844.36"/>
    <n v="34844.519999999997"/>
    <n v="4545.83"/>
    <n v="3728.28"/>
    <n v="2765.23"/>
    <n v="974.19"/>
    <n v="46858.06"/>
    <n v="27809.57"/>
    <n v="15796.029999999999"/>
    <n v="0.25211490582657892"/>
    <n v="3809.73"/>
    <n v="5012.33"/>
    <n v="2882.09"/>
    <n v="60523.85"/>
    <x v="17"/>
    <s v="Rajasthan"/>
    <x v="0"/>
    <x v="6"/>
    <s v="CC-1003"/>
  </r>
  <r>
    <s v="TXN-00524"/>
    <d v="2025-06-19T00:00:00"/>
    <x v="11"/>
    <x v="2"/>
    <x v="0"/>
    <x v="3"/>
    <x v="0"/>
    <s v="West Bengal"/>
    <s v="Durgapur"/>
    <s v="Branch D"/>
    <x v="3"/>
    <s v="CC-1004"/>
    <s v="P017"/>
    <s v="UPS System"/>
    <x v="0"/>
    <x v="7"/>
    <n v="38490.35"/>
    <n v="35676.68"/>
    <n v="22512.55"/>
    <n v="3146.63"/>
    <n v="2822.51"/>
    <n v="3327.84"/>
    <n v="907.78"/>
    <n v="32717.3"/>
    <n v="15977.8"/>
    <n v="5773.0499999999993"/>
    <n v="0.14998694477966554"/>
    <n v="2813.67"/>
    <n v="0"/>
    <n v="1924.52"/>
    <n v="40414.86"/>
    <x v="39"/>
    <s v="West Bengal"/>
    <x v="3"/>
    <x v="10"/>
    <s v="CC-1004"/>
  </r>
  <r>
    <s v="TXN-00525"/>
    <d v="2025-11-13T00:00:00"/>
    <x v="10"/>
    <x v="3"/>
    <x v="0"/>
    <x v="2"/>
    <x v="0"/>
    <s v="Haryana"/>
    <s v="Faridabad"/>
    <s v="Branch A"/>
    <x v="1"/>
    <s v="CC-1003"/>
    <s v="P012"/>
    <s v="Accounting Software"/>
    <x v="2"/>
    <x v="4"/>
    <n v="26187.83"/>
    <n v="28315.54"/>
    <n v="16989.16"/>
    <n v="1920.06"/>
    <n v="1455.37"/>
    <n v="3050.87"/>
    <n v="964.62"/>
    <n v="24380.080000000002"/>
    <n v="9198.67"/>
    <n v="1807.75"/>
    <n v="6.9030156374163112E-2"/>
    <n v="-2127.71"/>
    <n v="2618.7800000000002"/>
    <n v="4242.43"/>
    <n v="27811.48"/>
    <x v="13"/>
    <s v="Haryana"/>
    <x v="1"/>
    <x v="7"/>
    <s v="CC-1003"/>
  </r>
  <r>
    <s v="TXN-00526"/>
    <d v="2025-12-21T00:00:00"/>
    <x v="6"/>
    <x v="3"/>
    <x v="0"/>
    <x v="2"/>
    <x v="0"/>
    <s v="Uttar Pradesh"/>
    <s v="Kanpur"/>
    <s v="Branch D"/>
    <x v="3"/>
    <s v="CC-1005"/>
    <s v="P010"/>
    <s v="Mouse"/>
    <x v="1"/>
    <x v="1"/>
    <n v="9848.24"/>
    <n v="9719.32"/>
    <n v="6694.83"/>
    <n v="1162.71"/>
    <n v="517.58000000000004"/>
    <n v="446.3"/>
    <n v="99.03"/>
    <n v="8920.44"/>
    <n v="3153.41"/>
    <n v="927.79999999999927"/>
    <n v="9.4209726814131187E-2"/>
    <n v="128.91"/>
    <n v="295.45"/>
    <n v="1146.33"/>
    <n v="10699.12"/>
    <x v="25"/>
    <s v="Uttar Pradesh"/>
    <x v="3"/>
    <x v="1"/>
    <s v="CC-1005"/>
  </r>
  <r>
    <s v="TXN-00527"/>
    <d v="2026-01-25T00:00:00"/>
    <x v="4"/>
    <x v="1"/>
    <x v="0"/>
    <x v="1"/>
    <x v="0"/>
    <s v="Telangana"/>
    <s v="Nizamabad"/>
    <s v="Branch D"/>
    <x v="4"/>
    <s v="CC-1004"/>
    <s v="P008"/>
    <s v="Headset"/>
    <x v="1"/>
    <x v="8"/>
    <n v="6817.89"/>
    <n v="6306.27"/>
    <n v="4208.2700000000004"/>
    <n v="479.24"/>
    <n v="271.52"/>
    <n v="279"/>
    <n v="99.28"/>
    <n v="5337.31"/>
    <n v="2609.62"/>
    <n v="1480.58"/>
    <n v="0.21716102782532423"/>
    <n v="511.62"/>
    <n v="136.36000000000001"/>
    <n v="334.08"/>
    <n v="7015.61"/>
    <x v="29"/>
    <s v="Telangana"/>
    <x v="4"/>
    <x v="11"/>
    <s v="CC-1004"/>
  </r>
  <r>
    <s v="TXN-00528"/>
    <d v="2025-04-05T00:00:00"/>
    <x v="9"/>
    <x v="2"/>
    <x v="0"/>
    <x v="2"/>
    <x v="0"/>
    <s v="Uttar Pradesh"/>
    <s v="Lucknow"/>
    <s v="Branch A"/>
    <x v="1"/>
    <s v="CC-1003"/>
    <s v="P008"/>
    <s v="Headset"/>
    <x v="1"/>
    <x v="8"/>
    <n v="3435.05"/>
    <n v="3455.6"/>
    <n v="1806.98"/>
    <n v="263.49"/>
    <n v="248.36"/>
    <n v="321.32"/>
    <n v="42.98"/>
    <n v="2683.12"/>
    <n v="1628.08"/>
    <n v="751.93000000000029"/>
    <n v="0.21889928821996776"/>
    <n v="-20.55"/>
    <n v="171.75"/>
    <n v="163.16"/>
    <n v="3426.46"/>
    <x v="2"/>
    <s v="Uttar Pradesh"/>
    <x v="1"/>
    <x v="11"/>
    <s v="CC-1003"/>
  </r>
  <r>
    <s v="TXN-00529"/>
    <d v="2026-03-14T00:00:00"/>
    <x v="8"/>
    <x v="1"/>
    <x v="0"/>
    <x v="3"/>
    <x v="0"/>
    <s v="West Bengal"/>
    <s v="Durgapur"/>
    <s v="Branch A"/>
    <x v="0"/>
    <s v="CC-1001"/>
    <s v="P016"/>
    <s v="Network Switch"/>
    <x v="4"/>
    <x v="10"/>
    <n v="19056.849999999999"/>
    <n v="20407.330000000002"/>
    <n v="12489.18"/>
    <n v="2352.39"/>
    <n v="1605.95"/>
    <n v="1888.83"/>
    <n v="322.52"/>
    <n v="18658.87"/>
    <n v="6567.67"/>
    <n v="397.97999999999956"/>
    <n v="2.088382917428639E-2"/>
    <n v="-1350.48"/>
    <n v="1524.55"/>
    <n v="876.62"/>
    <n v="18408.919999999998"/>
    <x v="39"/>
    <s v="West Bengal"/>
    <x v="0"/>
    <x v="13"/>
    <s v="CC-1001"/>
  </r>
  <r>
    <s v="TXN-00530"/>
    <d v="2025-11-01T00:00:00"/>
    <x v="10"/>
    <x v="3"/>
    <x v="0"/>
    <x v="0"/>
    <x v="0"/>
    <s v="Rajasthan"/>
    <s v="Jaipur"/>
    <s v="Branch B"/>
    <x v="2"/>
    <s v="CC-1003"/>
    <s v="P007"/>
    <s v="Tablet"/>
    <x v="0"/>
    <x v="9"/>
    <n v="36314.129999999997"/>
    <n v="42459.07"/>
    <n v="18263.75"/>
    <n v="1881.22"/>
    <n v="1039.45"/>
    <n v="1604.81"/>
    <n v="1516.97"/>
    <n v="24306.19"/>
    <n v="18050.38"/>
    <n v="12007.939999999999"/>
    <n v="0.33066853040400523"/>
    <n v="-6144.94"/>
    <n v="1815.71"/>
    <n v="6209.72"/>
    <n v="40708.14"/>
    <x v="21"/>
    <s v="Rajasthan"/>
    <x v="2"/>
    <x v="12"/>
    <s v="CC-1003"/>
  </r>
  <r>
    <s v="TXN-00531"/>
    <d v="2026-01-03T00:00:00"/>
    <x v="4"/>
    <x v="1"/>
    <x v="0"/>
    <x v="0"/>
    <x v="0"/>
    <s v="Maharashtra"/>
    <s v="Nagpur"/>
    <s v="Branch C"/>
    <x v="3"/>
    <s v="CC-1005"/>
    <s v="P013"/>
    <s v="CRM Software"/>
    <x v="2"/>
    <x v="4"/>
    <n v="7552.3"/>
    <n v="7363.12"/>
    <n v="3689.6"/>
    <n v="460.23"/>
    <n v="563.87"/>
    <n v="312.99"/>
    <n v="322.47000000000003"/>
    <n v="5349.16"/>
    <n v="3862.7"/>
    <n v="2203.1400000000003"/>
    <n v="0.2917177548561366"/>
    <n v="189.18"/>
    <n v="0"/>
    <n v="1359.41"/>
    <n v="8911.7099999999991"/>
    <x v="15"/>
    <s v="Maharashtra"/>
    <x v="3"/>
    <x v="15"/>
    <s v="CC-1005"/>
  </r>
  <r>
    <s v="TXN-00532"/>
    <d v="2025-12-01T00:00:00"/>
    <x v="6"/>
    <x v="3"/>
    <x v="0"/>
    <x v="4"/>
    <x v="0"/>
    <s v="Uttar Pradesh"/>
    <s v="Lucknow"/>
    <s v="Branch D"/>
    <x v="1"/>
    <s v="CC-1005"/>
    <s v="P001"/>
    <s v="Business Laptop"/>
    <x v="0"/>
    <x v="2"/>
    <n v="24428.14"/>
    <n v="24607.64"/>
    <n v="13539"/>
    <n v="1769.84"/>
    <n v="2154.44"/>
    <n v="1276.8399999999999"/>
    <n v="871.27"/>
    <n v="19611.38"/>
    <n v="10889.14"/>
    <n v="4816.7599999999984"/>
    <n v="0.19718079231574728"/>
    <n v="-179.49"/>
    <n v="0"/>
    <n v="2931.38"/>
    <n v="27359.52"/>
    <x v="2"/>
    <s v="Uttar Pradesh"/>
    <x v="1"/>
    <x v="4"/>
    <s v="CC-1005"/>
  </r>
  <r>
    <s v="TXN-00533"/>
    <d v="2025-08-03T00:00:00"/>
    <x v="7"/>
    <x v="0"/>
    <x v="0"/>
    <x v="4"/>
    <x v="0"/>
    <s v="Uttar Pradesh"/>
    <s v="Kanpur"/>
    <s v="Branch C"/>
    <x v="2"/>
    <s v="CC-1002"/>
    <s v="P007"/>
    <s v="Tablet"/>
    <x v="0"/>
    <x v="9"/>
    <n v="29750.720000000001"/>
    <n v="34712.42"/>
    <n v="20872.87"/>
    <n v="2575.98"/>
    <n v="2380.14"/>
    <n v="2266.58"/>
    <n v="739.41"/>
    <n v="28834.97"/>
    <n v="8877.86"/>
    <n v="915.75"/>
    <n v="3.0780767658732291E-2"/>
    <n v="-4961.7"/>
    <n v="0"/>
    <n v="3570.09"/>
    <n v="33320.81"/>
    <x v="25"/>
    <s v="Uttar Pradesh"/>
    <x v="2"/>
    <x v="12"/>
    <s v="CC-1002"/>
  </r>
  <r>
    <s v="TXN-00534"/>
    <d v="2025-04-26T00:00:00"/>
    <x v="9"/>
    <x v="2"/>
    <x v="0"/>
    <x v="3"/>
    <x v="0"/>
    <s v="Jharkhand"/>
    <s v="Ranchi"/>
    <s v="Branch C"/>
    <x v="2"/>
    <s v="CC-1005"/>
    <s v="P008"/>
    <s v="Headset"/>
    <x v="1"/>
    <x v="8"/>
    <n v="7065.11"/>
    <n v="7043.95"/>
    <n v="4080.7"/>
    <n v="679.36"/>
    <n v="246.51"/>
    <n v="382.44"/>
    <n v="141.21"/>
    <n v="5530.24"/>
    <n v="2984.41"/>
    <n v="1534.87"/>
    <n v="0.2172464406074357"/>
    <n v="21.16"/>
    <n v="706.51"/>
    <n v="1144.55"/>
    <n v="7503.15"/>
    <x v="9"/>
    <s v="Jharkhand"/>
    <x v="2"/>
    <x v="11"/>
    <s v="CC-1005"/>
  </r>
  <r>
    <s v="TXN-00535"/>
    <d v="2026-03-19T00:00:00"/>
    <x v="8"/>
    <x v="1"/>
    <x v="0"/>
    <x v="0"/>
    <x v="0"/>
    <s v="Maharashtra"/>
    <s v="Pune"/>
    <s v="Branch B"/>
    <x v="2"/>
    <s v="CC-1004"/>
    <s v="P006"/>
    <s v="Smartphone"/>
    <x v="0"/>
    <x v="9"/>
    <n v="69391.289999999994"/>
    <n v="78669.78"/>
    <n v="35231.64"/>
    <n v="8850.7800000000007"/>
    <n v="6063.11"/>
    <n v="4760.07"/>
    <n v="853.95"/>
    <n v="55759.56"/>
    <n v="34159.65"/>
    <n v="13631.729999999996"/>
    <n v="0.19644727746090318"/>
    <n v="-9278.49"/>
    <n v="0"/>
    <n v="12490.43"/>
    <n v="81881.72"/>
    <x v="12"/>
    <s v="Maharashtra"/>
    <x v="2"/>
    <x v="16"/>
    <s v="CC-1004"/>
  </r>
  <r>
    <s v="TXN-00536"/>
    <d v="2025-04-15T00:00:00"/>
    <x v="9"/>
    <x v="2"/>
    <x v="0"/>
    <x v="1"/>
    <x v="0"/>
    <s v="Kerala"/>
    <s v="Kozhikode"/>
    <s v="Branch C"/>
    <x v="2"/>
    <s v="CC-1005"/>
    <s v="P020"/>
    <s v="Document Scanner"/>
    <x v="0"/>
    <x v="3"/>
    <n v="68825.63"/>
    <n v="78774.820000000007"/>
    <n v="41052.239999999998"/>
    <n v="6425.74"/>
    <n v="5832.11"/>
    <n v="7707.97"/>
    <n v="1767.83"/>
    <n v="62785.9"/>
    <n v="27773.39"/>
    <n v="6039.7300000000032"/>
    <n v="8.7754082309163067E-2"/>
    <n v="-9949.19"/>
    <n v="1376.51"/>
    <n v="8093.89"/>
    <n v="75543.009999999995"/>
    <x v="24"/>
    <s v="Kerala"/>
    <x v="2"/>
    <x v="6"/>
    <s v="CC-1005"/>
  </r>
  <r>
    <s v="TXN-00537"/>
    <d v="2025-12-11T00:00:00"/>
    <x v="6"/>
    <x v="3"/>
    <x v="0"/>
    <x v="1"/>
    <x v="0"/>
    <s v="Telangana"/>
    <s v="Warangal"/>
    <s v="Branch A"/>
    <x v="1"/>
    <s v="CC-1005"/>
    <s v="P018"/>
    <s v="Projector"/>
    <x v="0"/>
    <x v="6"/>
    <n v="45381.74"/>
    <n v="42874"/>
    <n v="23511.05"/>
    <n v="3404.29"/>
    <n v="1446.97"/>
    <n v="1882.97"/>
    <n v="1731.88"/>
    <n v="31977.16"/>
    <n v="21870.69"/>
    <n v="13404.579999999998"/>
    <n v="0.29537386622901629"/>
    <n v="2507.7399999999998"/>
    <n v="0"/>
    <n v="8168.71"/>
    <n v="53550.45"/>
    <x v="46"/>
    <s v="Telangana"/>
    <x v="1"/>
    <x v="9"/>
    <s v="CC-1005"/>
  </r>
  <r>
    <s v="TXN-00538"/>
    <d v="2025-07-14T00:00:00"/>
    <x v="0"/>
    <x v="0"/>
    <x v="0"/>
    <x v="3"/>
    <x v="0"/>
    <s v="Bihar"/>
    <s v="Muzaffarpur"/>
    <s v="Branch C"/>
    <x v="1"/>
    <s v="CC-1004"/>
    <s v="P013"/>
    <s v="CRM Software"/>
    <x v="2"/>
    <x v="4"/>
    <n v="23694.76"/>
    <n v="24616.33"/>
    <n v="13351.17"/>
    <n v="2171.4299999999998"/>
    <n v="1601.76"/>
    <n v="1740.83"/>
    <n v="829.21"/>
    <n v="19694.400000000001"/>
    <n v="10343.6"/>
    <n v="4000.3599999999969"/>
    <n v="0.16882888875008639"/>
    <n v="-921.57"/>
    <n v="1895.58"/>
    <n v="1089.96"/>
    <n v="22889.14"/>
    <x v="36"/>
    <s v="Bihar"/>
    <x v="1"/>
    <x v="15"/>
    <s v="CC-1004"/>
  </r>
  <r>
    <s v="TXN-00539"/>
    <d v="2025-11-03T00:00:00"/>
    <x v="10"/>
    <x v="3"/>
    <x v="0"/>
    <x v="3"/>
    <x v="0"/>
    <s v="Bihar"/>
    <s v="Muzaffarpur"/>
    <s v="Branch A"/>
    <x v="3"/>
    <s v="CC-1002"/>
    <s v="P020"/>
    <s v="Document Scanner"/>
    <x v="0"/>
    <x v="3"/>
    <n v="33519.07"/>
    <n v="33755.79"/>
    <n v="20687.73"/>
    <n v="4097.04"/>
    <n v="1697.46"/>
    <n v="3971.69"/>
    <n v="1225.6600000000001"/>
    <n v="31679.58"/>
    <n v="12831.34"/>
    <n v="1839.489999999998"/>
    <n v="5.4878909229880125E-2"/>
    <n v="-236.72"/>
    <n v="1005.57"/>
    <n v="5852.43"/>
    <n v="38365.93"/>
    <x v="36"/>
    <s v="Bihar"/>
    <x v="3"/>
    <x v="6"/>
    <s v="CC-1002"/>
  </r>
  <r>
    <s v="TXN-00540"/>
    <d v="2025-12-09T00:00:00"/>
    <x v="6"/>
    <x v="3"/>
    <x v="0"/>
    <x v="4"/>
    <x v="0"/>
    <s v="Uttar Pradesh"/>
    <s v="Lucknow"/>
    <s v="Branch C"/>
    <x v="2"/>
    <s v="CC-1004"/>
    <s v="P002"/>
    <s v="Monitor"/>
    <x v="0"/>
    <x v="2"/>
    <n v="53213.91"/>
    <n v="50972.71"/>
    <n v="31040.66"/>
    <n v="4649.79"/>
    <n v="2160.7800000000002"/>
    <n v="5936.96"/>
    <n v="1542.63"/>
    <n v="45330.82"/>
    <n v="22173.25"/>
    <n v="7883.0900000000038"/>
    <n v="0.14813964995242793"/>
    <n v="2241.1999999999998"/>
    <n v="5321.39"/>
    <n v="8620.65"/>
    <n v="56513.17"/>
    <x v="2"/>
    <s v="Uttar Pradesh"/>
    <x v="2"/>
    <x v="3"/>
    <s v="CC-1004"/>
  </r>
  <r>
    <s v="TXN-00541"/>
    <d v="2025-08-06T00:00:00"/>
    <x v="7"/>
    <x v="0"/>
    <x v="0"/>
    <x v="0"/>
    <x v="0"/>
    <s v="Gujarat"/>
    <s v="Vadodara"/>
    <s v="Branch C"/>
    <x v="4"/>
    <s v="CC-1002"/>
    <s v="P013"/>
    <s v="CRM Software"/>
    <x v="2"/>
    <x v="4"/>
    <n v="15756.77"/>
    <n v="16482.330000000002"/>
    <n v="9440.4500000000007"/>
    <n v="1173.57"/>
    <n v="1343.56"/>
    <n v="1372.21"/>
    <n v="382.43"/>
    <n v="13712.21"/>
    <n v="6316.33"/>
    <n v="2044.5600000000013"/>
    <n v="0.12975755817975393"/>
    <n v="-725.55"/>
    <n v="787.84"/>
    <n v="2694.41"/>
    <n v="17663.34"/>
    <x v="19"/>
    <s v="Gujarat"/>
    <x v="4"/>
    <x v="15"/>
    <s v="CC-1002"/>
  </r>
  <r>
    <s v="TXN-00542"/>
    <d v="2025-10-03T00:00:00"/>
    <x v="5"/>
    <x v="3"/>
    <x v="0"/>
    <x v="1"/>
    <x v="0"/>
    <s v="Tamil Nadu"/>
    <s v="Coimbatore"/>
    <s v="Branch B"/>
    <x v="3"/>
    <s v="CC-1004"/>
    <s v="P020"/>
    <s v="Document Scanner"/>
    <x v="0"/>
    <x v="3"/>
    <n v="23250.71"/>
    <n v="26601.759999999998"/>
    <n v="13580.59"/>
    <n v="1929.05"/>
    <n v="635.09"/>
    <n v="1856.29"/>
    <n v="683.48"/>
    <n v="18684.509999999998"/>
    <n v="9670.1200000000008"/>
    <n v="4566.2000000000007"/>
    <n v="0.19638970164782069"/>
    <n v="-3351.05"/>
    <n v="1162.54"/>
    <n v="3975.87"/>
    <n v="26064.05"/>
    <x v="10"/>
    <s v="Tamil Nadu"/>
    <x v="3"/>
    <x v="6"/>
    <s v="CC-1004"/>
  </r>
  <r>
    <s v="TXN-00543"/>
    <d v="2025-12-27T00:00:00"/>
    <x v="6"/>
    <x v="3"/>
    <x v="0"/>
    <x v="0"/>
    <x v="0"/>
    <s v="Gujarat"/>
    <s v="Surat"/>
    <s v="Branch C"/>
    <x v="4"/>
    <s v="CC-1002"/>
    <s v="P015"/>
    <s v="Network Router"/>
    <x v="4"/>
    <x v="10"/>
    <n v="18390.8"/>
    <n v="16515.349999999999"/>
    <n v="10264.290000000001"/>
    <n v="1130.94"/>
    <n v="1308.43"/>
    <n v="1520.88"/>
    <n v="276.49"/>
    <n v="14501.03"/>
    <n v="8126.51"/>
    <n v="3889.7699999999986"/>
    <n v="0.21150629662657408"/>
    <n v="1875.46"/>
    <n v="0"/>
    <n v="3310.34"/>
    <n v="21701.15"/>
    <x v="26"/>
    <s v="Gujarat"/>
    <x v="4"/>
    <x v="14"/>
    <s v="CC-1002"/>
  </r>
  <r>
    <s v="TXN-00544"/>
    <d v="2026-01-31T00:00:00"/>
    <x v="4"/>
    <x v="1"/>
    <x v="0"/>
    <x v="0"/>
    <x v="0"/>
    <s v="Rajasthan"/>
    <s v="Jodhpur"/>
    <s v="Branch B"/>
    <x v="1"/>
    <s v="CC-1002"/>
    <s v="P001"/>
    <s v="Business Laptop"/>
    <x v="0"/>
    <x v="2"/>
    <n v="43642.73"/>
    <n v="41859.57"/>
    <n v="21074.93"/>
    <n v="3993.96"/>
    <n v="2809.47"/>
    <n v="5107.49"/>
    <n v="1336.84"/>
    <n v="34322.699999999997"/>
    <n v="22567.8"/>
    <n v="9320.0300000000061"/>
    <n v="0.21355286436022691"/>
    <n v="1783.16"/>
    <n v="1309.28"/>
    <n v="5080.01"/>
    <n v="47413.46"/>
    <x v="11"/>
    <s v="Rajasthan"/>
    <x v="1"/>
    <x v="4"/>
    <s v="CC-1002"/>
  </r>
  <r>
    <s v="TXN-00545"/>
    <d v="2026-03-14T00:00:00"/>
    <x v="8"/>
    <x v="1"/>
    <x v="0"/>
    <x v="1"/>
    <x v="0"/>
    <s v="Tamil Nadu"/>
    <s v="Coimbatore"/>
    <s v="Branch A"/>
    <x v="0"/>
    <s v="CC-1004"/>
    <s v="P005"/>
    <s v="Office Desk"/>
    <x v="3"/>
    <x v="5"/>
    <n v="35420.61"/>
    <n v="38332.81"/>
    <n v="18826.52"/>
    <n v="3578.06"/>
    <n v="2050.69"/>
    <n v="3449.17"/>
    <n v="1386.81"/>
    <n v="29291.25"/>
    <n v="16594.09"/>
    <n v="6129.3600000000006"/>
    <n v="0.17304501531735339"/>
    <n v="-2912.2"/>
    <n v="1771.03"/>
    <n v="6056.93"/>
    <n v="39706.51"/>
    <x v="10"/>
    <s v="Tamil Nadu"/>
    <x v="0"/>
    <x v="8"/>
    <s v="CC-1004"/>
  </r>
  <r>
    <s v="TXN-00546"/>
    <d v="2025-05-03T00:00:00"/>
    <x v="3"/>
    <x v="2"/>
    <x v="0"/>
    <x v="2"/>
    <x v="0"/>
    <s v="Uttar Pradesh"/>
    <s v="Lucknow"/>
    <s v="Branch D"/>
    <x v="3"/>
    <s v="CC-1001"/>
    <s v="P002"/>
    <s v="Monitor"/>
    <x v="0"/>
    <x v="2"/>
    <n v="27864.65"/>
    <n v="31757.84"/>
    <n v="18219.61"/>
    <n v="2293.4"/>
    <n v="1085.56"/>
    <n v="1908.1"/>
    <n v="555.72"/>
    <n v="24062.400000000001"/>
    <n v="9645.0300000000007"/>
    <n v="3802.25"/>
    <n v="0.13645425296926392"/>
    <n v="-3893.2"/>
    <n v="0"/>
    <n v="5015.6400000000003"/>
    <n v="32880.28"/>
    <x v="2"/>
    <s v="Uttar Pradesh"/>
    <x v="3"/>
    <x v="3"/>
    <s v="CC-1001"/>
  </r>
  <r>
    <s v="TXN-00547"/>
    <d v="2025-12-12T00:00:00"/>
    <x v="6"/>
    <x v="3"/>
    <x v="0"/>
    <x v="3"/>
    <x v="0"/>
    <s v="Jharkhand"/>
    <s v="Ranchi"/>
    <s v="Branch C"/>
    <x v="3"/>
    <s v="CC-1002"/>
    <s v="P011"/>
    <s v="Cloud Software"/>
    <x v="2"/>
    <x v="11"/>
    <n v="7804.05"/>
    <n v="8270.7999999999993"/>
    <n v="4530.2700000000004"/>
    <n v="659.81"/>
    <n v="222.46"/>
    <n v="634.65"/>
    <n v="215.91"/>
    <n v="6263.1"/>
    <n v="3273.78"/>
    <n v="1540.9499999999998"/>
    <n v="0.19745516750917791"/>
    <n v="-466.75"/>
    <n v="0"/>
    <n v="390.2"/>
    <n v="8194.25"/>
    <x v="9"/>
    <s v="Jharkhand"/>
    <x v="3"/>
    <x v="18"/>
    <s v="CC-1002"/>
  </r>
  <r>
    <s v="TXN-00548"/>
    <d v="2025-06-06T00:00:00"/>
    <x v="11"/>
    <x v="2"/>
    <x v="0"/>
    <x v="4"/>
    <x v="0"/>
    <s v="Uttar Pradesh"/>
    <s v="Kanpur"/>
    <s v="Branch D"/>
    <x v="1"/>
    <s v="CC-1001"/>
    <s v="P014"/>
    <s v="Data Storage"/>
    <x v="2"/>
    <x v="12"/>
    <n v="23335.82"/>
    <n v="22029.22"/>
    <n v="13357.71"/>
    <n v="2547.54"/>
    <n v="1216.8800000000001"/>
    <n v="2308.66"/>
    <n v="326.11"/>
    <n v="19756.91"/>
    <n v="9978.11"/>
    <n v="3578.91"/>
    <n v="0.15336551276106861"/>
    <n v="1306.5999999999999"/>
    <n v="1866.87"/>
    <n v="2576.27"/>
    <n v="24045.23"/>
    <x v="25"/>
    <s v="Uttar Pradesh"/>
    <x v="1"/>
    <x v="19"/>
    <s v="CC-1001"/>
  </r>
  <r>
    <s v="TXN-00549"/>
    <d v="2025-11-21T00:00:00"/>
    <x v="10"/>
    <x v="3"/>
    <x v="0"/>
    <x v="0"/>
    <x v="0"/>
    <s v="Maharashtra"/>
    <s v="Mumbai"/>
    <s v="Branch A"/>
    <x v="1"/>
    <s v="CC-1001"/>
    <s v="P017"/>
    <s v="UPS System"/>
    <x v="0"/>
    <x v="7"/>
    <n v="76299.3"/>
    <n v="78369.600000000006"/>
    <n v="37302.15"/>
    <n v="7082.12"/>
    <n v="5402.88"/>
    <n v="5122.21"/>
    <n v="1059.58"/>
    <n v="55968.95"/>
    <n v="38997.15"/>
    <n v="20330.350000000006"/>
    <n v="0.26645526236806899"/>
    <n v="-2070.3000000000002"/>
    <n v="1525.99"/>
    <n v="13459.2"/>
    <n v="88232.51"/>
    <x v="6"/>
    <s v="Maharashtra"/>
    <x v="1"/>
    <x v="10"/>
    <s v="CC-1001"/>
  </r>
  <r>
    <s v="TXN-00550"/>
    <d v="2026-03-28T00:00:00"/>
    <x v="8"/>
    <x v="1"/>
    <x v="0"/>
    <x v="0"/>
    <x v="0"/>
    <s v="Rajasthan"/>
    <s v="Jodhpur"/>
    <s v="Branch A"/>
    <x v="0"/>
    <s v="CC-1003"/>
    <s v="P015"/>
    <s v="Network Router"/>
    <x v="4"/>
    <x v="10"/>
    <n v="21168.94"/>
    <n v="23278.880000000001"/>
    <n v="10607.03"/>
    <n v="2190.02"/>
    <n v="1761.84"/>
    <n v="944.62"/>
    <n v="315.89999999999998"/>
    <n v="15819.42"/>
    <n v="10561.92"/>
    <n v="5349.5199999999986"/>
    <n v="0.25270608731471672"/>
    <n v="-2109.94"/>
    <n v="1058.45"/>
    <n v="2413.2600000000002"/>
    <n v="22523.759999999998"/>
    <x v="11"/>
    <s v="Rajasthan"/>
    <x v="0"/>
    <x v="14"/>
    <s v="CC-1003"/>
  </r>
  <r>
    <s v="TXN-00551"/>
    <d v="2025-07-21T00:00:00"/>
    <x v="0"/>
    <x v="0"/>
    <x v="0"/>
    <x v="2"/>
    <x v="0"/>
    <s v="Uttar Pradesh"/>
    <s v="Agra"/>
    <s v="Branch B"/>
    <x v="1"/>
    <s v="CC-1005"/>
    <s v="P019"/>
    <s v="Conference Camera"/>
    <x v="0"/>
    <x v="0"/>
    <n v="39237.69"/>
    <n v="36258.480000000003"/>
    <n v="24033.81"/>
    <n v="4324.99"/>
    <n v="1700.17"/>
    <n v="2256.31"/>
    <n v="1109.1600000000001"/>
    <n v="33424.44"/>
    <n v="15203.87"/>
    <n v="5813.25"/>
    <n v="0.14815474611272986"/>
    <n v="2979.21"/>
    <n v="0"/>
    <n v="7062.78"/>
    <n v="46300.47"/>
    <x v="7"/>
    <s v="Uttar Pradesh"/>
    <x v="1"/>
    <x v="0"/>
    <s v="CC-1005"/>
  </r>
  <r>
    <s v="TXN-00552"/>
    <d v="2025-10-16T00:00:00"/>
    <x v="5"/>
    <x v="3"/>
    <x v="0"/>
    <x v="3"/>
    <x v="0"/>
    <s v="Bihar"/>
    <s v="Gaya"/>
    <s v="Branch B"/>
    <x v="0"/>
    <s v="CC-1001"/>
    <s v="P012"/>
    <s v="Accounting Software"/>
    <x v="2"/>
    <x v="4"/>
    <n v="8425.44"/>
    <n v="8208.17"/>
    <n v="4973.57"/>
    <n v="580.89"/>
    <n v="554.19000000000005"/>
    <n v="540.23"/>
    <n v="369.71"/>
    <n v="7018.59"/>
    <n v="3451.87"/>
    <n v="1406.8500000000004"/>
    <n v="0.16697644277331514"/>
    <n v="217.27"/>
    <n v="421.27"/>
    <n v="400.21"/>
    <n v="8404.3700000000008"/>
    <x v="32"/>
    <s v="Bihar"/>
    <x v="0"/>
    <x v="7"/>
    <s v="CC-1001"/>
  </r>
  <r>
    <s v="TXN-00553"/>
    <d v="2026-03-02T00:00:00"/>
    <x v="8"/>
    <x v="1"/>
    <x v="0"/>
    <x v="0"/>
    <x v="0"/>
    <s v="Maharashtra"/>
    <s v="Mumbai"/>
    <s v="Branch B"/>
    <x v="2"/>
    <s v="CC-1005"/>
    <s v="P019"/>
    <s v="Conference Camera"/>
    <x v="0"/>
    <x v="0"/>
    <n v="44101.36"/>
    <n v="45577.03"/>
    <n v="31155.66"/>
    <n v="2352.83"/>
    <n v="2544.62"/>
    <n v="3825.26"/>
    <n v="1861.38"/>
    <n v="41739.75"/>
    <n v="12945.71"/>
    <n v="2361.6100000000006"/>
    <n v="5.354959574942815E-2"/>
    <n v="-1475.67"/>
    <n v="0"/>
    <n v="5292.16"/>
    <n v="49393.53"/>
    <x v="6"/>
    <s v="Maharashtra"/>
    <x v="2"/>
    <x v="0"/>
    <s v="CC-1005"/>
  </r>
  <r>
    <s v="TXN-00554"/>
    <d v="2026-03-22T00:00:00"/>
    <x v="8"/>
    <x v="1"/>
    <x v="0"/>
    <x v="1"/>
    <x v="0"/>
    <s v="Karnataka"/>
    <s v="Mysuru"/>
    <s v="Branch D"/>
    <x v="1"/>
    <s v="CC-1005"/>
    <s v="P019"/>
    <s v="Conference Camera"/>
    <x v="0"/>
    <x v="0"/>
    <n v="56591.74"/>
    <n v="60880.49"/>
    <n v="27996.6"/>
    <n v="5209.0600000000004"/>
    <n v="3241.68"/>
    <n v="2916.37"/>
    <n v="2388.71"/>
    <n v="41752.42"/>
    <n v="28595.15"/>
    <n v="14839.32"/>
    <n v="0.26221706560003283"/>
    <n v="-4288.75"/>
    <n v="1697.75"/>
    <n v="9880.92"/>
    <n v="64774.91"/>
    <x v="33"/>
    <s v="Karnataka"/>
    <x v="1"/>
    <x v="0"/>
    <s v="CC-1005"/>
  </r>
  <r>
    <s v="TXN-00555"/>
    <d v="2025-04-19T00:00:00"/>
    <x v="9"/>
    <x v="2"/>
    <x v="0"/>
    <x v="0"/>
    <x v="0"/>
    <s v="Gujarat"/>
    <s v="Ahmedabad"/>
    <s v="Branch B"/>
    <x v="0"/>
    <s v="CC-1002"/>
    <s v="P008"/>
    <s v="Headset"/>
    <x v="1"/>
    <x v="8"/>
    <n v="9103.0400000000009"/>
    <n v="9986.7900000000009"/>
    <n v="6188.65"/>
    <n v="601.4"/>
    <n v="495.05"/>
    <n v="867.95"/>
    <n v="294.11"/>
    <n v="8447.17"/>
    <n v="2914.39"/>
    <n v="655.8700000000008"/>
    <n v="7.2049557071044476E-2"/>
    <n v="-883.75"/>
    <n v="455.15"/>
    <n v="432.39"/>
    <n v="9080.2900000000009"/>
    <x v="18"/>
    <s v="Gujarat"/>
    <x v="0"/>
    <x v="11"/>
    <s v="CC-1002"/>
  </r>
  <r>
    <s v="TXN-00556"/>
    <d v="2025-07-23T00:00:00"/>
    <x v="0"/>
    <x v="0"/>
    <x v="0"/>
    <x v="2"/>
    <x v="0"/>
    <s v="Haryana"/>
    <s v="Faridabad"/>
    <s v="Branch C"/>
    <x v="1"/>
    <s v="CC-1002"/>
    <s v="P015"/>
    <s v="Network Router"/>
    <x v="4"/>
    <x v="10"/>
    <n v="15339.88"/>
    <n v="16191.8"/>
    <n v="8993.76"/>
    <n v="808.93"/>
    <n v="702.22"/>
    <n v="1608.15"/>
    <n v="523.70000000000005"/>
    <n v="12636.76"/>
    <n v="6346.12"/>
    <n v="2703.119999999999"/>
    <n v="0.1762151985543563"/>
    <n v="-851.92"/>
    <n v="766.99"/>
    <n v="2623.12"/>
    <n v="17196.009999999998"/>
    <x v="13"/>
    <s v="Haryana"/>
    <x v="1"/>
    <x v="14"/>
    <s v="CC-1002"/>
  </r>
  <r>
    <s v="TXN-00557"/>
    <d v="2025-12-16T00:00:00"/>
    <x v="6"/>
    <x v="3"/>
    <x v="0"/>
    <x v="2"/>
    <x v="0"/>
    <s v="Uttar Pradesh"/>
    <s v="Kanpur"/>
    <s v="Branch B"/>
    <x v="1"/>
    <s v="CC-1004"/>
    <s v="P007"/>
    <s v="Tablet"/>
    <x v="0"/>
    <x v="9"/>
    <n v="48517.85"/>
    <n v="43450.87"/>
    <n v="34260.199999999997"/>
    <n v="4472.28"/>
    <n v="2238.0700000000002"/>
    <n v="2554.4699999999998"/>
    <n v="1060.04"/>
    <n v="44585.06"/>
    <n v="14257.64"/>
    <n v="3932.7900000000009"/>
    <n v="8.1058620693208808E-2"/>
    <n v="5066.9799999999996"/>
    <n v="0"/>
    <n v="5822.14"/>
    <n v="54339.99"/>
    <x v="25"/>
    <s v="Uttar Pradesh"/>
    <x v="1"/>
    <x v="12"/>
    <s v="CC-1004"/>
  </r>
  <r>
    <s v="TXN-00558"/>
    <d v="2025-05-18T00:00:00"/>
    <x v="3"/>
    <x v="2"/>
    <x v="0"/>
    <x v="0"/>
    <x v="0"/>
    <s v="Gujarat"/>
    <s v="Ahmedabad"/>
    <s v="Branch D"/>
    <x v="1"/>
    <s v="CC-1002"/>
    <s v="P018"/>
    <s v="Projector"/>
    <x v="0"/>
    <x v="6"/>
    <n v="63748.67"/>
    <n v="72784.33"/>
    <n v="33898.58"/>
    <n v="3614.83"/>
    <n v="3594.67"/>
    <n v="5171.7"/>
    <n v="2487.56"/>
    <n v="48767.34"/>
    <n v="29850.09"/>
    <n v="14981.330000000002"/>
    <n v="0.23500615777552697"/>
    <n v="-9035.66"/>
    <n v="1912.46"/>
    <n v="7420.34"/>
    <n v="69256.55"/>
    <x v="18"/>
    <s v="Gujarat"/>
    <x v="1"/>
    <x v="9"/>
    <s v="CC-1002"/>
  </r>
  <r>
    <s v="TXN-00559"/>
    <d v="2025-11-26T00:00:00"/>
    <x v="10"/>
    <x v="3"/>
    <x v="0"/>
    <x v="4"/>
    <x v="0"/>
    <s v="Uttar Pradesh"/>
    <s v="Lucknow"/>
    <s v="Branch A"/>
    <x v="2"/>
    <s v="CC-1003"/>
    <s v="P017"/>
    <s v="UPS System"/>
    <x v="0"/>
    <x v="7"/>
    <n v="20206.37"/>
    <n v="22918.51"/>
    <n v="11429.85"/>
    <n v="1185.3699999999999"/>
    <n v="1057.95"/>
    <n v="1983.63"/>
    <n v="277.95"/>
    <n v="15934.75"/>
    <n v="8776.52"/>
    <n v="4271.619999999999"/>
    <n v="0.21139967247952005"/>
    <n v="-2712.14"/>
    <n v="404.13"/>
    <n v="990.11"/>
    <n v="20792.36"/>
    <x v="2"/>
    <s v="Uttar Pradesh"/>
    <x v="2"/>
    <x v="10"/>
    <s v="CC-1003"/>
  </r>
  <r>
    <s v="TXN-00560"/>
    <d v="2025-09-27T00:00:00"/>
    <x v="1"/>
    <x v="0"/>
    <x v="0"/>
    <x v="2"/>
    <x v="0"/>
    <s v="Delhi"/>
    <s v="New Delhi"/>
    <s v="Branch B"/>
    <x v="2"/>
    <s v="CC-1004"/>
    <s v="P003"/>
    <s v="Printer"/>
    <x v="0"/>
    <x v="3"/>
    <n v="40513.72"/>
    <n v="38887"/>
    <n v="21538.27"/>
    <n v="4700.82"/>
    <n v="3612.22"/>
    <n v="3425.45"/>
    <n v="799.4"/>
    <n v="34076.160000000003"/>
    <n v="18975.45"/>
    <n v="6437.5599999999977"/>
    <n v="0.15889826952449682"/>
    <n v="1626.73"/>
    <n v="1215.4100000000001"/>
    <n v="1964.92"/>
    <n v="41263.230000000003"/>
    <x v="48"/>
    <s v="Delhi"/>
    <x v="2"/>
    <x v="5"/>
    <s v="CC-1004"/>
  </r>
  <r>
    <s v="TXN-00561"/>
    <d v="2026-03-20T00:00:00"/>
    <x v="8"/>
    <x v="1"/>
    <x v="0"/>
    <x v="3"/>
    <x v="0"/>
    <s v="West Bengal"/>
    <s v="Kolkata"/>
    <s v="Branch D"/>
    <x v="1"/>
    <s v="CC-1005"/>
    <s v="P018"/>
    <s v="Projector"/>
    <x v="0"/>
    <x v="6"/>
    <n v="41539.35"/>
    <n v="38947.71"/>
    <n v="26302.799999999999"/>
    <n v="4252.1899999999996"/>
    <n v="3614.59"/>
    <n v="4237.55"/>
    <n v="1583.78"/>
    <n v="39990.910000000003"/>
    <n v="15236.55"/>
    <n v="1548.4399999999951"/>
    <n v="3.7276461957156171E-2"/>
    <n v="2591.64"/>
    <n v="2076.9699999999998"/>
    <n v="1973.12"/>
    <n v="41435.5"/>
    <x v="20"/>
    <s v="West Bengal"/>
    <x v="1"/>
    <x v="9"/>
    <s v="CC-1005"/>
  </r>
  <r>
    <s v="TXN-00562"/>
    <d v="2025-08-28T00:00:00"/>
    <x v="7"/>
    <x v="0"/>
    <x v="0"/>
    <x v="2"/>
    <x v="0"/>
    <s v="Delhi"/>
    <s v="New Delhi"/>
    <s v="Branch C"/>
    <x v="1"/>
    <s v="CC-1005"/>
    <s v="P020"/>
    <s v="Document Scanner"/>
    <x v="0"/>
    <x v="3"/>
    <n v="30215.35"/>
    <n v="32439.79"/>
    <n v="19487.97"/>
    <n v="2411.25"/>
    <n v="1270.75"/>
    <n v="3045.03"/>
    <n v="1120.31"/>
    <n v="27335.32"/>
    <n v="10727.37"/>
    <n v="2880.0299999999988"/>
    <n v="9.5316784349676539E-2"/>
    <n v="-2224.44"/>
    <n v="906.46"/>
    <n v="5275.6"/>
    <n v="34584.49"/>
    <x v="48"/>
    <s v="Delhi"/>
    <x v="1"/>
    <x v="6"/>
    <s v="CC-1005"/>
  </r>
  <r>
    <s v="TXN-00563"/>
    <d v="2025-04-12T00:00:00"/>
    <x v="9"/>
    <x v="2"/>
    <x v="0"/>
    <x v="0"/>
    <x v="0"/>
    <s v="Gujarat"/>
    <s v="Vadodara"/>
    <s v="Branch D"/>
    <x v="0"/>
    <s v="CC-1005"/>
    <s v="P017"/>
    <s v="UPS System"/>
    <x v="0"/>
    <x v="7"/>
    <n v="44912.61"/>
    <n v="48682.720000000001"/>
    <n v="27580.61"/>
    <n v="4491.05"/>
    <n v="1404.79"/>
    <n v="5216.21"/>
    <n v="1692.17"/>
    <n v="40384.83"/>
    <n v="17332"/>
    <n v="4527.7799999999988"/>
    <n v="0.10081311239760947"/>
    <n v="-3770.11"/>
    <n v="1347.38"/>
    <n v="5227.83"/>
    <n v="48793.06"/>
    <x v="19"/>
    <s v="Gujarat"/>
    <x v="0"/>
    <x v="10"/>
    <s v="CC-1005"/>
  </r>
  <r>
    <s v="TXN-00564"/>
    <d v="2025-06-18T00:00:00"/>
    <x v="11"/>
    <x v="2"/>
    <x v="0"/>
    <x v="1"/>
    <x v="0"/>
    <s v="Karnataka"/>
    <s v="Bengaluru"/>
    <s v="Branch C"/>
    <x v="0"/>
    <s v="CC-1001"/>
    <s v="P016"/>
    <s v="Network Switch"/>
    <x v="4"/>
    <x v="10"/>
    <n v="16928.439999999999"/>
    <n v="17426.8"/>
    <n v="10480.209999999999"/>
    <n v="1234.6400000000001"/>
    <n v="826.99"/>
    <n v="790.76"/>
    <n v="200.26"/>
    <n v="13532.86"/>
    <n v="6448.23"/>
    <n v="3395.5799999999981"/>
    <n v="0.20058434208940684"/>
    <n v="-498.35"/>
    <n v="338.57"/>
    <n v="829.49"/>
    <n v="17419.37"/>
    <x v="49"/>
    <s v="Karnataka"/>
    <x v="0"/>
    <x v="13"/>
    <s v="CC-1001"/>
  </r>
  <r>
    <s v="TXN-00565"/>
    <d v="2025-10-04T00:00:00"/>
    <x v="5"/>
    <x v="3"/>
    <x v="0"/>
    <x v="0"/>
    <x v="0"/>
    <s v="Gujarat"/>
    <s v="Surat"/>
    <s v="Branch C"/>
    <x v="0"/>
    <s v="CC-1003"/>
    <s v="P019"/>
    <s v="Conference Camera"/>
    <x v="0"/>
    <x v="0"/>
    <n v="61379.839999999997"/>
    <n v="59641.13"/>
    <n v="37087.75"/>
    <n v="4944.55"/>
    <n v="3785.88"/>
    <n v="3017.59"/>
    <n v="2755.63"/>
    <n v="51591.41"/>
    <n v="24292.1"/>
    <n v="9788.429999999993"/>
    <n v="0.15947304522136249"/>
    <n v="1738.71"/>
    <n v="1841.4"/>
    <n v="7144.61"/>
    <n v="66683.06"/>
    <x v="26"/>
    <s v="Gujarat"/>
    <x v="0"/>
    <x v="0"/>
    <s v="CC-1003"/>
  </r>
  <r>
    <s v="TXN-00566"/>
    <d v="2025-04-26T00:00:00"/>
    <x v="9"/>
    <x v="2"/>
    <x v="0"/>
    <x v="1"/>
    <x v="0"/>
    <s v="Telangana"/>
    <s v="Hyderabad"/>
    <s v="Branch A"/>
    <x v="3"/>
    <s v="CC-1005"/>
    <s v="P018"/>
    <s v="Projector"/>
    <x v="0"/>
    <x v="6"/>
    <n v="28989.71"/>
    <n v="31909.42"/>
    <n v="15388.09"/>
    <n v="1786.43"/>
    <n v="1320.74"/>
    <n v="3423.27"/>
    <n v="550.49"/>
    <n v="22469.01"/>
    <n v="13601.62"/>
    <n v="6520.7000000000007"/>
    <n v="0.22493153605193017"/>
    <n v="-2919.71"/>
    <n v="869.69"/>
    <n v="1406"/>
    <n v="29526.02"/>
    <x v="51"/>
    <s v="Telangana"/>
    <x v="3"/>
    <x v="9"/>
    <s v="CC-1005"/>
  </r>
  <r>
    <s v="TXN-00567"/>
    <d v="2025-04-26T00:00:00"/>
    <x v="9"/>
    <x v="2"/>
    <x v="0"/>
    <x v="3"/>
    <x v="0"/>
    <s v="Jharkhand"/>
    <s v="Jamshedpur"/>
    <s v="Branch B"/>
    <x v="4"/>
    <s v="CC-1003"/>
    <s v="P018"/>
    <s v="Projector"/>
    <x v="0"/>
    <x v="6"/>
    <n v="77485.5"/>
    <n v="74989.119999999995"/>
    <n v="43846.59"/>
    <n v="9711.31"/>
    <n v="5518.78"/>
    <n v="4932.03"/>
    <n v="2350.65"/>
    <n v="66359.37"/>
    <n v="33638.9"/>
    <n v="11126.130000000005"/>
    <n v="0.14358983293648495"/>
    <n v="2496.38"/>
    <n v="7748.55"/>
    <n v="12552.65"/>
    <n v="82289.600000000006"/>
    <x v="30"/>
    <s v="Jharkhand"/>
    <x v="4"/>
    <x v="9"/>
    <s v="CC-1003"/>
  </r>
  <r>
    <s v="TXN-00568"/>
    <d v="2025-06-19T00:00:00"/>
    <x v="11"/>
    <x v="2"/>
    <x v="0"/>
    <x v="3"/>
    <x v="0"/>
    <s v="Bihar"/>
    <s v="Gaya"/>
    <s v="Branch B"/>
    <x v="1"/>
    <s v="CC-1004"/>
    <s v="P015"/>
    <s v="Network Router"/>
    <x v="4"/>
    <x v="10"/>
    <n v="21763.599999999999"/>
    <n v="20890.23"/>
    <n v="13134.04"/>
    <n v="1274.28"/>
    <n v="1477.92"/>
    <n v="2326.23"/>
    <n v="764.9"/>
    <n v="18977.36"/>
    <n v="8629.56"/>
    <n v="2786.239999999998"/>
    <n v="0.12802293738168311"/>
    <n v="873.37"/>
    <n v="652.91"/>
    <n v="1055.53"/>
    <n v="22166.23"/>
    <x v="32"/>
    <s v="Bihar"/>
    <x v="1"/>
    <x v="14"/>
    <s v="CC-1004"/>
  </r>
  <r>
    <s v="TXN-00569"/>
    <d v="2026-03-19T00:00:00"/>
    <x v="8"/>
    <x v="1"/>
    <x v="0"/>
    <x v="1"/>
    <x v="0"/>
    <s v="Telangana"/>
    <s v="Warangal"/>
    <s v="Branch D"/>
    <x v="2"/>
    <s v="CC-1003"/>
    <s v="P001"/>
    <s v="Business Laptop"/>
    <x v="0"/>
    <x v="2"/>
    <n v="46098.33"/>
    <n v="49210.34"/>
    <n v="31575.69"/>
    <n v="5264.28"/>
    <n v="1276.43"/>
    <n v="3241.22"/>
    <n v="517"/>
    <n v="41874.620000000003"/>
    <n v="14522.64"/>
    <n v="4223.7099999999991"/>
    <n v="9.162392650666519E-2"/>
    <n v="-3112.01"/>
    <n v="0"/>
    <n v="8297.7000000000007"/>
    <n v="54396.03"/>
    <x v="46"/>
    <s v="Telangana"/>
    <x v="2"/>
    <x v="4"/>
    <s v="CC-1003"/>
  </r>
  <r>
    <s v="TXN-00570"/>
    <d v="2026-03-26T00:00:00"/>
    <x v="8"/>
    <x v="1"/>
    <x v="0"/>
    <x v="3"/>
    <x v="0"/>
    <s v="West Bengal"/>
    <s v="Kolkata"/>
    <s v="Branch C"/>
    <x v="2"/>
    <s v="CC-1004"/>
    <s v="P002"/>
    <s v="Monitor"/>
    <x v="0"/>
    <x v="2"/>
    <n v="55245.65"/>
    <n v="53991.25"/>
    <n v="36013.51"/>
    <n v="3360.79"/>
    <n v="2427.17"/>
    <n v="2849.4"/>
    <n v="2121.0500000000002"/>
    <n v="46771.91"/>
    <n v="19232.14"/>
    <n v="8473.739999999998"/>
    <n v="0.15338293603206765"/>
    <n v="1254.4000000000001"/>
    <n v="1104.9100000000001"/>
    <n v="9745.33"/>
    <n v="63886.07"/>
    <x v="20"/>
    <s v="West Bengal"/>
    <x v="2"/>
    <x v="3"/>
    <s v="CC-1004"/>
  </r>
  <r>
    <s v="TXN-00571"/>
    <d v="2025-12-03T00:00:00"/>
    <x v="6"/>
    <x v="3"/>
    <x v="0"/>
    <x v="0"/>
    <x v="0"/>
    <s v="Rajasthan"/>
    <s v="Udaipur"/>
    <s v="Branch C"/>
    <x v="3"/>
    <s v="CC-1001"/>
    <s v="P016"/>
    <s v="Network Switch"/>
    <x v="4"/>
    <x v="10"/>
    <n v="22551.93"/>
    <n v="24202.01"/>
    <n v="13805.1"/>
    <n v="1579.68"/>
    <n v="1146.82"/>
    <n v="1674.46"/>
    <n v="920.31"/>
    <n v="19126.38"/>
    <n v="8746.83"/>
    <n v="3425.5499999999993"/>
    <n v="0.15189609048981614"/>
    <n v="-1650.08"/>
    <n v="2255.19"/>
    <n v="3653.41"/>
    <n v="23950.15"/>
    <x v="17"/>
    <s v="Rajasthan"/>
    <x v="3"/>
    <x v="13"/>
    <s v="CC-1001"/>
  </r>
  <r>
    <s v="TXN-00572"/>
    <d v="2025-12-23T00:00:00"/>
    <x v="6"/>
    <x v="3"/>
    <x v="0"/>
    <x v="3"/>
    <x v="0"/>
    <s v="Bihar"/>
    <s v="Gaya"/>
    <s v="Branch D"/>
    <x v="4"/>
    <s v="CC-1001"/>
    <s v="P017"/>
    <s v="UPS System"/>
    <x v="0"/>
    <x v="7"/>
    <n v="50217.22"/>
    <n v="54424.13"/>
    <n v="27144.77"/>
    <n v="4867.9799999999996"/>
    <n v="3853.39"/>
    <n v="3917.26"/>
    <n v="1896.48"/>
    <n v="41679.870000000003"/>
    <n v="23072.46"/>
    <n v="8537.3499999999985"/>
    <n v="0.17000841543996259"/>
    <n v="-4206.8999999999996"/>
    <n v="1506.52"/>
    <n v="8767.93"/>
    <n v="57478.63"/>
    <x v="32"/>
    <s v="Bihar"/>
    <x v="4"/>
    <x v="10"/>
    <s v="CC-1001"/>
  </r>
  <r>
    <s v="TXN-00573"/>
    <d v="2025-10-19T00:00:00"/>
    <x v="5"/>
    <x v="3"/>
    <x v="0"/>
    <x v="2"/>
    <x v="0"/>
    <s v="Delhi"/>
    <s v="Gurugram"/>
    <s v="Branch B"/>
    <x v="1"/>
    <s v="CC-1003"/>
    <s v="P008"/>
    <s v="Headset"/>
    <x v="1"/>
    <x v="8"/>
    <n v="3947.39"/>
    <n v="3958.28"/>
    <n v="2410.29"/>
    <n v="368.99"/>
    <n v="226.24"/>
    <n v="200.46"/>
    <n v="108.01"/>
    <n v="3314"/>
    <n v="1537.1"/>
    <n v="633.38999999999987"/>
    <n v="0.16045792283002183"/>
    <n v="-10.89"/>
    <n v="0"/>
    <n v="197.37"/>
    <n v="4144.76"/>
    <x v="27"/>
    <s v="Delhi"/>
    <x v="1"/>
    <x v="11"/>
    <s v="CC-1003"/>
  </r>
  <r>
    <s v="TXN-00574"/>
    <d v="2025-09-17T00:00:00"/>
    <x v="1"/>
    <x v="0"/>
    <x v="0"/>
    <x v="1"/>
    <x v="0"/>
    <s v="Karnataka"/>
    <s v="Bengaluru"/>
    <s v="Branch D"/>
    <x v="3"/>
    <s v="CC-1001"/>
    <s v="P006"/>
    <s v="Smartphone"/>
    <x v="0"/>
    <x v="9"/>
    <n v="58131.17"/>
    <n v="57582.92"/>
    <n v="41296.550000000003"/>
    <n v="6722.11"/>
    <n v="4679.95"/>
    <n v="3126.04"/>
    <n v="1132.6099999999999"/>
    <n v="56957.25"/>
    <n v="16834.62"/>
    <n v="1173.9199999999983"/>
    <n v="2.0194329479348141E-2"/>
    <n v="548.25"/>
    <n v="1162.6199999999999"/>
    <n v="6836.23"/>
    <n v="63804.78"/>
    <x v="49"/>
    <s v="Karnataka"/>
    <x v="3"/>
    <x v="16"/>
    <s v="CC-1001"/>
  </r>
  <r>
    <s v="TXN-00575"/>
    <d v="2025-04-24T00:00:00"/>
    <x v="9"/>
    <x v="2"/>
    <x v="0"/>
    <x v="2"/>
    <x v="0"/>
    <s v="Haryana"/>
    <s v="Gurugram"/>
    <s v="Branch A"/>
    <x v="0"/>
    <s v="CC-1005"/>
    <s v="P015"/>
    <s v="Network Router"/>
    <x v="4"/>
    <x v="10"/>
    <n v="31920.9"/>
    <n v="28145.65"/>
    <n v="18611.080000000002"/>
    <n v="2637.65"/>
    <n v="1034.44"/>
    <n v="3003.48"/>
    <n v="1103.6099999999999"/>
    <n v="26390.27"/>
    <n v="13309.82"/>
    <n v="5530.630000000001"/>
    <n v="0.17326046571368603"/>
    <n v="3775.25"/>
    <n v="1596.05"/>
    <n v="5458.47"/>
    <n v="35783.33"/>
    <x v="27"/>
    <s v="Haryana"/>
    <x v="0"/>
    <x v="14"/>
    <s v="CC-1005"/>
  </r>
  <r>
    <s v="TXN-00576"/>
    <d v="2025-06-08T00:00:00"/>
    <x v="11"/>
    <x v="2"/>
    <x v="0"/>
    <x v="1"/>
    <x v="0"/>
    <s v="Karnataka"/>
    <s v="Bengaluru"/>
    <s v="Branch D"/>
    <x v="4"/>
    <s v="CC-1004"/>
    <s v="P020"/>
    <s v="Document Scanner"/>
    <x v="0"/>
    <x v="3"/>
    <n v="59853.17"/>
    <n v="56370.14"/>
    <n v="40629.93"/>
    <n v="5567.65"/>
    <n v="2091.73"/>
    <n v="4815"/>
    <n v="1464.14"/>
    <n v="54568.45"/>
    <n v="19223.240000000002"/>
    <n v="5284.7200000000012"/>
    <n v="8.8294738607829812E-2"/>
    <n v="3483.03"/>
    <n v="4788.25"/>
    <n v="2753.25"/>
    <n v="57818.16"/>
    <x v="49"/>
    <s v="Karnataka"/>
    <x v="4"/>
    <x v="6"/>
    <s v="CC-1004"/>
  </r>
  <r>
    <s v="TXN-00577"/>
    <d v="2025-07-21T00:00:00"/>
    <x v="0"/>
    <x v="0"/>
    <x v="0"/>
    <x v="3"/>
    <x v="0"/>
    <s v="West Bengal"/>
    <s v="Kolkata"/>
    <s v="Branch B"/>
    <x v="0"/>
    <s v="CC-1003"/>
    <s v="P003"/>
    <s v="Printer"/>
    <x v="0"/>
    <x v="3"/>
    <n v="58811.35"/>
    <n v="68373.919999999998"/>
    <n v="29137.3"/>
    <n v="4833.68"/>
    <n v="1559.96"/>
    <n v="3902.33"/>
    <n v="1693.2"/>
    <n v="41126.47"/>
    <n v="29674.05"/>
    <n v="17684.879999999997"/>
    <n v="0.30070522101601133"/>
    <n v="-9562.57"/>
    <n v="4704.91"/>
    <n v="9739.16"/>
    <n v="63845.599999999999"/>
    <x v="20"/>
    <s v="West Bengal"/>
    <x v="0"/>
    <x v="5"/>
    <s v="CC-1003"/>
  </r>
  <r>
    <s v="TXN-00578"/>
    <d v="2025-07-18T00:00:00"/>
    <x v="0"/>
    <x v="0"/>
    <x v="0"/>
    <x v="0"/>
    <x v="0"/>
    <s v="Gujarat"/>
    <s v="Vadodara"/>
    <s v="Branch D"/>
    <x v="0"/>
    <s v="CC-1004"/>
    <s v="P011"/>
    <s v="Cloud Software"/>
    <x v="2"/>
    <x v="11"/>
    <n v="26107.39"/>
    <n v="29947.54"/>
    <n v="14937.28"/>
    <n v="2844.28"/>
    <n v="1460.35"/>
    <n v="1300.32"/>
    <n v="1108.98"/>
    <n v="21651.21"/>
    <n v="11170.1"/>
    <n v="4456.18"/>
    <n v="0.1706865374133531"/>
    <n v="-3840.16"/>
    <n v="783.22"/>
    <n v="4558.3500000000004"/>
    <n v="29882.52"/>
    <x v="19"/>
    <s v="Gujarat"/>
    <x v="0"/>
    <x v="18"/>
    <s v="CC-1004"/>
  </r>
  <r>
    <s v="TXN-00579"/>
    <d v="2025-07-16T00:00:00"/>
    <x v="0"/>
    <x v="0"/>
    <x v="0"/>
    <x v="2"/>
    <x v="0"/>
    <s v="Uttar Pradesh"/>
    <s v="Agra"/>
    <s v="Branch D"/>
    <x v="3"/>
    <s v="CC-1005"/>
    <s v="P012"/>
    <s v="Accounting Software"/>
    <x v="2"/>
    <x v="4"/>
    <n v="14823.35"/>
    <n v="16151.39"/>
    <n v="9619.5300000000007"/>
    <n v="1325.23"/>
    <n v="1252.0899999999999"/>
    <n v="1173.06"/>
    <n v="381.84"/>
    <n v="13751.76"/>
    <n v="5203.82"/>
    <n v="1071.5900000000001"/>
    <n v="7.2290676533981871E-2"/>
    <n v="-1328.03"/>
    <n v="296.47000000000003"/>
    <n v="1743.23"/>
    <n v="16270.11"/>
    <x v="7"/>
    <s v="Uttar Pradesh"/>
    <x v="3"/>
    <x v="7"/>
    <s v="CC-1005"/>
  </r>
  <r>
    <s v="TXN-00580"/>
    <d v="2025-11-18T00:00:00"/>
    <x v="10"/>
    <x v="3"/>
    <x v="0"/>
    <x v="3"/>
    <x v="0"/>
    <s v="Bihar"/>
    <s v="Muzaffarpur"/>
    <s v="Branch C"/>
    <x v="1"/>
    <s v="CC-1003"/>
    <s v="P020"/>
    <s v="Document Scanner"/>
    <x v="0"/>
    <x v="3"/>
    <n v="46729"/>
    <n v="44802.44"/>
    <n v="25287.53"/>
    <n v="5223.3999999999996"/>
    <n v="2488.4499999999998"/>
    <n v="3105.78"/>
    <n v="759.5"/>
    <n v="36864.65"/>
    <n v="21441.47"/>
    <n v="9864.3499999999985"/>
    <n v="0.21109696334182196"/>
    <n v="1926.56"/>
    <n v="2336.4499999999998"/>
    <n v="7990.66"/>
    <n v="52383.21"/>
    <x v="36"/>
    <s v="Bihar"/>
    <x v="1"/>
    <x v="6"/>
    <s v="CC-1003"/>
  </r>
  <r>
    <s v="TXN-00581"/>
    <d v="2025-09-23T00:00:00"/>
    <x v="1"/>
    <x v="0"/>
    <x v="0"/>
    <x v="1"/>
    <x v="0"/>
    <s v="Kerala"/>
    <s v="Thiruvananthapuram"/>
    <s v="Branch B"/>
    <x v="1"/>
    <s v="CC-1005"/>
    <s v="P007"/>
    <s v="Tablet"/>
    <x v="0"/>
    <x v="9"/>
    <n v="48144.32"/>
    <n v="52758.53"/>
    <n v="26993.54"/>
    <n v="3525.26"/>
    <n v="2897.19"/>
    <n v="2017.12"/>
    <n v="615.89"/>
    <n v="36049"/>
    <n v="21150.78"/>
    <n v="12095.32"/>
    <n v="0.25123046706236579"/>
    <n v="-4614.2"/>
    <n v="1444.33"/>
    <n v="8406"/>
    <n v="55105.99"/>
    <x v="8"/>
    <s v="Kerala"/>
    <x v="1"/>
    <x v="12"/>
    <s v="CC-1005"/>
  </r>
  <r>
    <s v="TXN-00582"/>
    <d v="2025-11-26T00:00:00"/>
    <x v="10"/>
    <x v="3"/>
    <x v="0"/>
    <x v="0"/>
    <x v="0"/>
    <s v="Rajasthan"/>
    <s v="Jodhpur"/>
    <s v="Branch A"/>
    <x v="2"/>
    <s v="CC-1004"/>
    <s v="P012"/>
    <s v="Accounting Software"/>
    <x v="2"/>
    <x v="4"/>
    <n v="17731.91"/>
    <n v="19834.29"/>
    <n v="12635.21"/>
    <n v="1549.47"/>
    <n v="1104.48"/>
    <n v="1340.26"/>
    <n v="592.19000000000005"/>
    <n v="17221.599999999999"/>
    <n v="5096.7"/>
    <n v="510.31000000000131"/>
    <n v="2.8779189607887775E-2"/>
    <n v="-2102.38"/>
    <n v="886.6"/>
    <n v="842.27"/>
    <n v="17687.580000000002"/>
    <x v="11"/>
    <s v="Rajasthan"/>
    <x v="2"/>
    <x v="7"/>
    <s v="CC-1004"/>
  </r>
  <r>
    <s v="TXN-00583"/>
    <d v="2025-06-06T00:00:00"/>
    <x v="11"/>
    <x v="2"/>
    <x v="0"/>
    <x v="4"/>
    <x v="0"/>
    <s v="Madhya Pradesh"/>
    <s v="Bhopal"/>
    <s v="Branch C"/>
    <x v="1"/>
    <s v="CC-1003"/>
    <s v="P008"/>
    <s v="Headset"/>
    <x v="1"/>
    <x v="8"/>
    <n v="1457.97"/>
    <n v="1617.88"/>
    <n v="872.52"/>
    <n v="175.62"/>
    <n v="74.099999999999994"/>
    <n v="89.66"/>
    <n v="32.32"/>
    <n v="1244.21"/>
    <n v="585.45000000000005"/>
    <n v="213.76"/>
    <n v="0.14661481374788232"/>
    <n v="-159.91"/>
    <n v="72.900000000000006"/>
    <n v="166.21"/>
    <n v="1551.28"/>
    <x v="23"/>
    <s v="Madhya Pradesh"/>
    <x v="1"/>
    <x v="11"/>
    <s v="CC-1003"/>
  </r>
  <r>
    <s v="TXN-00584"/>
    <d v="2026-01-23T00:00:00"/>
    <x v="4"/>
    <x v="1"/>
    <x v="0"/>
    <x v="3"/>
    <x v="0"/>
    <s v="West Bengal"/>
    <s v="Siliguri"/>
    <s v="Branch D"/>
    <x v="2"/>
    <s v="CC-1003"/>
    <s v="P013"/>
    <s v="CRM Software"/>
    <x v="2"/>
    <x v="4"/>
    <n v="18990.740000000002"/>
    <n v="21752.04"/>
    <n v="11924.17"/>
    <n v="1600.88"/>
    <n v="699.84"/>
    <n v="2191.23"/>
    <n v="691.78"/>
    <n v="17107.900000000001"/>
    <n v="7066.57"/>
    <n v="1882.8400000000001"/>
    <n v="9.9145162326481226E-2"/>
    <n v="-2761.3"/>
    <n v="379.81"/>
    <n v="2233.31"/>
    <n v="20844.23"/>
    <x v="44"/>
    <s v="West Bengal"/>
    <x v="2"/>
    <x v="15"/>
    <s v="CC-1003"/>
  </r>
  <r>
    <s v="TXN-00585"/>
    <d v="2025-10-24T00:00:00"/>
    <x v="5"/>
    <x v="3"/>
    <x v="0"/>
    <x v="0"/>
    <x v="0"/>
    <s v="Rajasthan"/>
    <s v="Jaipur"/>
    <s v="Branch C"/>
    <x v="0"/>
    <s v="CC-1001"/>
    <s v="P005"/>
    <s v="Office Desk"/>
    <x v="3"/>
    <x v="5"/>
    <n v="14287.02"/>
    <n v="16755.87"/>
    <n v="7922.78"/>
    <n v="1241.22"/>
    <n v="983.09"/>
    <n v="1190.4000000000001"/>
    <n v="564.62"/>
    <n v="11902.12"/>
    <n v="6364.23"/>
    <n v="2384.8999999999996"/>
    <n v="0.16692774280430767"/>
    <n v="-2468.86"/>
    <n v="714.35"/>
    <n v="678.63"/>
    <n v="14251.3"/>
    <x v="21"/>
    <s v="Rajasthan"/>
    <x v="0"/>
    <x v="8"/>
    <s v="CC-1001"/>
  </r>
  <r>
    <s v="TXN-00586"/>
    <d v="2025-09-18T00:00:00"/>
    <x v="1"/>
    <x v="0"/>
    <x v="0"/>
    <x v="0"/>
    <x v="0"/>
    <s v="Rajasthan"/>
    <s v="Jaipur"/>
    <s v="Branch A"/>
    <x v="0"/>
    <s v="CC-1003"/>
    <s v="P016"/>
    <s v="Network Switch"/>
    <x v="4"/>
    <x v="10"/>
    <n v="20138.37"/>
    <n v="22689.16"/>
    <n v="11095.12"/>
    <n v="2143.31"/>
    <n v="1175.26"/>
    <n v="1749.46"/>
    <n v="327.98"/>
    <n v="16491.12"/>
    <n v="9043.24"/>
    <n v="3647.25"/>
    <n v="0.18110949396599627"/>
    <n v="-2550.79"/>
    <n v="1006.92"/>
    <n v="956.57"/>
    <n v="20088.02"/>
    <x v="21"/>
    <s v="Rajasthan"/>
    <x v="0"/>
    <x v="13"/>
    <s v="CC-1003"/>
  </r>
  <r>
    <s v="TXN-00587"/>
    <d v="2025-10-28T00:00:00"/>
    <x v="5"/>
    <x v="3"/>
    <x v="0"/>
    <x v="3"/>
    <x v="0"/>
    <s v="West Bengal"/>
    <s v="Siliguri"/>
    <s v="Branch B"/>
    <x v="0"/>
    <s v="CC-1005"/>
    <s v="P010"/>
    <s v="Mouse"/>
    <x v="1"/>
    <x v="1"/>
    <n v="6987.52"/>
    <n v="6551.02"/>
    <n v="3437.97"/>
    <n v="837.74"/>
    <n v="209"/>
    <n v="417.4"/>
    <n v="239.92"/>
    <n v="5142.03"/>
    <n v="3549.55"/>
    <n v="1845.4900000000007"/>
    <n v="0.26411230307748679"/>
    <n v="436.5"/>
    <n v="209.63"/>
    <n v="1220.02"/>
    <n v="7997.91"/>
    <x v="44"/>
    <s v="West Bengal"/>
    <x v="0"/>
    <x v="1"/>
    <s v="CC-1005"/>
  </r>
  <r>
    <s v="TXN-00588"/>
    <d v="2026-03-22T00:00:00"/>
    <x v="8"/>
    <x v="1"/>
    <x v="0"/>
    <x v="2"/>
    <x v="0"/>
    <s v="Haryana"/>
    <s v="Panipat"/>
    <s v="Branch A"/>
    <x v="0"/>
    <s v="CC-1001"/>
    <s v="P007"/>
    <s v="Tablet"/>
    <x v="0"/>
    <x v="9"/>
    <n v="55043.61"/>
    <n v="63506.32"/>
    <n v="29934.58"/>
    <n v="4787.21"/>
    <n v="3340.84"/>
    <n v="6381.15"/>
    <n v="2474.3000000000002"/>
    <n v="46918.080000000002"/>
    <n v="25109.040000000001"/>
    <n v="8125.5299999999988"/>
    <n v="0.14761985996194651"/>
    <n v="-8462.7099999999991"/>
    <n v="1100.8699999999999"/>
    <n v="9709.69"/>
    <n v="63652.44"/>
    <x v="16"/>
    <s v="Haryana"/>
    <x v="0"/>
    <x v="12"/>
    <s v="CC-1001"/>
  </r>
  <r>
    <s v="TXN-00589"/>
    <d v="2025-10-31T00:00:00"/>
    <x v="5"/>
    <x v="3"/>
    <x v="0"/>
    <x v="1"/>
    <x v="0"/>
    <s v="Tamil Nadu"/>
    <s v="Madurai"/>
    <s v="Branch B"/>
    <x v="3"/>
    <s v="CC-1003"/>
    <s v="P010"/>
    <s v="Mouse"/>
    <x v="1"/>
    <x v="1"/>
    <n v="3271.27"/>
    <n v="2889.54"/>
    <n v="1815.26"/>
    <n v="166.86"/>
    <n v="102.2"/>
    <n v="208.6"/>
    <n v="38.93"/>
    <n v="2331.85"/>
    <n v="1456.01"/>
    <n v="939.42000000000007"/>
    <n v="0.28717287169814781"/>
    <n v="381.73"/>
    <n v="163.56"/>
    <n v="155.38999999999999"/>
    <n v="3263.09"/>
    <x v="43"/>
    <s v="Tamil Nadu"/>
    <x v="3"/>
    <x v="1"/>
    <s v="CC-1003"/>
  </r>
  <r>
    <s v="TXN-00590"/>
    <d v="2026-02-04T00:00:00"/>
    <x v="2"/>
    <x v="1"/>
    <x v="0"/>
    <x v="0"/>
    <x v="0"/>
    <s v="Maharashtra"/>
    <s v="Mumbai"/>
    <s v="Branch B"/>
    <x v="1"/>
    <s v="CC-1005"/>
    <s v="P013"/>
    <s v="CRM Software"/>
    <x v="2"/>
    <x v="4"/>
    <n v="17044.5"/>
    <n v="17697.080000000002"/>
    <n v="10298.120000000001"/>
    <n v="2112.64"/>
    <n v="1034.44"/>
    <n v="1476.73"/>
    <n v="410.05"/>
    <n v="15331.99"/>
    <n v="6746.37"/>
    <n v="1712.5100000000002"/>
    <n v="0.10047287981460297"/>
    <n v="-652.59"/>
    <n v="1704.45"/>
    <n v="2761.21"/>
    <n v="18101.25"/>
    <x v="6"/>
    <s v="Maharashtra"/>
    <x v="1"/>
    <x v="15"/>
    <s v="CC-1005"/>
  </r>
  <r>
    <s v="TXN-00591"/>
    <d v="2025-05-29T00:00:00"/>
    <x v="3"/>
    <x v="2"/>
    <x v="0"/>
    <x v="0"/>
    <x v="0"/>
    <s v="Rajasthan"/>
    <s v="Jodhpur"/>
    <s v="Branch D"/>
    <x v="2"/>
    <s v="CC-1002"/>
    <s v="P007"/>
    <s v="Tablet"/>
    <x v="0"/>
    <x v="9"/>
    <n v="39742.769999999997"/>
    <n v="46890.46"/>
    <n v="21585.759999999998"/>
    <n v="3818.74"/>
    <n v="2792.66"/>
    <n v="2113.13"/>
    <n v="604.23"/>
    <n v="30914.52"/>
    <n v="18157.009999999998"/>
    <n v="8828.2499999999964"/>
    <n v="0.22213474299853778"/>
    <n v="-7147.69"/>
    <n v="1192.28"/>
    <n v="4626.0600000000004"/>
    <n v="43176.54"/>
    <x v="11"/>
    <s v="Rajasthan"/>
    <x v="2"/>
    <x v="12"/>
    <s v="CC-1002"/>
  </r>
  <r>
    <s v="TXN-00592"/>
    <d v="2025-10-08T00:00:00"/>
    <x v="5"/>
    <x v="3"/>
    <x v="0"/>
    <x v="1"/>
    <x v="0"/>
    <s v="Telangana"/>
    <s v="Warangal"/>
    <s v="Branch D"/>
    <x v="1"/>
    <s v="CC-1004"/>
    <s v="P009"/>
    <s v="Keyboard"/>
    <x v="1"/>
    <x v="1"/>
    <n v="4643.12"/>
    <n v="4296.16"/>
    <n v="3112.02"/>
    <n v="561.84"/>
    <n v="201.49"/>
    <n v="348.41"/>
    <n v="104.12"/>
    <n v="4327.88"/>
    <n v="1531.1"/>
    <n v="315.23999999999978"/>
    <n v="6.789400230879232E-2"/>
    <n v="346.96"/>
    <n v="0"/>
    <n v="835.76"/>
    <n v="5478.88"/>
    <x v="46"/>
    <s v="Telangana"/>
    <x v="1"/>
    <x v="2"/>
    <s v="CC-1004"/>
  </r>
  <r>
    <s v="TXN-00593"/>
    <d v="2025-05-01T00:00:00"/>
    <x v="3"/>
    <x v="2"/>
    <x v="0"/>
    <x v="4"/>
    <x v="0"/>
    <s v="Madhya Pradesh"/>
    <s v="Bhopal"/>
    <s v="Branch C"/>
    <x v="1"/>
    <s v="CC-1002"/>
    <s v="P004"/>
    <s v="Office Chair"/>
    <x v="3"/>
    <x v="5"/>
    <n v="25204.94"/>
    <n v="28329.21"/>
    <n v="17873.150000000001"/>
    <n v="3127"/>
    <n v="2119.79"/>
    <n v="2040.93"/>
    <n v="569.76"/>
    <n v="25730.639999999999"/>
    <n v="7331.79"/>
    <n v="-525.70000000000073"/>
    <n v="-2.0857022472578819E-2"/>
    <n v="-3124.27"/>
    <n v="756.15"/>
    <n v="4400.78"/>
    <n v="28849.58"/>
    <x v="23"/>
    <s v="Madhya Pradesh"/>
    <x v="1"/>
    <x v="17"/>
    <s v="CC-1002"/>
  </r>
  <r>
    <s v="TXN-00594"/>
    <d v="2025-11-16T00:00:00"/>
    <x v="10"/>
    <x v="3"/>
    <x v="0"/>
    <x v="0"/>
    <x v="0"/>
    <s v="Maharashtra"/>
    <s v="Nagpur"/>
    <s v="Branch C"/>
    <x v="1"/>
    <s v="CC-1002"/>
    <s v="P013"/>
    <s v="CRM Software"/>
    <x v="2"/>
    <x v="4"/>
    <n v="24022.03"/>
    <n v="22293.86"/>
    <n v="11575.45"/>
    <n v="2648.15"/>
    <n v="766.64"/>
    <n v="1119.1400000000001"/>
    <n v="242.49"/>
    <n v="16351.87"/>
    <n v="12446.58"/>
    <n v="7670.159999999998"/>
    <n v="0.31929691204282062"/>
    <n v="1728.17"/>
    <n v="720.66"/>
    <n v="2796.16"/>
    <n v="26097.54"/>
    <x v="15"/>
    <s v="Maharashtra"/>
    <x v="1"/>
    <x v="15"/>
    <s v="CC-1002"/>
  </r>
  <r>
    <s v="TXN-00595"/>
    <d v="2026-03-22T00:00:00"/>
    <x v="8"/>
    <x v="1"/>
    <x v="0"/>
    <x v="3"/>
    <x v="0"/>
    <s v="Jharkhand"/>
    <s v="Dhanbad"/>
    <s v="Branch A"/>
    <x v="1"/>
    <s v="CC-1004"/>
    <s v="P005"/>
    <s v="Office Desk"/>
    <x v="3"/>
    <x v="5"/>
    <n v="18257.919999999998"/>
    <n v="16472.89"/>
    <n v="10800.18"/>
    <n v="1812.08"/>
    <n v="569.25"/>
    <n v="2118.6999999999998"/>
    <n v="809.09"/>
    <n v="16109.29"/>
    <n v="7457.74"/>
    <n v="2148.6299999999974"/>
    <n v="0.11768207988642723"/>
    <n v="1785.03"/>
    <n v="912.9"/>
    <n v="3122.1"/>
    <n v="20467.12"/>
    <x v="34"/>
    <s v="Jharkhand"/>
    <x v="1"/>
    <x v="8"/>
    <s v="CC-1004"/>
  </r>
  <r>
    <s v="TXN-00596"/>
    <d v="2025-04-07T00:00:00"/>
    <x v="9"/>
    <x v="2"/>
    <x v="0"/>
    <x v="2"/>
    <x v="0"/>
    <s v="Delhi"/>
    <s v="Gurugram"/>
    <s v="Branch C"/>
    <x v="1"/>
    <s v="CC-1003"/>
    <s v="P013"/>
    <s v="CRM Software"/>
    <x v="2"/>
    <x v="4"/>
    <n v="7709.37"/>
    <n v="8686.57"/>
    <n v="4105.22"/>
    <n v="535.32000000000005"/>
    <n v="514.6"/>
    <n v="478.65"/>
    <n v="135.77000000000001"/>
    <n v="5769.56"/>
    <n v="3604.15"/>
    <n v="1939.8099999999995"/>
    <n v="0.2516171879154846"/>
    <n v="-977.2"/>
    <n v="154.19"/>
    <n v="906.62"/>
    <n v="8461.7999999999993"/>
    <x v="27"/>
    <s v="Delhi"/>
    <x v="1"/>
    <x v="15"/>
    <s v="CC-1003"/>
  </r>
  <r>
    <s v="TXN-00597"/>
    <d v="2025-05-17T00:00:00"/>
    <x v="3"/>
    <x v="2"/>
    <x v="0"/>
    <x v="4"/>
    <x v="0"/>
    <s v="Uttar Pradesh"/>
    <s v="Kanpur"/>
    <s v="Branch A"/>
    <x v="1"/>
    <s v="CC-1005"/>
    <s v="P012"/>
    <s v="Accounting Software"/>
    <x v="2"/>
    <x v="4"/>
    <n v="23482.57"/>
    <n v="23183.05"/>
    <n v="15382.55"/>
    <n v="2985"/>
    <n v="824.68"/>
    <n v="1366.46"/>
    <n v="420.32"/>
    <n v="20979.01"/>
    <n v="8100.02"/>
    <n v="2503.5600000000013"/>
    <n v="0.10661354357721499"/>
    <n v="299.52"/>
    <n v="0"/>
    <n v="4226.8599999999997"/>
    <n v="27709.43"/>
    <x v="25"/>
    <s v="Uttar Pradesh"/>
    <x v="1"/>
    <x v="7"/>
    <s v="CC-1005"/>
  </r>
  <r>
    <s v="TXN-00598"/>
    <d v="2025-06-17T00:00:00"/>
    <x v="11"/>
    <x v="2"/>
    <x v="0"/>
    <x v="0"/>
    <x v="0"/>
    <s v="Goa"/>
    <s v="Vasco da Gama"/>
    <s v="Branch A"/>
    <x v="1"/>
    <s v="CC-1004"/>
    <s v="P012"/>
    <s v="Accounting Software"/>
    <x v="2"/>
    <x v="4"/>
    <n v="6728.74"/>
    <n v="6716.61"/>
    <n v="3902.23"/>
    <n v="579.16"/>
    <n v="529.88"/>
    <n v="321.91000000000003"/>
    <n v="233.07"/>
    <n v="5566.24"/>
    <n v="2826.52"/>
    <n v="1162.5"/>
    <n v="0.17276637230744538"/>
    <n v="12.14"/>
    <n v="201.86"/>
    <n v="783.23"/>
    <n v="7310.11"/>
    <x v="0"/>
    <s v="Goa"/>
    <x v="1"/>
    <x v="7"/>
    <s v="CC-1004"/>
  </r>
  <r>
    <s v="TXN-00599"/>
    <d v="2025-06-05T00:00:00"/>
    <x v="11"/>
    <x v="2"/>
    <x v="0"/>
    <x v="1"/>
    <x v="0"/>
    <s v="Karnataka"/>
    <s v="Mysuru"/>
    <s v="Branch D"/>
    <x v="0"/>
    <s v="CC-1005"/>
    <s v="P018"/>
    <s v="Projector"/>
    <x v="0"/>
    <x v="6"/>
    <n v="56960.54"/>
    <n v="51360.27"/>
    <n v="36783.31"/>
    <n v="5281.51"/>
    <n v="2827.83"/>
    <n v="3829"/>
    <n v="1807.31"/>
    <n v="50528.959999999999"/>
    <n v="20177.23"/>
    <n v="6431.5800000000017"/>
    <n v="0.11291290426670818"/>
    <n v="5600.27"/>
    <n v="4556.84"/>
    <n v="6288.44"/>
    <n v="58692.14"/>
    <x v="33"/>
    <s v="Karnataka"/>
    <x v="0"/>
    <x v="9"/>
    <s v="CC-1005"/>
  </r>
  <r>
    <s v="TXN-00600"/>
    <d v="2025-10-04T00:00:00"/>
    <x v="5"/>
    <x v="3"/>
    <x v="0"/>
    <x v="1"/>
    <x v="0"/>
    <s v="Karnataka"/>
    <s v="Mangaluru"/>
    <s v="Branch C"/>
    <x v="1"/>
    <s v="CC-1004"/>
    <s v="P016"/>
    <s v="Network Switch"/>
    <x v="4"/>
    <x v="10"/>
    <n v="19867.54"/>
    <n v="18423.39"/>
    <n v="10739.29"/>
    <n v="1242.3499999999999"/>
    <n v="1727.27"/>
    <n v="1439.05"/>
    <n v="433.17"/>
    <n v="15581.13"/>
    <n v="9128.25"/>
    <n v="4286.4100000000017"/>
    <n v="0.21574940833137879"/>
    <n v="1444.15"/>
    <n v="0"/>
    <n v="993.38"/>
    <n v="20860.919999999998"/>
    <x v="31"/>
    <s v="Karnataka"/>
    <x v="1"/>
    <x v="13"/>
    <s v="CC-1004"/>
  </r>
  <r>
    <s v="TXN-00601"/>
    <d v="2026-02-08T00:00:00"/>
    <x v="2"/>
    <x v="1"/>
    <x v="0"/>
    <x v="0"/>
    <x v="0"/>
    <s v="Rajasthan"/>
    <s v="Udaipur"/>
    <s v="Branch B"/>
    <x v="3"/>
    <s v="CC-1005"/>
    <s v="P010"/>
    <s v="Mouse"/>
    <x v="1"/>
    <x v="1"/>
    <n v="4139.42"/>
    <n v="4545.33"/>
    <n v="2690.16"/>
    <n v="257.74"/>
    <n v="349.61"/>
    <n v="186.9"/>
    <n v="49.37"/>
    <n v="3533.78"/>
    <n v="1449.27"/>
    <n v="605.63999999999987"/>
    <n v="0.14631035265810183"/>
    <n v="-405.91"/>
    <n v="82.79"/>
    <n v="730.19"/>
    <n v="4786.83"/>
    <x v="17"/>
    <s v="Rajasthan"/>
    <x v="3"/>
    <x v="1"/>
    <s v="CC-1005"/>
  </r>
  <r>
    <s v="TXN-00602"/>
    <d v="2025-10-13T00:00:00"/>
    <x v="5"/>
    <x v="3"/>
    <x v="0"/>
    <x v="0"/>
    <x v="0"/>
    <s v="Maharashtra"/>
    <s v="Pune"/>
    <s v="Branch B"/>
    <x v="3"/>
    <s v="CC-1001"/>
    <s v="P005"/>
    <s v="Office Desk"/>
    <x v="3"/>
    <x v="5"/>
    <n v="20014.68"/>
    <n v="19077.05"/>
    <n v="10339.94"/>
    <n v="2376.4499999999998"/>
    <n v="1108.6199999999999"/>
    <n v="1447.81"/>
    <n v="515.02"/>
    <n v="15787.84"/>
    <n v="9674.74"/>
    <n v="4226.84"/>
    <n v="0.21118698875025732"/>
    <n v="937.63"/>
    <n v="2001.47"/>
    <n v="3242.38"/>
    <n v="21255.59"/>
    <x v="12"/>
    <s v="Maharashtra"/>
    <x v="3"/>
    <x v="8"/>
    <s v="CC-1001"/>
  </r>
  <r>
    <s v="TXN-00603"/>
    <d v="2026-03-23T00:00:00"/>
    <x v="8"/>
    <x v="1"/>
    <x v="0"/>
    <x v="0"/>
    <x v="0"/>
    <s v="Gujarat"/>
    <s v="Surat"/>
    <s v="Branch A"/>
    <x v="4"/>
    <s v="CC-1004"/>
    <s v="P015"/>
    <s v="Network Router"/>
    <x v="4"/>
    <x v="10"/>
    <n v="26255.82"/>
    <n v="26153.95"/>
    <n v="16148.22"/>
    <n v="2999.39"/>
    <n v="1385.35"/>
    <n v="1540.78"/>
    <n v="1176.48"/>
    <n v="23250.22"/>
    <n v="10107.6"/>
    <n v="3005.5999999999985"/>
    <n v="0.11447366717169749"/>
    <n v="101.87"/>
    <n v="2625.58"/>
    <n v="4253.4399999999996"/>
    <n v="27883.68"/>
    <x v="26"/>
    <s v="Gujarat"/>
    <x v="4"/>
    <x v="14"/>
    <s v="CC-1004"/>
  </r>
  <r>
    <s v="TXN-00604"/>
    <d v="2026-02-16T00:00:00"/>
    <x v="2"/>
    <x v="1"/>
    <x v="0"/>
    <x v="2"/>
    <x v="0"/>
    <s v="Haryana"/>
    <s v="Gurugram"/>
    <s v="Branch C"/>
    <x v="1"/>
    <s v="CC-1005"/>
    <s v="P003"/>
    <s v="Printer"/>
    <x v="0"/>
    <x v="3"/>
    <n v="67995.75"/>
    <n v="76217.59"/>
    <n v="45557.62"/>
    <n v="4450.5"/>
    <n v="4651.9399999999996"/>
    <n v="3228.26"/>
    <n v="1888.57"/>
    <n v="59776.88"/>
    <n v="22438.13"/>
    <n v="8218.8700000000026"/>
    <n v="0.12087328987473486"/>
    <n v="-8221.83"/>
    <n v="0"/>
    <n v="8159.49"/>
    <n v="76155.240000000005"/>
    <x v="27"/>
    <s v="Haryana"/>
    <x v="1"/>
    <x v="5"/>
    <s v="CC-1005"/>
  </r>
  <r>
    <s v="TXN-00605"/>
    <d v="2025-05-05T00:00:00"/>
    <x v="3"/>
    <x v="2"/>
    <x v="0"/>
    <x v="3"/>
    <x v="0"/>
    <s v="Bihar"/>
    <s v="Patna"/>
    <s v="Branch A"/>
    <x v="0"/>
    <s v="CC-1001"/>
    <s v="P008"/>
    <s v="Headset"/>
    <x v="1"/>
    <x v="8"/>
    <n v="8965.4699999999993"/>
    <n v="9769.9599999999991"/>
    <n v="6286.85"/>
    <n v="716.07"/>
    <n v="749.85"/>
    <n v="1016.65"/>
    <n v="381.69"/>
    <n v="9151.1200000000008"/>
    <n v="2678.62"/>
    <n v="-185.65000000000146"/>
    <n v="-2.0707224495760006E-2"/>
    <n v="-804.49"/>
    <n v="179.31"/>
    <n v="1054.3399999999999"/>
    <n v="9840.5"/>
    <x v="45"/>
    <s v="Bihar"/>
    <x v="0"/>
    <x v="11"/>
    <s v="CC-1001"/>
  </r>
  <r>
    <s v="TXN-00606"/>
    <d v="2025-05-06T00:00:00"/>
    <x v="3"/>
    <x v="2"/>
    <x v="0"/>
    <x v="1"/>
    <x v="0"/>
    <s v="Karnataka"/>
    <s v="Mysuru"/>
    <s v="Branch A"/>
    <x v="2"/>
    <s v="CC-1005"/>
    <s v="P012"/>
    <s v="Accounting Software"/>
    <x v="2"/>
    <x v="4"/>
    <n v="11788.79"/>
    <n v="13142.1"/>
    <n v="6946.86"/>
    <n v="1247.8"/>
    <n v="592"/>
    <n v="622.37"/>
    <n v="282.17"/>
    <n v="9691.19"/>
    <n v="4841.9399999999996"/>
    <n v="2097.6000000000004"/>
    <n v="0.17793174702407968"/>
    <n v="-1353.3"/>
    <n v="589.44000000000005"/>
    <n v="2015.88"/>
    <n v="13215.24"/>
    <x v="33"/>
    <s v="Karnataka"/>
    <x v="2"/>
    <x v="7"/>
    <s v="CC-1005"/>
  </r>
  <r>
    <s v="TXN-00607"/>
    <d v="2026-01-08T00:00:00"/>
    <x v="4"/>
    <x v="1"/>
    <x v="0"/>
    <x v="3"/>
    <x v="0"/>
    <s v="Odisha"/>
    <s v="Rourkela"/>
    <s v="Branch C"/>
    <x v="2"/>
    <s v="CC-1004"/>
    <s v="P014"/>
    <s v="Data Storage"/>
    <x v="2"/>
    <x v="12"/>
    <n v="25821.95"/>
    <n v="26213.79"/>
    <n v="14164.01"/>
    <n v="1906.78"/>
    <n v="1288.56"/>
    <n v="2758.96"/>
    <n v="1132.3599999999999"/>
    <n v="21250.67"/>
    <n v="11657.94"/>
    <n v="4571.2800000000025"/>
    <n v="0.17703078195101463"/>
    <n v="-391.84"/>
    <n v="774.66"/>
    <n v="3005.67"/>
    <n v="28052.959999999999"/>
    <x v="41"/>
    <s v="Odisha"/>
    <x v="2"/>
    <x v="19"/>
    <s v="CC-1004"/>
  </r>
  <r>
    <s v="TXN-00608"/>
    <d v="2026-01-31T00:00:00"/>
    <x v="4"/>
    <x v="1"/>
    <x v="0"/>
    <x v="0"/>
    <x v="0"/>
    <s v="Gujarat"/>
    <s v="Vadodara"/>
    <s v="Branch C"/>
    <x v="1"/>
    <s v="CC-1004"/>
    <s v="P019"/>
    <s v="Conference Camera"/>
    <x v="0"/>
    <x v="0"/>
    <n v="53127.35"/>
    <n v="59195.55"/>
    <n v="28242.560000000001"/>
    <n v="5697.95"/>
    <n v="4090.99"/>
    <n v="3596.12"/>
    <n v="852.23"/>
    <n v="42479.86"/>
    <n v="24884.79"/>
    <n v="10647.489999999998"/>
    <n v="0.20041447578318886"/>
    <n v="-6068.2"/>
    <n v="0"/>
    <n v="6375.28"/>
    <n v="59502.64"/>
    <x v="19"/>
    <s v="Gujarat"/>
    <x v="1"/>
    <x v="0"/>
    <s v="CC-1004"/>
  </r>
  <r>
    <s v="TXN-00609"/>
    <d v="2025-04-10T00:00:00"/>
    <x v="9"/>
    <x v="2"/>
    <x v="0"/>
    <x v="3"/>
    <x v="0"/>
    <s v="Odisha"/>
    <s v="Cuttack"/>
    <s v="Branch B"/>
    <x v="2"/>
    <s v="CC-1002"/>
    <s v="P013"/>
    <s v="CRM Software"/>
    <x v="2"/>
    <x v="4"/>
    <n v="12180.15"/>
    <n v="13400.22"/>
    <n v="6061.57"/>
    <n v="1222.02"/>
    <n v="932.34"/>
    <n v="616.46"/>
    <n v="342.9"/>
    <n v="9175.2900000000009"/>
    <n v="6118.58"/>
    <n v="3004.8599999999988"/>
    <n v="0.24670139530301341"/>
    <n v="-1220.07"/>
    <n v="609.01"/>
    <n v="1388.54"/>
    <n v="12959.68"/>
    <x v="28"/>
    <s v="Odisha"/>
    <x v="2"/>
    <x v="15"/>
    <s v="CC-1002"/>
  </r>
  <r>
    <s v="TXN-00610"/>
    <d v="2025-10-14T00:00:00"/>
    <x v="5"/>
    <x v="3"/>
    <x v="0"/>
    <x v="4"/>
    <x v="0"/>
    <s v="Madhya Pradesh"/>
    <s v="Indore"/>
    <s v="Branch B"/>
    <x v="1"/>
    <s v="CC-1004"/>
    <s v="P012"/>
    <s v="Accounting Software"/>
    <x v="2"/>
    <x v="4"/>
    <n v="14021.36"/>
    <n v="13657.82"/>
    <n v="9552.6"/>
    <n v="1181.79"/>
    <n v="1012.74"/>
    <n v="1132.99"/>
    <n v="445.44"/>
    <n v="13325.56"/>
    <n v="4468.76"/>
    <n v="695.80000000000109"/>
    <n v="4.9624287515619106E-2"/>
    <n v="363.54"/>
    <n v="420.64"/>
    <n v="2448.13"/>
    <n v="16048.85"/>
    <x v="5"/>
    <s v="Madhya Pradesh"/>
    <x v="1"/>
    <x v="7"/>
    <s v="CC-1004"/>
  </r>
  <r>
    <s v="TXN-00611"/>
    <d v="2025-05-08T00:00:00"/>
    <x v="3"/>
    <x v="2"/>
    <x v="0"/>
    <x v="2"/>
    <x v="0"/>
    <s v="Uttar Pradesh"/>
    <s v="Agra"/>
    <s v="Branch A"/>
    <x v="2"/>
    <s v="CC-1002"/>
    <s v="P014"/>
    <s v="Data Storage"/>
    <x v="2"/>
    <x v="12"/>
    <n v="9302.89"/>
    <n v="10789.8"/>
    <n v="5236.07"/>
    <n v="544.39"/>
    <n v="529.99"/>
    <n v="944.03"/>
    <n v="165.2"/>
    <n v="7419.68"/>
    <n v="4066.82"/>
    <n v="1883.2099999999991"/>
    <n v="0.20243279239032164"/>
    <n v="-1486.92"/>
    <n v="186.06"/>
    <n v="455.84"/>
    <n v="9572.67"/>
    <x v="7"/>
    <s v="Uttar Pradesh"/>
    <x v="2"/>
    <x v="19"/>
    <s v="CC-1002"/>
  </r>
  <r>
    <s v="TXN-00612"/>
    <d v="2025-12-13T00:00:00"/>
    <x v="6"/>
    <x v="3"/>
    <x v="0"/>
    <x v="2"/>
    <x v="0"/>
    <s v="Delhi"/>
    <s v="New Delhi"/>
    <s v="Branch A"/>
    <x v="4"/>
    <s v="CC-1001"/>
    <s v="P012"/>
    <s v="Accounting Software"/>
    <x v="2"/>
    <x v="4"/>
    <n v="23921.45"/>
    <n v="23601.42"/>
    <n v="16192.89"/>
    <n v="1281.6300000000001"/>
    <n v="1772.65"/>
    <n v="1467.96"/>
    <n v="638.45000000000005"/>
    <n v="21353.58"/>
    <n v="7728.56"/>
    <n v="2567.869999999999"/>
    <n v="0.10734591757606662"/>
    <n v="320.02999999999997"/>
    <n v="1913.72"/>
    <n v="2640.93"/>
    <n v="24648.67"/>
    <x v="48"/>
    <s v="Delhi"/>
    <x v="4"/>
    <x v="7"/>
    <s v="CC-1001"/>
  </r>
  <r>
    <s v="TXN-00613"/>
    <d v="2025-07-26T00:00:00"/>
    <x v="0"/>
    <x v="0"/>
    <x v="0"/>
    <x v="3"/>
    <x v="0"/>
    <s v="Bihar"/>
    <s v="Muzaffarpur"/>
    <s v="Branch C"/>
    <x v="0"/>
    <s v="CC-1004"/>
    <s v="P004"/>
    <s v="Office Chair"/>
    <x v="3"/>
    <x v="5"/>
    <n v="15805.61"/>
    <n v="17207.439999999999"/>
    <n v="11144.42"/>
    <n v="1476.07"/>
    <n v="1184.57"/>
    <n v="745.02"/>
    <n v="274.87"/>
    <n v="14824.94"/>
    <n v="4661.1899999999996"/>
    <n v="980.67000000000007"/>
    <n v="6.2045691371607932E-2"/>
    <n v="-1401.83"/>
    <n v="474.17"/>
    <n v="766.57"/>
    <n v="16098.01"/>
    <x v="36"/>
    <s v="Bihar"/>
    <x v="0"/>
    <x v="17"/>
    <s v="CC-1004"/>
  </r>
  <r>
    <s v="TXN-00614"/>
    <d v="2025-08-15T00:00:00"/>
    <x v="7"/>
    <x v="0"/>
    <x v="0"/>
    <x v="0"/>
    <x v="0"/>
    <s v="Rajasthan"/>
    <s v="Jodhpur"/>
    <s v="Branch D"/>
    <x v="1"/>
    <s v="CC-1004"/>
    <s v="P006"/>
    <s v="Smartphone"/>
    <x v="0"/>
    <x v="9"/>
    <n v="77106.16"/>
    <n v="75427.73"/>
    <n v="39524.6"/>
    <n v="5316.78"/>
    <n v="5817.75"/>
    <n v="9076.84"/>
    <n v="2029.73"/>
    <n v="61765.7"/>
    <n v="37581.56"/>
    <n v="15340.460000000006"/>
    <n v="0.1989524572355828"/>
    <n v="1678.43"/>
    <n v="1542.12"/>
    <n v="9067.68"/>
    <n v="84631.72"/>
    <x v="11"/>
    <s v="Rajasthan"/>
    <x v="1"/>
    <x v="16"/>
    <s v="CC-1004"/>
  </r>
  <r>
    <s v="TXN-00615"/>
    <d v="2025-08-13T00:00:00"/>
    <x v="7"/>
    <x v="0"/>
    <x v="0"/>
    <x v="0"/>
    <x v="0"/>
    <s v="Rajasthan"/>
    <s v="Jodhpur"/>
    <s v="Branch C"/>
    <x v="1"/>
    <s v="CC-1002"/>
    <s v="P008"/>
    <s v="Headset"/>
    <x v="1"/>
    <x v="8"/>
    <n v="1712.22"/>
    <n v="1957.65"/>
    <n v="1136.18"/>
    <n v="88.65"/>
    <n v="98.64"/>
    <n v="106.11"/>
    <n v="55.99"/>
    <n v="1485.58"/>
    <n v="576.04"/>
    <n v="226.6400000000001"/>
    <n v="0.132366167898985"/>
    <n v="-245.43"/>
    <n v="85.61"/>
    <n v="292.79000000000002"/>
    <n v="1919.4"/>
    <x v="11"/>
    <s v="Rajasthan"/>
    <x v="1"/>
    <x v="11"/>
    <s v="CC-1002"/>
  </r>
  <r>
    <s v="TXN-00616"/>
    <d v="2025-12-02T00:00:00"/>
    <x v="6"/>
    <x v="3"/>
    <x v="0"/>
    <x v="2"/>
    <x v="0"/>
    <s v="Haryana"/>
    <s v="Gurugram"/>
    <s v="Branch D"/>
    <x v="4"/>
    <s v="CC-1002"/>
    <s v="P012"/>
    <s v="Accounting Software"/>
    <x v="2"/>
    <x v="4"/>
    <n v="13710.16"/>
    <n v="12114.81"/>
    <n v="7400.77"/>
    <n v="1473.91"/>
    <n v="880.69"/>
    <n v="1553.55"/>
    <n v="161.11000000000001"/>
    <n v="11470.02"/>
    <n v="6309.39"/>
    <n v="2240.1399999999994"/>
    <n v="0.16339269563593711"/>
    <n v="1595.35"/>
    <n v="0"/>
    <n v="2467.83"/>
    <n v="16177.99"/>
    <x v="27"/>
    <s v="Haryana"/>
    <x v="4"/>
    <x v="7"/>
    <s v="CC-1002"/>
  </r>
  <r>
    <s v="TXN-00617"/>
    <d v="2025-06-25T00:00:00"/>
    <x v="11"/>
    <x v="2"/>
    <x v="0"/>
    <x v="2"/>
    <x v="0"/>
    <s v="Uttar Pradesh"/>
    <s v="Agra"/>
    <s v="Branch C"/>
    <x v="4"/>
    <s v="CC-1004"/>
    <s v="P010"/>
    <s v="Mouse"/>
    <x v="1"/>
    <x v="1"/>
    <n v="5521.59"/>
    <n v="5532.87"/>
    <n v="3774.08"/>
    <n v="438.48"/>
    <n v="350.19"/>
    <n v="443.39"/>
    <n v="180.05"/>
    <n v="5186.2"/>
    <n v="1747.51"/>
    <n v="335.39000000000033"/>
    <n v="6.0741561760290122E-2"/>
    <n v="-11.28"/>
    <n v="552.16"/>
    <n v="248.47"/>
    <n v="5217.91"/>
    <x v="7"/>
    <s v="Uttar Pradesh"/>
    <x v="4"/>
    <x v="1"/>
    <s v="CC-1004"/>
  </r>
  <r>
    <s v="TXN-00618"/>
    <d v="2025-06-10T00:00:00"/>
    <x v="11"/>
    <x v="2"/>
    <x v="0"/>
    <x v="0"/>
    <x v="0"/>
    <s v="Goa"/>
    <s v="Margao"/>
    <s v="Branch A"/>
    <x v="1"/>
    <s v="CC-1005"/>
    <s v="P006"/>
    <s v="Smartphone"/>
    <x v="0"/>
    <x v="9"/>
    <n v="35706.83"/>
    <n v="37416.21"/>
    <n v="22842.46"/>
    <n v="4579.97"/>
    <n v="2583.21"/>
    <n v="3267.17"/>
    <n v="775.85"/>
    <n v="34048.660000000003"/>
    <n v="12864.38"/>
    <n v="1658.1699999999983"/>
    <n v="4.6438454491759651E-2"/>
    <n v="-1709.37"/>
    <n v="0"/>
    <n v="4284.82"/>
    <n v="39991.65"/>
    <x v="37"/>
    <s v="Goa"/>
    <x v="1"/>
    <x v="16"/>
    <s v="CC-1005"/>
  </r>
  <r>
    <s v="TXN-00619"/>
    <d v="2025-07-16T00:00:00"/>
    <x v="0"/>
    <x v="0"/>
    <x v="0"/>
    <x v="1"/>
    <x v="0"/>
    <s v="Tamil Nadu"/>
    <s v="Chennai"/>
    <s v="Branch C"/>
    <x v="0"/>
    <s v="CC-1002"/>
    <s v="P013"/>
    <s v="CRM Software"/>
    <x v="2"/>
    <x v="4"/>
    <n v="16431.810000000001"/>
    <n v="18297.95"/>
    <n v="10783.49"/>
    <n v="1576.89"/>
    <n v="1289.04"/>
    <n v="1396.93"/>
    <n v="718.95"/>
    <n v="15765.3"/>
    <n v="5648.32"/>
    <n v="666.51000000000204"/>
    <n v="4.0562177873283707E-2"/>
    <n v="-1866.15"/>
    <n v="328.64"/>
    <n v="2898.57"/>
    <n v="19001.740000000002"/>
    <x v="1"/>
    <s v="Tamil Nadu"/>
    <x v="0"/>
    <x v="15"/>
    <s v="CC-1002"/>
  </r>
  <r>
    <s v="TXN-00620"/>
    <d v="2025-08-19T00:00:00"/>
    <x v="7"/>
    <x v="0"/>
    <x v="0"/>
    <x v="4"/>
    <x v="0"/>
    <s v="Uttar Pradesh"/>
    <s v="Agra"/>
    <s v="Branch D"/>
    <x v="1"/>
    <s v="CC-1005"/>
    <s v="P012"/>
    <s v="Accounting Software"/>
    <x v="2"/>
    <x v="4"/>
    <n v="8583.39"/>
    <n v="9404.58"/>
    <n v="5623.03"/>
    <n v="498"/>
    <n v="615.04"/>
    <n v="810.15"/>
    <n v="335.46"/>
    <n v="7881.68"/>
    <n v="2960.36"/>
    <n v="701.70999999999913"/>
    <n v="8.1752081636742496E-2"/>
    <n v="-821.19"/>
    <n v="0"/>
    <n v="429.17"/>
    <n v="9012.56"/>
    <x v="7"/>
    <s v="Uttar Pradesh"/>
    <x v="1"/>
    <x v="7"/>
    <s v="CC-1005"/>
  </r>
  <r>
    <s v="TXN-00621"/>
    <d v="2025-09-22T00:00:00"/>
    <x v="1"/>
    <x v="0"/>
    <x v="0"/>
    <x v="3"/>
    <x v="0"/>
    <s v="Jharkhand"/>
    <s v="Ranchi"/>
    <s v="Branch B"/>
    <x v="4"/>
    <s v="CC-1003"/>
    <s v="P020"/>
    <s v="Document Scanner"/>
    <x v="0"/>
    <x v="3"/>
    <n v="19913.29"/>
    <n v="19484.04"/>
    <n v="13898.79"/>
    <n v="1150.1199999999999"/>
    <n v="1282.75"/>
    <n v="1515.79"/>
    <n v="853.21"/>
    <n v="18700.66"/>
    <n v="6014.5"/>
    <n v="1212.630000000001"/>
    <n v="6.0895512494419601E-2"/>
    <n v="429.25"/>
    <n v="0"/>
    <n v="995.66"/>
    <n v="20908.96"/>
    <x v="9"/>
    <s v="Jharkhand"/>
    <x v="4"/>
    <x v="6"/>
    <s v="CC-1003"/>
  </r>
  <r>
    <s v="TXN-00622"/>
    <d v="2025-04-15T00:00:00"/>
    <x v="9"/>
    <x v="2"/>
    <x v="0"/>
    <x v="3"/>
    <x v="0"/>
    <s v="Jharkhand"/>
    <s v="Ranchi"/>
    <s v="Branch A"/>
    <x v="1"/>
    <s v="CC-1001"/>
    <s v="P003"/>
    <s v="Printer"/>
    <x v="0"/>
    <x v="3"/>
    <n v="51462.63"/>
    <n v="55891.8"/>
    <n v="34291.440000000002"/>
    <n v="3854.92"/>
    <n v="3185.82"/>
    <n v="6099.68"/>
    <n v="2132.36"/>
    <n v="49564.21"/>
    <n v="17171.18"/>
    <n v="1898.4199999999983"/>
    <n v="3.6889292288404193E-2"/>
    <n v="-4429.17"/>
    <n v="5146.26"/>
    <n v="5557.96"/>
    <n v="51874.33"/>
    <x v="9"/>
    <s v="Jharkhand"/>
    <x v="1"/>
    <x v="5"/>
    <s v="CC-1001"/>
  </r>
  <r>
    <s v="TXN-00623"/>
    <d v="2025-11-04T00:00:00"/>
    <x v="10"/>
    <x v="3"/>
    <x v="0"/>
    <x v="3"/>
    <x v="0"/>
    <s v="West Bengal"/>
    <s v="Siliguri"/>
    <s v="Branch D"/>
    <x v="2"/>
    <s v="CC-1001"/>
    <s v="P012"/>
    <s v="Accounting Software"/>
    <x v="2"/>
    <x v="4"/>
    <n v="4725.34"/>
    <n v="5095.82"/>
    <n v="2596.31"/>
    <n v="332.1"/>
    <n v="219.76"/>
    <n v="291"/>
    <n v="131.84"/>
    <n v="3571.02"/>
    <n v="2129.0300000000002"/>
    <n v="1154.3200000000002"/>
    <n v="0.24428295106807132"/>
    <n v="-370.47"/>
    <n v="141.76"/>
    <n v="550.03"/>
    <n v="5133.6099999999997"/>
    <x v="44"/>
    <s v="West Bengal"/>
    <x v="2"/>
    <x v="7"/>
    <s v="CC-1001"/>
  </r>
  <r>
    <s v="TXN-00624"/>
    <d v="2025-09-26T00:00:00"/>
    <x v="1"/>
    <x v="0"/>
    <x v="0"/>
    <x v="1"/>
    <x v="0"/>
    <s v="Kerala"/>
    <s v="Thiruvananthapuram"/>
    <s v="Branch D"/>
    <x v="3"/>
    <s v="CC-1003"/>
    <s v="P010"/>
    <s v="Mouse"/>
    <x v="1"/>
    <x v="1"/>
    <n v="8168.66"/>
    <n v="7761.93"/>
    <n v="5073.8900000000003"/>
    <n v="781.37"/>
    <n v="461.34"/>
    <n v="686.15"/>
    <n v="222.29"/>
    <n v="7225.05"/>
    <n v="3094.77"/>
    <n v="943.60999999999967"/>
    <n v="0.11551588632652109"/>
    <n v="406.73"/>
    <n v="408.43"/>
    <n v="1396.84"/>
    <n v="9157.07"/>
    <x v="8"/>
    <s v="Kerala"/>
    <x v="3"/>
    <x v="1"/>
    <s v="CC-1003"/>
  </r>
  <r>
    <s v="TXN-00625"/>
    <d v="2026-02-11T00:00:00"/>
    <x v="2"/>
    <x v="1"/>
    <x v="0"/>
    <x v="1"/>
    <x v="0"/>
    <s v="Tamil Nadu"/>
    <s v="Madurai"/>
    <s v="Branch B"/>
    <x v="4"/>
    <s v="CC-1002"/>
    <s v="P015"/>
    <s v="Network Router"/>
    <x v="4"/>
    <x v="10"/>
    <n v="8830.8799999999992"/>
    <n v="8264.59"/>
    <n v="5267.47"/>
    <n v="1028.04"/>
    <n v="766.43"/>
    <n v="801.32"/>
    <n v="197.69"/>
    <n v="8060.95"/>
    <n v="3563.41"/>
    <n v="769.92999999999938"/>
    <n v="8.7186101498378354E-2"/>
    <n v="566.29"/>
    <n v="441.54"/>
    <n v="1006.72"/>
    <n v="9396.06"/>
    <x v="43"/>
    <s v="Tamil Nadu"/>
    <x v="4"/>
    <x v="14"/>
    <s v="CC-1002"/>
  </r>
  <r>
    <s v="TXN-00626"/>
    <d v="2025-08-25T00:00:00"/>
    <x v="7"/>
    <x v="0"/>
    <x v="0"/>
    <x v="0"/>
    <x v="0"/>
    <s v="Goa"/>
    <s v="Vasco da Gama"/>
    <s v="Branch B"/>
    <x v="0"/>
    <s v="CC-1001"/>
    <s v="P003"/>
    <s v="Printer"/>
    <x v="0"/>
    <x v="3"/>
    <n v="34368.42"/>
    <n v="38685.83"/>
    <n v="17524.71"/>
    <n v="4076.52"/>
    <n v="2864.2"/>
    <n v="3977.69"/>
    <n v="821.82"/>
    <n v="29264.94"/>
    <n v="16843.71"/>
    <n v="5103.4799999999996"/>
    <n v="0.14849329704420511"/>
    <n v="-4317.41"/>
    <n v="687.37"/>
    <n v="4041.73"/>
    <n v="37722.78"/>
    <x v="0"/>
    <s v="Goa"/>
    <x v="0"/>
    <x v="5"/>
    <s v="CC-1001"/>
  </r>
  <r>
    <s v="TXN-00627"/>
    <d v="2025-05-06T00:00:00"/>
    <x v="3"/>
    <x v="2"/>
    <x v="0"/>
    <x v="2"/>
    <x v="0"/>
    <s v="Uttar Pradesh"/>
    <s v="Kanpur"/>
    <s v="Branch C"/>
    <x v="3"/>
    <s v="CC-1001"/>
    <s v="P006"/>
    <s v="Smartphone"/>
    <x v="0"/>
    <x v="9"/>
    <n v="58289.11"/>
    <n v="64575.360000000001"/>
    <n v="40374.410000000003"/>
    <n v="6314.03"/>
    <n v="4972.51"/>
    <n v="3882.79"/>
    <n v="1609.5"/>
    <n v="57153.23"/>
    <n v="17914.71"/>
    <n v="1135.8799999999974"/>
    <n v="1.9487001945989523E-2"/>
    <n v="-6286.25"/>
    <n v="0"/>
    <n v="2914.46"/>
    <n v="61203.57"/>
    <x v="25"/>
    <s v="Uttar Pradesh"/>
    <x v="3"/>
    <x v="16"/>
    <s v="CC-1001"/>
  </r>
  <r>
    <s v="TXN-00628"/>
    <d v="2025-05-08T00:00:00"/>
    <x v="3"/>
    <x v="2"/>
    <x v="0"/>
    <x v="3"/>
    <x v="0"/>
    <s v="Odisha"/>
    <s v="Cuttack"/>
    <s v="Branch B"/>
    <x v="1"/>
    <s v="CC-1004"/>
    <s v="P008"/>
    <s v="Headset"/>
    <x v="1"/>
    <x v="8"/>
    <n v="997.19"/>
    <n v="1087.6400000000001"/>
    <n v="545.44000000000005"/>
    <n v="96.08"/>
    <n v="38.04"/>
    <n v="61.45"/>
    <n v="27.58"/>
    <n v="768.6"/>
    <n v="451.75"/>
    <n v="228.59000000000003"/>
    <n v="0.2292341479557557"/>
    <n v="-90.45"/>
    <n v="99.72"/>
    <n v="161.55000000000001"/>
    <n v="1059.02"/>
    <x v="28"/>
    <s v="Odisha"/>
    <x v="1"/>
    <x v="11"/>
    <s v="CC-1004"/>
  </r>
  <r>
    <s v="TXN-00629"/>
    <d v="2025-12-12T00:00:00"/>
    <x v="6"/>
    <x v="3"/>
    <x v="0"/>
    <x v="0"/>
    <x v="0"/>
    <s v="Rajasthan"/>
    <s v="Udaipur"/>
    <s v="Branch C"/>
    <x v="1"/>
    <s v="CC-1004"/>
    <s v="P013"/>
    <s v="CRM Software"/>
    <x v="2"/>
    <x v="4"/>
    <n v="9505.1"/>
    <n v="8765.9"/>
    <n v="5075.49"/>
    <n v="899.66"/>
    <n v="709.71"/>
    <n v="851.16"/>
    <n v="172.28"/>
    <n v="7708.3"/>
    <n v="4429.6099999999997"/>
    <n v="1796.8000000000002"/>
    <n v="0.18903535996465057"/>
    <n v="739.2"/>
    <n v="0"/>
    <n v="1710.92"/>
    <n v="11216.02"/>
    <x v="17"/>
    <s v="Rajasthan"/>
    <x v="1"/>
    <x v="15"/>
    <s v="CC-1004"/>
  </r>
  <r>
    <s v="TXN-00630"/>
    <d v="2025-04-04T00:00:00"/>
    <x v="9"/>
    <x v="2"/>
    <x v="0"/>
    <x v="4"/>
    <x v="0"/>
    <s v="Madhya Pradesh"/>
    <s v="Gwalior"/>
    <s v="Branch A"/>
    <x v="3"/>
    <s v="CC-1004"/>
    <s v="P004"/>
    <s v="Office Chair"/>
    <x v="3"/>
    <x v="5"/>
    <n v="18840.419999999998"/>
    <n v="20961.05"/>
    <n v="11425.29"/>
    <n v="1419.39"/>
    <n v="787.16"/>
    <n v="810.51"/>
    <n v="572.97"/>
    <n v="15015.32"/>
    <n v="7415.13"/>
    <n v="3825.0999999999985"/>
    <n v="0.20302625949952277"/>
    <n v="-2120.63"/>
    <n v="376.81"/>
    <n v="923.18"/>
    <n v="19386.79"/>
    <x v="42"/>
    <s v="Madhya Pradesh"/>
    <x v="3"/>
    <x v="17"/>
    <s v="CC-1004"/>
  </r>
  <r>
    <s v="TXN-00631"/>
    <d v="2025-08-19T00:00:00"/>
    <x v="7"/>
    <x v="0"/>
    <x v="0"/>
    <x v="1"/>
    <x v="0"/>
    <s v="Kerala"/>
    <s v="Kochi"/>
    <s v="Branch D"/>
    <x v="0"/>
    <s v="CC-1003"/>
    <s v="P013"/>
    <s v="CRM Software"/>
    <x v="2"/>
    <x v="4"/>
    <n v="26665.53"/>
    <n v="25895.33"/>
    <n v="19090.04"/>
    <n v="1918.08"/>
    <n v="1017.9"/>
    <n v="2009.84"/>
    <n v="319.7"/>
    <n v="24355.55"/>
    <n v="7575.5"/>
    <n v="2309.9799999999996"/>
    <n v="8.662794251604973E-2"/>
    <n v="770.2"/>
    <n v="2666.55"/>
    <n v="2879.88"/>
    <n v="26878.86"/>
    <x v="4"/>
    <s v="Kerala"/>
    <x v="0"/>
    <x v="15"/>
    <s v="CC-1003"/>
  </r>
  <r>
    <s v="TXN-00632"/>
    <d v="2026-02-10T00:00:00"/>
    <x v="2"/>
    <x v="1"/>
    <x v="0"/>
    <x v="0"/>
    <x v="0"/>
    <s v="Goa"/>
    <s v="Vasco da Gama"/>
    <s v="Branch B"/>
    <x v="3"/>
    <s v="CC-1001"/>
    <s v="P018"/>
    <s v="Projector"/>
    <x v="0"/>
    <x v="6"/>
    <n v="17080.830000000002"/>
    <n v="18363.18"/>
    <n v="9479.82"/>
    <n v="1329.61"/>
    <n v="967.5"/>
    <n v="2020.43"/>
    <n v="747.98"/>
    <n v="14545.34"/>
    <n v="7601.02"/>
    <n v="2535.4900000000016"/>
    <n v="0.14844067881947196"/>
    <n v="-1282.3499999999999"/>
    <n v="512.42999999999995"/>
    <n v="1988.21"/>
    <n v="18556.62"/>
    <x v="0"/>
    <s v="Goa"/>
    <x v="3"/>
    <x v="9"/>
    <s v="CC-1001"/>
  </r>
  <r>
    <s v="TXN-00633"/>
    <d v="2025-05-19T00:00:00"/>
    <x v="3"/>
    <x v="2"/>
    <x v="0"/>
    <x v="1"/>
    <x v="0"/>
    <s v="Tamil Nadu"/>
    <s v="Madurai"/>
    <s v="Branch B"/>
    <x v="3"/>
    <s v="CC-1001"/>
    <s v="P020"/>
    <s v="Document Scanner"/>
    <x v="0"/>
    <x v="3"/>
    <n v="25807.4"/>
    <n v="26673.77"/>
    <n v="14367.2"/>
    <n v="1636.44"/>
    <n v="1086.1600000000001"/>
    <n v="1106.0999999999999"/>
    <n v="894.35"/>
    <n v="19090.25"/>
    <n v="11440.21"/>
    <n v="6717.1500000000015"/>
    <n v="0.26027999721010259"/>
    <n v="-866.37"/>
    <n v="774.22"/>
    <n v="1251.6600000000001"/>
    <n v="26284.84"/>
    <x v="43"/>
    <s v="Tamil Nadu"/>
    <x v="3"/>
    <x v="6"/>
    <s v="CC-1001"/>
  </r>
  <r>
    <s v="TXN-00634"/>
    <d v="2026-01-20T00:00:00"/>
    <x v="4"/>
    <x v="1"/>
    <x v="0"/>
    <x v="0"/>
    <x v="0"/>
    <s v="Rajasthan"/>
    <s v="Jodhpur"/>
    <s v="Branch C"/>
    <x v="1"/>
    <s v="CC-1004"/>
    <s v="P002"/>
    <s v="Monitor"/>
    <x v="0"/>
    <x v="2"/>
    <n v="38173.22"/>
    <n v="41821.03"/>
    <n v="18991.650000000001"/>
    <n v="4416.26"/>
    <n v="2177.6799999999998"/>
    <n v="4112.88"/>
    <n v="1184.3599999999999"/>
    <n v="30882.83"/>
    <n v="19181.57"/>
    <n v="7290.3899999999994"/>
    <n v="0.19098179299519399"/>
    <n v="-3647.81"/>
    <n v="1908.66"/>
    <n v="6527.62"/>
    <n v="42792.18"/>
    <x v="11"/>
    <s v="Rajasthan"/>
    <x v="1"/>
    <x v="3"/>
    <s v="CC-1004"/>
  </r>
  <r>
    <s v="TXN-00635"/>
    <d v="2025-10-01T00:00:00"/>
    <x v="5"/>
    <x v="3"/>
    <x v="0"/>
    <x v="0"/>
    <x v="0"/>
    <s v="Rajasthan"/>
    <s v="Jaipur"/>
    <s v="Branch D"/>
    <x v="3"/>
    <s v="CC-1001"/>
    <s v="P020"/>
    <s v="Document Scanner"/>
    <x v="0"/>
    <x v="3"/>
    <n v="39374.339999999997"/>
    <n v="38280.9"/>
    <n v="21621.03"/>
    <n v="4851.0200000000004"/>
    <n v="3205.3"/>
    <n v="2740.92"/>
    <n v="491.8"/>
    <n v="32910.080000000002"/>
    <n v="17753.3"/>
    <n v="6464.2599999999948"/>
    <n v="0.16417443441591645"/>
    <n v="1093.43"/>
    <n v="3149.95"/>
    <n v="6520.39"/>
    <n v="42744.78"/>
    <x v="21"/>
    <s v="Rajasthan"/>
    <x v="3"/>
    <x v="6"/>
    <s v="CC-1001"/>
  </r>
  <r>
    <s v="TXN-00636"/>
    <d v="2025-07-29T00:00:00"/>
    <x v="0"/>
    <x v="0"/>
    <x v="0"/>
    <x v="4"/>
    <x v="0"/>
    <s v="Madhya Pradesh"/>
    <s v="Indore"/>
    <s v="Branch C"/>
    <x v="1"/>
    <s v="CC-1004"/>
    <s v="P008"/>
    <s v="Headset"/>
    <x v="1"/>
    <x v="8"/>
    <n v="4887"/>
    <n v="4837.51"/>
    <n v="2855.01"/>
    <n v="295.61"/>
    <n v="266.82"/>
    <n v="512.34"/>
    <n v="190.51"/>
    <n v="4120.3"/>
    <n v="2031.99"/>
    <n v="766.69999999999982"/>
    <n v="0.15688561489666458"/>
    <n v="49.49"/>
    <n v="146.61000000000001"/>
    <n v="568.85"/>
    <n v="5309.24"/>
    <x v="5"/>
    <s v="Madhya Pradesh"/>
    <x v="1"/>
    <x v="11"/>
    <s v="CC-1004"/>
  </r>
  <r>
    <s v="TXN-00637"/>
    <d v="2025-12-04T00:00:00"/>
    <x v="6"/>
    <x v="3"/>
    <x v="0"/>
    <x v="2"/>
    <x v="0"/>
    <s v="Uttar Pradesh"/>
    <s v="Agra"/>
    <s v="Branch A"/>
    <x v="3"/>
    <s v="CC-1001"/>
    <s v="P002"/>
    <s v="Monitor"/>
    <x v="0"/>
    <x v="2"/>
    <n v="16839.88"/>
    <n v="17221.91"/>
    <n v="9798.3700000000008"/>
    <n v="2001.08"/>
    <n v="1014.42"/>
    <n v="1602.67"/>
    <n v="445.02"/>
    <n v="14861.55"/>
    <n v="7041.51"/>
    <n v="1978.3300000000017"/>
    <n v="0.11747886564512346"/>
    <n v="-382.03"/>
    <n v="505.2"/>
    <n v="1960.16"/>
    <n v="18294.849999999999"/>
    <x v="7"/>
    <s v="Uttar Pradesh"/>
    <x v="3"/>
    <x v="3"/>
    <s v="CC-1001"/>
  </r>
  <r>
    <s v="TXN-00638"/>
    <d v="2025-05-09T00:00:00"/>
    <x v="3"/>
    <x v="2"/>
    <x v="0"/>
    <x v="3"/>
    <x v="0"/>
    <s v="West Bengal"/>
    <s v="Siliguri"/>
    <s v="Branch B"/>
    <x v="0"/>
    <s v="CC-1004"/>
    <s v="P003"/>
    <s v="Printer"/>
    <x v="0"/>
    <x v="3"/>
    <n v="73823.899999999994"/>
    <n v="68742.460000000006"/>
    <n v="37849.22"/>
    <n v="7414.29"/>
    <n v="3291.05"/>
    <n v="3062.63"/>
    <n v="3034.35"/>
    <n v="54651.53"/>
    <n v="35974.67"/>
    <n v="19172.369999999995"/>
    <n v="0.25970410666464377"/>
    <n v="5081.4399999999996"/>
    <n v="1476.48"/>
    <n v="13022.54"/>
    <n v="85369.95"/>
    <x v="44"/>
    <s v="West Bengal"/>
    <x v="0"/>
    <x v="5"/>
    <s v="CC-1004"/>
  </r>
  <r>
    <s v="TXN-00639"/>
    <d v="2025-09-28T00:00:00"/>
    <x v="1"/>
    <x v="0"/>
    <x v="0"/>
    <x v="4"/>
    <x v="0"/>
    <s v="Uttar Pradesh"/>
    <s v="Agra"/>
    <s v="Branch C"/>
    <x v="1"/>
    <s v="CC-1003"/>
    <s v="P011"/>
    <s v="Cloud Software"/>
    <x v="2"/>
    <x v="11"/>
    <n v="8360.41"/>
    <n v="8163.43"/>
    <n v="4333.29"/>
    <n v="555.25"/>
    <n v="637.53"/>
    <n v="446.24"/>
    <n v="91.93"/>
    <n v="6064.25"/>
    <n v="4027.12"/>
    <n v="2296.16"/>
    <n v="0.27464681756038278"/>
    <n v="196.98"/>
    <n v="418.02"/>
    <n v="1429.63"/>
    <n v="9372.02"/>
    <x v="7"/>
    <s v="Uttar Pradesh"/>
    <x v="1"/>
    <x v="18"/>
    <s v="CC-1003"/>
  </r>
  <r>
    <s v="TXN-00640"/>
    <d v="2026-01-28T00:00:00"/>
    <x v="4"/>
    <x v="1"/>
    <x v="0"/>
    <x v="2"/>
    <x v="0"/>
    <s v="Punjab"/>
    <s v="Amritsar"/>
    <s v="Branch A"/>
    <x v="4"/>
    <s v="CC-1005"/>
    <s v="P006"/>
    <s v="Smartphone"/>
    <x v="0"/>
    <x v="9"/>
    <n v="35358.089999999997"/>
    <n v="38597.39"/>
    <n v="19446.2"/>
    <n v="2568.2600000000002"/>
    <n v="1431.6"/>
    <n v="3889.74"/>
    <n v="1427.72"/>
    <n v="28763.51"/>
    <n v="15911.9"/>
    <n v="6594.5799999999981"/>
    <n v="0.18650837757356234"/>
    <n v="-3239.3"/>
    <n v="1767.9"/>
    <n v="4030.82"/>
    <n v="37621.01"/>
    <x v="47"/>
    <s v="Punjab"/>
    <x v="4"/>
    <x v="16"/>
    <s v="CC-1005"/>
  </r>
  <r>
    <s v="TXN-00641"/>
    <d v="2025-12-07T00:00:00"/>
    <x v="6"/>
    <x v="3"/>
    <x v="0"/>
    <x v="0"/>
    <x v="0"/>
    <s v="Maharashtra"/>
    <s v="Mumbai"/>
    <s v="Branch A"/>
    <x v="0"/>
    <s v="CC-1003"/>
    <s v="P003"/>
    <s v="Printer"/>
    <x v="0"/>
    <x v="3"/>
    <n v="61047.72"/>
    <n v="67880.61"/>
    <n v="34177.050000000003"/>
    <n v="7112.87"/>
    <n v="2615.7199999999998"/>
    <n v="5108.96"/>
    <n v="1067.74"/>
    <n v="50082.34"/>
    <n v="26870.67"/>
    <n v="10965.380000000005"/>
    <n v="0.17961981217316558"/>
    <n v="-6832.89"/>
    <n v="1831.43"/>
    <n v="7105.95"/>
    <n v="66322.25"/>
    <x v="6"/>
    <s v="Maharashtra"/>
    <x v="0"/>
    <x v="5"/>
    <s v="CC-1003"/>
  </r>
  <r>
    <s v="TXN-00642"/>
    <d v="2025-12-18T00:00:00"/>
    <x v="6"/>
    <x v="3"/>
    <x v="0"/>
    <x v="3"/>
    <x v="0"/>
    <s v="West Bengal"/>
    <s v="Durgapur"/>
    <s v="Branch A"/>
    <x v="1"/>
    <s v="CC-1001"/>
    <s v="P002"/>
    <s v="Monitor"/>
    <x v="0"/>
    <x v="2"/>
    <n v="45857.71"/>
    <n v="40911.79"/>
    <n v="26445.84"/>
    <n v="5723.84"/>
    <n v="1181.51"/>
    <n v="3991.04"/>
    <n v="1263.33"/>
    <n v="38605.56"/>
    <n v="19411.87"/>
    <n v="7252.1500000000015"/>
    <n v="0.1581446173391563"/>
    <n v="4945.92"/>
    <n v="3668.62"/>
    <n v="2109.4499999999998"/>
    <n v="44298.54"/>
    <x v="39"/>
    <s v="West Bengal"/>
    <x v="1"/>
    <x v="3"/>
    <s v="CC-1001"/>
  </r>
  <r>
    <s v="TXN-00643"/>
    <d v="2026-03-22T00:00:00"/>
    <x v="8"/>
    <x v="1"/>
    <x v="0"/>
    <x v="1"/>
    <x v="0"/>
    <s v="Kerala"/>
    <s v="Kochi"/>
    <s v="Branch A"/>
    <x v="4"/>
    <s v="CC-1004"/>
    <s v="P003"/>
    <s v="Printer"/>
    <x v="0"/>
    <x v="3"/>
    <n v="81887.570000000007"/>
    <n v="73387.62"/>
    <n v="46387.43"/>
    <n v="9421.2900000000009"/>
    <n v="5302.42"/>
    <n v="8379.35"/>
    <n v="2879.67"/>
    <n v="72370.16"/>
    <n v="35500.14"/>
    <n v="9517.4100000000035"/>
    <n v="0.11622533187881876"/>
    <n v="8499.9500000000007"/>
    <n v="2456.63"/>
    <n v="3971.55"/>
    <n v="83402.490000000005"/>
    <x v="4"/>
    <s v="Kerala"/>
    <x v="4"/>
    <x v="5"/>
    <s v="CC-1004"/>
  </r>
  <r>
    <s v="TXN-00644"/>
    <d v="2025-07-25T00:00:00"/>
    <x v="0"/>
    <x v="0"/>
    <x v="0"/>
    <x v="2"/>
    <x v="0"/>
    <s v="Delhi"/>
    <s v="New Delhi"/>
    <s v="Branch B"/>
    <x v="3"/>
    <s v="CC-1002"/>
    <s v="P015"/>
    <s v="Network Router"/>
    <x v="4"/>
    <x v="10"/>
    <n v="23703.21"/>
    <n v="25603.35"/>
    <n v="17017.57"/>
    <n v="2537.61"/>
    <n v="845.3"/>
    <n v="2760.04"/>
    <n v="791.03"/>
    <n v="23951.54"/>
    <n v="6685.64"/>
    <n v="-248.33000000000175"/>
    <n v="-1.0476640083769318E-2"/>
    <n v="-1900.14"/>
    <n v="0"/>
    <n v="4266.58"/>
    <n v="27969.79"/>
    <x v="48"/>
    <s v="Delhi"/>
    <x v="3"/>
    <x v="14"/>
    <s v="CC-1002"/>
  </r>
  <r>
    <s v="TXN-00645"/>
    <d v="2025-12-23T00:00:00"/>
    <x v="6"/>
    <x v="3"/>
    <x v="0"/>
    <x v="1"/>
    <x v="0"/>
    <s v="Kerala"/>
    <s v="Thiruvananthapuram"/>
    <s v="Branch B"/>
    <x v="2"/>
    <s v="CC-1004"/>
    <s v="P017"/>
    <s v="UPS System"/>
    <x v="0"/>
    <x v="7"/>
    <n v="27109.09"/>
    <n v="30733.24"/>
    <n v="18941.02"/>
    <n v="3135.17"/>
    <n v="903.19"/>
    <n v="3248.57"/>
    <n v="516.44000000000005"/>
    <n v="26744.38"/>
    <n v="8168.07"/>
    <n v="364.70999999999913"/>
    <n v="1.3453420974293093E-2"/>
    <n v="-3624.16"/>
    <n v="1355.45"/>
    <n v="4635.6499999999996"/>
    <n v="30389.29"/>
    <x v="8"/>
    <s v="Kerala"/>
    <x v="2"/>
    <x v="10"/>
    <s v="CC-1004"/>
  </r>
  <r>
    <s v="TXN-00646"/>
    <d v="2026-03-17T00:00:00"/>
    <x v="8"/>
    <x v="1"/>
    <x v="0"/>
    <x v="4"/>
    <x v="0"/>
    <s v="Chhattisgarh"/>
    <s v="Bhilai"/>
    <s v="Branch A"/>
    <x v="4"/>
    <s v="CC-1001"/>
    <s v="P008"/>
    <s v="Headset"/>
    <x v="1"/>
    <x v="8"/>
    <n v="5546.97"/>
    <n v="5253.25"/>
    <n v="3601.89"/>
    <n v="362.02"/>
    <n v="338"/>
    <n v="334.26"/>
    <n v="241"/>
    <n v="4877.17"/>
    <n v="1945.08"/>
    <n v="669.80000000000018"/>
    <n v="0.12075060798958713"/>
    <n v="293.72000000000003"/>
    <n v="0"/>
    <n v="277.35000000000002"/>
    <n v="5824.32"/>
    <x v="38"/>
    <s v="Chhattisgarh"/>
    <x v="4"/>
    <x v="11"/>
    <s v="CC-1001"/>
  </r>
  <r>
    <s v="TXN-00647"/>
    <d v="2026-03-25T00:00:00"/>
    <x v="8"/>
    <x v="1"/>
    <x v="0"/>
    <x v="2"/>
    <x v="0"/>
    <s v="Delhi"/>
    <s v="New Delhi"/>
    <s v="Branch C"/>
    <x v="0"/>
    <s v="CC-1002"/>
    <s v="P013"/>
    <s v="CRM Software"/>
    <x v="2"/>
    <x v="4"/>
    <n v="8219.67"/>
    <n v="7643.67"/>
    <n v="5496.73"/>
    <n v="575.41"/>
    <n v="428.31"/>
    <n v="559.25"/>
    <n v="329.27"/>
    <n v="7388.97"/>
    <n v="2722.95"/>
    <n v="830.69999999999982"/>
    <n v="0.10106245141228296"/>
    <n v="576"/>
    <n v="0"/>
    <n v="986.36"/>
    <n v="9206.0300000000007"/>
    <x v="48"/>
    <s v="Delhi"/>
    <x v="0"/>
    <x v="15"/>
    <s v="CC-1002"/>
  </r>
  <r>
    <s v="TXN-00648"/>
    <d v="2025-07-03T00:00:00"/>
    <x v="0"/>
    <x v="0"/>
    <x v="0"/>
    <x v="3"/>
    <x v="0"/>
    <s v="Jharkhand"/>
    <s v="Ranchi"/>
    <s v="Branch B"/>
    <x v="2"/>
    <s v="CC-1002"/>
    <s v="P008"/>
    <s v="Headset"/>
    <x v="1"/>
    <x v="8"/>
    <n v="5487.75"/>
    <n v="5781.34"/>
    <n v="3541.88"/>
    <n v="321.31"/>
    <n v="430.09"/>
    <n v="410.71"/>
    <n v="68.77"/>
    <n v="4772.76"/>
    <n v="1945.87"/>
    <n v="714.98999999999978"/>
    <n v="0.13028836955036213"/>
    <n v="-293.58999999999997"/>
    <n v="439.02"/>
    <n v="605.85"/>
    <n v="5654.58"/>
    <x v="9"/>
    <s v="Jharkhand"/>
    <x v="2"/>
    <x v="11"/>
    <s v="CC-1002"/>
  </r>
  <r>
    <s v="TXN-00649"/>
    <d v="2026-01-19T00:00:00"/>
    <x v="4"/>
    <x v="1"/>
    <x v="0"/>
    <x v="2"/>
    <x v="0"/>
    <s v="Haryana"/>
    <s v="Faridabad"/>
    <s v="Branch B"/>
    <x v="4"/>
    <s v="CC-1003"/>
    <s v="P008"/>
    <s v="Headset"/>
    <x v="1"/>
    <x v="8"/>
    <n v="3971.21"/>
    <n v="4028.48"/>
    <n v="2236.11"/>
    <n v="306.02999999999997"/>
    <n v="307.87"/>
    <n v="198.4"/>
    <n v="174.62"/>
    <n v="3223.04"/>
    <n v="1735.09"/>
    <n v="748.17000000000007"/>
    <n v="0.18839849819072779"/>
    <n v="-57.27"/>
    <n v="198.56"/>
    <n v="188.63"/>
    <n v="3961.28"/>
    <x v="13"/>
    <s v="Haryana"/>
    <x v="4"/>
    <x v="11"/>
    <s v="CC-1003"/>
  </r>
  <r>
    <s v="TXN-00650"/>
    <d v="2025-07-17T00:00:00"/>
    <x v="0"/>
    <x v="0"/>
    <x v="0"/>
    <x v="4"/>
    <x v="0"/>
    <s v="Uttar Pradesh"/>
    <s v="Agra"/>
    <s v="Branch B"/>
    <x v="1"/>
    <s v="CC-1004"/>
    <s v="P019"/>
    <s v="Conference Camera"/>
    <x v="0"/>
    <x v="0"/>
    <n v="66676.83"/>
    <n v="72838.25"/>
    <n v="36072.99"/>
    <n v="7932.32"/>
    <n v="5539.1"/>
    <n v="3702.71"/>
    <n v="971.21"/>
    <n v="54218.33"/>
    <n v="30603.85"/>
    <n v="12458.5"/>
    <n v="0.18684901486768341"/>
    <n v="-6161.42"/>
    <n v="6667.68"/>
    <n v="10801.65"/>
    <n v="70810.8"/>
    <x v="7"/>
    <s v="Uttar Pradesh"/>
    <x v="1"/>
    <x v="0"/>
    <s v="CC-1004"/>
  </r>
  <r>
    <s v="TXN-00651"/>
    <d v="2025-12-03T00:00:00"/>
    <x v="6"/>
    <x v="3"/>
    <x v="0"/>
    <x v="4"/>
    <x v="0"/>
    <s v="Madhya Pradesh"/>
    <s v="Bhopal"/>
    <s v="Branch B"/>
    <x v="3"/>
    <s v="CC-1004"/>
    <s v="P020"/>
    <s v="Document Scanner"/>
    <x v="0"/>
    <x v="3"/>
    <n v="54930.7"/>
    <n v="54930.07"/>
    <n v="31947.61"/>
    <n v="5498.25"/>
    <n v="2397.27"/>
    <n v="6456.55"/>
    <n v="1719.55"/>
    <n v="48019.23"/>
    <n v="22983.09"/>
    <n v="6911.4699999999939"/>
    <n v="0.12582162615804995"/>
    <n v="0.62"/>
    <n v="1647.92"/>
    <n v="9590.9"/>
    <n v="62873.68"/>
    <x v="23"/>
    <s v="Madhya Pradesh"/>
    <x v="3"/>
    <x v="6"/>
    <s v="CC-1004"/>
  </r>
  <r>
    <s v="TXN-00652"/>
    <d v="2026-02-25T00:00:00"/>
    <x v="2"/>
    <x v="1"/>
    <x v="0"/>
    <x v="2"/>
    <x v="0"/>
    <s v="Haryana"/>
    <s v="Faridabad"/>
    <s v="Branch C"/>
    <x v="0"/>
    <s v="CC-1001"/>
    <s v="P015"/>
    <s v="Network Router"/>
    <x v="4"/>
    <x v="10"/>
    <n v="30049.47"/>
    <n v="27096.41"/>
    <n v="16553.13"/>
    <n v="1967.74"/>
    <n v="1833.01"/>
    <n v="2122.1999999999998"/>
    <n v="465.9"/>
    <n v="22941.98"/>
    <n v="13496.34"/>
    <n v="7107.4900000000016"/>
    <n v="0.23652630146222217"/>
    <n v="2953.06"/>
    <n v="1502.47"/>
    <n v="3425.64"/>
    <n v="31972.63"/>
    <x v="13"/>
    <s v="Haryana"/>
    <x v="0"/>
    <x v="14"/>
    <s v="CC-1001"/>
  </r>
  <r>
    <s v="TXN-00653"/>
    <d v="2026-03-25T00:00:00"/>
    <x v="8"/>
    <x v="1"/>
    <x v="0"/>
    <x v="3"/>
    <x v="0"/>
    <s v="Jharkhand"/>
    <s v="Jamshedpur"/>
    <s v="Branch B"/>
    <x v="1"/>
    <s v="CC-1005"/>
    <s v="P020"/>
    <s v="Document Scanner"/>
    <x v="0"/>
    <x v="3"/>
    <n v="66803.100000000006"/>
    <n v="66329.899999999994"/>
    <n v="36821.129999999997"/>
    <n v="8093.58"/>
    <n v="6009.52"/>
    <n v="6254.66"/>
    <n v="2982.71"/>
    <n v="60161.61"/>
    <n v="29981.97"/>
    <n v="6641.4900000000052"/>
    <n v="9.941888924316393E-2"/>
    <n v="473.2"/>
    <n v="3340.16"/>
    <n v="11423.33"/>
    <n v="74886.28"/>
    <x v="30"/>
    <s v="Jharkhand"/>
    <x v="1"/>
    <x v="6"/>
    <s v="CC-1005"/>
  </r>
  <r>
    <s v="TXN-00654"/>
    <d v="2025-04-26T00:00:00"/>
    <x v="9"/>
    <x v="2"/>
    <x v="0"/>
    <x v="3"/>
    <x v="0"/>
    <s v="Bihar"/>
    <s v="Patna"/>
    <s v="Branch D"/>
    <x v="4"/>
    <s v="CC-1003"/>
    <s v="P006"/>
    <s v="Smartphone"/>
    <x v="0"/>
    <x v="9"/>
    <n v="57988.68"/>
    <n v="63487.63"/>
    <n v="33321.57"/>
    <n v="6040.48"/>
    <n v="3243.82"/>
    <n v="6929.75"/>
    <n v="2059.27"/>
    <n v="51594.89"/>
    <n v="24667.11"/>
    <n v="6393.7900000000009"/>
    <n v="0.11025927819015713"/>
    <n v="-5498.95"/>
    <n v="5798.87"/>
    <n v="9394.17"/>
    <n v="61583.97"/>
    <x v="45"/>
    <s v="Bihar"/>
    <x v="4"/>
    <x v="16"/>
    <s v="CC-1003"/>
  </r>
  <r>
    <s v="TXN-00655"/>
    <d v="2026-03-11T00:00:00"/>
    <x v="8"/>
    <x v="1"/>
    <x v="0"/>
    <x v="1"/>
    <x v="0"/>
    <s v="Tamil Nadu"/>
    <s v="Coimbatore"/>
    <s v="Branch B"/>
    <x v="1"/>
    <s v="CC-1005"/>
    <s v="P006"/>
    <s v="Smartphone"/>
    <x v="0"/>
    <x v="9"/>
    <n v="20171.48"/>
    <n v="20807.23"/>
    <n v="12225.13"/>
    <n v="2580.39"/>
    <n v="1699.34"/>
    <n v="1067.82"/>
    <n v="462.15"/>
    <n v="18034.810000000001"/>
    <n v="7946.35"/>
    <n v="2136.6699999999983"/>
    <n v="0.10592529650774253"/>
    <n v="-635.75"/>
    <n v="605.14"/>
    <n v="2347.96"/>
    <n v="21914.29"/>
    <x v="10"/>
    <s v="Tamil Nadu"/>
    <x v="1"/>
    <x v="16"/>
    <s v="CC-1005"/>
  </r>
  <r>
    <s v="TXN-00656"/>
    <d v="2026-02-21T00:00:00"/>
    <x v="2"/>
    <x v="1"/>
    <x v="0"/>
    <x v="2"/>
    <x v="0"/>
    <s v="Punjab"/>
    <s v="Amritsar"/>
    <s v="Branch B"/>
    <x v="2"/>
    <s v="CC-1001"/>
    <s v="P019"/>
    <s v="Conference Camera"/>
    <x v="0"/>
    <x v="0"/>
    <n v="28545.1"/>
    <n v="32915.46"/>
    <n v="15940.09"/>
    <n v="2566.16"/>
    <n v="2492.1799999999998"/>
    <n v="2819.59"/>
    <n v="1032.5"/>
    <n v="24850.52"/>
    <n v="12605"/>
    <n v="3694.5799999999981"/>
    <n v="0.12942956934815428"/>
    <n v="-4370.37"/>
    <n v="570.9"/>
    <n v="3356.9"/>
    <n v="31331.1"/>
    <x v="47"/>
    <s v="Punjab"/>
    <x v="2"/>
    <x v="0"/>
    <s v="CC-1001"/>
  </r>
  <r>
    <s v="TXN-00657"/>
    <d v="2025-06-08T00:00:00"/>
    <x v="11"/>
    <x v="2"/>
    <x v="0"/>
    <x v="2"/>
    <x v="0"/>
    <s v="Haryana"/>
    <s v="Faridabad"/>
    <s v="Branch D"/>
    <x v="4"/>
    <s v="CC-1002"/>
    <s v="P013"/>
    <s v="CRM Software"/>
    <x v="2"/>
    <x v="4"/>
    <n v="11136.02"/>
    <n v="9829.7800000000007"/>
    <n v="5974.62"/>
    <n v="679.5"/>
    <n v="721.51"/>
    <n v="593.80999999999995"/>
    <n v="317.39999999999998"/>
    <n v="8286.84"/>
    <n v="5161.3999999999996"/>
    <n v="2849.1800000000003"/>
    <n v="0.25585262957501875"/>
    <n v="1306.24"/>
    <n v="556.79999999999995"/>
    <n v="1269.51"/>
    <n v="11848.72"/>
    <x v="13"/>
    <s v="Haryana"/>
    <x v="4"/>
    <x v="15"/>
    <s v="CC-1002"/>
  </r>
  <r>
    <s v="TXN-00658"/>
    <d v="2025-05-29T00:00:00"/>
    <x v="3"/>
    <x v="2"/>
    <x v="0"/>
    <x v="0"/>
    <x v="0"/>
    <s v="Rajasthan"/>
    <s v="Udaipur"/>
    <s v="Branch B"/>
    <x v="2"/>
    <s v="CC-1004"/>
    <s v="P009"/>
    <s v="Keyboard"/>
    <x v="1"/>
    <x v="1"/>
    <n v="4667.08"/>
    <n v="4825.13"/>
    <n v="3038.87"/>
    <n v="335.47"/>
    <n v="153.56"/>
    <n v="394.3"/>
    <n v="100.08"/>
    <n v="4022.28"/>
    <n v="1628.22"/>
    <n v="644.79999999999973"/>
    <n v="0.13815919161445694"/>
    <n v="-158.05000000000001"/>
    <n v="140.01"/>
    <n v="814.87"/>
    <n v="5341.94"/>
    <x v="17"/>
    <s v="Rajasthan"/>
    <x v="2"/>
    <x v="2"/>
    <s v="CC-1004"/>
  </r>
  <r>
    <s v="TXN-00659"/>
    <d v="2025-06-04T00:00:00"/>
    <x v="11"/>
    <x v="2"/>
    <x v="0"/>
    <x v="1"/>
    <x v="0"/>
    <s v="Karnataka"/>
    <s v="Mysuru"/>
    <s v="Branch D"/>
    <x v="1"/>
    <s v="CC-1004"/>
    <s v="P008"/>
    <s v="Headset"/>
    <x v="1"/>
    <x v="8"/>
    <n v="7900.97"/>
    <n v="7165.27"/>
    <n v="4032.46"/>
    <n v="917.55"/>
    <n v="641.63"/>
    <n v="597.6"/>
    <n v="276.47000000000003"/>
    <n v="6465.72"/>
    <n v="3868.52"/>
    <n v="1435.25"/>
    <n v="0.18165491072615134"/>
    <n v="735.71"/>
    <n v="632.08000000000004"/>
    <n v="363.44"/>
    <n v="7632.34"/>
    <x v="33"/>
    <s v="Karnataka"/>
    <x v="1"/>
    <x v="11"/>
    <s v="CC-1004"/>
  </r>
  <r>
    <s v="TXN-00660"/>
    <d v="2025-05-30T00:00:00"/>
    <x v="3"/>
    <x v="2"/>
    <x v="0"/>
    <x v="0"/>
    <x v="0"/>
    <s v="Goa"/>
    <s v="Margao"/>
    <s v="Branch D"/>
    <x v="1"/>
    <s v="CC-1004"/>
    <s v="P017"/>
    <s v="UPS System"/>
    <x v="0"/>
    <x v="7"/>
    <n v="24061.17"/>
    <n v="25447.99"/>
    <n v="16281.82"/>
    <n v="2791.68"/>
    <n v="705.39"/>
    <n v="1291.33"/>
    <n v="502.62"/>
    <n v="21572.84"/>
    <n v="7779.36"/>
    <n v="2488.3299999999981"/>
    <n v="0.10341683301352338"/>
    <n v="-1386.81"/>
    <n v="481.22"/>
    <n v="4244.3900000000003"/>
    <n v="27824.34"/>
    <x v="37"/>
    <s v="Goa"/>
    <x v="1"/>
    <x v="10"/>
    <s v="CC-1004"/>
  </r>
  <r>
    <s v="TXN-00661"/>
    <d v="2025-04-23T00:00:00"/>
    <x v="9"/>
    <x v="2"/>
    <x v="0"/>
    <x v="3"/>
    <x v="0"/>
    <s v="Bihar"/>
    <s v="Patna"/>
    <s v="Branch C"/>
    <x v="3"/>
    <s v="CC-1004"/>
    <s v="P019"/>
    <s v="Conference Camera"/>
    <x v="0"/>
    <x v="0"/>
    <n v="49566.12"/>
    <n v="54770.37"/>
    <n v="29857.32"/>
    <n v="2893.96"/>
    <n v="4004.39"/>
    <n v="3210.95"/>
    <n v="2180.6799999999998"/>
    <n v="42147.31"/>
    <n v="19708.8"/>
    <n v="7418.8100000000049"/>
    <n v="0.1496750199531455"/>
    <n v="-5204.25"/>
    <n v="0"/>
    <n v="8921.9"/>
    <n v="58488.02"/>
    <x v="45"/>
    <s v="Bihar"/>
    <x v="3"/>
    <x v="0"/>
    <s v="CC-1004"/>
  </r>
  <r>
    <s v="TXN-00662"/>
    <d v="2025-10-03T00:00:00"/>
    <x v="5"/>
    <x v="3"/>
    <x v="0"/>
    <x v="4"/>
    <x v="0"/>
    <s v="Chhattisgarh"/>
    <s v="Raipur"/>
    <s v="Branch A"/>
    <x v="2"/>
    <s v="CC-1001"/>
    <s v="P015"/>
    <s v="Network Router"/>
    <x v="4"/>
    <x v="10"/>
    <n v="16821.86"/>
    <n v="16072.67"/>
    <n v="9460.9699999999993"/>
    <n v="1459.94"/>
    <n v="630.47"/>
    <n v="975.5"/>
    <n v="328.09"/>
    <n v="12854.97"/>
    <n v="7360.89"/>
    <n v="3966.8900000000012"/>
    <n v="0.23581756119715663"/>
    <n v="749.18"/>
    <n v="504.66"/>
    <n v="2937.1"/>
    <n v="19254.3"/>
    <x v="50"/>
    <s v="Chhattisgarh"/>
    <x v="2"/>
    <x v="14"/>
    <s v="CC-1001"/>
  </r>
  <r>
    <s v="TXN-00663"/>
    <d v="2025-11-22T00:00:00"/>
    <x v="10"/>
    <x v="3"/>
    <x v="0"/>
    <x v="2"/>
    <x v="0"/>
    <s v="Uttar Pradesh"/>
    <s v="Agra"/>
    <s v="Branch A"/>
    <x v="1"/>
    <s v="CC-1001"/>
    <s v="P002"/>
    <s v="Monitor"/>
    <x v="0"/>
    <x v="2"/>
    <n v="47018.41"/>
    <n v="45914.47"/>
    <n v="23415.42"/>
    <n v="5719.89"/>
    <n v="3628.6"/>
    <n v="2405.56"/>
    <n v="1748.47"/>
    <n v="36917.93"/>
    <n v="23602.99"/>
    <n v="10100.480000000003"/>
    <n v="0.21481968445976804"/>
    <n v="1103.94"/>
    <n v="2350.92"/>
    <n v="5360.1"/>
    <n v="50027.59"/>
    <x v="7"/>
    <s v="Uttar Pradesh"/>
    <x v="1"/>
    <x v="3"/>
    <s v="CC-1001"/>
  </r>
  <r>
    <s v="TXN-00664"/>
    <d v="2025-10-18T00:00:00"/>
    <x v="5"/>
    <x v="3"/>
    <x v="0"/>
    <x v="4"/>
    <x v="0"/>
    <s v="Uttar Pradesh"/>
    <s v="Kanpur"/>
    <s v="Branch D"/>
    <x v="1"/>
    <s v="CC-1004"/>
    <s v="P002"/>
    <s v="Monitor"/>
    <x v="0"/>
    <x v="2"/>
    <n v="22489.48"/>
    <n v="21211.84"/>
    <n v="15916.32"/>
    <n v="1728.17"/>
    <n v="1037.6500000000001"/>
    <n v="2560.89"/>
    <n v="553.4"/>
    <n v="21796.43"/>
    <n v="6573.16"/>
    <n v="693.04999999999927"/>
    <n v="3.0816630709113741E-2"/>
    <n v="1277.6400000000001"/>
    <n v="2248.9499999999998"/>
    <n v="1012.03"/>
    <n v="21252.560000000001"/>
    <x v="25"/>
    <s v="Uttar Pradesh"/>
    <x v="1"/>
    <x v="3"/>
    <s v="CC-1004"/>
  </r>
  <r>
    <s v="TXN-00665"/>
    <d v="2025-12-26T00:00:00"/>
    <x v="6"/>
    <x v="3"/>
    <x v="0"/>
    <x v="4"/>
    <x v="0"/>
    <s v="Madhya Pradesh"/>
    <s v="Gwalior"/>
    <s v="Branch C"/>
    <x v="1"/>
    <s v="CC-1001"/>
    <s v="P005"/>
    <s v="Office Desk"/>
    <x v="3"/>
    <x v="5"/>
    <n v="25929.67"/>
    <n v="25907.95"/>
    <n v="13766.67"/>
    <n v="3186.73"/>
    <n v="2220.98"/>
    <n v="2069.34"/>
    <n v="265.19"/>
    <n v="21508.91"/>
    <n v="12163.01"/>
    <n v="4420.7599999999984"/>
    <n v="0.17049040732103413"/>
    <n v="21.72"/>
    <n v="0"/>
    <n v="3111.56"/>
    <n v="29041.23"/>
    <x v="42"/>
    <s v="Madhya Pradesh"/>
    <x v="1"/>
    <x v="8"/>
    <s v="CC-1001"/>
  </r>
  <r>
    <s v="TXN-00666"/>
    <d v="2025-10-29T00:00:00"/>
    <x v="5"/>
    <x v="3"/>
    <x v="0"/>
    <x v="4"/>
    <x v="0"/>
    <s v="Chhattisgarh"/>
    <s v="Raipur"/>
    <s v="Branch D"/>
    <x v="2"/>
    <s v="CC-1004"/>
    <s v="P018"/>
    <s v="Projector"/>
    <x v="0"/>
    <x v="6"/>
    <n v="50661.52"/>
    <n v="50739.9"/>
    <n v="28018.26"/>
    <n v="5299.17"/>
    <n v="4057.58"/>
    <n v="4837.6400000000003"/>
    <n v="2159.38"/>
    <n v="44372.03"/>
    <n v="22643.25"/>
    <n v="6289.489999999998"/>
    <n v="0.12414728180283573"/>
    <n v="-78.39"/>
    <n v="2533.08"/>
    <n v="8663.1200000000008"/>
    <n v="56791.56"/>
    <x v="50"/>
    <s v="Chhattisgarh"/>
    <x v="2"/>
    <x v="9"/>
    <s v="CC-1004"/>
  </r>
  <r>
    <s v="TXN-00667"/>
    <d v="2025-05-13T00:00:00"/>
    <x v="3"/>
    <x v="2"/>
    <x v="0"/>
    <x v="0"/>
    <x v="0"/>
    <s v="Maharashtra"/>
    <s v="Mumbai"/>
    <s v="Branch D"/>
    <x v="1"/>
    <s v="CC-1002"/>
    <s v="P018"/>
    <s v="Projector"/>
    <x v="0"/>
    <x v="6"/>
    <n v="51931.31"/>
    <n v="52847.49"/>
    <n v="37186.67"/>
    <n v="4226.9799999999996"/>
    <n v="2521.2199999999998"/>
    <n v="3400.9"/>
    <n v="2145.61"/>
    <n v="49481.38"/>
    <n v="14744.64"/>
    <n v="2449.9300000000003"/>
    <n v="4.7176356614150511E-2"/>
    <n v="-916.18"/>
    <n v="1557.94"/>
    <n v="9067.2099999999991"/>
    <n v="59440.58"/>
    <x v="6"/>
    <s v="Maharashtra"/>
    <x v="1"/>
    <x v="9"/>
    <s v="CC-1002"/>
  </r>
  <r>
    <s v="TXN-00668"/>
    <d v="2025-10-05T00:00:00"/>
    <x v="5"/>
    <x v="3"/>
    <x v="0"/>
    <x v="3"/>
    <x v="0"/>
    <s v="Odisha"/>
    <s v="Cuttack"/>
    <s v="Branch A"/>
    <x v="0"/>
    <s v="CC-1002"/>
    <s v="P010"/>
    <s v="Mouse"/>
    <x v="1"/>
    <x v="1"/>
    <n v="7292.31"/>
    <n v="7975.13"/>
    <n v="4240.08"/>
    <n v="744.68"/>
    <n v="305.08999999999997"/>
    <n v="332.39"/>
    <n v="178.45"/>
    <n v="5800.7"/>
    <n v="3052.24"/>
    <n v="1491.6100000000006"/>
    <n v="0.20454561037586177"/>
    <n v="-682.82"/>
    <n v="218.77"/>
    <n v="848.83"/>
    <n v="7922.37"/>
    <x v="28"/>
    <s v="Odisha"/>
    <x v="0"/>
    <x v="1"/>
    <s v="CC-1002"/>
  </r>
  <r>
    <s v="TXN-00669"/>
    <d v="2026-03-15T00:00:00"/>
    <x v="8"/>
    <x v="1"/>
    <x v="0"/>
    <x v="2"/>
    <x v="0"/>
    <s v="Haryana"/>
    <s v="Panipat"/>
    <s v="Branch D"/>
    <x v="2"/>
    <s v="CC-1003"/>
    <s v="P020"/>
    <s v="Document Scanner"/>
    <x v="0"/>
    <x v="3"/>
    <n v="58985.93"/>
    <n v="62486.080000000002"/>
    <n v="28523.74"/>
    <n v="4614.4799999999996"/>
    <n v="2023.16"/>
    <n v="6722.67"/>
    <n v="804.59"/>
    <n v="42688.639999999999"/>
    <n v="30462.19"/>
    <n v="16297.29"/>
    <n v="0.27629114265045918"/>
    <n v="-3500.15"/>
    <n v="1769.58"/>
    <n v="2860.82"/>
    <n v="60077.17"/>
    <x v="16"/>
    <s v="Haryana"/>
    <x v="2"/>
    <x v="6"/>
    <s v="CC-1003"/>
  </r>
  <r>
    <s v="TXN-00670"/>
    <d v="2025-08-24T00:00:00"/>
    <x v="7"/>
    <x v="0"/>
    <x v="0"/>
    <x v="1"/>
    <x v="0"/>
    <s v="Kerala"/>
    <s v="Thiruvananthapuram"/>
    <s v="Branch D"/>
    <x v="1"/>
    <s v="CC-1002"/>
    <s v="P014"/>
    <s v="Data Storage"/>
    <x v="2"/>
    <x v="12"/>
    <n v="30210.61"/>
    <n v="27232.91"/>
    <n v="14736.44"/>
    <n v="3310.01"/>
    <n v="1017.13"/>
    <n v="1529.86"/>
    <n v="325.76"/>
    <n v="20919.2"/>
    <n v="15474.16"/>
    <n v="9291.41"/>
    <n v="0.30755453133849331"/>
    <n v="2977.7"/>
    <n v="0"/>
    <n v="3625.27"/>
    <n v="33835.879999999997"/>
    <x v="8"/>
    <s v="Kerala"/>
    <x v="1"/>
    <x v="19"/>
    <s v="CC-1002"/>
  </r>
  <r>
    <s v="TXN-00671"/>
    <d v="2026-02-12T00:00:00"/>
    <x v="2"/>
    <x v="1"/>
    <x v="0"/>
    <x v="2"/>
    <x v="0"/>
    <s v="Delhi"/>
    <s v="Noida"/>
    <s v="Branch C"/>
    <x v="1"/>
    <s v="CC-1003"/>
    <s v="P017"/>
    <s v="UPS System"/>
    <x v="0"/>
    <x v="7"/>
    <n v="25677.78"/>
    <n v="25036.45"/>
    <n v="16945.810000000001"/>
    <n v="1563.78"/>
    <n v="2140.56"/>
    <n v="1525.42"/>
    <n v="574.15"/>
    <n v="22749.72"/>
    <n v="8731.9699999999993"/>
    <n v="2928.0599999999977"/>
    <n v="0.11403088584760823"/>
    <n v="641.32000000000005"/>
    <n v="2567.7800000000002"/>
    <n v="2773.2"/>
    <n v="25883.200000000001"/>
    <x v="40"/>
    <s v="Delhi"/>
    <x v="1"/>
    <x v="10"/>
    <s v="CC-1003"/>
  </r>
  <r>
    <s v="TXN-00672"/>
    <d v="2026-01-13T00:00:00"/>
    <x v="4"/>
    <x v="1"/>
    <x v="0"/>
    <x v="4"/>
    <x v="0"/>
    <s v="Chhattisgarh"/>
    <s v="Raipur"/>
    <s v="Branch B"/>
    <x v="0"/>
    <s v="CC-1002"/>
    <s v="P010"/>
    <s v="Mouse"/>
    <x v="1"/>
    <x v="1"/>
    <n v="6523.89"/>
    <n v="6470.01"/>
    <n v="3845.03"/>
    <n v="418.59"/>
    <n v="431.95"/>
    <n v="451.01"/>
    <n v="259.86"/>
    <n v="5406.45"/>
    <n v="2678.86"/>
    <n v="1117.4400000000005"/>
    <n v="0.1712843104344188"/>
    <n v="53.88"/>
    <n v="326.19"/>
    <n v="1115.5899999999999"/>
    <n v="7313.28"/>
    <x v="50"/>
    <s v="Chhattisgarh"/>
    <x v="0"/>
    <x v="1"/>
    <s v="CC-1002"/>
  </r>
  <r>
    <s v="TXN-00673"/>
    <d v="2026-03-11T00:00:00"/>
    <x v="8"/>
    <x v="1"/>
    <x v="0"/>
    <x v="4"/>
    <x v="0"/>
    <s v="Madhya Pradesh"/>
    <s v="Gwalior"/>
    <s v="Branch D"/>
    <x v="1"/>
    <s v="CC-1005"/>
    <s v="P013"/>
    <s v="CRM Software"/>
    <x v="2"/>
    <x v="4"/>
    <n v="10708.54"/>
    <n v="10159.16"/>
    <n v="6493.6"/>
    <n v="922.26"/>
    <n v="671.15"/>
    <n v="1179.79"/>
    <n v="432.32"/>
    <n v="9699.1200000000008"/>
    <n v="4214.95"/>
    <n v="1009.4200000000001"/>
    <n v="9.4263083482902424E-2"/>
    <n v="549.39"/>
    <n v="321.26"/>
    <n v="519.36"/>
    <n v="10906.65"/>
    <x v="42"/>
    <s v="Madhya Pradesh"/>
    <x v="1"/>
    <x v="15"/>
    <s v="CC-1005"/>
  </r>
  <r>
    <s v="TXN-00674"/>
    <d v="2025-05-12T00:00:00"/>
    <x v="3"/>
    <x v="2"/>
    <x v="0"/>
    <x v="0"/>
    <x v="0"/>
    <s v="Gujarat"/>
    <s v="Ahmedabad"/>
    <s v="Branch D"/>
    <x v="1"/>
    <s v="CC-1002"/>
    <s v="P014"/>
    <s v="Data Storage"/>
    <x v="2"/>
    <x v="12"/>
    <n v="12796.67"/>
    <n v="11975.25"/>
    <n v="9012.5499999999993"/>
    <n v="1639.85"/>
    <n v="935.23"/>
    <n v="770.05"/>
    <n v="244.65"/>
    <n v="12602.33"/>
    <n v="3784.12"/>
    <n v="194.34000000000015"/>
    <n v="1.5186763431423968E-2"/>
    <n v="821.42"/>
    <n v="639.83000000000004"/>
    <n v="607.84"/>
    <n v="12764.68"/>
    <x v="18"/>
    <s v="Gujarat"/>
    <x v="1"/>
    <x v="19"/>
    <s v="CC-1002"/>
  </r>
  <r>
    <s v="TXN-00675"/>
    <d v="2026-02-20T00:00:00"/>
    <x v="2"/>
    <x v="1"/>
    <x v="0"/>
    <x v="3"/>
    <x v="0"/>
    <s v="Bihar"/>
    <s v="Patna"/>
    <s v="Branch D"/>
    <x v="0"/>
    <s v="CC-1005"/>
    <s v="P012"/>
    <s v="Accounting Software"/>
    <x v="2"/>
    <x v="4"/>
    <n v="23202.38"/>
    <n v="25067.41"/>
    <n v="15627.39"/>
    <n v="1464.81"/>
    <n v="1247.43"/>
    <n v="1844.75"/>
    <n v="485.49"/>
    <n v="20669.87"/>
    <n v="7574.99"/>
    <n v="2532.510000000002"/>
    <n v="0.10914871664027578"/>
    <n v="-1865.03"/>
    <n v="696.07"/>
    <n v="2700.76"/>
    <n v="25207.06"/>
    <x v="45"/>
    <s v="Bihar"/>
    <x v="0"/>
    <x v="7"/>
    <s v="CC-1005"/>
  </r>
  <r>
    <s v="TXN-00676"/>
    <d v="2025-10-20T00:00:00"/>
    <x v="5"/>
    <x v="3"/>
    <x v="0"/>
    <x v="0"/>
    <x v="0"/>
    <s v="Gujarat"/>
    <s v="Surat"/>
    <s v="Branch B"/>
    <x v="1"/>
    <s v="CC-1003"/>
    <s v="P010"/>
    <s v="Mouse"/>
    <x v="1"/>
    <x v="1"/>
    <n v="4749.41"/>
    <n v="4662.41"/>
    <n v="3213.64"/>
    <n v="287.13"/>
    <n v="172.26"/>
    <n v="319.49"/>
    <n v="115.4"/>
    <n v="4107.92"/>
    <n v="1535.77"/>
    <n v="641.48999999999978"/>
    <n v="0.13506730309659512"/>
    <n v="87.01"/>
    <n v="142.47999999999999"/>
    <n v="829.25"/>
    <n v="5436.18"/>
    <x v="26"/>
    <s v="Gujarat"/>
    <x v="1"/>
    <x v="1"/>
    <s v="CC-1003"/>
  </r>
  <r>
    <s v="TXN-00677"/>
    <d v="2025-07-22T00:00:00"/>
    <x v="0"/>
    <x v="0"/>
    <x v="0"/>
    <x v="0"/>
    <x v="0"/>
    <s v="Maharashtra"/>
    <s v="Pune"/>
    <s v="Branch D"/>
    <x v="1"/>
    <s v="CC-1002"/>
    <s v="P015"/>
    <s v="Network Router"/>
    <x v="4"/>
    <x v="10"/>
    <n v="27802.23"/>
    <n v="26895.37"/>
    <n v="15829.92"/>
    <n v="3116.94"/>
    <n v="1771.98"/>
    <n v="2545.27"/>
    <n v="1015.14"/>
    <n v="24279.26"/>
    <n v="11972.3"/>
    <n v="3522.9700000000012"/>
    <n v="0.12671537498970412"/>
    <n v="906.86"/>
    <n v="0"/>
    <n v="5004.3999999999996"/>
    <n v="32806.629999999997"/>
    <x v="12"/>
    <s v="Maharashtra"/>
    <x v="1"/>
    <x v="14"/>
    <s v="CC-1002"/>
  </r>
  <r>
    <s v="TXN-00678"/>
    <d v="2025-10-20T00:00:00"/>
    <x v="5"/>
    <x v="3"/>
    <x v="0"/>
    <x v="0"/>
    <x v="0"/>
    <s v="Goa"/>
    <s v="Panaji"/>
    <s v="Branch A"/>
    <x v="1"/>
    <s v="CC-1004"/>
    <s v="P010"/>
    <s v="Mouse"/>
    <x v="1"/>
    <x v="1"/>
    <n v="3957.58"/>
    <n v="4616.08"/>
    <n v="2021.76"/>
    <n v="418.7"/>
    <n v="229.16"/>
    <n v="166.42"/>
    <n v="167.67"/>
    <n v="3003.71"/>
    <n v="1935.82"/>
    <n v="953.86999999999989"/>
    <n v="0.24102355479863954"/>
    <n v="-658.51"/>
    <n v="316.61"/>
    <n v="436.92"/>
    <n v="4077.89"/>
    <x v="14"/>
    <s v="Goa"/>
    <x v="1"/>
    <x v="1"/>
    <s v="CC-1004"/>
  </r>
  <r>
    <s v="TXN-00679"/>
    <d v="2025-12-26T00:00:00"/>
    <x v="6"/>
    <x v="3"/>
    <x v="0"/>
    <x v="2"/>
    <x v="0"/>
    <s v="Haryana"/>
    <s v="Panipat"/>
    <s v="Branch A"/>
    <x v="1"/>
    <s v="CC-1001"/>
    <s v="P015"/>
    <s v="Network Router"/>
    <x v="4"/>
    <x v="10"/>
    <n v="22621.17"/>
    <n v="25145.45"/>
    <n v="11066.78"/>
    <n v="1858"/>
    <n v="1740.47"/>
    <n v="1850.77"/>
    <n v="661.7"/>
    <n v="17177.71"/>
    <n v="11554.39"/>
    <n v="5443.4599999999991"/>
    <n v="0.24063565235573578"/>
    <n v="-2524.2800000000002"/>
    <n v="0"/>
    <n v="1131.06"/>
    <n v="23752.23"/>
    <x v="16"/>
    <s v="Haryana"/>
    <x v="1"/>
    <x v="14"/>
    <s v="CC-1001"/>
  </r>
  <r>
    <s v="TXN-00680"/>
    <d v="2025-08-13T00:00:00"/>
    <x v="7"/>
    <x v="0"/>
    <x v="0"/>
    <x v="4"/>
    <x v="0"/>
    <s v="Chhattisgarh"/>
    <s v="Bilaspur"/>
    <s v="Branch B"/>
    <x v="2"/>
    <s v="CC-1005"/>
    <s v="P009"/>
    <s v="Keyboard"/>
    <x v="1"/>
    <x v="1"/>
    <n v="6409.76"/>
    <n v="6504.56"/>
    <n v="3518.36"/>
    <n v="374.14"/>
    <n v="478.35"/>
    <n v="518.32000000000005"/>
    <n v="189"/>
    <n v="5078.17"/>
    <n v="2891.41"/>
    <n v="1331.5900000000001"/>
    <n v="0.2077441277052495"/>
    <n v="-94.79"/>
    <n v="192.29"/>
    <n v="746.1"/>
    <n v="6963.57"/>
    <x v="22"/>
    <s v="Chhattisgarh"/>
    <x v="2"/>
    <x v="2"/>
    <s v="CC-1005"/>
  </r>
  <r>
    <s v="TXN-00681"/>
    <d v="2025-10-21T00:00:00"/>
    <x v="5"/>
    <x v="3"/>
    <x v="0"/>
    <x v="2"/>
    <x v="0"/>
    <s v="Delhi"/>
    <s v="Gurugram"/>
    <s v="Branch D"/>
    <x v="2"/>
    <s v="CC-1002"/>
    <s v="P019"/>
    <s v="Conference Camera"/>
    <x v="0"/>
    <x v="0"/>
    <n v="31436.53"/>
    <n v="35642.78"/>
    <n v="18652.16"/>
    <n v="3400.06"/>
    <n v="2827.92"/>
    <n v="3747.9"/>
    <n v="1133.3399999999999"/>
    <n v="29761.38"/>
    <n v="12784.37"/>
    <n v="1675.1499999999978"/>
    <n v="5.3286733618500448E-2"/>
    <n v="-4206.24"/>
    <n v="1571.83"/>
    <n v="1493.24"/>
    <n v="31357.94"/>
    <x v="27"/>
    <s v="Delhi"/>
    <x v="2"/>
    <x v="0"/>
    <s v="CC-1002"/>
  </r>
  <r>
    <s v="TXN-00682"/>
    <d v="2025-07-18T00:00:00"/>
    <x v="0"/>
    <x v="0"/>
    <x v="0"/>
    <x v="3"/>
    <x v="0"/>
    <s v="Odisha"/>
    <s v="Cuttack"/>
    <s v="Branch D"/>
    <x v="1"/>
    <s v="CC-1002"/>
    <s v="P003"/>
    <s v="Printer"/>
    <x v="0"/>
    <x v="3"/>
    <n v="40189.379999999997"/>
    <n v="41559.67"/>
    <n v="25990.07"/>
    <n v="2187.86"/>
    <n v="1748.04"/>
    <n v="4241.5200000000004"/>
    <n v="514.27"/>
    <n v="34681.769999999997"/>
    <n v="14199.31"/>
    <n v="5507.6100000000006"/>
    <n v="0.13704142736215391"/>
    <n v="-1370.29"/>
    <n v="3215.15"/>
    <n v="1848.71"/>
    <n v="38822.94"/>
    <x v="28"/>
    <s v="Odisha"/>
    <x v="1"/>
    <x v="5"/>
    <s v="CC-1002"/>
  </r>
  <r>
    <s v="TXN-00683"/>
    <d v="2025-09-05T00:00:00"/>
    <x v="1"/>
    <x v="0"/>
    <x v="0"/>
    <x v="0"/>
    <x v="0"/>
    <s v="Rajasthan"/>
    <s v="Jaipur"/>
    <s v="Branch A"/>
    <x v="1"/>
    <s v="CC-1002"/>
    <s v="P019"/>
    <s v="Conference Camera"/>
    <x v="0"/>
    <x v="0"/>
    <n v="77410.2"/>
    <n v="83633.350000000006"/>
    <n v="47155.71"/>
    <n v="8776.27"/>
    <n v="4424.71"/>
    <n v="4954.09"/>
    <n v="1208.6099999999999"/>
    <n v="66519.39"/>
    <n v="30254.49"/>
    <n v="10890.809999999998"/>
    <n v="0.14068959904508704"/>
    <n v="-6223.15"/>
    <n v="3870.51"/>
    <n v="13237.14"/>
    <n v="86776.83"/>
    <x v="21"/>
    <s v="Rajasthan"/>
    <x v="1"/>
    <x v="0"/>
    <s v="CC-1002"/>
  </r>
  <r>
    <s v="TXN-00684"/>
    <d v="2026-02-25T00:00:00"/>
    <x v="2"/>
    <x v="1"/>
    <x v="0"/>
    <x v="2"/>
    <x v="0"/>
    <s v="Delhi"/>
    <s v="Gurugram"/>
    <s v="Branch D"/>
    <x v="1"/>
    <s v="CC-1002"/>
    <s v="P019"/>
    <s v="Conference Camera"/>
    <x v="0"/>
    <x v="0"/>
    <n v="17583.830000000002"/>
    <n v="18085.87"/>
    <n v="11011.23"/>
    <n v="1265.9100000000001"/>
    <n v="1258.8599999999999"/>
    <n v="1540.23"/>
    <n v="375.75"/>
    <n v="15451.97"/>
    <n v="6572.6"/>
    <n v="2131.8600000000024"/>
    <n v="0.12123979815546455"/>
    <n v="-502.04"/>
    <n v="0"/>
    <n v="3165.09"/>
    <n v="20748.919999999998"/>
    <x v="27"/>
    <s v="Delhi"/>
    <x v="1"/>
    <x v="0"/>
    <s v="CC-1002"/>
  </r>
  <r>
    <s v="TXN-00685"/>
    <d v="2025-09-24T00:00:00"/>
    <x v="1"/>
    <x v="0"/>
    <x v="0"/>
    <x v="2"/>
    <x v="0"/>
    <s v="Haryana"/>
    <s v="Faridabad"/>
    <s v="Branch A"/>
    <x v="0"/>
    <s v="CC-1003"/>
    <s v="P004"/>
    <s v="Office Chair"/>
    <x v="3"/>
    <x v="5"/>
    <n v="26268.33"/>
    <n v="24762.28"/>
    <n v="17495.63"/>
    <n v="2223.52"/>
    <n v="984.61"/>
    <n v="2951.35"/>
    <n v="444.82"/>
    <n v="24099.93"/>
    <n v="8772.7000000000007"/>
    <n v="2168.4000000000015"/>
    <n v="8.2548072146192822E-2"/>
    <n v="1506.05"/>
    <n v="0"/>
    <n v="1313.42"/>
    <n v="27581.75"/>
    <x v="13"/>
    <s v="Haryana"/>
    <x v="0"/>
    <x v="17"/>
    <s v="CC-1003"/>
  </r>
  <r>
    <s v="TXN-00686"/>
    <d v="2026-01-23T00:00:00"/>
    <x v="4"/>
    <x v="1"/>
    <x v="0"/>
    <x v="1"/>
    <x v="0"/>
    <s v="Karnataka"/>
    <s v="Mangaluru"/>
    <s v="Branch C"/>
    <x v="1"/>
    <s v="CC-1001"/>
    <s v="P002"/>
    <s v="Monitor"/>
    <x v="0"/>
    <x v="2"/>
    <n v="39218.47"/>
    <n v="45443.81"/>
    <n v="20919.330000000002"/>
    <n v="5097.38"/>
    <n v="1417.71"/>
    <n v="3989.45"/>
    <n v="698.85"/>
    <n v="32122.71"/>
    <n v="18299.14"/>
    <n v="7095.760000000002"/>
    <n v="0.18092903675232619"/>
    <n v="-6225.34"/>
    <n v="0"/>
    <n v="7059.32"/>
    <n v="46277.79"/>
    <x v="31"/>
    <s v="Karnataka"/>
    <x v="1"/>
    <x v="3"/>
    <s v="CC-1001"/>
  </r>
  <r>
    <s v="TXN-00687"/>
    <d v="2026-03-14T00:00:00"/>
    <x v="8"/>
    <x v="1"/>
    <x v="0"/>
    <x v="4"/>
    <x v="0"/>
    <s v="Madhya Pradesh"/>
    <s v="Indore"/>
    <s v="Branch B"/>
    <x v="0"/>
    <s v="CC-1004"/>
    <s v="P002"/>
    <s v="Monitor"/>
    <x v="0"/>
    <x v="2"/>
    <n v="34913.99"/>
    <n v="35808.199999999997"/>
    <n v="19724.22"/>
    <n v="4235.6400000000003"/>
    <n v="1249.29"/>
    <n v="1814.16"/>
    <n v="1054.1199999999999"/>
    <n v="28077.43"/>
    <n v="15189.77"/>
    <n v="6836.5599999999977"/>
    <n v="0.19581147843600796"/>
    <n v="-894.21"/>
    <n v="1745.7"/>
    <n v="1658.41"/>
    <n v="34826.71"/>
    <x v="5"/>
    <s v="Madhya Pradesh"/>
    <x v="0"/>
    <x v="3"/>
    <s v="CC-1004"/>
  </r>
  <r>
    <s v="TXN-00688"/>
    <d v="2025-12-03T00:00:00"/>
    <x v="6"/>
    <x v="3"/>
    <x v="0"/>
    <x v="1"/>
    <x v="0"/>
    <s v="Telangana"/>
    <s v="Nizamabad"/>
    <s v="Branch A"/>
    <x v="0"/>
    <s v="CC-1002"/>
    <s v="P014"/>
    <s v="Data Storage"/>
    <x v="2"/>
    <x v="12"/>
    <n v="23812.9"/>
    <n v="25986.67"/>
    <n v="12875.02"/>
    <n v="2636.13"/>
    <n v="1463.85"/>
    <n v="1524.46"/>
    <n v="571.71"/>
    <n v="19071.16"/>
    <n v="10937.88"/>
    <n v="4741.7400000000016"/>
    <n v="0.1991248440971071"/>
    <n v="-2173.77"/>
    <n v="1190.6500000000001"/>
    <n v="4072.01"/>
    <n v="26694.26"/>
    <x v="29"/>
    <s v="Telangana"/>
    <x v="0"/>
    <x v="19"/>
    <s v="CC-1002"/>
  </r>
  <r>
    <s v="TXN-00689"/>
    <d v="2026-01-12T00:00:00"/>
    <x v="4"/>
    <x v="1"/>
    <x v="0"/>
    <x v="2"/>
    <x v="0"/>
    <s v="Delhi"/>
    <s v="New Delhi"/>
    <s v="Branch A"/>
    <x v="2"/>
    <s v="CC-1003"/>
    <s v="P008"/>
    <s v="Headset"/>
    <x v="1"/>
    <x v="8"/>
    <n v="8122.47"/>
    <n v="9268.74"/>
    <n v="4599.49"/>
    <n v="1008.3"/>
    <n v="571.92999999999995"/>
    <n v="492.01"/>
    <n v="241.59"/>
    <n v="6913.31"/>
    <n v="3522.99"/>
    <n v="1209.1599999999999"/>
    <n v="0.14886604690445146"/>
    <n v="-1146.27"/>
    <n v="406.12"/>
    <n v="385.82"/>
    <n v="8102.16"/>
    <x v="48"/>
    <s v="Delhi"/>
    <x v="2"/>
    <x v="11"/>
    <s v="CC-1003"/>
  </r>
  <r>
    <s v="TXN-00690"/>
    <d v="2025-08-05T00:00:00"/>
    <x v="7"/>
    <x v="0"/>
    <x v="0"/>
    <x v="1"/>
    <x v="0"/>
    <s v="Telangana"/>
    <s v="Nizamabad"/>
    <s v="Branch B"/>
    <x v="0"/>
    <s v="CC-1003"/>
    <s v="P003"/>
    <s v="Printer"/>
    <x v="0"/>
    <x v="3"/>
    <n v="52100.92"/>
    <n v="49610.59"/>
    <n v="35976.629999999997"/>
    <n v="4252.49"/>
    <n v="2881.69"/>
    <n v="5671.3"/>
    <n v="1472.57"/>
    <n v="50254.67"/>
    <n v="16124.29"/>
    <n v="1846.25"/>
    <n v="3.543603452683753E-2"/>
    <n v="2490.33"/>
    <n v="1042.02"/>
    <n v="9190.6"/>
    <n v="60249.5"/>
    <x v="29"/>
    <s v="Telangana"/>
    <x v="0"/>
    <x v="5"/>
    <s v="CC-1003"/>
  </r>
  <r>
    <s v="TXN-00691"/>
    <d v="2025-04-13T00:00:00"/>
    <x v="9"/>
    <x v="2"/>
    <x v="0"/>
    <x v="4"/>
    <x v="0"/>
    <s v="Chhattisgarh"/>
    <s v="Bilaspur"/>
    <s v="Branch C"/>
    <x v="0"/>
    <s v="CC-1001"/>
    <s v="P003"/>
    <s v="Printer"/>
    <x v="0"/>
    <x v="3"/>
    <n v="43197.79"/>
    <n v="39949.980000000003"/>
    <n v="25599.01"/>
    <n v="5032.12"/>
    <n v="1123.42"/>
    <n v="2671.07"/>
    <n v="435.69"/>
    <n v="34861.300000000003"/>
    <n v="17598.79"/>
    <n v="8336.489999999998"/>
    <n v="0.19298417812577906"/>
    <n v="3247.81"/>
    <n v="1295.93"/>
    <n v="7542.33"/>
    <n v="49444.19"/>
    <x v="22"/>
    <s v="Chhattisgarh"/>
    <x v="0"/>
    <x v="5"/>
    <s v="CC-1001"/>
  </r>
  <r>
    <s v="TXN-00692"/>
    <d v="2026-02-27T00:00:00"/>
    <x v="2"/>
    <x v="1"/>
    <x v="0"/>
    <x v="4"/>
    <x v="0"/>
    <s v="Chhattisgarh"/>
    <s v="Bhilai"/>
    <s v="Branch D"/>
    <x v="0"/>
    <s v="CC-1004"/>
    <s v="P006"/>
    <s v="Smartphone"/>
    <x v="0"/>
    <x v="9"/>
    <n v="52530.11"/>
    <n v="60792.83"/>
    <n v="34195.769999999997"/>
    <n v="4174.57"/>
    <n v="3747.86"/>
    <n v="2270.4699999999998"/>
    <n v="1235.75"/>
    <n v="45624.41"/>
    <n v="18334.349999999999"/>
    <n v="6905.6999999999971"/>
    <n v="0.1314617464155319"/>
    <n v="-8262.7199999999993"/>
    <n v="1575.9"/>
    <n v="2547.71"/>
    <n v="53501.919999999998"/>
    <x v="38"/>
    <s v="Chhattisgarh"/>
    <x v="0"/>
    <x v="16"/>
    <s v="CC-1004"/>
  </r>
  <r>
    <s v="TXN-00693"/>
    <d v="2025-04-18T00:00:00"/>
    <x v="9"/>
    <x v="2"/>
    <x v="0"/>
    <x v="0"/>
    <x v="0"/>
    <s v="Rajasthan"/>
    <s v="Jaipur"/>
    <s v="Branch A"/>
    <x v="2"/>
    <s v="CC-1002"/>
    <s v="P010"/>
    <s v="Mouse"/>
    <x v="1"/>
    <x v="1"/>
    <n v="4720.76"/>
    <n v="4511.95"/>
    <n v="2687.75"/>
    <n v="276.88"/>
    <n v="195.22"/>
    <n v="291.54000000000002"/>
    <n v="166.28"/>
    <n v="3617.67"/>
    <n v="2033.01"/>
    <n v="1103.0900000000001"/>
    <n v="0.23366788398478214"/>
    <n v="208.81"/>
    <n v="0"/>
    <n v="849.74"/>
    <n v="5570.49"/>
    <x v="21"/>
    <s v="Rajasthan"/>
    <x v="2"/>
    <x v="1"/>
    <s v="CC-1002"/>
  </r>
  <r>
    <s v="TXN-00694"/>
    <d v="2025-08-31T00:00:00"/>
    <x v="7"/>
    <x v="0"/>
    <x v="0"/>
    <x v="2"/>
    <x v="0"/>
    <s v="Haryana"/>
    <s v="Faridabad"/>
    <s v="Branch B"/>
    <x v="0"/>
    <s v="CC-1005"/>
    <s v="P004"/>
    <s v="Office Chair"/>
    <x v="3"/>
    <x v="5"/>
    <n v="38850.269999999997"/>
    <n v="39359.769999999997"/>
    <n v="26061.58"/>
    <n v="1983.75"/>
    <n v="2354.63"/>
    <n v="3864.2"/>
    <n v="683.49"/>
    <n v="34947.65"/>
    <n v="12788.69"/>
    <n v="3902.6199999999953"/>
    <n v="0.10045284112568575"/>
    <n v="-509.5"/>
    <n v="0"/>
    <n v="1942.51"/>
    <n v="40792.78"/>
    <x v="13"/>
    <s v="Haryana"/>
    <x v="0"/>
    <x v="17"/>
    <s v="CC-1005"/>
  </r>
  <r>
    <s v="TXN-00695"/>
    <d v="2025-10-24T00:00:00"/>
    <x v="5"/>
    <x v="3"/>
    <x v="0"/>
    <x v="1"/>
    <x v="0"/>
    <s v="Karnataka"/>
    <s v="Bengaluru"/>
    <s v="Branch C"/>
    <x v="3"/>
    <s v="CC-1005"/>
    <s v="P008"/>
    <s v="Headset"/>
    <x v="1"/>
    <x v="8"/>
    <n v="5855.95"/>
    <n v="6504.12"/>
    <n v="3778.67"/>
    <n v="640.25"/>
    <n v="425.96"/>
    <n v="454.7"/>
    <n v="101.89"/>
    <n v="5401.47"/>
    <n v="2077.2800000000002"/>
    <n v="454.47999999999956"/>
    <n v="7.7609952270767266E-2"/>
    <n v="-648.16999999999996"/>
    <n v="292.8"/>
    <n v="1001.37"/>
    <n v="6564.52"/>
    <x v="49"/>
    <s v="Karnataka"/>
    <x v="3"/>
    <x v="11"/>
    <s v="CC-1005"/>
  </r>
  <r>
    <s v="TXN-00696"/>
    <d v="2025-07-19T00:00:00"/>
    <x v="0"/>
    <x v="0"/>
    <x v="0"/>
    <x v="0"/>
    <x v="0"/>
    <s v="Gujarat"/>
    <s v="Vadodara"/>
    <s v="Branch C"/>
    <x v="4"/>
    <s v="CC-1004"/>
    <s v="P006"/>
    <s v="Smartphone"/>
    <x v="0"/>
    <x v="9"/>
    <n v="46062.559999999998"/>
    <n v="44938.75"/>
    <n v="26641.3"/>
    <n v="4639.7"/>
    <n v="1223.76"/>
    <n v="5150.7700000000004"/>
    <n v="1298.07"/>
    <n v="38953.599999999999"/>
    <n v="19421.259999999998"/>
    <n v="7108.9599999999991"/>
    <n v="0.15433271620161795"/>
    <n v="1123.81"/>
    <n v="1381.88"/>
    <n v="8042.52"/>
    <n v="52723.21"/>
    <x v="19"/>
    <s v="Gujarat"/>
    <x v="4"/>
    <x v="16"/>
    <s v="CC-1004"/>
  </r>
  <r>
    <s v="TXN-00697"/>
    <d v="2025-08-18T00:00:00"/>
    <x v="7"/>
    <x v="0"/>
    <x v="0"/>
    <x v="3"/>
    <x v="0"/>
    <s v="West Bengal"/>
    <s v="Kolkata"/>
    <s v="Branch D"/>
    <x v="4"/>
    <s v="CC-1005"/>
    <s v="P005"/>
    <s v="Office Desk"/>
    <x v="3"/>
    <x v="5"/>
    <n v="13936.03"/>
    <n v="13803.37"/>
    <n v="8850.7800000000007"/>
    <n v="735.54"/>
    <n v="1153.5899999999999"/>
    <n v="1272.75"/>
    <n v="453.26"/>
    <n v="12465.92"/>
    <n v="5085.25"/>
    <n v="1470.1100000000006"/>
    <n v="0.10548987050113989"/>
    <n v="132.66"/>
    <n v="1114.8800000000001"/>
    <n v="1538.54"/>
    <n v="14359.68"/>
    <x v="20"/>
    <s v="West Bengal"/>
    <x v="4"/>
    <x v="8"/>
    <s v="CC-1005"/>
  </r>
  <r>
    <s v="TXN-00698"/>
    <d v="2025-06-04T00:00:00"/>
    <x v="11"/>
    <x v="2"/>
    <x v="0"/>
    <x v="0"/>
    <x v="0"/>
    <s v="Rajasthan"/>
    <s v="Udaipur"/>
    <s v="Branch C"/>
    <x v="4"/>
    <s v="CC-1004"/>
    <s v="P002"/>
    <s v="Monitor"/>
    <x v="0"/>
    <x v="2"/>
    <n v="34427.54"/>
    <n v="34061.32"/>
    <n v="23020.46"/>
    <n v="2056.15"/>
    <n v="1121.17"/>
    <n v="1940.21"/>
    <n v="445.84"/>
    <n v="28583.84"/>
    <n v="11407.08"/>
    <n v="5843.7000000000007"/>
    <n v="0.16973911002644979"/>
    <n v="366.22"/>
    <n v="1721.38"/>
    <n v="1635.31"/>
    <n v="34341.47"/>
    <x v="17"/>
    <s v="Rajasthan"/>
    <x v="4"/>
    <x v="3"/>
    <s v="CC-1004"/>
  </r>
  <r>
    <s v="TXN-00699"/>
    <d v="2025-07-14T00:00:00"/>
    <x v="0"/>
    <x v="0"/>
    <x v="0"/>
    <x v="1"/>
    <x v="0"/>
    <s v="Tamil Nadu"/>
    <s v="Madurai"/>
    <s v="Branch C"/>
    <x v="2"/>
    <s v="CC-1004"/>
    <s v="P011"/>
    <s v="Cloud Software"/>
    <x v="2"/>
    <x v="11"/>
    <n v="13452.02"/>
    <n v="15195.57"/>
    <n v="7457.28"/>
    <n v="1687.47"/>
    <n v="493.37"/>
    <n v="1251.28"/>
    <n v="450.96"/>
    <n v="11340.36"/>
    <n v="5994.74"/>
    <n v="2111.66"/>
    <n v="0.15697716774135034"/>
    <n v="-1743.55"/>
    <n v="269.04000000000002"/>
    <n v="1581.96"/>
    <n v="14764.94"/>
    <x v="43"/>
    <s v="Tamil Nadu"/>
    <x v="2"/>
    <x v="18"/>
    <s v="CC-1004"/>
  </r>
  <r>
    <s v="TXN-00700"/>
    <d v="2025-09-19T00:00:00"/>
    <x v="1"/>
    <x v="0"/>
    <x v="0"/>
    <x v="2"/>
    <x v="0"/>
    <s v="Punjab"/>
    <s v="Amritsar"/>
    <s v="Branch B"/>
    <x v="0"/>
    <s v="CC-1001"/>
    <s v="P019"/>
    <s v="Conference Camera"/>
    <x v="0"/>
    <x v="0"/>
    <n v="32731.54"/>
    <n v="37084.83"/>
    <n v="21351.49"/>
    <n v="4107.5"/>
    <n v="2293.67"/>
    <n v="3771.72"/>
    <n v="962.57"/>
    <n v="32486.959999999999"/>
    <n v="11380.05"/>
    <n v="244.58000000000175"/>
    <n v="7.4723034724306202E-3"/>
    <n v="-4353.29"/>
    <n v="1636.58"/>
    <n v="5597.09"/>
    <n v="36692.06"/>
    <x v="47"/>
    <s v="Punjab"/>
    <x v="0"/>
    <x v="0"/>
    <s v="CC-1001"/>
  </r>
  <r>
    <s v="TXN-00701"/>
    <d v="2025-10-18T00:00:00"/>
    <x v="5"/>
    <x v="3"/>
    <x v="0"/>
    <x v="2"/>
    <x v="0"/>
    <s v="Haryana"/>
    <s v="Panipat"/>
    <s v="Branch A"/>
    <x v="0"/>
    <s v="CC-1002"/>
    <s v="P008"/>
    <s v="Headset"/>
    <x v="1"/>
    <x v="8"/>
    <n v="3339.52"/>
    <n v="3475.23"/>
    <n v="2339.46"/>
    <n v="350.17"/>
    <n v="245.08"/>
    <n v="356.49"/>
    <n v="74.5"/>
    <n v="3365.69"/>
    <n v="1000.06"/>
    <n v="-26.170000000000073"/>
    <n v="-7.8364555385205276E-3"/>
    <n v="-135.71"/>
    <n v="0"/>
    <n v="601.11"/>
    <n v="3940.64"/>
    <x v="16"/>
    <s v="Haryana"/>
    <x v="0"/>
    <x v="11"/>
    <s v="CC-1002"/>
  </r>
  <r>
    <s v="TXN-00702"/>
    <d v="2025-10-15T00:00:00"/>
    <x v="5"/>
    <x v="3"/>
    <x v="0"/>
    <x v="3"/>
    <x v="0"/>
    <s v="West Bengal"/>
    <s v="Siliguri"/>
    <s v="Branch A"/>
    <x v="3"/>
    <s v="CC-1002"/>
    <s v="P020"/>
    <s v="Document Scanner"/>
    <x v="0"/>
    <x v="3"/>
    <n v="58589.52"/>
    <n v="64941.59"/>
    <n v="42015.37"/>
    <n v="2967.37"/>
    <n v="3130.84"/>
    <n v="3543.7"/>
    <n v="831.75"/>
    <n v="52489.03"/>
    <n v="16574.150000000001"/>
    <n v="6100.489999999998"/>
    <n v="0.10412254614818484"/>
    <n v="-6352.08"/>
    <n v="4687.16"/>
    <n v="9702.42"/>
    <n v="63604.78"/>
    <x v="44"/>
    <s v="West Bengal"/>
    <x v="3"/>
    <x v="6"/>
    <s v="CC-1002"/>
  </r>
  <r>
    <s v="TXN-00703"/>
    <d v="2026-01-01T00:00:00"/>
    <x v="4"/>
    <x v="1"/>
    <x v="0"/>
    <x v="2"/>
    <x v="0"/>
    <s v="Haryana"/>
    <s v="Gurugram"/>
    <s v="Branch D"/>
    <x v="2"/>
    <s v="CC-1003"/>
    <s v="P017"/>
    <s v="UPS System"/>
    <x v="0"/>
    <x v="7"/>
    <n v="44091"/>
    <n v="44480.13"/>
    <n v="25833.32"/>
    <n v="2436.04"/>
    <n v="2252.7800000000002"/>
    <n v="4461.47"/>
    <n v="1853.2"/>
    <n v="36836.800000000003"/>
    <n v="18257.68"/>
    <n v="7254.1999999999971"/>
    <n v="0.16452790818987995"/>
    <n v="-389.13"/>
    <n v="1322.73"/>
    <n v="5132.1899999999996"/>
    <n v="47900.46"/>
    <x v="27"/>
    <s v="Haryana"/>
    <x v="2"/>
    <x v="10"/>
    <s v="CC-1003"/>
  </r>
  <r>
    <s v="TXN-00704"/>
    <d v="2025-09-20T00:00:00"/>
    <x v="1"/>
    <x v="0"/>
    <x v="0"/>
    <x v="0"/>
    <x v="0"/>
    <s v="Gujarat"/>
    <s v="Ahmedabad"/>
    <s v="Branch C"/>
    <x v="3"/>
    <s v="CC-1002"/>
    <s v="P017"/>
    <s v="UPS System"/>
    <x v="0"/>
    <x v="7"/>
    <n v="61172.82"/>
    <n v="64079.61"/>
    <n v="29819.47"/>
    <n v="5316.66"/>
    <n v="3369.36"/>
    <n v="5108.17"/>
    <n v="2048.2800000000002"/>
    <n v="45661.94"/>
    <n v="31353.35"/>
    <n v="15510.879999999997"/>
    <n v="0.25355836137683363"/>
    <n v="-2906.79"/>
    <n v="0"/>
    <n v="7340.74"/>
    <n v="68513.56"/>
    <x v="18"/>
    <s v="Gujarat"/>
    <x v="3"/>
    <x v="10"/>
    <s v="CC-1002"/>
  </r>
  <r>
    <s v="TXN-00705"/>
    <d v="2025-08-15T00:00:00"/>
    <x v="7"/>
    <x v="0"/>
    <x v="0"/>
    <x v="2"/>
    <x v="0"/>
    <s v="Haryana"/>
    <s v="Panipat"/>
    <s v="Branch A"/>
    <x v="2"/>
    <s v="CC-1003"/>
    <s v="P014"/>
    <s v="Data Storage"/>
    <x v="2"/>
    <x v="12"/>
    <n v="26624.71"/>
    <n v="29163.65"/>
    <n v="18511.87"/>
    <n v="3251.92"/>
    <n v="1234.1400000000001"/>
    <n v="3093.69"/>
    <n v="289.43"/>
    <n v="26381.05"/>
    <n v="8112.83"/>
    <n v="243.65999999999985"/>
    <n v="9.1516489757071488E-3"/>
    <n v="-2538.94"/>
    <n v="798.74"/>
    <n v="4648.67"/>
    <n v="30474.639999999999"/>
    <x v="16"/>
    <s v="Haryana"/>
    <x v="2"/>
    <x v="19"/>
    <s v="CC-1003"/>
  </r>
  <r>
    <s v="TXN-00706"/>
    <d v="2025-06-08T00:00:00"/>
    <x v="11"/>
    <x v="2"/>
    <x v="0"/>
    <x v="2"/>
    <x v="0"/>
    <s v="Uttar Pradesh"/>
    <s v="Lucknow"/>
    <s v="Branch C"/>
    <x v="0"/>
    <s v="CC-1004"/>
    <s v="P012"/>
    <s v="Accounting Software"/>
    <x v="2"/>
    <x v="4"/>
    <n v="17895.689999999999"/>
    <n v="20755.5"/>
    <n v="9725.92"/>
    <n v="1109.3800000000001"/>
    <n v="552.04"/>
    <n v="1522.4"/>
    <n v="250.21"/>
    <n v="13159.95"/>
    <n v="8169.77"/>
    <n v="4735.739999999998"/>
    <n v="0.26463019866794735"/>
    <n v="-2859.81"/>
    <n v="0"/>
    <n v="2147.48"/>
    <n v="20043.169999999998"/>
    <x v="2"/>
    <s v="Uttar Pradesh"/>
    <x v="0"/>
    <x v="7"/>
    <s v="CC-1004"/>
  </r>
  <r>
    <s v="TXN-00707"/>
    <d v="2026-01-16T00:00:00"/>
    <x v="4"/>
    <x v="1"/>
    <x v="0"/>
    <x v="0"/>
    <x v="0"/>
    <s v="Goa"/>
    <s v="Vasco da Gama"/>
    <s v="Branch B"/>
    <x v="1"/>
    <s v="CC-1002"/>
    <s v="P019"/>
    <s v="Conference Camera"/>
    <x v="0"/>
    <x v="0"/>
    <n v="65086.2"/>
    <n v="69650.02"/>
    <n v="34713.72"/>
    <n v="3532.43"/>
    <n v="4229.51"/>
    <n v="2850.25"/>
    <n v="2046.65"/>
    <n v="47372.56"/>
    <n v="30372.49"/>
    <n v="17713.64"/>
    <n v="0.2721566169172574"/>
    <n v="-4563.82"/>
    <n v="1301.72"/>
    <n v="11481.21"/>
    <n v="75265.69"/>
    <x v="0"/>
    <s v="Goa"/>
    <x v="1"/>
    <x v="0"/>
    <s v="CC-1002"/>
  </r>
  <r>
    <s v="TXN-00708"/>
    <d v="2025-06-05T00:00:00"/>
    <x v="11"/>
    <x v="2"/>
    <x v="0"/>
    <x v="3"/>
    <x v="0"/>
    <s v="Bihar"/>
    <s v="Gaya"/>
    <s v="Branch C"/>
    <x v="1"/>
    <s v="CC-1001"/>
    <s v="P009"/>
    <s v="Keyboard"/>
    <x v="1"/>
    <x v="1"/>
    <n v="2559.4699999999998"/>
    <n v="2416.69"/>
    <n v="1494.43"/>
    <n v="168.45"/>
    <n v="155.24"/>
    <n v="126.14"/>
    <n v="27.66"/>
    <n v="1971.92"/>
    <n v="1065.04"/>
    <n v="587.54999999999973"/>
    <n v="0.2295592446873766"/>
    <n v="142.78"/>
    <n v="0"/>
    <n v="460.7"/>
    <n v="3020.17"/>
    <x v="32"/>
    <s v="Bihar"/>
    <x v="1"/>
    <x v="2"/>
    <s v="CC-1001"/>
  </r>
  <r>
    <s v="TXN-00709"/>
    <d v="2025-08-14T00:00:00"/>
    <x v="7"/>
    <x v="0"/>
    <x v="0"/>
    <x v="4"/>
    <x v="0"/>
    <s v="Chhattisgarh"/>
    <s v="Raipur"/>
    <s v="Branch C"/>
    <x v="1"/>
    <s v="CC-1005"/>
    <s v="P016"/>
    <s v="Network Switch"/>
    <x v="4"/>
    <x v="10"/>
    <n v="7218.81"/>
    <n v="8168"/>
    <n v="4731.87"/>
    <n v="744.6"/>
    <n v="241.77"/>
    <n v="658.32"/>
    <n v="267.27999999999997"/>
    <n v="6643.83"/>
    <n v="2486.94"/>
    <n v="574.98000000000047"/>
    <n v="7.965024706288161E-2"/>
    <n v="-949.19"/>
    <n v="577.5"/>
    <n v="332.07"/>
    <n v="6973.37"/>
    <x v="50"/>
    <s v="Chhattisgarh"/>
    <x v="1"/>
    <x v="13"/>
    <s v="CC-1005"/>
  </r>
  <r>
    <s v="TXN-00710"/>
    <d v="2025-10-09T00:00:00"/>
    <x v="5"/>
    <x v="3"/>
    <x v="0"/>
    <x v="2"/>
    <x v="0"/>
    <s v="Delhi"/>
    <s v="Gurugram"/>
    <s v="Branch B"/>
    <x v="0"/>
    <s v="CC-1003"/>
    <s v="P003"/>
    <s v="Printer"/>
    <x v="0"/>
    <x v="3"/>
    <n v="42720.57"/>
    <n v="48185.37"/>
    <n v="23191.42"/>
    <n v="4490.28"/>
    <n v="3632.95"/>
    <n v="2870.23"/>
    <n v="1179.1400000000001"/>
    <n v="35364.019999999997"/>
    <n v="19529.150000000001"/>
    <n v="7356.5500000000029"/>
    <n v="0.17220158813424077"/>
    <n v="-5464.8"/>
    <n v="1281.6199999999999"/>
    <n v="2071.9499999999998"/>
    <n v="43510.9"/>
    <x v="27"/>
    <s v="Delhi"/>
    <x v="0"/>
    <x v="5"/>
    <s v="CC-1003"/>
  </r>
  <r>
    <s v="TXN-00711"/>
    <d v="2025-04-18T00:00:00"/>
    <x v="9"/>
    <x v="2"/>
    <x v="0"/>
    <x v="4"/>
    <x v="0"/>
    <s v="Uttar Pradesh"/>
    <s v="Kanpur"/>
    <s v="Branch B"/>
    <x v="1"/>
    <s v="CC-1004"/>
    <s v="P011"/>
    <s v="Cloud Software"/>
    <x v="2"/>
    <x v="11"/>
    <n v="17637.43"/>
    <n v="20528.080000000002"/>
    <n v="9079.32"/>
    <n v="1132.06"/>
    <n v="1429.93"/>
    <n v="1259.68"/>
    <n v="179.07"/>
    <n v="13080.07"/>
    <n v="8558.11"/>
    <n v="4557.3600000000006"/>
    <n v="0.25839138695376823"/>
    <n v="-2890.65"/>
    <n v="352.75"/>
    <n v="2074.16"/>
    <n v="19358.849999999999"/>
    <x v="25"/>
    <s v="Uttar Pradesh"/>
    <x v="1"/>
    <x v="18"/>
    <s v="CC-1004"/>
  </r>
  <r>
    <s v="TXN-00712"/>
    <d v="2025-11-01T00:00:00"/>
    <x v="10"/>
    <x v="3"/>
    <x v="0"/>
    <x v="2"/>
    <x v="0"/>
    <s v="Haryana"/>
    <s v="Panipat"/>
    <s v="Branch C"/>
    <x v="1"/>
    <s v="CC-1002"/>
    <s v="P010"/>
    <s v="Mouse"/>
    <x v="1"/>
    <x v="1"/>
    <n v="5477.14"/>
    <n v="5430.8"/>
    <n v="2949.89"/>
    <n v="593.29"/>
    <n v="286.33999999999997"/>
    <n v="649.1"/>
    <n v="121.77"/>
    <n v="4600.38"/>
    <n v="2527.25"/>
    <n v="876.76000000000022"/>
    <n v="0.16007624417122809"/>
    <n v="46.33"/>
    <n v="438.17"/>
    <n v="907.01"/>
    <n v="5945.98"/>
    <x v="16"/>
    <s v="Haryana"/>
    <x v="1"/>
    <x v="1"/>
    <s v="CC-1002"/>
  </r>
  <r>
    <s v="TXN-00713"/>
    <d v="2026-01-19T00:00:00"/>
    <x v="4"/>
    <x v="1"/>
    <x v="0"/>
    <x v="2"/>
    <x v="0"/>
    <s v="Delhi"/>
    <s v="Gurugram"/>
    <s v="Branch D"/>
    <x v="4"/>
    <s v="CC-1001"/>
    <s v="P014"/>
    <s v="Data Storage"/>
    <x v="2"/>
    <x v="12"/>
    <n v="22786.55"/>
    <n v="21609.4"/>
    <n v="12027.74"/>
    <n v="1914.86"/>
    <n v="1688.65"/>
    <n v="2014.46"/>
    <n v="777.07"/>
    <n v="18422.77"/>
    <n v="10758.8"/>
    <n v="4363.7799999999988"/>
    <n v="0.19150683188108769"/>
    <n v="1177.1500000000001"/>
    <n v="455.73"/>
    <n v="2679.7"/>
    <n v="25010.51"/>
    <x v="27"/>
    <s v="Delhi"/>
    <x v="4"/>
    <x v="19"/>
    <s v="CC-1001"/>
  </r>
  <r>
    <s v="TXN-00714"/>
    <d v="2025-11-14T00:00:00"/>
    <x v="10"/>
    <x v="3"/>
    <x v="0"/>
    <x v="0"/>
    <x v="0"/>
    <s v="Gujarat"/>
    <s v="Vadodara"/>
    <s v="Branch C"/>
    <x v="3"/>
    <s v="CC-1003"/>
    <s v="P012"/>
    <s v="Accounting Software"/>
    <x v="2"/>
    <x v="4"/>
    <n v="16358.1"/>
    <n v="16579.48"/>
    <n v="10341.44"/>
    <n v="983.74"/>
    <n v="1188.3599999999999"/>
    <n v="1006.63"/>
    <n v="420.43"/>
    <n v="13940.6"/>
    <n v="6016.66"/>
    <n v="2417.5"/>
    <n v="0.14778611207903117"/>
    <n v="-221.38"/>
    <n v="1308.6500000000001"/>
    <n v="2708.9"/>
    <n v="17758.36"/>
    <x v="19"/>
    <s v="Gujarat"/>
    <x v="3"/>
    <x v="7"/>
    <s v="CC-1003"/>
  </r>
  <r>
    <s v="TXN-00715"/>
    <d v="2025-04-18T00:00:00"/>
    <x v="9"/>
    <x v="2"/>
    <x v="0"/>
    <x v="0"/>
    <x v="0"/>
    <s v="Goa"/>
    <s v="Vasco da Gama"/>
    <s v="Branch A"/>
    <x v="0"/>
    <s v="CC-1001"/>
    <s v="P007"/>
    <s v="Tablet"/>
    <x v="0"/>
    <x v="9"/>
    <n v="53583.87"/>
    <n v="59877.11"/>
    <n v="26999.73"/>
    <n v="6206.14"/>
    <n v="3692.18"/>
    <n v="2520.0100000000002"/>
    <n v="1816.91"/>
    <n v="41234.97"/>
    <n v="26584.15"/>
    <n v="12348.900000000001"/>
    <n v="0.23045927813724543"/>
    <n v="-6293.24"/>
    <n v="2679.19"/>
    <n v="6108.56"/>
    <n v="57013.24"/>
    <x v="0"/>
    <s v="Goa"/>
    <x v="0"/>
    <x v="12"/>
    <s v="CC-1001"/>
  </r>
  <r>
    <s v="TXN-00716"/>
    <d v="2025-12-24T00:00:00"/>
    <x v="6"/>
    <x v="3"/>
    <x v="0"/>
    <x v="3"/>
    <x v="0"/>
    <s v="Bihar"/>
    <s v="Patna"/>
    <s v="Branch B"/>
    <x v="1"/>
    <s v="CC-1003"/>
    <s v="P020"/>
    <s v="Document Scanner"/>
    <x v="0"/>
    <x v="3"/>
    <n v="40411.089999999997"/>
    <n v="42769.67"/>
    <n v="25113.49"/>
    <n v="4232.59"/>
    <n v="1981.98"/>
    <n v="3067.94"/>
    <n v="870.82"/>
    <n v="35266.81"/>
    <n v="15297.61"/>
    <n v="5144.2799999999988"/>
    <n v="0.12729871923771419"/>
    <n v="-2358.5700000000002"/>
    <n v="3232.89"/>
    <n v="1858.91"/>
    <n v="39037.120000000003"/>
    <x v="45"/>
    <s v="Bihar"/>
    <x v="1"/>
    <x v="6"/>
    <s v="CC-1003"/>
  </r>
  <r>
    <s v="TXN-00717"/>
    <d v="2025-07-22T00:00:00"/>
    <x v="0"/>
    <x v="0"/>
    <x v="0"/>
    <x v="0"/>
    <x v="0"/>
    <s v="Gujarat"/>
    <s v="Vadodara"/>
    <s v="Branch C"/>
    <x v="4"/>
    <s v="CC-1004"/>
    <s v="P005"/>
    <s v="Office Desk"/>
    <x v="3"/>
    <x v="5"/>
    <n v="8346.36"/>
    <n v="8094.33"/>
    <n v="5928.8"/>
    <n v="840.02"/>
    <n v="509.32"/>
    <n v="804.83"/>
    <n v="205.42"/>
    <n v="8288.39"/>
    <n v="2417.56"/>
    <n v="57.970000000001164"/>
    <n v="6.9455427276083415E-3"/>
    <n v="252.03"/>
    <n v="417.32"/>
    <n v="951.48"/>
    <n v="8880.5300000000007"/>
    <x v="19"/>
    <s v="Gujarat"/>
    <x v="4"/>
    <x v="8"/>
    <s v="CC-1004"/>
  </r>
  <r>
    <s v="TXN-00718"/>
    <d v="2026-01-10T00:00:00"/>
    <x v="4"/>
    <x v="1"/>
    <x v="0"/>
    <x v="1"/>
    <x v="0"/>
    <s v="Telangana"/>
    <s v="Nizamabad"/>
    <s v="Branch A"/>
    <x v="3"/>
    <s v="CC-1004"/>
    <s v="P020"/>
    <s v="Document Scanner"/>
    <x v="0"/>
    <x v="3"/>
    <n v="29755.32"/>
    <n v="31192.11"/>
    <n v="15300.9"/>
    <n v="2812.99"/>
    <n v="1361.36"/>
    <n v="2124.42"/>
    <n v="588.45000000000005"/>
    <n v="22188.11"/>
    <n v="14454.42"/>
    <n v="7567.2099999999991"/>
    <n v="0.25431452257949166"/>
    <n v="-1436.79"/>
    <n v="2975.53"/>
    <n v="4820.3599999999997"/>
    <n v="31600.15"/>
    <x v="29"/>
    <s v="Telangana"/>
    <x v="3"/>
    <x v="6"/>
    <s v="CC-1004"/>
  </r>
  <r>
    <s v="TXN-00719"/>
    <d v="2026-02-27T00:00:00"/>
    <x v="2"/>
    <x v="1"/>
    <x v="0"/>
    <x v="0"/>
    <x v="0"/>
    <s v="Rajasthan"/>
    <s v="Jodhpur"/>
    <s v="Branch D"/>
    <x v="3"/>
    <s v="CC-1004"/>
    <s v="P003"/>
    <s v="Printer"/>
    <x v="0"/>
    <x v="3"/>
    <n v="31411.97"/>
    <n v="32734.04"/>
    <n v="16758.72"/>
    <n v="2593.73"/>
    <n v="2802.56"/>
    <n v="3225.52"/>
    <n v="946.38"/>
    <n v="26326.91"/>
    <n v="14653.25"/>
    <n v="5085.0600000000013"/>
    <n v="0.16188287458570733"/>
    <n v="-1322.08"/>
    <n v="0"/>
    <n v="3769.44"/>
    <n v="35181.4"/>
    <x v="11"/>
    <s v="Rajasthan"/>
    <x v="3"/>
    <x v="5"/>
    <s v="CC-1004"/>
  </r>
  <r>
    <s v="TXN-00720"/>
    <d v="2025-04-15T00:00:00"/>
    <x v="9"/>
    <x v="2"/>
    <x v="0"/>
    <x v="3"/>
    <x v="0"/>
    <s v="Bihar"/>
    <s v="Muzaffarpur"/>
    <s v="Branch D"/>
    <x v="3"/>
    <s v="CC-1004"/>
    <s v="P010"/>
    <s v="Mouse"/>
    <x v="1"/>
    <x v="1"/>
    <n v="7466.59"/>
    <n v="8189.92"/>
    <n v="4819.49"/>
    <n v="951.64"/>
    <n v="574.38"/>
    <n v="380.27"/>
    <n v="165.51"/>
    <n v="6891.29"/>
    <n v="2647.1"/>
    <n v="575.30000000000018"/>
    <n v="7.7049898280205573E-2"/>
    <n v="-723.32"/>
    <n v="746.66"/>
    <n v="806.39"/>
    <n v="7526.33"/>
    <x v="36"/>
    <s v="Bihar"/>
    <x v="3"/>
    <x v="1"/>
    <s v="CC-1004"/>
  </r>
  <r>
    <s v="TXN-00721"/>
    <d v="2025-06-17T00:00:00"/>
    <x v="11"/>
    <x v="2"/>
    <x v="0"/>
    <x v="3"/>
    <x v="0"/>
    <s v="West Bengal"/>
    <s v="Kolkata"/>
    <s v="Branch A"/>
    <x v="4"/>
    <s v="CC-1004"/>
    <s v="P015"/>
    <s v="Network Router"/>
    <x v="4"/>
    <x v="10"/>
    <n v="17805.13"/>
    <n v="20158.259999999998"/>
    <n v="12321.3"/>
    <n v="1118.72"/>
    <n v="838.13"/>
    <n v="1189.7"/>
    <n v="204.25"/>
    <n v="15672.1"/>
    <n v="5483.83"/>
    <n v="2133.0300000000007"/>
    <n v="0.11979861983596865"/>
    <n v="-2353.14"/>
    <n v="890.26"/>
    <n v="3044.68"/>
    <n v="19959.55"/>
    <x v="20"/>
    <s v="West Bengal"/>
    <x v="4"/>
    <x v="14"/>
    <s v="CC-1004"/>
  </r>
  <r>
    <s v="TXN-00722"/>
    <d v="2025-11-30T00:00:00"/>
    <x v="10"/>
    <x v="3"/>
    <x v="0"/>
    <x v="2"/>
    <x v="0"/>
    <s v="Haryana"/>
    <s v="Panipat"/>
    <s v="Branch C"/>
    <x v="1"/>
    <s v="CC-1005"/>
    <s v="P017"/>
    <s v="UPS System"/>
    <x v="0"/>
    <x v="7"/>
    <n v="43426.95"/>
    <n v="44824.05"/>
    <n v="29224.84"/>
    <n v="4646.83"/>
    <n v="2124.17"/>
    <n v="2906.74"/>
    <n v="817.97"/>
    <n v="39720.550000000003"/>
    <n v="14202.11"/>
    <n v="3706.3999999999942"/>
    <n v="8.5347923351743432E-2"/>
    <n v="-1397.1"/>
    <n v="2171.35"/>
    <n v="7426.01"/>
    <n v="48681.62"/>
    <x v="16"/>
    <s v="Haryana"/>
    <x v="1"/>
    <x v="10"/>
    <s v="CC-1005"/>
  </r>
  <r>
    <s v="TXN-00723"/>
    <d v="2025-10-26T00:00:00"/>
    <x v="5"/>
    <x v="3"/>
    <x v="0"/>
    <x v="4"/>
    <x v="0"/>
    <s v="Chhattisgarh"/>
    <s v="Raipur"/>
    <s v="Branch B"/>
    <x v="1"/>
    <s v="CC-1003"/>
    <s v="P010"/>
    <s v="Mouse"/>
    <x v="1"/>
    <x v="1"/>
    <n v="8713.83"/>
    <n v="9221.25"/>
    <n v="5663.6"/>
    <n v="1016.21"/>
    <n v="286.67"/>
    <n v="913.26"/>
    <n v="233.92"/>
    <n v="8113.66"/>
    <n v="3050.23"/>
    <n v="600.17000000000007"/>
    <n v="6.8875569066644646E-2"/>
    <n v="-507.42"/>
    <n v="261.42"/>
    <n v="1014.29"/>
    <n v="9466.7099999999991"/>
    <x v="50"/>
    <s v="Chhattisgarh"/>
    <x v="1"/>
    <x v="1"/>
    <s v="CC-1003"/>
  </r>
  <r>
    <s v="TXN-00724"/>
    <d v="2025-10-25T00:00:00"/>
    <x v="5"/>
    <x v="3"/>
    <x v="0"/>
    <x v="2"/>
    <x v="0"/>
    <s v="Uttar Pradesh"/>
    <s v="Kanpur"/>
    <s v="Branch B"/>
    <x v="4"/>
    <s v="CC-1001"/>
    <s v="P013"/>
    <s v="CRM Software"/>
    <x v="2"/>
    <x v="4"/>
    <n v="18905.810000000001"/>
    <n v="19612.419999999998"/>
    <n v="10085.49"/>
    <n v="1455.98"/>
    <n v="1075.23"/>
    <n v="1235.51"/>
    <n v="411.08"/>
    <n v="14263.28"/>
    <n v="8820.32"/>
    <n v="4642.5300000000007"/>
    <n v="0.24556102065978661"/>
    <n v="-706.62"/>
    <n v="567.16999999999996"/>
    <n v="916.93"/>
    <n v="19255.560000000001"/>
    <x v="25"/>
    <s v="Uttar Pradesh"/>
    <x v="4"/>
    <x v="15"/>
    <s v="CC-1001"/>
  </r>
  <r>
    <s v="TXN-00725"/>
    <d v="2026-03-17T00:00:00"/>
    <x v="8"/>
    <x v="1"/>
    <x v="0"/>
    <x v="3"/>
    <x v="0"/>
    <s v="Jharkhand"/>
    <s v="Dhanbad"/>
    <s v="Branch A"/>
    <x v="1"/>
    <s v="CC-1001"/>
    <s v="P012"/>
    <s v="Accounting Software"/>
    <x v="2"/>
    <x v="4"/>
    <n v="11965.21"/>
    <n v="13431.13"/>
    <n v="7238.07"/>
    <n v="1291.49"/>
    <n v="584.04"/>
    <n v="513.80999999999995"/>
    <n v="498.37"/>
    <n v="10125.780000000001"/>
    <n v="4727.1400000000003"/>
    <n v="1839.4299999999985"/>
    <n v="0.15373152665101561"/>
    <n v="-1465.91"/>
    <n v="0"/>
    <n v="2153.7399999999998"/>
    <n v="14118.95"/>
    <x v="34"/>
    <s v="Jharkhand"/>
    <x v="1"/>
    <x v="7"/>
    <s v="CC-1001"/>
  </r>
  <r>
    <s v="TXN-00726"/>
    <d v="2025-05-22T00:00:00"/>
    <x v="3"/>
    <x v="2"/>
    <x v="0"/>
    <x v="1"/>
    <x v="0"/>
    <s v="Telangana"/>
    <s v="Warangal"/>
    <s v="Branch B"/>
    <x v="1"/>
    <s v="CC-1005"/>
    <s v="P003"/>
    <s v="Printer"/>
    <x v="0"/>
    <x v="3"/>
    <n v="37630.620000000003"/>
    <n v="36898.06"/>
    <n v="25857.24"/>
    <n v="3463.67"/>
    <n v="2233.11"/>
    <n v="4399.67"/>
    <n v="798.93"/>
    <n v="36752.629999999997"/>
    <n v="11773.38"/>
    <n v="877.99000000000524"/>
    <n v="2.333179735013681E-2"/>
    <n v="732.56"/>
    <n v="1128.92"/>
    <n v="6570.31"/>
    <n v="43072.01"/>
    <x v="46"/>
    <s v="Telangana"/>
    <x v="1"/>
    <x v="5"/>
    <s v="CC-1005"/>
  </r>
  <r>
    <s v="TXN-00727"/>
    <d v="2025-10-09T00:00:00"/>
    <x v="5"/>
    <x v="3"/>
    <x v="0"/>
    <x v="0"/>
    <x v="0"/>
    <s v="Gujarat"/>
    <s v="Surat"/>
    <s v="Branch A"/>
    <x v="2"/>
    <s v="CC-1005"/>
    <s v="P016"/>
    <s v="Network Switch"/>
    <x v="4"/>
    <x v="10"/>
    <n v="9992.2999999999993"/>
    <n v="8957.4599999999991"/>
    <n v="6482.94"/>
    <n v="1212.08"/>
    <n v="662.81"/>
    <n v="1149.32"/>
    <n v="144.86000000000001"/>
    <n v="9652"/>
    <n v="3509.36"/>
    <n v="340.29999999999927"/>
    <n v="3.4056223291934716E-2"/>
    <n v="1034.8399999999999"/>
    <n v="0"/>
    <n v="1798.61"/>
    <n v="11790.92"/>
    <x v="26"/>
    <s v="Gujarat"/>
    <x v="2"/>
    <x v="13"/>
    <s v="CC-1005"/>
  </r>
  <r>
    <s v="TXN-00728"/>
    <d v="2025-10-07T00:00:00"/>
    <x v="5"/>
    <x v="3"/>
    <x v="0"/>
    <x v="4"/>
    <x v="0"/>
    <s v="Uttar Pradesh"/>
    <s v="Kanpur"/>
    <s v="Branch D"/>
    <x v="4"/>
    <s v="CC-1002"/>
    <s v="P008"/>
    <s v="Headset"/>
    <x v="1"/>
    <x v="8"/>
    <n v="6010.82"/>
    <n v="6716.21"/>
    <n v="3753.42"/>
    <n v="576.07000000000005"/>
    <n v="329.36"/>
    <n v="373.65"/>
    <n v="157.74"/>
    <n v="5190.25"/>
    <n v="2257.4"/>
    <n v="820.56999999999971"/>
    <n v="0.13651548374431438"/>
    <n v="-705.4"/>
    <n v="180.32"/>
    <n v="699.66"/>
    <n v="6530.15"/>
    <x v="25"/>
    <s v="Uttar Pradesh"/>
    <x v="4"/>
    <x v="11"/>
    <s v="CC-1002"/>
  </r>
  <r>
    <s v="TXN-00729"/>
    <d v="2025-08-14T00:00:00"/>
    <x v="7"/>
    <x v="0"/>
    <x v="0"/>
    <x v="4"/>
    <x v="0"/>
    <s v="Uttar Pradesh"/>
    <s v="Agra"/>
    <s v="Branch B"/>
    <x v="1"/>
    <s v="CC-1005"/>
    <s v="P012"/>
    <s v="Accounting Software"/>
    <x v="2"/>
    <x v="4"/>
    <n v="25392.94"/>
    <n v="28714.22"/>
    <n v="12936.45"/>
    <n v="2940.4"/>
    <n v="1467.76"/>
    <n v="2814.6"/>
    <n v="1041.8900000000001"/>
    <n v="21201.1"/>
    <n v="12456.5"/>
    <n v="4191.84"/>
    <n v="0.16507895501663061"/>
    <n v="-3321.28"/>
    <n v="0"/>
    <n v="3047.15"/>
    <n v="28440.1"/>
    <x v="7"/>
    <s v="Uttar Pradesh"/>
    <x v="1"/>
    <x v="7"/>
    <s v="CC-1005"/>
  </r>
  <r>
    <s v="TXN-00730"/>
    <d v="2025-06-13T00:00:00"/>
    <x v="11"/>
    <x v="2"/>
    <x v="0"/>
    <x v="3"/>
    <x v="0"/>
    <s v="Jharkhand"/>
    <s v="Jamshedpur"/>
    <s v="Branch C"/>
    <x v="1"/>
    <s v="CC-1003"/>
    <s v="P014"/>
    <s v="Data Storage"/>
    <x v="2"/>
    <x v="12"/>
    <n v="21819.86"/>
    <n v="24190.21"/>
    <n v="12721.79"/>
    <n v="1185.8900000000001"/>
    <n v="784.51"/>
    <n v="1668.65"/>
    <n v="839.71"/>
    <n v="17200.55"/>
    <n v="9098.07"/>
    <n v="4619.3100000000013"/>
    <n v="0.21170209158078929"/>
    <n v="-2370.35"/>
    <n v="654.6"/>
    <n v="2539.83"/>
    <n v="23705.1"/>
    <x v="30"/>
    <s v="Jharkhand"/>
    <x v="1"/>
    <x v="19"/>
    <s v="CC-1003"/>
  </r>
  <r>
    <s v="TXN-00731"/>
    <d v="2026-02-10T00:00:00"/>
    <x v="2"/>
    <x v="1"/>
    <x v="0"/>
    <x v="0"/>
    <x v="0"/>
    <s v="Maharashtra"/>
    <s v="Pune"/>
    <s v="Branch A"/>
    <x v="1"/>
    <s v="CC-1003"/>
    <s v="P004"/>
    <s v="Office Chair"/>
    <x v="3"/>
    <x v="5"/>
    <n v="30615.13"/>
    <n v="27135.69"/>
    <n v="17169.25"/>
    <n v="1884.61"/>
    <n v="1228.99"/>
    <n v="3442.34"/>
    <n v="345.68"/>
    <n v="24070.87"/>
    <n v="13445.88"/>
    <n v="6544.260000000002"/>
    <n v="0.21375901392546762"/>
    <n v="3479.44"/>
    <n v="612.29999999999995"/>
    <n v="3600.34"/>
    <n v="33603.160000000003"/>
    <x v="12"/>
    <s v="Maharashtra"/>
    <x v="1"/>
    <x v="17"/>
    <s v="CC-1003"/>
  </r>
  <r>
    <s v="TXN-00732"/>
    <d v="2026-03-03T00:00:00"/>
    <x v="8"/>
    <x v="1"/>
    <x v="0"/>
    <x v="0"/>
    <x v="0"/>
    <s v="Rajasthan"/>
    <s v="Jaipur"/>
    <s v="Branch A"/>
    <x v="1"/>
    <s v="CC-1002"/>
    <s v="P009"/>
    <s v="Keyboard"/>
    <x v="1"/>
    <x v="1"/>
    <n v="6471.18"/>
    <n v="7272.77"/>
    <n v="3290.04"/>
    <n v="714.97"/>
    <n v="203.05"/>
    <n v="490.21"/>
    <n v="230.96"/>
    <n v="4929.24"/>
    <n v="3181.13"/>
    <n v="1541.9400000000005"/>
    <n v="0.23827802657320618"/>
    <n v="-801.59"/>
    <n v="0"/>
    <n v="776.54"/>
    <n v="7247.72"/>
    <x v="21"/>
    <s v="Rajasthan"/>
    <x v="1"/>
    <x v="2"/>
    <s v="CC-1002"/>
  </r>
  <r>
    <s v="TXN-00733"/>
    <d v="2025-08-30T00:00:00"/>
    <x v="7"/>
    <x v="0"/>
    <x v="0"/>
    <x v="4"/>
    <x v="0"/>
    <s v="Madhya Pradesh"/>
    <s v="Gwalior"/>
    <s v="Branch C"/>
    <x v="1"/>
    <s v="CC-1003"/>
    <s v="P020"/>
    <s v="Document Scanner"/>
    <x v="0"/>
    <x v="3"/>
    <n v="35228.49"/>
    <n v="36831.26"/>
    <n v="20867.490000000002"/>
    <n v="4535.93"/>
    <n v="2156.06"/>
    <n v="3272.35"/>
    <n v="762.59"/>
    <n v="31594.42"/>
    <n v="14361"/>
    <n v="3634.0699999999997"/>
    <n v="0.10315713219612875"/>
    <n v="-1602.78"/>
    <n v="1056.8499999999999"/>
    <n v="4100.6000000000004"/>
    <n v="38272.230000000003"/>
    <x v="42"/>
    <s v="Madhya Pradesh"/>
    <x v="1"/>
    <x v="6"/>
    <s v="CC-1003"/>
  </r>
  <r>
    <s v="TXN-00734"/>
    <d v="2026-02-06T00:00:00"/>
    <x v="2"/>
    <x v="1"/>
    <x v="0"/>
    <x v="1"/>
    <x v="0"/>
    <s v="Tamil Nadu"/>
    <s v="  Mumbai"/>
    <s v="Branch D"/>
    <x v="1"/>
    <s v="CC-1004"/>
    <s v="P014"/>
    <s v="Data Storage"/>
    <x v="2"/>
    <x v="12"/>
    <n v="17552.64"/>
    <n v="16861.39"/>
    <n v="11172.16"/>
    <n v="1066.72"/>
    <n v="1030.52"/>
    <n v="1780.64"/>
    <n v="276.45999999999998"/>
    <n v="15326.5"/>
    <n v="6380.48"/>
    <n v="2226.1399999999994"/>
    <n v="0.12682650587034197"/>
    <n v="691.25"/>
    <n v="877.63"/>
    <n v="3001.5"/>
    <n v="19676.509999999998"/>
    <x v="6"/>
    <s v="Maharashtra"/>
    <x v="1"/>
    <x v="19"/>
    <s v="CC-1004"/>
  </r>
  <r>
    <s v="TXN-00735"/>
    <d v="2025-06-23T00:00:00"/>
    <x v="11"/>
    <x v="2"/>
    <x v="0"/>
    <x v="0"/>
    <x v="0"/>
    <s v="Gujarat"/>
    <s v="Ahmedabad"/>
    <s v="Branch C"/>
    <x v="1"/>
    <s v="CC-1003"/>
    <s v="P010"/>
    <s v="Mouse"/>
    <x v="1"/>
    <x v="1"/>
    <n v="2701.61"/>
    <n v="2779.96"/>
    <n v="1560.9"/>
    <n v="286.13"/>
    <n v="226.32"/>
    <n v="282.10000000000002"/>
    <n v="52.97"/>
    <n v="2408.41"/>
    <n v="1140.71"/>
    <n v="293.20000000000027"/>
    <n v="0.10852787782100312"/>
    <n v="-78.36"/>
    <n v="216.13"/>
    <n v="447.39"/>
    <n v="2932.87"/>
    <x v="18"/>
    <s v="Gujarat"/>
    <x v="1"/>
    <x v="1"/>
    <s v="CC-1003"/>
  </r>
  <r>
    <s v="TXN-00736"/>
    <d v="2026-02-27T00:00:00"/>
    <x v="2"/>
    <x v="1"/>
    <x v="0"/>
    <x v="1"/>
    <x v="0"/>
    <s v="Telangana"/>
    <s v="Nizamabad"/>
    <s v="Branch A"/>
    <x v="1"/>
    <s v="CC-1003"/>
    <s v="P020"/>
    <s v="Document Scanner"/>
    <x v="0"/>
    <x v="3"/>
    <n v="47753.46"/>
    <n v="42103.18"/>
    <n v="23411.99"/>
    <n v="3320.06"/>
    <n v="1548.59"/>
    <n v="3947.64"/>
    <n v="1911.56"/>
    <n v="34139.85"/>
    <n v="24341.47"/>
    <n v="13613.61"/>
    <n v="0.28508112291758547"/>
    <n v="5650.27"/>
    <n v="2387.67"/>
    <n v="2268.29"/>
    <n v="47634.07"/>
    <x v="29"/>
    <s v="Telangana"/>
    <x v="1"/>
    <x v="6"/>
    <s v="CC-1003"/>
  </r>
  <r>
    <s v="TXN-00737"/>
    <d v="2025-10-18T00:00:00"/>
    <x v="5"/>
    <x v="3"/>
    <x v="0"/>
    <x v="3"/>
    <x v="0"/>
    <s v="Odisha"/>
    <s v="Cuttack"/>
    <s v="Branch C"/>
    <x v="1"/>
    <s v="CC-1002"/>
    <s v="P009"/>
    <s v="Keyboard"/>
    <x v="1"/>
    <x v="1"/>
    <n v="4159.8"/>
    <n v="4679.67"/>
    <n v="2863.78"/>
    <n v="420.78"/>
    <n v="225"/>
    <n v="386.75"/>
    <n v="144.49"/>
    <n v="4040.8"/>
    <n v="1296.02"/>
    <n v="119"/>
    <n v="2.8607144574258378E-2"/>
    <n v="-519.86"/>
    <n v="332.78"/>
    <n v="688.86"/>
    <n v="4515.88"/>
    <x v="28"/>
    <s v="Odisha"/>
    <x v="1"/>
    <x v="2"/>
    <s v="CC-1002"/>
  </r>
  <r>
    <s v="TXN-00738"/>
    <d v="2026-03-29T00:00:00"/>
    <x v="8"/>
    <x v="1"/>
    <x v="0"/>
    <x v="2"/>
    <x v="0"/>
    <s v="Haryana"/>
    <s v="Faridabad"/>
    <s v="Branch B"/>
    <x v="1"/>
    <s v="CC-1003"/>
    <s v="P008"/>
    <s v="Headset"/>
    <x v="1"/>
    <x v="8"/>
    <n v="6918.16"/>
    <n v="6176.15"/>
    <n v="3586.54"/>
    <n v="558.5"/>
    <n v="271.55"/>
    <n v="445.67"/>
    <n v="305.33999999999997"/>
    <n v="5167.59"/>
    <n v="3331.63"/>
    <n v="1750.5699999999997"/>
    <n v="0.25303982561837246"/>
    <n v="742.02"/>
    <n v="345.91"/>
    <n v="1183.01"/>
    <n v="7755.26"/>
    <x v="13"/>
    <s v="Haryana"/>
    <x v="1"/>
    <x v="11"/>
    <s v="CC-1003"/>
  </r>
  <r>
    <s v="TXN-00739"/>
    <d v="2025-11-15T00:00:00"/>
    <x v="10"/>
    <x v="3"/>
    <x v="0"/>
    <x v="4"/>
    <x v="0"/>
    <s v="Madhya Pradesh"/>
    <s v="Indore"/>
    <s v="Branch D"/>
    <x v="3"/>
    <s v="CC-1001"/>
    <s v="P017"/>
    <s v="UPS System"/>
    <x v="0"/>
    <x v="7"/>
    <n v="58887.61"/>
    <n v="62197.82"/>
    <n v="34620.07"/>
    <n v="6520.28"/>
    <n v="1732.19"/>
    <n v="5526.77"/>
    <n v="2644.18"/>
    <n v="51043.5"/>
    <n v="24267.54"/>
    <n v="7844.1100000000006"/>
    <n v="0.13320476072980378"/>
    <n v="-3310.21"/>
    <n v="4711.01"/>
    <n v="6501.19"/>
    <n v="60677.8"/>
    <x v="5"/>
    <s v="Madhya Pradesh"/>
    <x v="3"/>
    <x v="10"/>
    <s v="CC-1001"/>
  </r>
  <r>
    <s v="TXN-00740"/>
    <d v="2025-09-21T00:00:00"/>
    <x v="1"/>
    <x v="0"/>
    <x v="0"/>
    <x v="4"/>
    <x v="0"/>
    <s v="Chhattisgarh"/>
    <s v="Bilaspur"/>
    <s v="Branch A"/>
    <x v="2"/>
    <s v="CC-1005"/>
    <s v="P004"/>
    <s v="Office Chair"/>
    <x v="3"/>
    <x v="5"/>
    <n v="31193.26"/>
    <n v="30259.26"/>
    <n v="20635.810000000001"/>
    <n v="2642.86"/>
    <n v="1912.17"/>
    <n v="3285.16"/>
    <n v="554.29999999999995"/>
    <n v="29030.29"/>
    <n v="10557.46"/>
    <n v="2162.9699999999975"/>
    <n v="6.9340940959681602E-2"/>
    <n v="934"/>
    <n v="935.8"/>
    <n v="5446.34"/>
    <n v="35703.81"/>
    <x v="22"/>
    <s v="Chhattisgarh"/>
    <x v="2"/>
    <x v="17"/>
    <s v="CC-1005"/>
  </r>
  <r>
    <s v="TXN-00741"/>
    <d v="2025-07-09T00:00:00"/>
    <x v="0"/>
    <x v="0"/>
    <x v="0"/>
    <x v="2"/>
    <x v="0"/>
    <s v="Uttar Pradesh"/>
    <s v="Kanpur"/>
    <s v="Branch C"/>
    <x v="3"/>
    <s v="CC-1005"/>
    <s v="P013"/>
    <s v="CRM Software"/>
    <x v="2"/>
    <x v="4"/>
    <n v="11141.75"/>
    <n v="12933.19"/>
    <n v="5788.56"/>
    <n v="594.66"/>
    <n v="607.38"/>
    <n v="1159.82"/>
    <n v="412.34"/>
    <n v="8562.75"/>
    <n v="5353.19"/>
    <n v="2579"/>
    <n v="0.23147171674108646"/>
    <n v="-1791.44"/>
    <n v="891.34"/>
    <n v="1230.05"/>
    <n v="11480.46"/>
    <x v="25"/>
    <s v="Uttar Pradesh"/>
    <x v="3"/>
    <x v="15"/>
    <s v="CC-1005"/>
  </r>
  <r>
    <s v="TXN-00742"/>
    <d v="2025-09-01T00:00:00"/>
    <x v="1"/>
    <x v="0"/>
    <x v="0"/>
    <x v="4"/>
    <x v="0"/>
    <s v="Madhya Pradesh"/>
    <s v="Bhopal"/>
    <s v="Branch B"/>
    <x v="1"/>
    <s v="CC-1001"/>
    <s v="P008"/>
    <s v="Headset"/>
    <x v="1"/>
    <x v="8"/>
    <n v="1433.48"/>
    <n v="1642.79"/>
    <n v="918.8"/>
    <n v="184.29"/>
    <n v="41.71"/>
    <n v="160.88999999999999"/>
    <n v="55.18"/>
    <n v="1360.87"/>
    <n v="514.67999999999995"/>
    <n v="72.610000000000127"/>
    <n v="5.0652956441666522E-2"/>
    <n v="-209.32"/>
    <n v="28.67"/>
    <n v="252.87"/>
    <n v="1657.67"/>
    <x v="23"/>
    <s v="Madhya Pradesh"/>
    <x v="1"/>
    <x v="11"/>
    <s v="CC-1001"/>
  </r>
  <r>
    <s v="TXN-00743"/>
    <d v="2025-08-06T00:00:00"/>
    <x v="7"/>
    <x v="0"/>
    <x v="0"/>
    <x v="4"/>
    <x v="0"/>
    <s v="Madhya Pradesh"/>
    <s v="Indore"/>
    <s v="Branch D"/>
    <x v="0"/>
    <s v="CC-1005"/>
    <s v="P008"/>
    <s v="Headset"/>
    <x v="1"/>
    <x v="8"/>
    <n v="6866.45"/>
    <n v="6604.86"/>
    <n v="4328.25"/>
    <n v="798.12"/>
    <n v="487.41"/>
    <n v="538.04"/>
    <n v="209.16"/>
    <n v="6360.99"/>
    <n v="2538.1999999999998"/>
    <n v="505.46000000000004"/>
    <n v="7.3613002352015969E-2"/>
    <n v="261.58999999999997"/>
    <n v="686.64"/>
    <n v="1112.3599999999999"/>
    <n v="7292.17"/>
    <x v="5"/>
    <s v="Madhya Pradesh"/>
    <x v="0"/>
    <x v="11"/>
    <s v="CC-1005"/>
  </r>
  <r>
    <s v="TXN-00744"/>
    <d v="2025-11-02T00:00:00"/>
    <x v="10"/>
    <x v="3"/>
    <x v="0"/>
    <x v="2"/>
    <x v="0"/>
    <s v="Punjab"/>
    <s v="Ludhiana"/>
    <s v="Branch B"/>
    <x v="2"/>
    <s v="CC-1003"/>
    <s v="P017"/>
    <s v="UPS System"/>
    <x v="0"/>
    <x v="7"/>
    <n v="37787.949999999997"/>
    <n v="42612.82"/>
    <n v="26633.919999999998"/>
    <n v="4317.2700000000004"/>
    <n v="1992.7"/>
    <n v="3430.89"/>
    <n v="1510.4"/>
    <n v="37885.18"/>
    <n v="11154.03"/>
    <n v="-97.230000000003201"/>
    <n v="-2.57304246459528E-3"/>
    <n v="-4824.8599999999997"/>
    <n v="1133.6400000000001"/>
    <n v="1832.72"/>
    <n v="38487.03"/>
    <x v="35"/>
    <s v="Punjab"/>
    <x v="2"/>
    <x v="10"/>
    <s v="CC-1003"/>
  </r>
  <r>
    <s v="TXN-00745"/>
    <d v="2025-10-22T00:00:00"/>
    <x v="5"/>
    <x v="3"/>
    <x v="0"/>
    <x v="3"/>
    <x v="0"/>
    <s v="Odisha"/>
    <s v="Rourkela"/>
    <s v="Branch A"/>
    <x v="1"/>
    <s v="CC-1001"/>
    <s v="P020"/>
    <s v="Document Scanner"/>
    <x v="0"/>
    <x v="3"/>
    <n v="34759.5"/>
    <n v="34738.199999999997"/>
    <n v="22312.880000000001"/>
    <n v="1892.69"/>
    <n v="1149.01"/>
    <n v="2778.57"/>
    <n v="757.54"/>
    <n v="28890.69"/>
    <n v="12446.62"/>
    <n v="5868.8100000000013"/>
    <n v="0.16884046088119797"/>
    <n v="21.3"/>
    <n v="695.19"/>
    <n v="1703.22"/>
    <n v="35767.519999999997"/>
    <x v="41"/>
    <s v="Odisha"/>
    <x v="1"/>
    <x v="6"/>
    <s v="CC-1001"/>
  </r>
  <r>
    <s v="TXN-00746"/>
    <d v="2025-04-04T00:00:00"/>
    <x v="9"/>
    <x v="2"/>
    <x v="0"/>
    <x v="3"/>
    <x v="0"/>
    <s v="Bihar"/>
    <s v="Gaya"/>
    <s v="Branch C"/>
    <x v="1"/>
    <s v="CC-1002"/>
    <s v="P005"/>
    <s v="Office Desk"/>
    <x v="3"/>
    <x v="5"/>
    <n v="22996.68"/>
    <n v="25078.33"/>
    <n v="15212.76"/>
    <n v="2584.7600000000002"/>
    <n v="1289.24"/>
    <n v="1710.74"/>
    <n v="238.84"/>
    <n v="21036.34"/>
    <n v="7783.93"/>
    <n v="1960.3400000000001"/>
    <n v="8.5244478768239595E-2"/>
    <n v="-2081.64"/>
    <n v="1839.73"/>
    <n v="3808.25"/>
    <n v="24965.200000000001"/>
    <x v="32"/>
    <s v="Bihar"/>
    <x v="1"/>
    <x v="8"/>
    <s v="CC-1002"/>
  </r>
  <r>
    <s v="TXN-00747"/>
    <d v="2025-11-15T00:00:00"/>
    <x v="10"/>
    <x v="3"/>
    <x v="0"/>
    <x v="4"/>
    <x v="0"/>
    <s v="Chhattisgarh"/>
    <s v="Bhilai"/>
    <s v="Branch D"/>
    <x v="1"/>
    <s v="CC-1005"/>
    <s v="P016"/>
    <s v="Network Switch"/>
    <x v="4"/>
    <x v="10"/>
    <n v="20492.77"/>
    <n v="22548.5"/>
    <n v="13211.69"/>
    <n v="1546.16"/>
    <n v="747.82"/>
    <n v="987.59"/>
    <n v="733.76"/>
    <n v="17227.02"/>
    <n v="7281.08"/>
    <n v="3265.75"/>
    <n v="0.15936108198159643"/>
    <n v="-2055.73"/>
    <n v="614.78"/>
    <n v="2385.36"/>
    <n v="22263.34"/>
    <x v="38"/>
    <s v="Chhattisgarh"/>
    <x v="1"/>
    <x v="13"/>
    <s v="CC-1005"/>
  </r>
  <r>
    <s v="TXN-00748"/>
    <d v="2025-09-22T00:00:00"/>
    <x v="1"/>
    <x v="0"/>
    <x v="0"/>
    <x v="3"/>
    <x v="0"/>
    <s v="Jharkhand"/>
    <s v="Jamshedpur"/>
    <s v="Branch C"/>
    <x v="2"/>
    <s v="CC-1005"/>
    <s v="P016"/>
    <s v="Network Switch"/>
    <x v="4"/>
    <x v="10"/>
    <n v="30344.31"/>
    <n v="33115.22"/>
    <n v="21049.72"/>
    <n v="3740.58"/>
    <n v="1306.3699999999999"/>
    <n v="1669.88"/>
    <n v="580.94000000000005"/>
    <n v="28347.49"/>
    <n v="9294.59"/>
    <n v="1996.8199999999997"/>
    <n v="6.5805417885593701E-2"/>
    <n v="-2770.92"/>
    <n v="1517.22"/>
    <n v="3459.25"/>
    <n v="32286.34"/>
    <x v="30"/>
    <s v="Jharkhand"/>
    <x v="2"/>
    <x v="13"/>
    <s v="CC-1005"/>
  </r>
  <r>
    <s v="TXN-00749"/>
    <d v="2026-03-27T00:00:00"/>
    <x v="8"/>
    <x v="1"/>
    <x v="0"/>
    <x v="1"/>
    <x v="0"/>
    <s v="Karnataka"/>
    <s v="Mysuru"/>
    <s v="Branch D"/>
    <x v="1"/>
    <s v="CC-1002"/>
    <s v="P016"/>
    <s v="Network Switch"/>
    <x v="4"/>
    <x v="10"/>
    <n v="8328.9699999999993"/>
    <n v="9064.4699999999993"/>
    <n v="5661.48"/>
    <n v="980.39"/>
    <n v="575.53"/>
    <n v="968.84"/>
    <n v="232.25"/>
    <n v="8418.49"/>
    <n v="2667.48"/>
    <n v="-89.520000000000437"/>
    <n v="-1.0748027667286645E-2"/>
    <n v="-735.5"/>
    <n v="666.32"/>
    <n v="1379.28"/>
    <n v="9041.93"/>
    <x v="33"/>
    <s v="Karnataka"/>
    <x v="1"/>
    <x v="13"/>
    <s v="CC-1002"/>
  </r>
  <r>
    <s v="TXN-00750"/>
    <d v="2025-09-02T00:00:00"/>
    <x v="1"/>
    <x v="0"/>
    <x v="0"/>
    <x v="1"/>
    <x v="0"/>
    <s v="Kerala"/>
    <s v="Kozhikode"/>
    <s v="Branch D"/>
    <x v="2"/>
    <s v="CC-1004"/>
    <s v="P012"/>
    <s v="Accounting Software"/>
    <x v="2"/>
    <x v="4"/>
    <n v="6604.56"/>
    <n v="7301.6"/>
    <n v="3320.75"/>
    <n v="499.71"/>
    <n v="331.32"/>
    <n v="593.14"/>
    <n v="102.6"/>
    <n v="4847.5200000000004"/>
    <n v="3283.81"/>
    <n v="1757.04"/>
    <n v="0.26603437624913695"/>
    <n v="-697.04"/>
    <n v="528.36"/>
    <n v="729.14"/>
    <n v="6805.34"/>
    <x v="24"/>
    <s v="Kerala"/>
    <x v="2"/>
    <x v="7"/>
    <s v="CC-1004"/>
  </r>
  <r>
    <s v="TXN-00751"/>
    <d v="2026-02-19T00:00:00"/>
    <x v="2"/>
    <x v="1"/>
    <x v="0"/>
    <x v="0"/>
    <x v="0"/>
    <s v="Maharashtra"/>
    <s v="Mumbai"/>
    <s v="Branch D"/>
    <x v="1"/>
    <s v="CC-1004"/>
    <s v="P008"/>
    <s v="Headset"/>
    <x v="1"/>
    <x v="8"/>
    <n v="4364.1400000000003"/>
    <n v="5107.5200000000004"/>
    <n v="2853.02"/>
    <n v="361.97"/>
    <n v="114.52"/>
    <n v="186.47"/>
    <n v="148.24"/>
    <n v="3664.22"/>
    <n v="1511.12"/>
    <n v="699.92000000000053"/>
    <n v="0.16037982282878196"/>
    <n v="-743.39"/>
    <n v="349.13"/>
    <n v="722.7"/>
    <n v="4737.71"/>
    <x v="6"/>
    <s v="Maharashtra"/>
    <x v="1"/>
    <x v="11"/>
    <s v="CC-1004"/>
  </r>
  <r>
    <s v="TXN-00752"/>
    <d v="2025-07-27T00:00:00"/>
    <x v="0"/>
    <x v="0"/>
    <x v="0"/>
    <x v="4"/>
    <x v="0"/>
    <s v="Chhattisgarh"/>
    <s v="Bilaspur"/>
    <s v="Branch B"/>
    <x v="4"/>
    <s v="CC-1001"/>
    <s v="P020"/>
    <s v="Document Scanner"/>
    <x v="0"/>
    <x v="3"/>
    <n v="19485.23"/>
    <n v="21669.599999999999"/>
    <n v="11825.29"/>
    <n v="2420.8000000000002"/>
    <n v="1030.1600000000001"/>
    <n v="2135.29"/>
    <n v="501.03"/>
    <n v="17912.560000000001"/>
    <n v="7659.94"/>
    <n v="1572.6699999999983"/>
    <n v="8.0710876905225049E-2"/>
    <n v="-2184.37"/>
    <n v="1948.52"/>
    <n v="3156.61"/>
    <n v="20693.310000000001"/>
    <x v="22"/>
    <s v="Chhattisgarh"/>
    <x v="4"/>
    <x v="6"/>
    <s v="CC-1001"/>
  </r>
  <r>
    <s v="TXN-00753"/>
    <d v="2025-06-01T00:00:00"/>
    <x v="11"/>
    <x v="2"/>
    <x v="0"/>
    <x v="4"/>
    <x v="0"/>
    <s v="Chhattisgarh"/>
    <s v="Raipur"/>
    <s v="Branch A"/>
    <x v="0"/>
    <s v="CC-1003"/>
    <s v="P013"/>
    <s v="CRM Software"/>
    <x v="2"/>
    <x v="4"/>
    <n v="7143.93"/>
    <n v="7144.4"/>
    <n v="4418.25"/>
    <n v="845.79"/>
    <n v="630.99"/>
    <n v="536.92999999999995"/>
    <n v="86.55"/>
    <n v="6518.52"/>
    <n v="2725.69"/>
    <n v="625.40999999999985"/>
    <n v="8.7544250853521771E-2"/>
    <n v="-0.47"/>
    <n v="357.2"/>
    <n v="814.41"/>
    <n v="7601.15"/>
    <x v="50"/>
    <s v="Chhattisgarh"/>
    <x v="0"/>
    <x v="15"/>
    <s v="CC-1003"/>
  </r>
  <r>
    <s v="TXN-00754"/>
    <d v="2026-03-08T00:00:00"/>
    <x v="8"/>
    <x v="1"/>
    <x v="0"/>
    <x v="1"/>
    <x v="0"/>
    <s v="Telangana"/>
    <s v="Hyderabad"/>
    <s v="Branch B"/>
    <x v="1"/>
    <s v="CC-1004"/>
    <s v="P015"/>
    <s v="Network Router"/>
    <x v="4"/>
    <x v="10"/>
    <n v="10184.89"/>
    <n v="9856.34"/>
    <n v="6810.71"/>
    <n v="1122.33"/>
    <n v="392.88"/>
    <n v="567.74"/>
    <n v="330.91"/>
    <n v="9224.57"/>
    <n v="3374.17"/>
    <n v="960.31999999999971"/>
    <n v="9.4288696294216212E-2"/>
    <n v="328.54"/>
    <n v="305.55"/>
    <n v="1778.28"/>
    <n v="11657.62"/>
    <x v="51"/>
    <s v="Telangana"/>
    <x v="1"/>
    <x v="14"/>
    <s v="CC-1004"/>
  </r>
  <r>
    <s v="TXN-00755"/>
    <d v="2025-10-23T00:00:00"/>
    <x v="5"/>
    <x v="3"/>
    <x v="0"/>
    <x v="0"/>
    <x v="0"/>
    <s v="Rajasthan"/>
    <s v="Udaipur"/>
    <s v="Branch D"/>
    <x v="4"/>
    <s v="CC-1003"/>
    <s v="P010"/>
    <s v="Mouse"/>
    <x v="1"/>
    <x v="1"/>
    <n v="2243.56"/>
    <n v="2196.3200000000002"/>
    <n v="1427.1"/>
    <n v="248.05"/>
    <n v="165.39"/>
    <n v="181.26"/>
    <n v="86.1"/>
    <n v="2107.9"/>
    <n v="816.46"/>
    <n v="135.65999999999985"/>
    <n v="6.046640161172416E-2"/>
    <n v="47.24"/>
    <n v="67.31"/>
    <n v="108.81"/>
    <n v="2285.06"/>
    <x v="17"/>
    <s v="Rajasthan"/>
    <x v="4"/>
    <x v="1"/>
    <s v="CC-1003"/>
  </r>
  <r>
    <s v="TXN-00756"/>
    <d v="2025-09-13T00:00:00"/>
    <x v="1"/>
    <x v="0"/>
    <x v="0"/>
    <x v="0"/>
    <x v="0"/>
    <s v="Gujarat"/>
    <s v="Ahmedabad"/>
    <s v="Branch C"/>
    <x v="0"/>
    <s v="CC-1001"/>
    <s v="P019"/>
    <s v="Conference Camera"/>
    <x v="0"/>
    <x v="0"/>
    <n v="62168.92"/>
    <n v="60889.37"/>
    <n v="44422.05"/>
    <n v="7402.79"/>
    <n v="2859.64"/>
    <n v="4793.38"/>
    <n v="1524.86"/>
    <n v="61002.720000000001"/>
    <n v="17746.87"/>
    <n v="1166.1999999999971"/>
    <n v="1.8758569394481957E-2"/>
    <n v="1279.55"/>
    <n v="0"/>
    <n v="11190.41"/>
    <n v="73359.33"/>
    <x v="18"/>
    <s v="Gujarat"/>
    <x v="0"/>
    <x v="0"/>
    <s v="CC-1001"/>
  </r>
  <r>
    <s v="TXN-00757"/>
    <d v="2025-11-13T00:00:00"/>
    <x v="10"/>
    <x v="3"/>
    <x v="0"/>
    <x v="4"/>
    <x v="0"/>
    <s v="Chhattisgarh"/>
    <s v="Bhilai"/>
    <s v="Branch D"/>
    <x v="1"/>
    <s v="CC-1002"/>
    <s v="P017"/>
    <s v="UPS System"/>
    <x v="0"/>
    <x v="7"/>
    <n v="37023.06"/>
    <n v="34924.28"/>
    <n v="18431.54"/>
    <n v="2706.87"/>
    <n v="2435.5100000000002"/>
    <n v="3157.88"/>
    <n v="1163.46"/>
    <n v="27895.25"/>
    <n v="18591.52"/>
    <n v="9127.8099999999977"/>
    <n v="0.2465439107410354"/>
    <n v="2098.7800000000002"/>
    <n v="1851.15"/>
    <n v="4220.63"/>
    <n v="39392.53"/>
    <x v="38"/>
    <s v="Chhattisgarh"/>
    <x v="1"/>
    <x v="10"/>
    <s v="CC-1002"/>
  </r>
  <r>
    <s v="TXN-00758"/>
    <d v="2025-12-18T00:00:00"/>
    <x v="6"/>
    <x v="3"/>
    <x v="0"/>
    <x v="0"/>
    <x v="0"/>
    <s v="Gujarat"/>
    <s v="Vadodara"/>
    <s v="Branch C"/>
    <x v="0"/>
    <s v="CC-1003"/>
    <s v="P005"/>
    <s v="Office Desk"/>
    <x v="3"/>
    <x v="5"/>
    <n v="15156.7"/>
    <n v="16715.099999999999"/>
    <n v="9673.85"/>
    <n v="1251.17"/>
    <n v="637.01"/>
    <n v="1793.89"/>
    <n v="574.49"/>
    <n v="13930.41"/>
    <n v="5482.85"/>
    <n v="1226.2900000000009"/>
    <n v="8.090745346942281E-2"/>
    <n v="-1558.4"/>
    <n v="303.13"/>
    <n v="2673.64"/>
    <n v="17527.21"/>
    <x v="19"/>
    <s v="Gujarat"/>
    <x v="0"/>
    <x v="8"/>
    <s v="CC-1003"/>
  </r>
  <r>
    <s v="TXN-00759"/>
    <d v="2026-01-17T00:00:00"/>
    <x v="4"/>
    <x v="1"/>
    <x v="0"/>
    <x v="0"/>
    <x v="0"/>
    <s v="Goa"/>
    <s v="Panaji"/>
    <s v="Branch B"/>
    <x v="1"/>
    <s v="CC-1004"/>
    <s v="P015"/>
    <s v="Network Router"/>
    <x v="4"/>
    <x v="10"/>
    <n v="38876.559999999998"/>
    <n v="44656.53"/>
    <n v="20867.14"/>
    <n v="3018.13"/>
    <n v="2874.55"/>
    <n v="2875.5"/>
    <n v="1528.1"/>
    <n v="31163.42"/>
    <n v="18009.419999999998"/>
    <n v="7713.1399999999994"/>
    <n v="0.19840078443154435"/>
    <n v="-5779.97"/>
    <n v="3110.13"/>
    <n v="4291.97"/>
    <n v="40058.410000000003"/>
    <x v="14"/>
    <s v="Goa"/>
    <x v="1"/>
    <x v="14"/>
    <s v="CC-1004"/>
  </r>
  <r>
    <s v="TXN-00760"/>
    <d v="2025-04-21T00:00:00"/>
    <x v="9"/>
    <x v="2"/>
    <x v="0"/>
    <x v="0"/>
    <x v="0"/>
    <s v="Goa"/>
    <s v="Vasco da Gama"/>
    <s v="Branch D"/>
    <x v="0"/>
    <s v="CC-1004"/>
    <s v="P011"/>
    <s v="Cloud Software"/>
    <x v="2"/>
    <x v="11"/>
    <n v="31970.91"/>
    <n v="32580.06"/>
    <n v="20052.59"/>
    <n v="2295.59"/>
    <n v="1369.04"/>
    <n v="1569.27"/>
    <n v="447.33"/>
    <n v="25733.82"/>
    <n v="11918.32"/>
    <n v="6237.09"/>
    <n v="0.19508640823798884"/>
    <n v="-609.16"/>
    <n v="959.13"/>
    <n v="5582.12"/>
    <n v="36593.9"/>
    <x v="0"/>
    <s v="Goa"/>
    <x v="0"/>
    <x v="18"/>
    <s v="CC-1004"/>
  </r>
  <r>
    <s v="TXN-00761"/>
    <d v="2026-01-26T00:00:00"/>
    <x v="4"/>
    <x v="1"/>
    <x v="0"/>
    <x v="2"/>
    <x v="0"/>
    <s v="Haryana"/>
    <s v="Gurugram"/>
    <s v="Branch A"/>
    <x v="0"/>
    <s v="CC-1004"/>
    <s v="P018"/>
    <s v="Projector"/>
    <x v="0"/>
    <x v="6"/>
    <n v="47627.91"/>
    <n v="48387.44"/>
    <n v="24647.38"/>
    <n v="6029.8"/>
    <n v="3601.53"/>
    <n v="4712.2"/>
    <n v="1626.84"/>
    <n v="40617.74"/>
    <n v="22980.54"/>
    <n v="7010.1700000000055"/>
    <n v="0.14718617718056504"/>
    <n v="-759.52"/>
    <n v="1428.84"/>
    <n v="8315.83"/>
    <n v="54514.91"/>
    <x v="27"/>
    <s v="Haryana"/>
    <x v="0"/>
    <x v="9"/>
    <s v="CC-1004"/>
  </r>
  <r>
    <s v="TXN-00762"/>
    <d v="2025-07-20T00:00:00"/>
    <x v="0"/>
    <x v="0"/>
    <x v="0"/>
    <x v="0"/>
    <x v="0"/>
    <s v="Goa"/>
    <s v="Panaji"/>
    <s v="Branch D"/>
    <x v="1"/>
    <s v="CC-1002"/>
    <s v="P018"/>
    <s v="Projector"/>
    <x v="0"/>
    <x v="6"/>
    <n v="45063.81"/>
    <n v="52452.06"/>
    <n v="24296.84"/>
    <n v="5148.43"/>
    <n v="2919.38"/>
    <n v="3161.3"/>
    <n v="452.8"/>
    <n v="35978.74"/>
    <n v="20766.98"/>
    <n v="9085.07"/>
    <n v="0.20160456916536795"/>
    <n v="-7388.24"/>
    <n v="1351.91"/>
    <n v="5245.43"/>
    <n v="48957.33"/>
    <x v="14"/>
    <s v="Goa"/>
    <x v="1"/>
    <x v="9"/>
    <s v="CC-1002"/>
  </r>
  <r>
    <s v="TXN-00763"/>
    <d v="2025-05-08T00:00:00"/>
    <x v="3"/>
    <x v="2"/>
    <x v="0"/>
    <x v="2"/>
    <x v="0"/>
    <s v="Haryana"/>
    <s v="Faridabad"/>
    <s v="Branch D"/>
    <x v="4"/>
    <s v="CC-1002"/>
    <s v="P013"/>
    <s v="CRM Software"/>
    <x v="2"/>
    <x v="4"/>
    <n v="14547.87"/>
    <n v="15042.77"/>
    <n v="9809.65"/>
    <n v="1371.74"/>
    <n v="1164.3"/>
    <n v="1185.42"/>
    <n v="452.94"/>
    <n v="13984.06"/>
    <n v="4738.2299999999996"/>
    <n v="563.81000000000131"/>
    <n v="3.8755501664504928E-2"/>
    <n v="-494.89"/>
    <n v="436.44"/>
    <n v="2540.06"/>
    <n v="16651.5"/>
    <x v="13"/>
    <s v="Haryana"/>
    <x v="4"/>
    <x v="15"/>
    <s v="CC-1002"/>
  </r>
  <r>
    <s v="TXN-00764"/>
    <d v="2025-08-07T00:00:00"/>
    <x v="7"/>
    <x v="0"/>
    <x v="0"/>
    <x v="0"/>
    <x v="0"/>
    <s v="Maharashtra"/>
    <s v="Nagpur"/>
    <s v="Branch D"/>
    <x v="1"/>
    <s v="CC-1005"/>
    <s v="P007"/>
    <s v="Tablet"/>
    <x v="0"/>
    <x v="9"/>
    <n v="24296.69"/>
    <n v="21769.81"/>
    <n v="17291.86"/>
    <n v="2870.92"/>
    <n v="2049.6"/>
    <n v="2618.63"/>
    <n v="650.75"/>
    <n v="25481.75"/>
    <n v="7004.83"/>
    <n v="-1185.0600000000013"/>
    <n v="-4.877454501004052E-2"/>
    <n v="2526.88"/>
    <n v="1943.74"/>
    <n v="4023.53"/>
    <n v="26376.49"/>
    <x v="15"/>
    <s v="Maharashtra"/>
    <x v="1"/>
    <x v="12"/>
    <s v="CC-1005"/>
  </r>
  <r>
    <s v="TXN-00765"/>
    <d v="2025-09-15T00:00:00"/>
    <x v="1"/>
    <x v="0"/>
    <x v="0"/>
    <x v="0"/>
    <x v="0"/>
    <s v="Maharashtra"/>
    <s v="Mumbai"/>
    <s v="Branch D"/>
    <x v="4"/>
    <s v="CC-1001"/>
    <s v="P013"/>
    <s v="CRM Software"/>
    <x v="2"/>
    <x v="4"/>
    <n v="34060.300000000003"/>
    <n v="37905.18"/>
    <n v="22220.45"/>
    <n v="2424.46"/>
    <n v="2227.1"/>
    <n v="2783.38"/>
    <n v="1368.14"/>
    <n v="31023.52"/>
    <n v="11839.86"/>
    <n v="3036.7800000000025"/>
    <n v="8.9158932833827129E-2"/>
    <n v="-3844.88"/>
    <n v="1021.81"/>
    <n v="1651.92"/>
    <n v="34690.42"/>
    <x v="6"/>
    <s v="Maharashtra"/>
    <x v="4"/>
    <x v="15"/>
    <s v="CC-1001"/>
  </r>
  <r>
    <s v="TXN-00766"/>
    <d v="2025-07-31T00:00:00"/>
    <x v="0"/>
    <x v="0"/>
    <x v="0"/>
    <x v="0"/>
    <x v="0"/>
    <s v="Maharashtra"/>
    <s v="Pune"/>
    <s v="Branch A"/>
    <x v="1"/>
    <s v="CC-1001"/>
    <s v="P006"/>
    <s v="Smartphone"/>
    <x v="0"/>
    <x v="9"/>
    <n v="28323.96"/>
    <n v="31593.46"/>
    <n v="16895.78"/>
    <n v="2176.36"/>
    <n v="859.72"/>
    <n v="2379.88"/>
    <n v="552.16"/>
    <n v="22863.9"/>
    <n v="11428.18"/>
    <n v="5460.0599999999977"/>
    <n v="0.1927717734384598"/>
    <n v="-3269.5"/>
    <n v="1416.2"/>
    <n v="4843.3999999999996"/>
    <n v="31751.16"/>
    <x v="12"/>
    <s v="Maharashtra"/>
    <x v="1"/>
    <x v="16"/>
    <s v="CC-1001"/>
  </r>
  <r>
    <s v="TXN-00767"/>
    <d v="2025-07-09T00:00:00"/>
    <x v="0"/>
    <x v="0"/>
    <x v="0"/>
    <x v="1"/>
    <x v="0"/>
    <s v="Karnataka"/>
    <s v="Bengaluru"/>
    <s v="Branch C"/>
    <x v="4"/>
    <s v="CC-1005"/>
    <s v="P017"/>
    <s v="UPS System"/>
    <x v="0"/>
    <x v="7"/>
    <n v="41634.980000000003"/>
    <n v="48329.54"/>
    <n v="20934.72"/>
    <n v="4326.78"/>
    <n v="1401.88"/>
    <n v="4596.1899999999996"/>
    <n v="1160.57"/>
    <n v="32420.14"/>
    <n v="20700.259999999998"/>
    <n v="9214.8400000000038"/>
    <n v="0.2213244728351017"/>
    <n v="-6694.57"/>
    <n v="0"/>
    <n v="7494.3"/>
    <n v="49129.27"/>
    <x v="49"/>
    <s v="Karnataka"/>
    <x v="4"/>
    <x v="10"/>
    <s v="CC-1005"/>
  </r>
  <r>
    <s v="TXN-00768"/>
    <d v="2025-11-18T00:00:00"/>
    <x v="10"/>
    <x v="3"/>
    <x v="0"/>
    <x v="0"/>
    <x v="0"/>
    <s v="Goa"/>
    <s v="Panaji"/>
    <s v="Branch A"/>
    <x v="2"/>
    <s v="CC-1005"/>
    <s v="P001"/>
    <s v="Business Laptop"/>
    <x v="0"/>
    <x v="2"/>
    <n v="43184.25"/>
    <n v="45271.47"/>
    <n v="26257.84"/>
    <n v="5004.03"/>
    <n v="3835.29"/>
    <n v="3147.41"/>
    <n v="1585.67"/>
    <n v="39830.239999999998"/>
    <n v="16926.41"/>
    <n v="3354.010000000002"/>
    <n v="7.7667436623305997E-2"/>
    <n v="-2087.23"/>
    <n v="0"/>
    <n v="7773.16"/>
    <n v="50957.41"/>
    <x v="14"/>
    <s v="Goa"/>
    <x v="2"/>
    <x v="4"/>
    <s v="CC-1005"/>
  </r>
  <r>
    <s v="TXN-00769"/>
    <d v="2025-06-04T00:00:00"/>
    <x v="11"/>
    <x v="2"/>
    <x v="0"/>
    <x v="2"/>
    <x v="0"/>
    <s v="Punjab"/>
    <s v="Jalandhar"/>
    <s v="Branch B"/>
    <x v="0"/>
    <s v="CC-1002"/>
    <s v="P009"/>
    <s v="Keyboard"/>
    <x v="1"/>
    <x v="1"/>
    <n v="9927.4500000000007"/>
    <n v="9718.11"/>
    <n v="5696.17"/>
    <n v="1084.72"/>
    <n v="636.30999999999995"/>
    <n v="930.51"/>
    <n v="234.49"/>
    <n v="8582.2000000000007"/>
    <n v="4231.28"/>
    <n v="1345.25"/>
    <n v="0.13550811134782847"/>
    <n v="209.33"/>
    <n v="297.82"/>
    <n v="1733.33"/>
    <n v="11362.95"/>
    <x v="52"/>
    <s v="Punjab"/>
    <x v="0"/>
    <x v="2"/>
    <s v="CC-1002"/>
  </r>
  <r>
    <s v="TXN-00770"/>
    <d v="2025-05-06T00:00:00"/>
    <x v="3"/>
    <x v="2"/>
    <x v="0"/>
    <x v="0"/>
    <x v="0"/>
    <s v="Rajasthan"/>
    <s v="Udaipur"/>
    <s v="Branch D"/>
    <x v="2"/>
    <s v="CC-1002"/>
    <s v="P006"/>
    <s v="Smartphone"/>
    <x v="0"/>
    <x v="9"/>
    <n v="25358.94"/>
    <n v="22402.84"/>
    <n v="14773.82"/>
    <n v="2100.41"/>
    <n v="2263.17"/>
    <n v="1967.45"/>
    <n v="481.18"/>
    <n v="21586.02"/>
    <n v="10585.12"/>
    <n v="3772.9199999999983"/>
    <n v="0.14878066669979101"/>
    <n v="2956.1"/>
    <n v="2028.72"/>
    <n v="2799.63"/>
    <n v="26129.85"/>
    <x v="17"/>
    <s v="Rajasthan"/>
    <x v="2"/>
    <x v="16"/>
    <s v="CC-1002"/>
  </r>
  <r>
    <s v="TXN-00771"/>
    <d v="2025-12-30T00:00:00"/>
    <x v="6"/>
    <x v="3"/>
    <x v="0"/>
    <x v="3"/>
    <x v="0"/>
    <s v="Jharkhand"/>
    <s v="Ranchi"/>
    <s v="Branch D"/>
    <x v="1"/>
    <s v="CC-1003"/>
    <s v="P006"/>
    <s v="Smartphone"/>
    <x v="0"/>
    <x v="9"/>
    <n v="55585.41"/>
    <n v="57338.3"/>
    <n v="39470.410000000003"/>
    <n v="3545.89"/>
    <n v="3989.82"/>
    <n v="4955.91"/>
    <n v="1878.15"/>
    <n v="53840.18"/>
    <n v="16115"/>
    <n v="1745.2300000000032"/>
    <n v="3.1397267736263945E-2"/>
    <n v="-1752.89"/>
    <n v="1667.56"/>
    <n v="6470.14"/>
    <n v="60387.99"/>
    <x v="9"/>
    <s v="Jharkhand"/>
    <x v="1"/>
    <x v="16"/>
    <s v="CC-1003"/>
  </r>
  <r>
    <s v="TXN-00772"/>
    <d v="2026-03-23T00:00:00"/>
    <x v="8"/>
    <x v="1"/>
    <x v="0"/>
    <x v="3"/>
    <x v="0"/>
    <s v="West Bengal"/>
    <s v="Siliguri"/>
    <s v="Branch C"/>
    <x v="1"/>
    <s v="CC-1005"/>
    <s v="P015"/>
    <s v="Network Router"/>
    <x v="4"/>
    <x v="10"/>
    <n v="42591.15"/>
    <n v="48789.51"/>
    <n v="20527.580000000002"/>
    <n v="4315.2"/>
    <n v="1253.69"/>
    <n v="2632.45"/>
    <n v="1287.99"/>
    <n v="30016.92"/>
    <n v="22063.57"/>
    <n v="12574.230000000003"/>
    <n v="0.29523105152126683"/>
    <n v="-6198.35"/>
    <n v="2129.56"/>
    <n v="7283.09"/>
    <n v="47744.68"/>
    <x v="44"/>
    <s v="West Bengal"/>
    <x v="1"/>
    <x v="14"/>
    <s v="CC-1005"/>
  </r>
  <r>
    <s v="TXN-00773"/>
    <d v="2025-11-07T00:00:00"/>
    <x v="10"/>
    <x v="3"/>
    <x v="0"/>
    <x v="0"/>
    <x v="0"/>
    <s v="Rajasthan"/>
    <s v="Udaipur"/>
    <s v="Branch B"/>
    <x v="1"/>
    <s v="CC-1001"/>
    <s v="P007"/>
    <s v="Tablet"/>
    <x v="0"/>
    <x v="9"/>
    <n v="62873.24"/>
    <n v="63039.49"/>
    <n v="40632.93"/>
    <n v="4149.72"/>
    <n v="5549.39"/>
    <n v="4275.37"/>
    <n v="2490.12"/>
    <n v="57097.53"/>
    <n v="22240.3"/>
    <n v="5775.7099999999991"/>
    <n v="9.1862770234204555E-2"/>
    <n v="-166.25"/>
    <n v="6287.32"/>
    <n v="10185.459999999999"/>
    <n v="66771.38"/>
    <x v="17"/>
    <s v="Rajasthan"/>
    <x v="1"/>
    <x v="12"/>
    <s v="CC-1001"/>
  </r>
  <r>
    <s v="TXN-00774"/>
    <d v="2025-07-23T00:00:00"/>
    <x v="0"/>
    <x v="0"/>
    <x v="0"/>
    <x v="0"/>
    <x v="0"/>
    <s v="Rajasthan"/>
    <s v="Udaipur"/>
    <s v="Branch D"/>
    <x v="1"/>
    <s v="CC-1004"/>
    <s v="P009"/>
    <s v="Keyboard"/>
    <x v="1"/>
    <x v="1"/>
    <n v="10808.67"/>
    <n v="10243.89"/>
    <n v="6607.29"/>
    <n v="1366.24"/>
    <n v="619.17999999999995"/>
    <n v="772.67"/>
    <n v="290.89999999999998"/>
    <n v="9656.2800000000007"/>
    <n v="4201.3900000000003"/>
    <n v="1152.3899999999994"/>
    <n v="0.10661718786862763"/>
    <n v="564.78"/>
    <n v="864.69"/>
    <n v="1193.28"/>
    <n v="11137.26"/>
    <x v="17"/>
    <s v="Rajasthan"/>
    <x v="1"/>
    <x v="2"/>
    <s v="CC-1004"/>
  </r>
  <r>
    <s v="TXN-00775"/>
    <d v="2025-11-04T00:00:00"/>
    <x v="10"/>
    <x v="3"/>
    <x v="0"/>
    <x v="0"/>
    <x v="0"/>
    <s v="Maharashtra"/>
    <s v="Nagpur"/>
    <s v="Branch A"/>
    <x v="0"/>
    <s v="CC-1002"/>
    <s v="P001"/>
    <s v="Business Laptop"/>
    <x v="0"/>
    <x v="2"/>
    <n v="31892.58"/>
    <n v="36110.910000000003"/>
    <n v="15692.25"/>
    <n v="2606.54"/>
    <n v="1564.34"/>
    <n v="2002.34"/>
    <n v="1336.66"/>
    <n v="23202.14"/>
    <n v="16200.33"/>
    <n v="8690.4400000000023"/>
    <n v="0.27249096811860318"/>
    <n v="-4218.33"/>
    <n v="1594.63"/>
    <n v="1514.9"/>
    <n v="31812.85"/>
    <x v="15"/>
    <s v="Maharashtra"/>
    <x v="0"/>
    <x v="4"/>
    <s v="CC-1002"/>
  </r>
  <r>
    <s v="TXN-00776"/>
    <d v="2025-10-15T00:00:00"/>
    <x v="5"/>
    <x v="3"/>
    <x v="0"/>
    <x v="3"/>
    <x v="0"/>
    <s v="Jharkhand"/>
    <s v="Dhanbad"/>
    <s v="Branch C"/>
    <x v="2"/>
    <s v="CC-1001"/>
    <s v="P015"/>
    <s v="Network Router"/>
    <x v="4"/>
    <x v="10"/>
    <n v="21197.72"/>
    <n v="19961.650000000001"/>
    <n v="14019.54"/>
    <n v="1825.27"/>
    <n v="1850.64"/>
    <n v="1290.19"/>
    <n v="718.52"/>
    <n v="19704.16"/>
    <n v="7178.17"/>
    <n v="1493.5600000000013"/>
    <n v="7.0458521010750272E-2"/>
    <n v="1236.06"/>
    <n v="2119.77"/>
    <n v="3434.03"/>
    <n v="22511.98"/>
    <x v="34"/>
    <s v="Jharkhand"/>
    <x v="2"/>
    <x v="14"/>
    <s v="CC-1001"/>
  </r>
  <r>
    <s v="TXN-00777"/>
    <d v="2025-10-16T00:00:00"/>
    <x v="5"/>
    <x v="3"/>
    <x v="0"/>
    <x v="1"/>
    <x v="0"/>
    <s v="Kerala"/>
    <s v="Kozhikode"/>
    <s v="Branch D"/>
    <x v="1"/>
    <s v="CC-1002"/>
    <s v="P016"/>
    <s v="Network Switch"/>
    <x v="4"/>
    <x v="10"/>
    <n v="29684.29"/>
    <n v="29784.27"/>
    <n v="16163.43"/>
    <n v="3855.87"/>
    <n v="880.47"/>
    <n v="1290.82"/>
    <n v="522.55999999999995"/>
    <n v="22713.15"/>
    <n v="13520.86"/>
    <n v="6971.1399999999994"/>
    <n v="0.23484274004869241"/>
    <n v="-99.98"/>
    <n v="2968.43"/>
    <n v="4808.8599999999997"/>
    <n v="31524.720000000001"/>
    <x v="24"/>
    <s v="Kerala"/>
    <x v="1"/>
    <x v="13"/>
    <s v="CC-1002"/>
  </r>
  <r>
    <s v="TXN-00778"/>
    <d v="2025-04-12T00:00:00"/>
    <x v="9"/>
    <x v="2"/>
    <x v="0"/>
    <x v="3"/>
    <x v="0"/>
    <s v="Jharkhand"/>
    <s v="Jamshedpur"/>
    <s v="Branch C"/>
    <x v="3"/>
    <s v="CC-1001"/>
    <s v="P019"/>
    <s v="Conference Camera"/>
    <x v="0"/>
    <x v="0"/>
    <n v="22792.01"/>
    <n v="24945.87"/>
    <n v="14717.47"/>
    <n v="2136.08"/>
    <n v="1608.27"/>
    <n v="2617.7800000000002"/>
    <n v="758.94"/>
    <n v="21838.54"/>
    <n v="8074.54"/>
    <n v="953.46999999999753"/>
    <n v="4.1833519729062844E-2"/>
    <n v="-2153.86"/>
    <n v="455.84"/>
    <n v="2680.34"/>
    <n v="25016.51"/>
    <x v="30"/>
    <s v="Jharkhand"/>
    <x v="3"/>
    <x v="0"/>
    <s v="CC-1001"/>
  </r>
  <r>
    <s v="TXN-00779"/>
    <d v="2025-04-10T00:00:00"/>
    <x v="9"/>
    <x v="2"/>
    <x v="0"/>
    <x v="3"/>
    <x v="0"/>
    <s v="West Bengal"/>
    <s v="Siliguri"/>
    <s v="Branch B"/>
    <x v="2"/>
    <s v="CC-1002"/>
    <s v="P020"/>
    <s v="Document Scanner"/>
    <x v="0"/>
    <x v="3"/>
    <n v="28814.23"/>
    <n v="28107.97"/>
    <n v="16375.85"/>
    <n v="2306.5"/>
    <n v="2554.6"/>
    <n v="1853.1"/>
    <n v="555.62"/>
    <n v="23645.68"/>
    <n v="12438.38"/>
    <n v="5168.5499999999993"/>
    <n v="0.1793749130204069"/>
    <n v="706.26"/>
    <n v="0"/>
    <n v="3457.71"/>
    <n v="32271.94"/>
    <x v="44"/>
    <s v="West Bengal"/>
    <x v="2"/>
    <x v="6"/>
    <s v="CC-1002"/>
  </r>
  <r>
    <s v="TXN-00780"/>
    <d v="2025-12-25T00:00:00"/>
    <x v="6"/>
    <x v="3"/>
    <x v="0"/>
    <x v="1"/>
    <x v="0"/>
    <s v="Kerala"/>
    <s v="Kochi"/>
    <s v="Branch B"/>
    <x v="0"/>
    <s v="CC-1004"/>
    <s v="P005"/>
    <s v="Office Desk"/>
    <x v="3"/>
    <x v="5"/>
    <n v="21776.29"/>
    <n v="24891.56"/>
    <n v="14538.14"/>
    <n v="1115.67"/>
    <n v="1700.64"/>
    <n v="1394.6"/>
    <n v="331.84"/>
    <n v="19080.89"/>
    <n v="7238.15"/>
    <n v="2695.4000000000015"/>
    <n v="0.12377682332481801"/>
    <n v="-3115.26"/>
    <n v="435.53"/>
    <n v="2560.89"/>
    <n v="23901.66"/>
    <x v="4"/>
    <s v="Kerala"/>
    <x v="0"/>
    <x v="8"/>
    <s v="CC-1004"/>
  </r>
  <r>
    <s v="TXN-00781"/>
    <d v="2025-11-28T00:00:00"/>
    <x v="10"/>
    <x v="3"/>
    <x v="0"/>
    <x v="4"/>
    <x v="0"/>
    <s v="Madhya Pradesh"/>
    <s v="Gwalior"/>
    <s v="Branch C"/>
    <x v="2"/>
    <s v="CC-1003"/>
    <s v="P007"/>
    <s v="Tablet"/>
    <x v="0"/>
    <x v="9"/>
    <n v="25982.99"/>
    <n v="23930.55"/>
    <n v="15909.89"/>
    <n v="2557.56"/>
    <n v="1841.09"/>
    <n v="2453.2399999999998"/>
    <n v="525.67999999999995"/>
    <n v="23287.46"/>
    <n v="10073.1"/>
    <n v="2695.5300000000025"/>
    <n v="0.10374210204445301"/>
    <n v="2052.4299999999998"/>
    <n v="779.49"/>
    <n v="4536.63"/>
    <n v="29740.13"/>
    <x v="42"/>
    <s v="Madhya Pradesh"/>
    <x v="2"/>
    <x v="12"/>
    <s v="CC-1003"/>
  </r>
  <r>
    <s v="TXN-00782"/>
    <d v="2025-08-10T00:00:00"/>
    <x v="7"/>
    <x v="0"/>
    <x v="0"/>
    <x v="3"/>
    <x v="0"/>
    <s v="Bihar"/>
    <s v="Muzaffarpur"/>
    <s v="Branch B"/>
    <x v="1"/>
    <s v="CC-1002"/>
    <s v="P007"/>
    <s v="Tablet"/>
    <x v="0"/>
    <x v="9"/>
    <n v="51232.18"/>
    <n v="46079.839999999997"/>
    <n v="33675.86"/>
    <n v="3428.57"/>
    <n v="2590.98"/>
    <n v="2312.15"/>
    <n v="918.05"/>
    <n v="42925.62"/>
    <n v="17556.310000000001"/>
    <n v="8306.5599999999977"/>
    <n v="0.16213559524501978"/>
    <n v="5152.33"/>
    <n v="4098.57"/>
    <n v="8484.0499999999993"/>
    <n v="55617.65"/>
    <x v="36"/>
    <s v="Bihar"/>
    <x v="1"/>
    <x v="12"/>
    <s v="CC-1002"/>
  </r>
  <r>
    <s v="TXN-00783"/>
    <d v="2025-10-29T00:00:00"/>
    <x v="5"/>
    <x v="3"/>
    <x v="0"/>
    <x v="0"/>
    <x v="0"/>
    <s v="Gujarat"/>
    <s v="Surat"/>
    <s v="Branch D"/>
    <x v="1"/>
    <s v="CC-1002"/>
    <s v="P020"/>
    <s v="Document Scanner"/>
    <x v="0"/>
    <x v="3"/>
    <n v="58972.46"/>
    <n v="60950.51"/>
    <n v="38468.629999999997"/>
    <n v="4415.91"/>
    <n v="2647.5"/>
    <n v="5508.42"/>
    <n v="2045.71"/>
    <n v="53086.17"/>
    <n v="20503.84"/>
    <n v="5886.2900000000009"/>
    <n v="9.9814218365657473E-2"/>
    <n v="-1978.05"/>
    <n v="5897.25"/>
    <n v="2653.76"/>
    <n v="55728.98"/>
    <x v="26"/>
    <s v="Gujarat"/>
    <x v="1"/>
    <x v="6"/>
    <s v="CC-1002"/>
  </r>
  <r>
    <s v="TXN-00784"/>
    <d v="2025-09-13T00:00:00"/>
    <x v="1"/>
    <x v="0"/>
    <x v="0"/>
    <x v="1"/>
    <x v="0"/>
    <s v="Telangana"/>
    <s v="Warangal"/>
    <s v="Branch D"/>
    <x v="1"/>
    <s v="CC-1005"/>
    <s v="P007"/>
    <s v="Tablet"/>
    <x v="0"/>
    <x v="9"/>
    <n v="78645.42"/>
    <n v="70892.58"/>
    <n v="54216.51"/>
    <n v="7916.78"/>
    <n v="6518.81"/>
    <n v="5295.73"/>
    <n v="2065.08"/>
    <n v="76012.92"/>
    <n v="24428.91"/>
    <n v="2632.5"/>
    <n v="3.3473023603917434E-2"/>
    <n v="7752.84"/>
    <n v="6291.63"/>
    <n v="8682.4500000000007"/>
    <n v="81036.240000000005"/>
    <x v="46"/>
    <s v="Telangana"/>
    <x v="1"/>
    <x v="12"/>
    <s v="CC-1005"/>
  </r>
  <r>
    <s v="TXN-00785"/>
    <d v="2025-09-19T00:00:00"/>
    <x v="1"/>
    <x v="0"/>
    <x v="0"/>
    <x v="2"/>
    <x v="0"/>
    <s v="Punjab"/>
    <s v="Ludhiana"/>
    <s v="Branch C"/>
    <x v="1"/>
    <s v="CC-1001"/>
    <s v="P004"/>
    <s v="Office Chair"/>
    <x v="3"/>
    <x v="5"/>
    <n v="27547.66"/>
    <n v="28913.02"/>
    <n v="15891.78"/>
    <n v="2250.58"/>
    <n v="1034.95"/>
    <n v="2285.5300000000002"/>
    <n v="1094.44"/>
    <n v="22557.279999999999"/>
    <n v="11655.88"/>
    <n v="4990.380000000001"/>
    <n v="0.18115440658117607"/>
    <n v="-1365.36"/>
    <n v="0"/>
    <n v="4958.58"/>
    <n v="32506.23"/>
    <x v="35"/>
    <s v="Punjab"/>
    <x v="1"/>
    <x v="17"/>
    <s v="CC-1001"/>
  </r>
  <r>
    <s v="TXN-00786"/>
    <d v="2025-08-11T00:00:00"/>
    <x v="7"/>
    <x v="0"/>
    <x v="0"/>
    <x v="0"/>
    <x v="0"/>
    <s v="Rajasthan"/>
    <s v="Jodhpur"/>
    <s v="Branch B"/>
    <x v="3"/>
    <s v="CC-1005"/>
    <s v="P005"/>
    <s v="Office Desk"/>
    <x v="3"/>
    <x v="5"/>
    <n v="26073.84"/>
    <n v="29680.880000000001"/>
    <n v="15559.36"/>
    <n v="1584.16"/>
    <n v="1142.33"/>
    <n v="2424.7199999999998"/>
    <n v="820.26"/>
    <n v="21530.84"/>
    <n v="10514.48"/>
    <n v="4543"/>
    <n v="0.17423593916354477"/>
    <n v="-3607.03"/>
    <n v="1303.69"/>
    <n v="4458.63"/>
    <n v="29228.78"/>
    <x v="11"/>
    <s v="Rajasthan"/>
    <x v="3"/>
    <x v="8"/>
    <s v="CC-1005"/>
  </r>
  <r>
    <s v="TXN-00787"/>
    <d v="2025-04-11T00:00:00"/>
    <x v="9"/>
    <x v="2"/>
    <x v="0"/>
    <x v="1"/>
    <x v="0"/>
    <s v="Telangana"/>
    <s v="Warangal"/>
    <s v="Branch B"/>
    <x v="1"/>
    <s v="CC-1005"/>
    <s v="P001"/>
    <s v="Business Laptop"/>
    <x v="0"/>
    <x v="2"/>
    <n v="59282.01"/>
    <n v="66024.22"/>
    <n v="38767.43"/>
    <n v="3246.41"/>
    <n v="3722.79"/>
    <n v="2988.71"/>
    <n v="2599.88"/>
    <n v="51325.23"/>
    <n v="20514.57"/>
    <n v="7956.7799999999988"/>
    <n v="0.13421913325813342"/>
    <n v="-6742.22"/>
    <n v="4742.5600000000004"/>
    <n v="2726.97"/>
    <n v="57266.42"/>
    <x v="46"/>
    <s v="Telangana"/>
    <x v="1"/>
    <x v="4"/>
    <s v="CC-1005"/>
  </r>
  <r>
    <s v="TXN-00788"/>
    <d v="2026-01-13T00:00:00"/>
    <x v="4"/>
    <x v="1"/>
    <x v="0"/>
    <x v="0"/>
    <x v="0"/>
    <s v="Maharashtra"/>
    <s v="Nagpur"/>
    <s v="Branch A"/>
    <x v="1"/>
    <s v="CC-1003"/>
    <s v="P019"/>
    <s v="Conference Camera"/>
    <x v="0"/>
    <x v="0"/>
    <n v="72344.210000000006"/>
    <n v="80083.460000000006"/>
    <n v="49004.62"/>
    <n v="4870.16"/>
    <n v="3048.02"/>
    <n v="4100.63"/>
    <n v="2660.62"/>
    <n v="63684.05"/>
    <n v="23339.59"/>
    <n v="8660.1600000000035"/>
    <n v="0.11970771399673868"/>
    <n v="-7739.25"/>
    <n v="7234.42"/>
    <n v="11719.76"/>
    <n v="76829.55"/>
    <x v="15"/>
    <s v="Maharashtra"/>
    <x v="1"/>
    <x v="0"/>
    <s v="CC-1003"/>
  </r>
  <r>
    <s v="TXN-00789"/>
    <d v="2025-06-11T00:00:00"/>
    <x v="11"/>
    <x v="2"/>
    <x v="0"/>
    <x v="3"/>
    <x v="0"/>
    <s v="Bihar"/>
    <s v="Patna"/>
    <s v="Branch C"/>
    <x v="3"/>
    <s v="CC-1002"/>
    <s v="P018"/>
    <s v="Projector"/>
    <x v="0"/>
    <x v="6"/>
    <n v="22736.95"/>
    <n v="22999.08"/>
    <n v="13927.1"/>
    <n v="2151.21"/>
    <n v="978.36"/>
    <n v="1775.11"/>
    <n v="602"/>
    <n v="19433.77"/>
    <n v="8809.85"/>
    <n v="3303.1800000000003"/>
    <n v="0.14527806060179577"/>
    <n v="-262.13"/>
    <n v="682.11"/>
    <n v="3969.87"/>
    <n v="26024.720000000001"/>
    <x v="45"/>
    <s v="Bihar"/>
    <x v="3"/>
    <x v="9"/>
    <s v="CC-1002"/>
  </r>
  <r>
    <s v="TXN-00790"/>
    <d v="2026-02-01T00:00:00"/>
    <x v="2"/>
    <x v="1"/>
    <x v="0"/>
    <x v="0"/>
    <x v="0"/>
    <s v="Maharashtra"/>
    <s v="Pune"/>
    <s v="Branch B"/>
    <x v="4"/>
    <s v="CC-1003"/>
    <s v="P003"/>
    <s v="Printer"/>
    <x v="0"/>
    <x v="3"/>
    <n v="17810.2"/>
    <n v="17162.12"/>
    <n v="12435.91"/>
    <n v="1815.56"/>
    <n v="539.84"/>
    <n v="905.3"/>
    <n v="275.14"/>
    <n v="15971.75"/>
    <n v="5374.29"/>
    <n v="1838.4500000000007"/>
    <n v="0.10322455671469162"/>
    <n v="648.07000000000005"/>
    <n v="890.51"/>
    <n v="3045.54"/>
    <n v="19965.23"/>
    <x v="12"/>
    <s v="Maharashtra"/>
    <x v="4"/>
    <x v="5"/>
    <s v="CC-1003"/>
  </r>
  <r>
    <s v="TXN-00791"/>
    <d v="2025-12-21T00:00:00"/>
    <x v="6"/>
    <x v="3"/>
    <x v="0"/>
    <x v="4"/>
    <x v="0"/>
    <s v="Uttar Pradesh"/>
    <s v="Kanpur"/>
    <s v="Branch D"/>
    <x v="1"/>
    <s v="CC-1001"/>
    <s v="P001"/>
    <s v="Business Laptop"/>
    <x v="0"/>
    <x v="2"/>
    <n v="36809.15"/>
    <n v="35560.25"/>
    <n v="20513.29"/>
    <n v="3497.74"/>
    <n v="1586.52"/>
    <n v="1754.03"/>
    <n v="580.48"/>
    <n v="27932.06"/>
    <n v="16295.86"/>
    <n v="8877.09"/>
    <n v="0.24116530808236539"/>
    <n v="1248.9000000000001"/>
    <n v="0"/>
    <n v="6625.65"/>
    <n v="43434.79"/>
    <x v="25"/>
    <s v="Uttar Pradesh"/>
    <x v="1"/>
    <x v="4"/>
    <s v="CC-1001"/>
  </r>
  <r>
    <s v="TXN-00792"/>
    <d v="2025-11-02T00:00:00"/>
    <x v="10"/>
    <x v="3"/>
    <x v="0"/>
    <x v="3"/>
    <x v="0"/>
    <s v="West Bengal"/>
    <s v="Kolkata"/>
    <s v="Branch B"/>
    <x v="4"/>
    <s v="CC-1004"/>
    <s v="P008"/>
    <s v="Headset"/>
    <x v="1"/>
    <x v="8"/>
    <n v="1902.52"/>
    <n v="1811.75"/>
    <n v="1225.56"/>
    <n v="108.1"/>
    <n v="77.819999999999993"/>
    <n v="206.28"/>
    <n v="57.84"/>
    <n v="1675.61"/>
    <n v="676.96"/>
    <n v="226.91000000000008"/>
    <n v="0.11926812858734735"/>
    <n v="90.77"/>
    <n v="0"/>
    <n v="95.13"/>
    <n v="1997.65"/>
    <x v="20"/>
    <s v="West Bengal"/>
    <x v="4"/>
    <x v="11"/>
    <s v="CC-1004"/>
  </r>
  <r>
    <s v="TXN-00793"/>
    <d v="2025-09-08T00:00:00"/>
    <x v="1"/>
    <x v="0"/>
    <x v="0"/>
    <x v="4"/>
    <x v="0"/>
    <s v="Chhattisgarh"/>
    <s v="Bilaspur"/>
    <s v="Branch D"/>
    <x v="2"/>
    <s v="CC-1005"/>
    <s v="P010"/>
    <s v="Mouse"/>
    <x v="1"/>
    <x v="1"/>
    <n v="3100.53"/>
    <n v="3397.12"/>
    <n v="2140.13"/>
    <n v="262.95"/>
    <n v="185.41"/>
    <n v="355.14"/>
    <n v="42.67"/>
    <n v="2986.3"/>
    <n v="960.39"/>
    <n v="114.23000000000002"/>
    <n v="3.6842088288131389E-2"/>
    <n v="-296.58999999999997"/>
    <n v="248.04"/>
    <n v="142.62"/>
    <n v="2995.11"/>
    <x v="22"/>
    <s v="Chhattisgarh"/>
    <x v="2"/>
    <x v="1"/>
    <s v="CC-1005"/>
  </r>
  <r>
    <s v="TXN-00794"/>
    <d v="2025-07-29T00:00:00"/>
    <x v="0"/>
    <x v="0"/>
    <x v="0"/>
    <x v="2"/>
    <x v="0"/>
    <s v="Delhi"/>
    <s v="Gurugram"/>
    <s v="Branch D"/>
    <x v="0"/>
    <s v="CC-1001"/>
    <s v="P005"/>
    <s v="Office Desk"/>
    <x v="3"/>
    <x v="5"/>
    <n v="30930.58"/>
    <n v="33911.1"/>
    <n v="15965.08"/>
    <n v="3731.88"/>
    <n v="1109.0999999999999"/>
    <n v="1788.49"/>
    <n v="447.93"/>
    <n v="23042.48"/>
    <n v="14965.51"/>
    <n v="7888.1000000000022"/>
    <n v="0.25502593226509174"/>
    <n v="-2980.52"/>
    <n v="927.92"/>
    <n v="5400.48"/>
    <n v="35403.15"/>
    <x v="27"/>
    <s v="Delhi"/>
    <x v="0"/>
    <x v="8"/>
    <s v="CC-1001"/>
  </r>
  <r>
    <s v="TXN-00795"/>
    <d v="2025-08-12T00:00:00"/>
    <x v="7"/>
    <x v="0"/>
    <x v="0"/>
    <x v="3"/>
    <x v="0"/>
    <s v="Jharkhand"/>
    <s v="Jamshedpur"/>
    <s v="Branch D"/>
    <x v="0"/>
    <s v="CC-1003"/>
    <s v="P014"/>
    <s v="Data Storage"/>
    <x v="2"/>
    <x v="12"/>
    <n v="11706.91"/>
    <n v="11101.46"/>
    <n v="8393.33"/>
    <n v="1109.71"/>
    <n v="822.02"/>
    <n v="579.16999999999996"/>
    <n v="219.77"/>
    <n v="11124"/>
    <n v="3313.58"/>
    <n v="582.90999999999985"/>
    <n v="4.9791960474625661E-2"/>
    <n v="605.44000000000005"/>
    <n v="0"/>
    <n v="1404.83"/>
    <n v="13111.74"/>
    <x v="30"/>
    <s v="Jharkhand"/>
    <x v="0"/>
    <x v="19"/>
    <s v="CC-1003"/>
  </r>
  <r>
    <s v="TXN-00796"/>
    <d v="2025-11-06T00:00:00"/>
    <x v="10"/>
    <x v="3"/>
    <x v="0"/>
    <x v="2"/>
    <x v="0"/>
    <s v="Delhi"/>
    <s v="Noida"/>
    <s v="Branch B"/>
    <x v="2"/>
    <s v="CC-1002"/>
    <s v="P018"/>
    <s v="Projector"/>
    <x v="0"/>
    <x v="6"/>
    <n v="66027.490000000005"/>
    <n v="67539.38"/>
    <n v="32485.25"/>
    <n v="6522.95"/>
    <n v="3396.26"/>
    <n v="4313.0600000000004"/>
    <n v="2140.2399999999998"/>
    <n v="48857.77"/>
    <n v="33542.239999999998"/>
    <n v="17169.720000000008"/>
    <n v="0.26003896255938258"/>
    <n v="-1511.89"/>
    <n v="1980.82"/>
    <n v="3202.33"/>
    <n v="67249"/>
    <x v="40"/>
    <s v="Delhi"/>
    <x v="2"/>
    <x v="9"/>
    <s v="CC-1002"/>
  </r>
  <r>
    <s v="TXN-00797"/>
    <d v="2025-12-02T00:00:00"/>
    <x v="6"/>
    <x v="3"/>
    <x v="0"/>
    <x v="2"/>
    <x v="0"/>
    <s v="Haryana"/>
    <s v="Gurugram"/>
    <s v="Branch A"/>
    <x v="0"/>
    <s v="CC-1002"/>
    <s v="P012"/>
    <s v="Accounting Software"/>
    <x v="2"/>
    <x v="4"/>
    <n v="14323.38"/>
    <n v="16487.98"/>
    <n v="9993.5400000000009"/>
    <n v="1516.25"/>
    <n v="1220.3800000000001"/>
    <n v="1502.76"/>
    <n v="558.6"/>
    <n v="14791.53"/>
    <n v="4329.84"/>
    <n v="-468.15000000000146"/>
    <n v="-3.2684324509997045E-2"/>
    <n v="-2164.6"/>
    <n v="716.17"/>
    <n v="1632.87"/>
    <n v="15240.08"/>
    <x v="27"/>
    <s v="Haryana"/>
    <x v="0"/>
    <x v="7"/>
    <s v="CC-1002"/>
  </r>
  <r>
    <s v="TXN-00798"/>
    <d v="2025-10-20T00:00:00"/>
    <x v="5"/>
    <x v="3"/>
    <x v="0"/>
    <x v="1"/>
    <x v="0"/>
    <s v="Telangana"/>
    <s v="Nizamabad"/>
    <s v="Branch B"/>
    <x v="4"/>
    <s v="CC-1002"/>
    <s v="P019"/>
    <s v="Conference Camera"/>
    <x v="0"/>
    <x v="0"/>
    <n v="31940.94"/>
    <n v="36954.160000000003"/>
    <n v="21066.37"/>
    <n v="3299.95"/>
    <n v="2008.35"/>
    <n v="2524.48"/>
    <n v="527.98"/>
    <n v="29427.13"/>
    <n v="10874.57"/>
    <n v="2513.8099999999977"/>
    <n v="7.8701816540151848E-2"/>
    <n v="-5013.22"/>
    <n v="2555.2800000000002"/>
    <n v="1469.28"/>
    <n v="30854.95"/>
    <x v="29"/>
    <s v="Telangana"/>
    <x v="4"/>
    <x v="0"/>
    <s v="CC-1002"/>
  </r>
  <r>
    <s v="TXN-00799"/>
    <d v="2025-10-17T00:00:00"/>
    <x v="5"/>
    <x v="3"/>
    <x v="0"/>
    <x v="2"/>
    <x v="0"/>
    <s v="Haryana"/>
    <s v="Faridabad"/>
    <s v="Branch D"/>
    <x v="1"/>
    <s v="CC-1001"/>
    <s v="P015"/>
    <s v="Network Router"/>
    <x v="4"/>
    <x v="10"/>
    <n v="37210.300000000003"/>
    <n v="40858.6"/>
    <n v="24945.599999999999"/>
    <n v="3857.91"/>
    <n v="2550.36"/>
    <n v="3475.03"/>
    <n v="1041.57"/>
    <n v="35870.47"/>
    <n v="12264.7"/>
    <n v="1339.8300000000017"/>
    <n v="3.600696581322918E-2"/>
    <n v="-3648.31"/>
    <n v="1116.31"/>
    <n v="6496.92"/>
    <n v="42590.9"/>
    <x v="13"/>
    <s v="Haryana"/>
    <x v="1"/>
    <x v="14"/>
    <s v="CC-1001"/>
  </r>
  <r>
    <s v="TXN-00800"/>
    <d v="2025-09-12T00:00:00"/>
    <x v="1"/>
    <x v="0"/>
    <x v="0"/>
    <x v="3"/>
    <x v="0"/>
    <s v="West Bengal"/>
    <s v="Siliguri"/>
    <s v="Branch D"/>
    <x v="1"/>
    <s v="CC-1001"/>
    <s v="P002"/>
    <s v="Monitor"/>
    <x v="0"/>
    <x v="2"/>
    <n v="62458.83"/>
    <n v="66450.69"/>
    <n v="42280.55"/>
    <n v="4836.41"/>
    <n v="2347.59"/>
    <n v="3489.73"/>
    <n v="2226.14"/>
    <n v="55180.42"/>
    <n v="20178.28"/>
    <n v="7278.4100000000035"/>
    <n v="0.1165313215121065"/>
    <n v="-3991.85"/>
    <n v="3122.94"/>
    <n v="2966.79"/>
    <n v="62302.68"/>
    <x v="44"/>
    <s v="West Bengal"/>
    <x v="1"/>
    <x v="3"/>
    <s v="CC-1001"/>
  </r>
  <r>
    <s v="TXN-00801"/>
    <d v="2025-11-04T00:00:00"/>
    <x v="10"/>
    <x v="3"/>
    <x v="0"/>
    <x v="2"/>
    <x v="0"/>
    <s v="Delhi"/>
    <s v="Noida"/>
    <s v="Branch D"/>
    <x v="1"/>
    <s v="CC-1001"/>
    <s v="P015"/>
    <s v="Network Router"/>
    <x v="4"/>
    <x v="10"/>
    <n v="30760.17"/>
    <n v="31038.1"/>
    <n v="19866.689999999999"/>
    <n v="2820.33"/>
    <n v="2722.29"/>
    <n v="1630.19"/>
    <n v="954.28"/>
    <n v="27993.79"/>
    <n v="10893.48"/>
    <n v="2766.3799999999974"/>
    <n v="8.9933833265550794E-2"/>
    <n v="-277.93"/>
    <n v="922.81"/>
    <n v="1491.87"/>
    <n v="31329.23"/>
    <x v="40"/>
    <s v="Delhi"/>
    <x v="1"/>
    <x v="14"/>
    <s v="CC-1001"/>
  </r>
  <r>
    <s v="TXN-00802"/>
    <d v="2025-08-07T00:00:00"/>
    <x v="7"/>
    <x v="0"/>
    <x v="0"/>
    <x v="1"/>
    <x v="0"/>
    <s v="Telangana"/>
    <s v="Nizamabad"/>
    <s v="Branch D"/>
    <x v="3"/>
    <s v="CC-1001"/>
    <s v="P001"/>
    <s v="Business Laptop"/>
    <x v="0"/>
    <x v="2"/>
    <n v="24205.5"/>
    <n v="21684.43"/>
    <n v="16365.35"/>
    <n v="2807.73"/>
    <n v="978.14"/>
    <n v="1594.97"/>
    <n v="649.82000000000005"/>
    <n v="22396.02"/>
    <n v="7840.15"/>
    <n v="1809.4799999999996"/>
    <n v="7.4754911073929467E-2"/>
    <n v="2521.0700000000002"/>
    <n v="1210.27"/>
    <n v="2759.43"/>
    <n v="25754.65"/>
    <x v="29"/>
    <s v="Telangana"/>
    <x v="3"/>
    <x v="4"/>
    <s v="CC-1001"/>
  </r>
  <r>
    <s v="TXN-00803"/>
    <d v="2025-07-23T00:00:00"/>
    <x v="0"/>
    <x v="0"/>
    <x v="0"/>
    <x v="2"/>
    <x v="0"/>
    <s v="Uttar Pradesh"/>
    <s v="Lucknow"/>
    <s v="Branch A"/>
    <x v="1"/>
    <s v="CC-1004"/>
    <s v="P005"/>
    <s v="Office Desk"/>
    <x v="3"/>
    <x v="5"/>
    <n v="28893.42"/>
    <n v="27162.59"/>
    <n v="16740.45"/>
    <n v="2863.9"/>
    <n v="1123.3"/>
    <n v="1829.39"/>
    <n v="1153.1099999999999"/>
    <n v="23710.15"/>
    <n v="12152.97"/>
    <n v="5183.2699999999968"/>
    <n v="0.17939274755290294"/>
    <n v="1730.83"/>
    <n v="2889.34"/>
    <n v="3120.49"/>
    <n v="29124.57"/>
    <x v="2"/>
    <s v="Uttar Pradesh"/>
    <x v="1"/>
    <x v="8"/>
    <s v="CC-1004"/>
  </r>
  <r>
    <s v="TXN-00804"/>
    <d v="2025-10-31T00:00:00"/>
    <x v="5"/>
    <x v="3"/>
    <x v="0"/>
    <x v="2"/>
    <x v="0"/>
    <s v="Punjab"/>
    <s v="Jalandhar"/>
    <s v="Branch B"/>
    <x v="1"/>
    <s v="CC-1005"/>
    <s v="P019"/>
    <s v="Conference Camera"/>
    <x v="0"/>
    <x v="0"/>
    <n v="35563.589999999997"/>
    <n v="34502.99"/>
    <n v="22674.97"/>
    <n v="4392.3900000000003"/>
    <n v="1815.12"/>
    <n v="1969.78"/>
    <n v="692.61"/>
    <n v="31544.87"/>
    <n v="12888.63"/>
    <n v="4018.7199999999975"/>
    <n v="0.11300096531311934"/>
    <n v="1060.5999999999999"/>
    <n v="2845.09"/>
    <n v="3926.22"/>
    <n v="36644.730000000003"/>
    <x v="52"/>
    <s v="Punjab"/>
    <x v="1"/>
    <x v="0"/>
    <s v="CC-1005"/>
  </r>
  <r>
    <s v="TXN-00805"/>
    <d v="2025-06-12T00:00:00"/>
    <x v="11"/>
    <x v="2"/>
    <x v="0"/>
    <x v="4"/>
    <x v="0"/>
    <s v="Uttar Pradesh"/>
    <s v="Lucknow"/>
    <s v="Branch A"/>
    <x v="4"/>
    <s v="CC-1005"/>
    <s v="P018"/>
    <s v="Projector"/>
    <x v="0"/>
    <x v="6"/>
    <n v="45220.99"/>
    <n v="50680.31"/>
    <n v="28981.98"/>
    <n v="2719.26"/>
    <n v="2148.87"/>
    <n v="3035.51"/>
    <n v="1347.46"/>
    <n v="38233.08"/>
    <n v="16239.01"/>
    <n v="6987.9099999999962"/>
    <n v="0.15452801895756807"/>
    <n v="-5459.33"/>
    <n v="904.42"/>
    <n v="2215.83"/>
    <n v="46532.4"/>
    <x v="2"/>
    <s v="Uttar Pradesh"/>
    <x v="4"/>
    <x v="9"/>
    <s v="CC-1005"/>
  </r>
  <r>
    <s v="TXN-00806"/>
    <d v="2026-03-03T00:00:00"/>
    <x v="8"/>
    <x v="1"/>
    <x v="0"/>
    <x v="1"/>
    <x v="0"/>
    <s v="Tamil Nadu"/>
    <s v="Chennai"/>
    <s v="Branch D"/>
    <x v="4"/>
    <s v="CC-1002"/>
    <s v="P019"/>
    <s v="Conference Camera"/>
    <x v="0"/>
    <x v="0"/>
    <n v="30999.040000000001"/>
    <n v="30998.67"/>
    <n v="20309.91"/>
    <n v="2867.46"/>
    <n v="2444.5700000000002"/>
    <n v="2295.1799999999998"/>
    <n v="377.03"/>
    <n v="28294.15"/>
    <n v="10689.13"/>
    <n v="2704.8899999999994"/>
    <n v="8.7257218288050192E-2"/>
    <n v="0.37"/>
    <n v="1549.95"/>
    <n v="1472.45"/>
    <n v="30921.55"/>
    <x v="1"/>
    <s v="Tamil Nadu"/>
    <x v="4"/>
    <x v="0"/>
    <s v="CC-1002"/>
  </r>
  <r>
    <s v="TXN-00807"/>
    <d v="2026-01-25T00:00:00"/>
    <x v="4"/>
    <x v="1"/>
    <x v="0"/>
    <x v="3"/>
    <x v="0"/>
    <s v="West Bengal"/>
    <s v="Kolkata"/>
    <s v="Branch D"/>
    <x v="0"/>
    <s v="CC-1002"/>
    <s v="P018"/>
    <s v="Projector"/>
    <x v="0"/>
    <x v="6"/>
    <n v="33542.5"/>
    <n v="38237.86"/>
    <n v="22498.13"/>
    <n v="4260.54"/>
    <n v="995.29"/>
    <n v="2061.73"/>
    <n v="429.59"/>
    <n v="30245.279999999999"/>
    <n v="11044.37"/>
    <n v="3297.2200000000012"/>
    <n v="9.8299768949839786E-2"/>
    <n v="-4695.3599999999997"/>
    <n v="1677.13"/>
    <n v="1593.27"/>
    <n v="33458.639999999999"/>
    <x v="20"/>
    <s v="West Bengal"/>
    <x v="0"/>
    <x v="9"/>
    <s v="CC-1002"/>
  </r>
  <r>
    <s v="TXN-00808"/>
    <d v="2025-06-20T00:00:00"/>
    <x v="11"/>
    <x v="2"/>
    <x v="0"/>
    <x v="0"/>
    <x v="0"/>
    <s v="Gujarat"/>
    <s v="Surat"/>
    <s v="Branch C"/>
    <x v="2"/>
    <s v="CC-1004"/>
    <s v="P018"/>
    <s v="Projector"/>
    <x v="0"/>
    <x v="6"/>
    <n v="48376.9"/>
    <n v="48307.61"/>
    <n v="27091.8"/>
    <n v="3729.03"/>
    <n v="1827.63"/>
    <n v="5266.07"/>
    <n v="732.04"/>
    <n v="38646.58"/>
    <n v="21285.09"/>
    <n v="9730.32"/>
    <n v="0.20113566598934615"/>
    <n v="69.290000000000006"/>
    <n v="3870.15"/>
    <n v="5340.81"/>
    <n v="49847.56"/>
    <x v="26"/>
    <s v="Gujarat"/>
    <x v="2"/>
    <x v="9"/>
    <s v="CC-1004"/>
  </r>
  <r>
    <s v="TXN-00809"/>
    <d v="2025-04-25T00:00:00"/>
    <x v="9"/>
    <x v="2"/>
    <x v="0"/>
    <x v="0"/>
    <x v="0"/>
    <s v="Maharashtra"/>
    <s v="Pune"/>
    <s v="Branch D"/>
    <x v="0"/>
    <s v="CC-1004"/>
    <s v="P016"/>
    <s v="Network Switch"/>
    <x v="4"/>
    <x v="10"/>
    <n v="45948.24"/>
    <n v="42040.959999999999"/>
    <n v="31423.56"/>
    <n v="4134.6899999999996"/>
    <n v="2306.23"/>
    <n v="4091.5"/>
    <n v="549.49"/>
    <n v="42505.46"/>
    <n v="14524.67"/>
    <n v="3442.7799999999988"/>
    <n v="7.492735303898472E-2"/>
    <n v="3907.28"/>
    <n v="1378.45"/>
    <n v="8022.56"/>
    <n v="52592.35"/>
    <x v="12"/>
    <s v="Maharashtra"/>
    <x v="0"/>
    <x v="13"/>
    <s v="CC-1004"/>
  </r>
  <r>
    <s v="TXN-00810"/>
    <d v="2025-08-11T00:00:00"/>
    <x v="7"/>
    <x v="0"/>
    <x v="0"/>
    <x v="3"/>
    <x v="0"/>
    <s v="Odisha"/>
    <s v="Cuttack"/>
    <s v="Branch C"/>
    <x v="0"/>
    <s v="CC-1003"/>
    <s v="P020"/>
    <s v="Document Scanner"/>
    <x v="0"/>
    <x v="3"/>
    <n v="22575.119999999999"/>
    <n v="23692.59"/>
    <n v="15611.92"/>
    <n v="2557.52"/>
    <n v="1376.33"/>
    <n v="1036.42"/>
    <n v="451.65"/>
    <n v="21033.83"/>
    <n v="6963.21"/>
    <n v="1541.2899999999972"/>
    <n v="6.8273834203317521E-2"/>
    <n v="-1117.47"/>
    <n v="677.25"/>
    <n v="3941.62"/>
    <n v="25839.49"/>
    <x v="28"/>
    <s v="Odisha"/>
    <x v="0"/>
    <x v="6"/>
    <s v="CC-1003"/>
  </r>
  <r>
    <s v="TXN-00811"/>
    <d v="2025-11-06T00:00:00"/>
    <x v="10"/>
    <x v="3"/>
    <x v="0"/>
    <x v="0"/>
    <x v="0"/>
    <s v="Rajasthan"/>
    <s v="Jaipur"/>
    <s v="Branch A"/>
    <x v="2"/>
    <s v="CC-1004"/>
    <s v="P009"/>
    <s v="Keyboard"/>
    <x v="1"/>
    <x v="1"/>
    <n v="8953.24"/>
    <n v="9423.4500000000007"/>
    <n v="4704.28"/>
    <n v="879.81"/>
    <n v="242.06"/>
    <n v="443.25"/>
    <n v="187.27"/>
    <n v="6456.67"/>
    <n v="4248.96"/>
    <n v="2496.5699999999997"/>
    <n v="0.2788454235561651"/>
    <n v="-470.21"/>
    <n v="268.60000000000002"/>
    <n v="434.23"/>
    <n v="9118.8799999999992"/>
    <x v="21"/>
    <s v="Rajasthan"/>
    <x v="2"/>
    <x v="2"/>
    <s v="CC-1004"/>
  </r>
  <r>
    <s v="TXN-00812"/>
    <d v="2025-06-18T00:00:00"/>
    <x v="11"/>
    <x v="2"/>
    <x v="0"/>
    <x v="4"/>
    <x v="0"/>
    <s v="Chhattisgarh"/>
    <s v="Bilaspur"/>
    <s v="Branch D"/>
    <x v="0"/>
    <s v="CC-1005"/>
    <s v="P008"/>
    <s v="Headset"/>
    <x v="1"/>
    <x v="8"/>
    <n v="1363.48"/>
    <n v="1464.72"/>
    <n v="699.09"/>
    <n v="132.46"/>
    <n v="84.41"/>
    <n v="160.46"/>
    <n v="55.79"/>
    <n v="1132.21"/>
    <n v="664.39"/>
    <n v="231.26999999999998"/>
    <n v="0.16961744946753893"/>
    <n v="-101.24"/>
    <n v="136.35"/>
    <n v="61.36"/>
    <n v="1288.49"/>
    <x v="22"/>
    <s v="Chhattisgarh"/>
    <x v="0"/>
    <x v="11"/>
    <s v="CC-1005"/>
  </r>
  <r>
    <s v="TXN-00813"/>
    <d v="2025-11-06T00:00:00"/>
    <x v="10"/>
    <x v="3"/>
    <x v="0"/>
    <x v="0"/>
    <x v="0"/>
    <s v="Rajasthan"/>
    <s v="Jodhpur"/>
    <s v="Branch B"/>
    <x v="1"/>
    <s v="CC-1001"/>
    <s v="P004"/>
    <s v="Office Chair"/>
    <x v="3"/>
    <x v="5"/>
    <n v="13890.45"/>
    <n v="12989.26"/>
    <n v="8372.56"/>
    <n v="798.16"/>
    <n v="1178.71"/>
    <n v="937.84"/>
    <n v="580.41"/>
    <n v="11867.68"/>
    <n v="5517.89"/>
    <n v="2022.7700000000004"/>
    <n v="0.14562307196671095"/>
    <n v="901.19"/>
    <n v="1389.05"/>
    <n v="625.07000000000005"/>
    <n v="13126.48"/>
    <x v="11"/>
    <s v="Rajasthan"/>
    <x v="1"/>
    <x v="17"/>
    <s v="CC-1001"/>
  </r>
  <r>
    <s v="TXN-00814"/>
    <d v="2025-06-18T00:00:00"/>
    <x v="11"/>
    <x v="2"/>
    <x v="0"/>
    <x v="1"/>
    <x v="0"/>
    <s v="Telangana"/>
    <s v="Warangal"/>
    <s v="Branch B"/>
    <x v="0"/>
    <s v="CC-1003"/>
    <s v="P001"/>
    <s v="Business Laptop"/>
    <x v="0"/>
    <x v="2"/>
    <n v="47341.81"/>
    <n v="51501.87"/>
    <n v="32581.99"/>
    <n v="3754.99"/>
    <n v="1316.52"/>
    <n v="5583.75"/>
    <n v="501.87"/>
    <n v="43739.12"/>
    <n v="14759.83"/>
    <n v="3602.6899999999951"/>
    <n v="7.6099540765340298E-2"/>
    <n v="-4160.0600000000004"/>
    <n v="4734.18"/>
    <n v="5112.92"/>
    <n v="47720.55"/>
    <x v="46"/>
    <s v="Telangana"/>
    <x v="0"/>
    <x v="4"/>
    <s v="CC-1003"/>
  </r>
  <r>
    <s v="TXN-00815"/>
    <d v="2025-12-06T00:00:00"/>
    <x v="6"/>
    <x v="3"/>
    <x v="0"/>
    <x v="1"/>
    <x v="0"/>
    <s v="Tamil Nadu"/>
    <s v="Madurai"/>
    <s v="Branch C"/>
    <x v="0"/>
    <s v="CC-1001"/>
    <s v="P015"/>
    <s v="Network Router"/>
    <x v="4"/>
    <x v="10"/>
    <n v="16408.46"/>
    <n v="16480.98"/>
    <n v="8018.43"/>
    <n v="1242.3499999999999"/>
    <n v="1224.58"/>
    <n v="1916.78"/>
    <n v="322.67"/>
    <n v="12724.8"/>
    <n v="8390.0300000000007"/>
    <n v="3683.66"/>
    <n v="0.22449760672238589"/>
    <n v="-72.52"/>
    <n v="328.17"/>
    <n v="1929.63"/>
    <n v="18009.919999999998"/>
    <x v="43"/>
    <s v="Tamil Nadu"/>
    <x v="0"/>
    <x v="14"/>
    <s v="CC-1001"/>
  </r>
  <r>
    <s v="TXN-00816"/>
    <d v="2025-05-01T00:00:00"/>
    <x v="3"/>
    <x v="2"/>
    <x v="0"/>
    <x v="4"/>
    <x v="0"/>
    <s v="Uttar Pradesh"/>
    <s v="Agra"/>
    <s v="Branch B"/>
    <x v="0"/>
    <s v="CC-1003"/>
    <s v="P012"/>
    <s v="Accounting Software"/>
    <x v="2"/>
    <x v="4"/>
    <n v="13925.04"/>
    <n v="12724.23"/>
    <n v="8955.7199999999993"/>
    <n v="986.21"/>
    <n v="778.58"/>
    <n v="890.55"/>
    <n v="296.79000000000002"/>
    <n v="11907.85"/>
    <n v="4969.32"/>
    <n v="2017.1900000000005"/>
    <n v="0.14486062517594206"/>
    <n v="1200.81"/>
    <n v="278.5"/>
    <n v="2456.38"/>
    <n v="16102.92"/>
    <x v="7"/>
    <s v="Uttar Pradesh"/>
    <x v="0"/>
    <x v="7"/>
    <s v="CC-1003"/>
  </r>
  <r>
    <s v="TXN-00817"/>
    <d v="2026-02-02T00:00:00"/>
    <x v="2"/>
    <x v="1"/>
    <x v="0"/>
    <x v="0"/>
    <x v="0"/>
    <s v="Goa"/>
    <s v="Panaji"/>
    <s v="Branch D"/>
    <x v="3"/>
    <s v="CC-1004"/>
    <s v="P009"/>
    <s v="Keyboard"/>
    <x v="1"/>
    <x v="1"/>
    <n v="10829.93"/>
    <n v="10914.41"/>
    <n v="6874.11"/>
    <n v="694.91"/>
    <n v="665.33"/>
    <n v="1283.42"/>
    <n v="304.77"/>
    <n v="9822.52"/>
    <n v="3955.83"/>
    <n v="1007.4099999999999"/>
    <n v="9.3020915185970721E-2"/>
    <n v="-84.48"/>
    <n v="866.39"/>
    <n v="1195.6199999999999"/>
    <n v="11159.16"/>
    <x v="14"/>
    <s v="Goa"/>
    <x v="3"/>
    <x v="2"/>
    <s v="CC-1004"/>
  </r>
  <r>
    <s v="TXN-00818"/>
    <d v="2025-06-06T00:00:00"/>
    <x v="11"/>
    <x v="2"/>
    <x v="0"/>
    <x v="0"/>
    <x v="0"/>
    <s v="Gujarat"/>
    <s v="Vadodara"/>
    <s v="Branch D"/>
    <x v="2"/>
    <s v="CC-1004"/>
    <s v="P007"/>
    <s v="Tablet"/>
    <x v="0"/>
    <x v="9"/>
    <n v="32417.98"/>
    <n v="32591.3"/>
    <n v="16850.650000000001"/>
    <n v="2020.26"/>
    <n v="2301.19"/>
    <n v="3824.47"/>
    <n v="588.66"/>
    <n v="25585.23"/>
    <n v="15567.32"/>
    <n v="6832.75"/>
    <n v="0.21077038112800367"/>
    <n v="-173.32"/>
    <n v="1620.9"/>
    <n v="1539.85"/>
    <n v="32336.93"/>
    <x v="19"/>
    <s v="Gujarat"/>
    <x v="2"/>
    <x v="12"/>
    <s v="CC-1004"/>
  </r>
  <r>
    <s v="TXN-00819"/>
    <d v="2025-04-28T00:00:00"/>
    <x v="9"/>
    <x v="2"/>
    <x v="0"/>
    <x v="3"/>
    <x v="0"/>
    <s v="West Bengal"/>
    <s v="Kolkata"/>
    <s v="Branch D"/>
    <x v="2"/>
    <s v="CC-1002"/>
    <s v="P018"/>
    <s v="Projector"/>
    <x v="0"/>
    <x v="6"/>
    <n v="70525.3"/>
    <n v="79347.350000000006"/>
    <n v="44914.36"/>
    <n v="8262.02"/>
    <n v="6092.8"/>
    <n v="4360.84"/>
    <n v="1124.04"/>
    <n v="64754.07"/>
    <n v="25610.94"/>
    <n v="5771.2300000000032"/>
    <n v="8.183205176014853E-2"/>
    <n v="-8822.0499999999993"/>
    <n v="2115.7600000000002"/>
    <n v="12313.72"/>
    <n v="80723.259999999995"/>
    <x v="20"/>
    <s v="West Bengal"/>
    <x v="2"/>
    <x v="9"/>
    <s v="CC-1002"/>
  </r>
  <r>
    <s v="TXN-00820"/>
    <d v="2025-09-23T00:00:00"/>
    <x v="1"/>
    <x v="0"/>
    <x v="0"/>
    <x v="0"/>
    <x v="0"/>
    <s v="Gujarat"/>
    <s v="Vadodara"/>
    <s v="Branch B"/>
    <x v="4"/>
    <s v="CC-1001"/>
    <s v="P014"/>
    <s v="Data Storage"/>
    <x v="2"/>
    <x v="12"/>
    <n v="11236.66"/>
    <n v="10246.620000000001"/>
    <n v="7838.9"/>
    <n v="1458.65"/>
    <n v="400.78"/>
    <n v="498.48"/>
    <n v="242.04"/>
    <n v="10438.86"/>
    <n v="3397.76"/>
    <n v="797.79999999999927"/>
    <n v="7.0999745475968767E-2"/>
    <n v="990.04"/>
    <n v="337.1"/>
    <n v="544.98"/>
    <n v="11444.54"/>
    <x v="19"/>
    <s v="Gujarat"/>
    <x v="4"/>
    <x v="19"/>
    <s v="CC-1001"/>
  </r>
  <r>
    <s v="TXN-00821"/>
    <d v="2025-10-11T00:00:00"/>
    <x v="5"/>
    <x v="3"/>
    <x v="0"/>
    <x v="0"/>
    <x v="0"/>
    <s v="Maharashtra"/>
    <s v="Nagpur"/>
    <s v="Branch A"/>
    <x v="2"/>
    <s v="CC-1002"/>
    <s v="P001"/>
    <s v="Business Laptop"/>
    <x v="0"/>
    <x v="2"/>
    <n v="46893.38"/>
    <n v="54905.58"/>
    <n v="24463.03"/>
    <n v="3181.29"/>
    <n v="2774.49"/>
    <n v="2218.06"/>
    <n v="1185.26"/>
    <n v="33822.14"/>
    <n v="22430.35"/>
    <n v="13071.239999999998"/>
    <n v="0.27874382268883152"/>
    <n v="-8012.19"/>
    <n v="2344.67"/>
    <n v="5345.85"/>
    <n v="49894.559999999998"/>
    <x v="15"/>
    <s v="Maharashtra"/>
    <x v="2"/>
    <x v="4"/>
    <s v="CC-1002"/>
  </r>
  <r>
    <s v="TXN-00822"/>
    <d v="2025-10-18T00:00:00"/>
    <x v="5"/>
    <x v="3"/>
    <x v="0"/>
    <x v="2"/>
    <x v="0"/>
    <s v="Punjab"/>
    <s v="Jalandhar"/>
    <s v="Branch C"/>
    <x v="4"/>
    <s v=" cc-1003"/>
    <s v="P003"/>
    <s v="Printer"/>
    <x v="0"/>
    <x v="3"/>
    <n v="22834.47"/>
    <n v="20813.2"/>
    <n v="11083.01"/>
    <n v="1455.04"/>
    <n v="1409.23"/>
    <n v="2198.21"/>
    <n v="390.17"/>
    <n v="16535.66"/>
    <n v="11751.46"/>
    <n v="6298.8100000000013"/>
    <n v="0.2758465600471568"/>
    <n v="2021.27"/>
    <n v="1141.72"/>
    <n v="1084.6400000000001"/>
    <n v="22777.38"/>
    <x v="52"/>
    <s v="Punjab"/>
    <x v="4"/>
    <x v="5"/>
    <s v="CC-1003"/>
  </r>
  <r>
    <s v="TXN-00823"/>
    <d v="2025-09-09T00:00:00"/>
    <x v="1"/>
    <x v="0"/>
    <x v="0"/>
    <x v="3"/>
    <x v="0"/>
    <s v="Bihar"/>
    <s v="Patna"/>
    <s v="Branch B"/>
    <x v="0"/>
    <s v="CC-1005"/>
    <s v="P019"/>
    <s v="Conference Camera"/>
    <x v="0"/>
    <x v="0"/>
    <n v="47090.05"/>
    <n v="54902.95"/>
    <n v="25788.31"/>
    <n v="3793.71"/>
    <n v="1457.74"/>
    <n v="2306.56"/>
    <n v="1668.68"/>
    <n v="35014.99"/>
    <n v="21301.74"/>
    <n v="12075.060000000005"/>
    <n v="0.2564248710714897"/>
    <n v="-7812.9"/>
    <n v="4709.01"/>
    <n v="7628.59"/>
    <n v="50009.63"/>
    <x v="45"/>
    <s v="Bihar"/>
    <x v="0"/>
    <x v="0"/>
    <s v="CC-1005"/>
  </r>
  <r>
    <s v="TXN-00824"/>
    <d v="2025-06-26T00:00:00"/>
    <x v="11"/>
    <x v="2"/>
    <x v="0"/>
    <x v="0"/>
    <x v="0"/>
    <s v="Rajasthan"/>
    <s v="Udaipur"/>
    <s v="Branch C"/>
    <x v="1"/>
    <s v="CC-1005"/>
    <s v="P017"/>
    <s v="UPS System"/>
    <x v="0"/>
    <x v="7"/>
    <n v="30855.87"/>
    <n v="27730.03"/>
    <n v="16140.3"/>
    <n v="1850.12"/>
    <n v="2606.31"/>
    <n v="1580.48"/>
    <n v="889.2"/>
    <n v="23066.400000000001"/>
    <n v="14715.57"/>
    <n v="7789.4699999999975"/>
    <n v="0.25244694121410277"/>
    <n v="3125.84"/>
    <n v="1542.79"/>
    <n v="3517.57"/>
    <n v="32830.65"/>
    <x v="17"/>
    <s v="Rajasthan"/>
    <x v="1"/>
    <x v="10"/>
    <s v="CC-1005"/>
  </r>
  <r>
    <s v="TXN-00825"/>
    <d v="2026-02-08T00:00:00"/>
    <x v="2"/>
    <x v="1"/>
    <x v="0"/>
    <x v="3"/>
    <x v="0"/>
    <s v="Jharkhand"/>
    <s v="Ranchi"/>
    <s v="Branch C"/>
    <x v="3"/>
    <s v="CC-1002"/>
    <s v="P010"/>
    <s v="Mouse"/>
    <x v="1"/>
    <x v="1"/>
    <n v="7061.37"/>
    <n v="7133.9"/>
    <n v="4045.88"/>
    <n v="828.55"/>
    <n v="277.22000000000003"/>
    <n v="697.22"/>
    <n v="257.82"/>
    <n v="6106.7"/>
    <n v="3015.49"/>
    <n v="954.67000000000007"/>
    <n v="0.1351961446574815"/>
    <n v="-72.53"/>
    <n v="211.84"/>
    <n v="821.94"/>
    <n v="7671.47"/>
    <x v="9"/>
    <s v="Jharkhand"/>
    <x v="3"/>
    <x v="1"/>
    <s v="CC-1002"/>
  </r>
  <r>
    <s v="TXN-00826"/>
    <d v="2025-05-14T00:00:00"/>
    <x v="3"/>
    <x v="2"/>
    <x v="0"/>
    <x v="2"/>
    <x v="0"/>
    <s v="Punjab"/>
    <s v="Amritsar"/>
    <s v="Branch A"/>
    <x v="1"/>
    <s v="CC-1002"/>
    <s v="P013"/>
    <s v="CRM Software"/>
    <x v="2"/>
    <x v="4"/>
    <n v="20902.45"/>
    <n v="19871.8"/>
    <n v="14724.5"/>
    <n v="2641.92"/>
    <n v="1825.39"/>
    <n v="2236.67"/>
    <n v="475.19"/>
    <n v="21903.66"/>
    <n v="6177.95"/>
    <n v="-1001.2099999999991"/>
    <n v="-4.7899169714554948E-2"/>
    <n v="1030.6400000000001"/>
    <n v="0"/>
    <n v="2508.29"/>
    <n v="23410.74"/>
    <x v="47"/>
    <s v="Punjab"/>
    <x v="1"/>
    <x v="15"/>
    <s v="CC-1002"/>
  </r>
  <r>
    <s v="TXN-00827"/>
    <d v="2026-02-20T00:00:00"/>
    <x v="2"/>
    <x v="1"/>
    <x v="0"/>
    <x v="2"/>
    <x v="0"/>
    <s v="Uttar Pradesh"/>
    <s v="Agra"/>
    <s v="Branch B"/>
    <x v="1"/>
    <s v="CC-1003"/>
    <s v="P005"/>
    <s v="Office Desk"/>
    <x v="3"/>
    <x v="5"/>
    <n v="17410.009999999998"/>
    <n v="15840.75"/>
    <n v="9637.1200000000008"/>
    <n v="1568.11"/>
    <n v="697.45"/>
    <n v="1451.12"/>
    <n v="308.01"/>
    <n v="13661.81"/>
    <n v="7772.89"/>
    <n v="3748.1999999999989"/>
    <n v="0.2152899395232972"/>
    <n v="1569.26"/>
    <n v="870.5"/>
    <n v="2977.11"/>
    <n v="19516.62"/>
    <x v="7"/>
    <s v="Uttar Pradesh"/>
    <x v="1"/>
    <x v="8"/>
    <s v="CC-1003"/>
  </r>
  <r>
    <s v="TXN-00828"/>
    <d v="2026-03-06T00:00:00"/>
    <x v="8"/>
    <x v="1"/>
    <x v="0"/>
    <x v="0"/>
    <x v="0"/>
    <s v="Maharashtra"/>
    <s v="Mumbai"/>
    <s v="Branch A"/>
    <x v="0"/>
    <s v="CC-1002"/>
    <s v="P006"/>
    <s v="Smartphone"/>
    <x v="0"/>
    <x v="9"/>
    <n v="35786.089999999997"/>
    <n v="33629.22"/>
    <n v="25256.21"/>
    <n v="3969.51"/>
    <n v="2514.15"/>
    <n v="2115.4699999999998"/>
    <n v="506.38"/>
    <n v="34361.71"/>
    <n v="10529.88"/>
    <n v="1424.3799999999974"/>
    <n v="3.9802616044390365E-2"/>
    <n v="2156.87"/>
    <n v="2862.89"/>
    <n v="1646.16"/>
    <n v="34569.360000000001"/>
    <x v="6"/>
    <s v="Maharashtra"/>
    <x v="0"/>
    <x v="16"/>
    <s v="CC-1002"/>
  </r>
  <r>
    <s v="TXN-00829"/>
    <d v="2025-12-31T00:00:00"/>
    <x v="6"/>
    <x v="3"/>
    <x v="0"/>
    <x v="1"/>
    <x v="0"/>
    <s v="Kerala"/>
    <s v="Kozhikode"/>
    <s v="Branch B"/>
    <x v="1"/>
    <s v="CC-1004"/>
    <s v="P006"/>
    <s v="Smartphone"/>
    <x v="0"/>
    <x v="9"/>
    <n v="38813.83"/>
    <n v="42615.31"/>
    <n v="20563.189999999999"/>
    <n v="3285.22"/>
    <n v="2601.67"/>
    <n v="2396.92"/>
    <n v="909.94"/>
    <n v="29756.94"/>
    <n v="18250.64"/>
    <n v="9056.8900000000031"/>
    <n v="0.23334182686944324"/>
    <n v="-3801.48"/>
    <n v="1940.69"/>
    <n v="6637.16"/>
    <n v="43510.3"/>
    <x v="24"/>
    <s v="Kerala"/>
    <x v="1"/>
    <x v="16"/>
    <s v="CC-1004"/>
  </r>
  <r>
    <s v="TXN-00830"/>
    <d v="2025-10-06T00:00:00"/>
    <x v="5"/>
    <x v="3"/>
    <x v="0"/>
    <x v="2"/>
    <x v="0"/>
    <s v="Punjab"/>
    <s v="Amritsar"/>
    <s v="Branch A"/>
    <x v="3"/>
    <s v="CC-1005"/>
    <s v="P007"/>
    <s v="Tablet"/>
    <x v="0"/>
    <x v="9"/>
    <n v="28789.4"/>
    <n v="30350.6"/>
    <n v="17160.88"/>
    <n v="3118.09"/>
    <n v="1545.66"/>
    <n v="1931.51"/>
    <n v="583.61"/>
    <n v="24339.75"/>
    <n v="11628.52"/>
    <n v="4449.6500000000015"/>
    <n v="0.15455862227069689"/>
    <n v="-1561.2"/>
    <n v="575.79"/>
    <n v="3385.63"/>
    <n v="31599.25"/>
    <x v="47"/>
    <s v="Punjab"/>
    <x v="3"/>
    <x v="12"/>
    <s v="CC-1005"/>
  </r>
  <r>
    <s v="TXN-00831"/>
    <d v="2025-11-06T00:00:00"/>
    <x v="10"/>
    <x v="3"/>
    <x v="0"/>
    <x v="2"/>
    <x v="0"/>
    <s v="Punjab"/>
    <s v="Jalandhar"/>
    <s v="Branch D"/>
    <x v="1"/>
    <s v="CC-1003"/>
    <s v="P019"/>
    <s v="Conference Camera"/>
    <x v="0"/>
    <x v="0"/>
    <n v="58306.87"/>
    <n v="61476.18"/>
    <n v="41402.980000000003"/>
    <n v="3015.35"/>
    <n v="4257.13"/>
    <n v="6804.58"/>
    <n v="2342.7399999999998"/>
    <n v="57822.78"/>
    <n v="16903.89"/>
    <n v="484.09000000000378"/>
    <n v="8.3024521810209292E-3"/>
    <n v="-3169.31"/>
    <n v="0"/>
    <n v="6996.82"/>
    <n v="65303.7"/>
    <x v="52"/>
    <s v="Punjab"/>
    <x v="1"/>
    <x v="0"/>
    <s v="CC-1003"/>
  </r>
  <r>
    <s v="TXN-00832"/>
    <d v="2026-01-28T00:00:00"/>
    <x v="4"/>
    <x v="1"/>
    <x v="0"/>
    <x v="0"/>
    <x v="0"/>
    <s v="Gujarat"/>
    <s v="Vadodara"/>
    <s v="Branch C"/>
    <x v="4"/>
    <s v="CC-1002"/>
    <s v="P004"/>
    <s v="Office Chair"/>
    <x v="3"/>
    <x v="5"/>
    <n v="14400.13"/>
    <n v="13425.73"/>
    <n v="8131.62"/>
    <n v="1152.5999999999999"/>
    <n v="778.67"/>
    <n v="1486.28"/>
    <n v="548.29"/>
    <n v="12097.45"/>
    <n v="6268.51"/>
    <n v="2302.6799999999985"/>
    <n v="0.15990688972946762"/>
    <n v="974.4"/>
    <n v="720.01"/>
    <n v="684.01"/>
    <n v="14364.13"/>
    <x v="19"/>
    <s v="Gujarat"/>
    <x v="4"/>
    <x v="17"/>
    <s v="CC-1002"/>
  </r>
  <r>
    <s v="TXN-00833"/>
    <d v="2025-06-18T00:00:00"/>
    <x v="11"/>
    <x v="2"/>
    <x v="0"/>
    <x v="1"/>
    <x v="0"/>
    <s v="Tamil Nadu"/>
    <s v="Coimbatore"/>
    <s v="Branch B"/>
    <x v="4"/>
    <s v="CC-1003"/>
    <s v="P014"/>
    <s v="Data Storage"/>
    <x v="2"/>
    <x v="12"/>
    <n v="10979.12"/>
    <n v="12860.57"/>
    <n v="7186.25"/>
    <n v="856.07"/>
    <n v="340.74"/>
    <n v="893.09"/>
    <n v="191.81"/>
    <n v="9467.9599999999991"/>
    <n v="3792.87"/>
    <n v="1511.1600000000017"/>
    <n v="0.13763944651301757"/>
    <n v="-1881.44"/>
    <n v="548.96"/>
    <n v="1877.43"/>
    <n v="12307.6"/>
    <x v="10"/>
    <s v="Tamil Nadu"/>
    <x v="4"/>
    <x v="19"/>
    <s v="CC-1003"/>
  </r>
  <r>
    <s v="TXN-00834"/>
    <d v="2025-09-22T00:00:00"/>
    <x v="1"/>
    <x v="0"/>
    <x v="0"/>
    <x v="1"/>
    <x v="0"/>
    <s v="Kerala"/>
    <s v="Thiruvananthapuram"/>
    <s v="Branch B"/>
    <x v="3"/>
    <s v="CC-1004"/>
    <s v="P016"/>
    <s v="Network Switch"/>
    <x v="4"/>
    <x v="10"/>
    <n v="9069.24"/>
    <n v="8250.02"/>
    <n v="5296.61"/>
    <n v="544.96"/>
    <n v="484.52"/>
    <n v="893.94"/>
    <n v="307.62"/>
    <n v="7527.64"/>
    <n v="3772.63"/>
    <n v="1541.5999999999995"/>
    <n v="0.16998116710992317"/>
    <n v="819.21"/>
    <n v="181.38"/>
    <n v="1599.81"/>
    <n v="10487.66"/>
    <x v="8"/>
    <s v="Kerala"/>
    <x v="3"/>
    <x v="13"/>
    <s v="CC-1004"/>
  </r>
  <r>
    <s v="TXN-00835"/>
    <d v="2025-11-04T00:00:00"/>
    <x v="10"/>
    <x v="3"/>
    <x v="0"/>
    <x v="3"/>
    <x v="0"/>
    <s v="Jharkhand"/>
    <s v="Jamshedpur"/>
    <s v="Branch C"/>
    <x v="0"/>
    <s v="CC-1003"/>
    <s v="P009"/>
    <s v="Keyboard"/>
    <x v="1"/>
    <x v="1"/>
    <n v="7848.86"/>
    <n v="7988.53"/>
    <n v="5047.46"/>
    <n v="801.77"/>
    <n v="215.95"/>
    <n v="429.12"/>
    <n v="323.95"/>
    <n v="6818.24"/>
    <n v="2801.4"/>
    <n v="1030.6199999999999"/>
    <n v="0.13130824094199667"/>
    <n v="-139.66999999999999"/>
    <n v="784.89"/>
    <n v="1271.51"/>
    <n v="8335.48"/>
    <x v="30"/>
    <s v="Jharkhand"/>
    <x v="0"/>
    <x v="2"/>
    <s v="CC-1003"/>
  </r>
  <r>
    <s v="TXN-00836"/>
    <d v="2026-01-22T00:00:00"/>
    <x v="4"/>
    <x v="1"/>
    <x v="0"/>
    <x v="1"/>
    <x v="0"/>
    <s v="Karnataka"/>
    <s v="Mysuru"/>
    <s v="Branch C"/>
    <x v="3"/>
    <s v="CC-1001"/>
    <s v="P009"/>
    <s v="Keyboard"/>
    <x v="1"/>
    <x v="1"/>
    <n v="7079.56"/>
    <n v="7156.64"/>
    <n v="4315.6099999999997"/>
    <n v="465.88"/>
    <n v="375.19"/>
    <n v="567.33000000000004"/>
    <n v="294.10000000000002"/>
    <n v="6018.11"/>
    <n v="2763.95"/>
    <n v="1061.4500000000007"/>
    <n v="0.14993163416935526"/>
    <n v="-77.069999999999993"/>
    <n v="141.59"/>
    <n v="1248.83"/>
    <n v="8186.81"/>
    <x v="33"/>
    <s v="Karnataka"/>
    <x v="3"/>
    <x v="2"/>
    <s v="CC-1001"/>
  </r>
  <r>
    <s v="TXN-00837"/>
    <d v="2026-02-02T00:00:00"/>
    <x v="2"/>
    <x v="1"/>
    <x v="0"/>
    <x v="2"/>
    <x v="0"/>
    <s v="Haryana"/>
    <s v="Gurugram"/>
    <s v="Branch B"/>
    <x v="1"/>
    <s v="CC-1002"/>
    <s v="P011"/>
    <s v="Cloud Software"/>
    <x v="2"/>
    <x v="11"/>
    <n v="10707.66"/>
    <n v="10648.04"/>
    <n v="6054.97"/>
    <n v="854.33"/>
    <n v="489.21"/>
    <n v="960.38"/>
    <n v="168.64"/>
    <n v="8527.5300000000007"/>
    <n v="4652.6899999999996"/>
    <n v="2180.1299999999992"/>
    <n v="0.2036047091521396"/>
    <n v="59.62"/>
    <n v="856.61"/>
    <n v="1773.19"/>
    <n v="11624.24"/>
    <x v="27"/>
    <s v="Haryana"/>
    <x v="1"/>
    <x v="18"/>
    <s v="CC-1002"/>
  </r>
  <r>
    <s v="TXN-00838"/>
    <d v="2025-11-07T00:00:00"/>
    <x v="10"/>
    <x v="3"/>
    <x v="0"/>
    <x v="3"/>
    <x v="0"/>
    <s v="Odisha"/>
    <s v="Rourkela"/>
    <s v="Branch A"/>
    <x v="0"/>
    <s v="CC-1002"/>
    <s v="P015"/>
    <s v="Network Router"/>
    <x v="4"/>
    <x v="10"/>
    <n v="25356.73"/>
    <n v="28499.33"/>
    <n v="17894.53"/>
    <n v="1948.81"/>
    <n v="1507.27"/>
    <n v="2349.7199999999998"/>
    <n v="324.10000000000002"/>
    <n v="24024.42"/>
    <n v="7462.2"/>
    <n v="1332.3100000000013"/>
    <n v="5.2542658300183079E-2"/>
    <n v="-3142.6"/>
    <n v="760.7"/>
    <n v="2951.52"/>
    <n v="27547.56"/>
    <x v="41"/>
    <s v="Odisha"/>
    <x v="0"/>
    <x v="14"/>
    <s v="CC-1002"/>
  </r>
  <r>
    <s v="TXN-00839"/>
    <d v="2025-08-19T00:00:00"/>
    <x v="7"/>
    <x v="0"/>
    <x v="0"/>
    <x v="0"/>
    <x v="0"/>
    <s v="Rajasthan"/>
    <s v="Jodhpur"/>
    <s v="Branch C"/>
    <x v="0"/>
    <s v="CC-1002"/>
    <s v="P002"/>
    <s v="Monitor"/>
    <x v="0"/>
    <x v="2"/>
    <n v="34944.82"/>
    <n v="36556.18"/>
    <n v="24640.53"/>
    <n v="3771.24"/>
    <n v="2125.14"/>
    <n v="3551.55"/>
    <n v="803.07"/>
    <n v="34891.54"/>
    <n v="10304.290000000001"/>
    <n v="53.279999999998836"/>
    <n v="1.5246894961828059E-3"/>
    <n v="-1611.36"/>
    <n v="1747.24"/>
    <n v="3983.71"/>
    <n v="37181.29"/>
    <x v="11"/>
    <s v="Rajasthan"/>
    <x v="0"/>
    <x v="3"/>
    <s v="CC-1002"/>
  </r>
  <r>
    <s v="TXN-00840"/>
    <d v="2025-04-15T00:00:00"/>
    <x v="9"/>
    <x v="2"/>
    <x v="0"/>
    <x v="0"/>
    <x v="0"/>
    <s v="Rajasthan"/>
    <s v="Udaipur"/>
    <s v="Branch A"/>
    <x v="1"/>
    <s v="CC-1001"/>
    <s v="P002"/>
    <s v="Monitor"/>
    <x v="0"/>
    <x v="2"/>
    <n v="62071.34"/>
    <n v="58051.54"/>
    <n v="42313.21"/>
    <n v="3707.18"/>
    <n v="2419.1999999999998"/>
    <n v="2667.46"/>
    <n v="926.63"/>
    <n v="52033.67"/>
    <n v="19758.13"/>
    <n v="10037.669999999998"/>
    <n v="0.16171183029075897"/>
    <n v="4019.8"/>
    <n v="4965.71"/>
    <n v="6852.68"/>
    <n v="63958.31"/>
    <x v="17"/>
    <s v="Rajasthan"/>
    <x v="1"/>
    <x v="3"/>
    <s v="CC-1001"/>
  </r>
  <r>
    <s v="TXN-00841"/>
    <d v="2025-12-01T00:00:00"/>
    <x v="6"/>
    <x v="3"/>
    <x v="0"/>
    <x v="3"/>
    <x v="0"/>
    <s v="West Bengal"/>
    <s v="Durgapur"/>
    <s v="Branch A"/>
    <x v="2"/>
    <s v="CC-1005"/>
    <s v="P012"/>
    <s v="Accounting Software"/>
    <x v="2"/>
    <x v="4"/>
    <n v="19972.330000000002"/>
    <n v="21857.78"/>
    <n v="11427.18"/>
    <n v="2230.35"/>
    <n v="684.7"/>
    <n v="1126.4100000000001"/>
    <n v="679.2"/>
    <n v="16147.84"/>
    <n v="8545.15"/>
    <n v="3824.4900000000016"/>
    <n v="0.19148942562034582"/>
    <n v="-1885.45"/>
    <n v="998.62"/>
    <n v="948.69"/>
    <n v="19922.400000000001"/>
    <x v="39"/>
    <s v="West Bengal"/>
    <x v="2"/>
    <x v="7"/>
    <s v="CC-1005"/>
  </r>
  <r>
    <s v="TXN-00842"/>
    <d v="2025-06-16T00:00:00"/>
    <x v="11"/>
    <x v="2"/>
    <x v="0"/>
    <x v="1"/>
    <x v="0"/>
    <s v="Karnataka"/>
    <s v="Mysuru"/>
    <s v="Branch B"/>
    <x v="4"/>
    <s v="CC-1003"/>
    <s v="P008"/>
    <s v="Headset"/>
    <x v="1"/>
    <x v="8"/>
    <n v="9187.18"/>
    <n v="9285.32"/>
    <n v="5243.69"/>
    <n v="1008.93"/>
    <n v="774.83"/>
    <n v="922.34"/>
    <n v="164.9"/>
    <n v="8114.7"/>
    <n v="3943.49"/>
    <n v="1072.4800000000005"/>
    <n v="0.1167365829340451"/>
    <n v="-98.14"/>
    <n v="734.97"/>
    <n v="1014.26"/>
    <n v="9466.4699999999993"/>
    <x v="33"/>
    <s v="Karnataka"/>
    <x v="4"/>
    <x v="11"/>
    <s v="CC-1003"/>
  </r>
  <r>
    <s v="TXN-00843"/>
    <d v="2026-02-28T00:00:00"/>
    <x v="2"/>
    <x v="1"/>
    <x v="0"/>
    <x v="3"/>
    <x v="0"/>
    <s v="Odisha"/>
    <s v="Bhubaneswar"/>
    <s v="Branch D"/>
    <x v="2"/>
    <s v="CC-1004"/>
    <s v="P007"/>
    <s v="Tablet"/>
    <x v="0"/>
    <x v="9"/>
    <n v="46208.41"/>
    <n v="41572.65"/>
    <n v="29999.38"/>
    <n v="4319.7"/>
    <n v="2734.41"/>
    <n v="2927.93"/>
    <n v="1424.09"/>
    <n v="41405.51"/>
    <n v="16209.02"/>
    <n v="4802.9000000000015"/>
    <n v="0.10393995378763306"/>
    <n v="4635.75"/>
    <n v="0"/>
    <n v="2310.42"/>
    <n v="48518.83"/>
    <x v="3"/>
    <s v="Odisha"/>
    <x v="2"/>
    <x v="12"/>
    <s v="CC-1004"/>
  </r>
  <r>
    <s v="TXN-00844"/>
    <d v="2025-11-25T00:00:00"/>
    <x v="10"/>
    <x v="3"/>
    <x v="0"/>
    <x v="0"/>
    <x v="0"/>
    <s v="Goa"/>
    <s v="Panaji"/>
    <s v="Branch B"/>
    <x v="0"/>
    <s v="CC-1004"/>
    <s v="P002"/>
    <s v="Monitor"/>
    <x v="0"/>
    <x v="2"/>
    <n v="32715.67"/>
    <n v="34638.78"/>
    <n v="17670.740000000002"/>
    <n v="2509.5300000000002"/>
    <n v="1820.02"/>
    <n v="1378.69"/>
    <n v="432.43"/>
    <n v="23811.41"/>
    <n v="15044.93"/>
    <n v="8904.2599999999984"/>
    <n v="0.27217110332754912"/>
    <n v="-1923.11"/>
    <n v="1635.78"/>
    <n v="3729.59"/>
    <n v="34809.47"/>
    <x v="14"/>
    <s v="Goa"/>
    <x v="0"/>
    <x v="3"/>
    <s v="CC-1004"/>
  </r>
  <r>
    <s v="TXN-00845"/>
    <d v="2025-06-06T00:00:00"/>
    <x v="11"/>
    <x v="2"/>
    <x v="0"/>
    <x v="0"/>
    <x v="0"/>
    <s v="Goa"/>
    <s v="Vasco da Gama"/>
    <s v="Branch B"/>
    <x v="2"/>
    <s v="CC-1003"/>
    <s v="P016"/>
    <s v="Network Switch"/>
    <x v="4"/>
    <x v="10"/>
    <n v="8893.86"/>
    <n v="8572.18"/>
    <n v="4783.54"/>
    <n v="798.68"/>
    <n v="768.4"/>
    <n v="671.79"/>
    <n v="294.87"/>
    <n v="7317.29"/>
    <n v="4110.32"/>
    <n v="1576.5700000000006"/>
    <n v="0.17726498955459166"/>
    <n v="321.69"/>
    <n v="444.69"/>
    <n v="1520.85"/>
    <n v="9970.02"/>
    <x v="0"/>
    <s v="Goa"/>
    <x v="2"/>
    <x v="13"/>
    <s v="CC-1003"/>
  </r>
  <r>
    <s v="TXN-00846"/>
    <d v="2025-12-16T00:00:00"/>
    <x v="6"/>
    <x v="3"/>
    <x v="0"/>
    <x v="1"/>
    <x v="0"/>
    <s v="Kerala"/>
    <s v="Thiruvananthapuram"/>
    <s v="Branch B"/>
    <x v="2"/>
    <s v="CC-1003"/>
    <s v="P002"/>
    <s v="Monitor"/>
    <x v="0"/>
    <x v="2"/>
    <n v="31098.71"/>
    <n v="27668.63"/>
    <n v="19755.849999999999"/>
    <n v="2933.96"/>
    <n v="2125.42"/>
    <n v="3558.04"/>
    <n v="1059.06"/>
    <n v="29432.34"/>
    <n v="11342.86"/>
    <n v="1666.369999999999"/>
    <n v="5.358325152393778E-2"/>
    <n v="3430.08"/>
    <n v="621.97"/>
    <n v="1523.84"/>
    <n v="32000.57"/>
    <x v="8"/>
    <s v="Kerala"/>
    <x v="2"/>
    <x v="3"/>
    <s v="CC-1003"/>
  </r>
  <r>
    <s v="TXN-00847"/>
    <d v="2025-05-06T00:00:00"/>
    <x v="3"/>
    <x v="2"/>
    <x v="0"/>
    <x v="4"/>
    <x v="0"/>
    <s v="Madhya Pradesh"/>
    <s v="Bhopal"/>
    <s v="Branch C"/>
    <x v="1"/>
    <s v="CC-1003"/>
    <s v="P002"/>
    <s v="Monitor"/>
    <x v="0"/>
    <x v="2"/>
    <n v="82566.39"/>
    <n v="96779.42"/>
    <n v="40407.160000000003"/>
    <n v="10378.25"/>
    <n v="7417.1"/>
    <n v="9527.69"/>
    <n v="2764.56"/>
    <n v="70494.77"/>
    <n v="42159.23"/>
    <n v="12071.619999999995"/>
    <n v="0.14620501150649792"/>
    <n v="-14213.02"/>
    <n v="4128.32"/>
    <n v="3921.9"/>
    <n v="82359.98"/>
    <x v="23"/>
    <s v="Madhya Pradesh"/>
    <x v="1"/>
    <x v="3"/>
    <s v="CC-1003"/>
  </r>
  <r>
    <s v="TXN-00848"/>
    <d v="2025-11-14T00:00:00"/>
    <x v="10"/>
    <x v="3"/>
    <x v="0"/>
    <x v="1"/>
    <x v="0"/>
    <s v="Kerala"/>
    <s v="Kozhikode"/>
    <s v="Branch D"/>
    <x v="4"/>
    <s v="CC-1001"/>
    <s v="P004"/>
    <s v="Office Chair"/>
    <x v="3"/>
    <x v="5"/>
    <n v="14494.8"/>
    <n v="17034.89"/>
    <n v="7608.18"/>
    <n v="1727.55"/>
    <n v="730.21"/>
    <n v="1022.02"/>
    <n v="278.22000000000003"/>
    <n v="11366.18"/>
    <n v="6886.62"/>
    <n v="3128.619999999999"/>
    <n v="0.21584430278444677"/>
    <n v="-2540.1"/>
    <n v="0"/>
    <n v="1739.38"/>
    <n v="16234.17"/>
    <x v="24"/>
    <s v="Kerala"/>
    <x v="4"/>
    <x v="17"/>
    <s v="CC-1001"/>
  </r>
  <r>
    <s v="TXN-00849"/>
    <d v="2025-10-25T00:00:00"/>
    <x v="5"/>
    <x v="3"/>
    <x v="0"/>
    <x v="2"/>
    <x v="0"/>
    <s v="Delhi"/>
    <s v="New Delhi"/>
    <s v="Branch B"/>
    <x v="4"/>
    <s v="CC-1004"/>
    <s v="P005"/>
    <s v="Office Desk"/>
    <x v="3"/>
    <x v="5"/>
    <n v="14311.04"/>
    <n v="16457.240000000002"/>
    <n v="8064.82"/>
    <n v="843.24"/>
    <n v="1012.79"/>
    <n v="1406.33"/>
    <n v="592.32000000000005"/>
    <n v="11919.51"/>
    <n v="6246.22"/>
    <n v="2391.5300000000007"/>
    <n v="0.16711084589240199"/>
    <n v="-2146.1999999999998"/>
    <n v="0"/>
    <n v="715.55"/>
    <n v="15026.59"/>
    <x v="48"/>
    <s v="Delhi"/>
    <x v="4"/>
    <x v="8"/>
    <s v="CC-1004"/>
  </r>
  <r>
    <s v="TXN-00850"/>
    <d v="2026-02-10T00:00:00"/>
    <x v="2"/>
    <x v="1"/>
    <x v="0"/>
    <x v="0"/>
    <x v="0"/>
    <s v="Rajasthan"/>
    <s v="Jodhpur"/>
    <s v="Branch D"/>
    <x v="0"/>
    <s v="CC-1005"/>
    <s v="P012"/>
    <s v="Accounting Software"/>
    <x v="2"/>
    <x v="4"/>
    <n v="14413.36"/>
    <n v="13664.31"/>
    <n v="8495.4"/>
    <n v="1819.84"/>
    <n v="1157.0999999999999"/>
    <n v="744"/>
    <n v="159.16"/>
    <n v="12375.49"/>
    <n v="5917.95"/>
    <n v="2037.8700000000008"/>
    <n v="0.14138757375101993"/>
    <n v="749.05"/>
    <n v="1441.34"/>
    <n v="1556.64"/>
    <n v="14528.67"/>
    <x v="11"/>
    <s v="Rajasthan"/>
    <x v="0"/>
    <x v="7"/>
    <s v="CC-1005"/>
  </r>
  <r>
    <s v="TXN-00851"/>
    <d v="2026-03-09T00:00:00"/>
    <x v="8"/>
    <x v="1"/>
    <x v="0"/>
    <x v="0"/>
    <x v="0"/>
    <s v="Rajasthan"/>
    <s v="Udaipur"/>
    <s v="Branch D"/>
    <x v="3"/>
    <s v="CC-1004"/>
    <s v="P006"/>
    <s v="Smartphone"/>
    <x v="0"/>
    <x v="9"/>
    <n v="41767.86"/>
    <n v="38425.1"/>
    <n v="22096.18"/>
    <n v="4650.3100000000004"/>
    <n v="1846.12"/>
    <n v="1742.18"/>
    <n v="1797.94"/>
    <n v="32132.73"/>
    <n v="19671.68"/>
    <n v="9635.130000000001"/>
    <n v="0.23068287434405307"/>
    <n v="3342.76"/>
    <n v="0"/>
    <n v="2088.39"/>
    <n v="43856.26"/>
    <x v="17"/>
    <s v="Rajasthan"/>
    <x v="3"/>
    <x v="16"/>
    <s v="CC-1004"/>
  </r>
  <r>
    <s v="TXN-00852"/>
    <d v="2025-04-23T00:00:00"/>
    <x v="9"/>
    <x v="2"/>
    <x v="0"/>
    <x v="4"/>
    <x v="0"/>
    <s v="Uttar Pradesh"/>
    <s v="Kanpur"/>
    <s v="Branch D"/>
    <x v="4"/>
    <s v="CC-1001"/>
    <s v="P009"/>
    <s v="Keyboard"/>
    <x v="1"/>
    <x v="1"/>
    <n v="2344.9699999999998"/>
    <n v="2489.89"/>
    <n v="1327.82"/>
    <n v="128.02000000000001"/>
    <n v="156.12"/>
    <n v="200.75"/>
    <n v="32.72"/>
    <n v="1845.43"/>
    <n v="1017.15"/>
    <n v="499.53999999999974"/>
    <n v="0.21302617943939572"/>
    <n v="-144.93"/>
    <n v="187.6"/>
    <n v="107.87"/>
    <n v="2265.2399999999998"/>
    <x v="25"/>
    <s v="Uttar Pradesh"/>
    <x v="4"/>
    <x v="2"/>
    <s v="CC-1001"/>
  </r>
  <r>
    <s v="TXN-00853"/>
    <d v="2025-08-21T00:00:00"/>
    <x v="7"/>
    <x v="0"/>
    <x v="0"/>
    <x v="4"/>
    <x v="0"/>
    <s v="Madhya Pradesh"/>
    <s v="Gwalior"/>
    <s v="Branch B"/>
    <x v="1"/>
    <s v="CC-1001"/>
    <s v="P016"/>
    <s v="Network Switch"/>
    <x v="4"/>
    <x v="10"/>
    <n v="18386.349999999999"/>
    <n v="21641.65"/>
    <n v="13237.36"/>
    <n v="1704.02"/>
    <n v="1447.49"/>
    <n v="2192.02"/>
    <n v="424.97"/>
    <n v="19005.86"/>
    <n v="5148.99"/>
    <n v="-619.51000000000204"/>
    <n v="-3.3694017572819077E-2"/>
    <n v="-3255.3"/>
    <n v="367.73"/>
    <n v="900.93"/>
    <n v="18919.560000000001"/>
    <x v="42"/>
    <s v="Madhya Pradesh"/>
    <x v="1"/>
    <x v="13"/>
    <s v="CC-1001"/>
  </r>
  <r>
    <s v="TXN-00854"/>
    <d v="2025-08-01T00:00:00"/>
    <x v="7"/>
    <x v="0"/>
    <x v="0"/>
    <x v="4"/>
    <x v="0"/>
    <s v="Chhattisgarh"/>
    <s v="Bhilai"/>
    <s v="Branch C"/>
    <x v="2"/>
    <s v="CC-1002"/>
    <s v="P008"/>
    <s v="Headset"/>
    <x v="1"/>
    <x v="8"/>
    <n v="11012.8"/>
    <n v="10290.870000000001"/>
    <n v="5604.33"/>
    <n v="677.14"/>
    <n v="748.5"/>
    <n v="1023.26"/>
    <n v="436.96"/>
    <n v="8490.18"/>
    <n v="5408.48"/>
    <n v="2522.619999999999"/>
    <n v="0.22906254540171428"/>
    <n v="721.93"/>
    <n v="550.64"/>
    <n v="1255.46"/>
    <n v="11717.62"/>
    <x v="38"/>
    <s v="Chhattisgarh"/>
    <x v="2"/>
    <x v="11"/>
    <s v="CC-1002"/>
  </r>
  <r>
    <s v="TXN-00855"/>
    <d v="2025-11-04T00:00:00"/>
    <x v="10"/>
    <x v="3"/>
    <x v="0"/>
    <x v="1"/>
    <x v="0"/>
    <s v="Telangana"/>
    <s v="Hyderabad"/>
    <s v="Branch A"/>
    <x v="3"/>
    <s v="CC-1003"/>
    <s v="P020"/>
    <s v="Document Scanner"/>
    <x v="0"/>
    <x v="3"/>
    <n v="53946.73"/>
    <n v="59112.62"/>
    <n v="34216.949999999997"/>
    <n v="4940.41"/>
    <n v="3739.41"/>
    <n v="4097.72"/>
    <n v="995.78"/>
    <n v="47990.26"/>
    <n v="19729.79"/>
    <n v="5956.4700000000012"/>
    <n v="0.11041392128864902"/>
    <n v="-5165.88"/>
    <n v="0"/>
    <n v="6473.61"/>
    <n v="60420.34"/>
    <x v="51"/>
    <s v="Telangana"/>
    <x v="3"/>
    <x v="6"/>
    <s v="CC-1003"/>
  </r>
  <r>
    <s v="TXN-00856"/>
    <d v="2025-06-12T00:00:00"/>
    <x v="11"/>
    <x v="2"/>
    <x v="0"/>
    <x v="3"/>
    <x v="0"/>
    <s v="Jharkhand"/>
    <s v="Ranchi"/>
    <s v="Branch D"/>
    <x v="3"/>
    <s v="CC-1003"/>
    <s v="P011"/>
    <s v="Cloud Software"/>
    <x v="2"/>
    <x v="11"/>
    <n v="8634.84"/>
    <n v="7639.09"/>
    <n v="4581.12"/>
    <n v="789.94"/>
    <n v="518.12"/>
    <n v="521.14"/>
    <n v="108.19"/>
    <n v="6518.51"/>
    <n v="4053.72"/>
    <n v="2116.33"/>
    <n v="0.24509197622654269"/>
    <n v="995.75"/>
    <n v="431.74"/>
    <n v="1476.56"/>
    <n v="9679.66"/>
    <x v="9"/>
    <s v="Jharkhand"/>
    <x v="3"/>
    <x v="18"/>
    <s v="CC-1003"/>
  </r>
  <r>
    <s v="TXN-00857"/>
    <d v="2025-10-16T00:00:00"/>
    <x v="5"/>
    <x v="3"/>
    <x v="0"/>
    <x v="2"/>
    <x v="0"/>
    <s v="Haryana"/>
    <s v="Faridabad"/>
    <s v="Branch A"/>
    <x v="2"/>
    <s v="CC-1002"/>
    <s v="P013"/>
    <s v="CRM Software"/>
    <x v="2"/>
    <x v="4"/>
    <n v="8054.76"/>
    <n v="8252.4699999999993"/>
    <n v="5214.6000000000004"/>
    <n v="436.4"/>
    <n v="481.08"/>
    <n v="516.32000000000005"/>
    <n v="160.88"/>
    <n v="6809.28"/>
    <n v="2840.16"/>
    <n v="1245.4800000000005"/>
    <n v="0.15462658105269436"/>
    <n v="-197.72"/>
    <n v="241.64"/>
    <n v="390.66"/>
    <n v="8203.77"/>
    <x v="13"/>
    <s v="Haryana"/>
    <x v="2"/>
    <x v="15"/>
    <s v="CC-1002"/>
  </r>
  <r>
    <s v="TXN-00858"/>
    <d v="2025-07-21T00:00:00"/>
    <x v="0"/>
    <x v="0"/>
    <x v="0"/>
    <x v="1"/>
    <x v="0"/>
    <s v="Tamil Nadu"/>
    <s v="Madurai"/>
    <s v="Branch A"/>
    <x v="3"/>
    <s v="CC-1001"/>
    <s v="P015"/>
    <s v="Network Router"/>
    <x v="4"/>
    <x v="10"/>
    <n v="13230.45"/>
    <n v="11982.81"/>
    <n v="9357.2099999999991"/>
    <n v="970.29"/>
    <n v="525.52"/>
    <n v="665.9"/>
    <n v="570.37"/>
    <n v="12089.29"/>
    <n v="3873.24"/>
    <n v="1141.1599999999999"/>
    <n v="8.6252546209690514E-2"/>
    <n v="1247.6400000000001"/>
    <n v="661.52"/>
    <n v="2262.41"/>
    <n v="14831.33"/>
    <x v="43"/>
    <s v="Tamil Nadu"/>
    <x v="3"/>
    <x v="14"/>
    <s v="CC-1001"/>
  </r>
  <r>
    <s v="TXN-00859"/>
    <d v="2025-05-13T00:00:00"/>
    <x v="3"/>
    <x v="2"/>
    <x v="0"/>
    <x v="0"/>
    <x v="0"/>
    <s v="Rajasthan"/>
    <s v="Udaipur"/>
    <s v="Branch B"/>
    <x v="0"/>
    <s v="CC-1001"/>
    <s v="P015"/>
    <s v="Network Router"/>
    <x v="4"/>
    <x v="10"/>
    <n v="29239.66"/>
    <n v="27058.45"/>
    <n v="19546.11"/>
    <n v="1747.49"/>
    <n v="1090.83"/>
    <n v="1664.37"/>
    <n v="862.31"/>
    <n v="24911.119999999999"/>
    <n v="9693.5400000000009"/>
    <n v="4328.5400000000009"/>
    <n v="0.14803660507680325"/>
    <n v="2181.21"/>
    <n v="2339.17"/>
    <n v="3228.06"/>
    <n v="30128.54"/>
    <x v="17"/>
    <s v="Rajasthan"/>
    <x v="0"/>
    <x v="14"/>
    <s v="CC-1001"/>
  </r>
  <r>
    <s v="TXN-00860"/>
    <d v="2026-03-18T00:00:00"/>
    <x v="8"/>
    <x v="1"/>
    <x v="0"/>
    <x v="3"/>
    <x v="0"/>
    <s v="Jharkhand"/>
    <s v="Ranchi"/>
    <s v="Branch D"/>
    <x v="3"/>
    <s v="CC-1004"/>
    <s v="P004"/>
    <s v="Office Chair"/>
    <x v="3"/>
    <x v="5"/>
    <n v="19234.740000000002"/>
    <n v="18191.23"/>
    <n v="12559.91"/>
    <n v="1933.15"/>
    <n v="605.47"/>
    <n v="2193.36"/>
    <n v="568.32000000000005"/>
    <n v="17860.21"/>
    <n v="6674.83"/>
    <n v="1374.5300000000025"/>
    <n v="7.1460804773030587E-2"/>
    <n v="1043.51"/>
    <n v="384.69"/>
    <n v="942.5"/>
    <n v="19792.55"/>
    <x v="9"/>
    <s v="Jharkhand"/>
    <x v="3"/>
    <x v="17"/>
    <s v="CC-1004"/>
  </r>
  <r>
    <s v="TXN-00861"/>
    <d v="2025-09-17T00:00:00"/>
    <x v="1"/>
    <x v="0"/>
    <x v="0"/>
    <x v="2"/>
    <x v="0"/>
    <s v="Uttar Pradesh"/>
    <s v="Agra"/>
    <s v="Branch C"/>
    <x v="3"/>
    <s v="CC-1002"/>
    <s v="P011"/>
    <s v="Cloud Software"/>
    <x v="2"/>
    <x v="11"/>
    <n v="8992.7099999999991"/>
    <n v="9685.57"/>
    <n v="5727.57"/>
    <n v="517.92999999999995"/>
    <n v="411.19"/>
    <n v="1073.96"/>
    <n v="303.45999999999998"/>
    <n v="8034.11"/>
    <n v="3265.13"/>
    <n v="958.59999999999945"/>
    <n v="0.10659745504970132"/>
    <n v="-692.86"/>
    <n v="449.64"/>
    <n v="427.15"/>
    <n v="8970.23"/>
    <x v="7"/>
    <s v="Uttar Pradesh"/>
    <x v="3"/>
    <x v="18"/>
    <s v="CC-1002"/>
  </r>
  <r>
    <s v="TXN-00862"/>
    <d v="2025-07-07T00:00:00"/>
    <x v="0"/>
    <x v="0"/>
    <x v="0"/>
    <x v="1"/>
    <x v="0"/>
    <s v="Telangana"/>
    <s v="Warangal"/>
    <s v="Branch A"/>
    <x v="1"/>
    <s v="CC-1002"/>
    <s v="P018"/>
    <s v="Projector"/>
    <x v="0"/>
    <x v="6"/>
    <n v="41515.629999999997"/>
    <n v="38824.76"/>
    <n v="24556.93"/>
    <n v="2121.14"/>
    <n v="2337.7199999999998"/>
    <n v="1846.08"/>
    <n v="1835.83"/>
    <n v="32697.7"/>
    <n v="16958.7"/>
    <n v="8817.9299999999967"/>
    <n v="0.21240024540155111"/>
    <n v="2690.87"/>
    <n v="3321.25"/>
    <n v="4583.33"/>
    <n v="42777.71"/>
    <x v="46"/>
    <s v="Telangana"/>
    <x v="1"/>
    <x v="9"/>
    <s v="CC-1002"/>
  </r>
  <r>
    <s v="TXN-00863"/>
    <d v="2025-10-14T00:00:00"/>
    <x v="5"/>
    <x v="3"/>
    <x v="0"/>
    <x v="3"/>
    <x v="0"/>
    <s v="Odisha"/>
    <s v="Bhubaneswar"/>
    <s v="Branch D"/>
    <x v="1"/>
    <s v="CC-1005"/>
    <s v="P017"/>
    <s v="UPS System"/>
    <x v="0"/>
    <x v="7"/>
    <n v="68137.55"/>
    <n v="76375.22"/>
    <n v="47085.61"/>
    <n v="8518.19"/>
    <n v="3499.47"/>
    <n v="5825.86"/>
    <n v="2566.9499999999998"/>
    <n v="67496.08"/>
    <n v="21051.94"/>
    <n v="641.47000000000116"/>
    <n v="9.4143390832221174E-3"/>
    <n v="-8237.67"/>
    <n v="3406.88"/>
    <n v="11651.52"/>
    <n v="76382.2"/>
    <x v="3"/>
    <s v="Odisha"/>
    <x v="1"/>
    <x v="10"/>
    <s v="CC-1005"/>
  </r>
  <r>
    <s v="TXN-00864"/>
    <d v="2025-11-20T00:00:00"/>
    <x v="10"/>
    <x v="3"/>
    <x v="0"/>
    <x v="1"/>
    <x v="0"/>
    <s v="Tamil Nadu"/>
    <s v="Coimbatore"/>
    <s v="Branch B"/>
    <x v="1"/>
    <s v="CC-1001"/>
    <s v="P017"/>
    <s v="UPS System"/>
    <x v="0"/>
    <x v="7"/>
    <n v="41106.980000000003"/>
    <n v="45319.73"/>
    <n v="26572.46"/>
    <n v="2880.13"/>
    <n v="1703.23"/>
    <n v="3712.32"/>
    <n v="1507.64"/>
    <n v="36375.79"/>
    <n v="14534.51"/>
    <n v="4731.1900000000023"/>
    <n v="0.11509456544849565"/>
    <n v="-4212.75"/>
    <n v="3288.56"/>
    <n v="6807.32"/>
    <n v="44625.73"/>
    <x v="10"/>
    <s v="Tamil Nadu"/>
    <x v="1"/>
    <x v="10"/>
    <s v="CC-1001"/>
  </r>
  <r>
    <s v="TXN-00865"/>
    <d v="2025-07-23T00:00:00"/>
    <x v="0"/>
    <x v="0"/>
    <x v="0"/>
    <x v="1"/>
    <x v="0"/>
    <s v="Tamil Nadu"/>
    <s v="Coimbatore"/>
    <s v="Branch B"/>
    <x v="2"/>
    <s v="CC-1003"/>
    <s v="P005"/>
    <s v="Office Desk"/>
    <x v="3"/>
    <x v="5"/>
    <n v="10976.41"/>
    <n v="11218.54"/>
    <n v="7371.36"/>
    <n v="660.52"/>
    <n v="556.9"/>
    <n v="677.43"/>
    <n v="221.81"/>
    <n v="9488.02"/>
    <n v="3605.05"/>
    <n v="1488.3899999999994"/>
    <n v="0.13559897999436971"/>
    <n v="-242.13"/>
    <n v="0"/>
    <n v="1975.75"/>
    <n v="12952.17"/>
    <x v="10"/>
    <s v="Tamil Nadu"/>
    <x v="2"/>
    <x v="8"/>
    <s v="CC-1003"/>
  </r>
  <r>
    <s v="TXN-00866"/>
    <d v="2025-06-06T00:00:00"/>
    <x v="11"/>
    <x v="2"/>
    <x v="0"/>
    <x v="3"/>
    <x v="0"/>
    <s v="Bihar"/>
    <s v="Gaya"/>
    <s v="Branch A"/>
    <x v="0"/>
    <s v="CC-1002"/>
    <s v="P004"/>
    <s v="Office Chair"/>
    <x v="3"/>
    <x v="5"/>
    <n v="21397.759999999998"/>
    <n v="19608.73"/>
    <n v="11172.26"/>
    <n v="1493.01"/>
    <n v="1889.29"/>
    <n v="1535.76"/>
    <n v="662.57"/>
    <n v="16752.89"/>
    <n v="10225.5"/>
    <n v="4644.869999999999"/>
    <n v="0.21707272163067534"/>
    <n v="1789.04"/>
    <n v="427.96"/>
    <n v="2516.38"/>
    <n v="23486.18"/>
    <x v="32"/>
    <s v="Bihar"/>
    <x v="0"/>
    <x v="17"/>
    <s v="CC-1002"/>
  </r>
  <r>
    <s v="TXN-00867"/>
    <d v="2025-11-13T00:00:00"/>
    <x v="10"/>
    <x v="3"/>
    <x v="0"/>
    <x v="2"/>
    <x v="0"/>
    <s v="Haryana"/>
    <s v="Faridabad"/>
    <s v="Branch C"/>
    <x v="1"/>
    <s v="CC-1004"/>
    <s v="P009"/>
    <s v="Keyboard"/>
    <x v="1"/>
    <x v="1"/>
    <n v="8831.84"/>
    <n v="9426.82"/>
    <n v="6280.45"/>
    <n v="1029.1099999999999"/>
    <n v="486.91"/>
    <n v="874.34"/>
    <n v="127.93"/>
    <n v="8798.73"/>
    <n v="2551.39"/>
    <n v="33.110000000000582"/>
    <n v="3.7489356691245064E-3"/>
    <n v="-594.98"/>
    <n v="264.95999999999998"/>
    <n v="1028.03"/>
    <n v="9594.91"/>
    <x v="13"/>
    <s v="Haryana"/>
    <x v="1"/>
    <x v="2"/>
    <s v="CC-1004"/>
  </r>
  <r>
    <s v="TXN-00868"/>
    <d v="2025-05-02T00:00:00"/>
    <x v="3"/>
    <x v="2"/>
    <x v="0"/>
    <x v="2"/>
    <x v="0"/>
    <s v="Haryana"/>
    <s v="Gurugram"/>
    <s v="Branch B"/>
    <x v="1"/>
    <s v="CC-1003"/>
    <s v="P015"/>
    <s v="Network Router"/>
    <x v="4"/>
    <x v="10"/>
    <n v="12005.5"/>
    <n v="14112.51"/>
    <n v="6039.97"/>
    <n v="874.7"/>
    <n v="978.63"/>
    <n v="549.63"/>
    <n v="488.1"/>
    <n v="8931.0300000000007"/>
    <n v="5965.53"/>
    <n v="3074.4699999999993"/>
    <n v="0.25608845945608255"/>
    <n v="-2107"/>
    <n v="360.17"/>
    <n v="1397.44"/>
    <n v="13042.78"/>
    <x v="27"/>
    <s v="Haryana"/>
    <x v="1"/>
    <x v="14"/>
    <s v="CC-1003"/>
  </r>
  <r>
    <s v="TXN-00869"/>
    <d v="2025-10-14T00:00:00"/>
    <x v="5"/>
    <x v="3"/>
    <x v="0"/>
    <x v="1"/>
    <x v="0"/>
    <s v="Kerala"/>
    <s v="Thiruvananthapuram"/>
    <s v="Branch D"/>
    <x v="1"/>
    <s v="CC-1005"/>
    <s v="P005"/>
    <s v="Office Desk"/>
    <x v="3"/>
    <x v="5"/>
    <n v="10744.48"/>
    <n v="9598.08"/>
    <n v="5988.82"/>
    <n v="1026.46"/>
    <n v="630.27"/>
    <n v="992.33"/>
    <n v="305.82"/>
    <n v="8943.7000000000007"/>
    <n v="4755.66"/>
    <n v="1800.7799999999988"/>
    <n v="0.16760047950203258"/>
    <n v="1146.4000000000001"/>
    <n v="214.89"/>
    <n v="526.48"/>
    <n v="11056.07"/>
    <x v="8"/>
    <s v="Kerala"/>
    <x v="1"/>
    <x v="8"/>
    <s v="CC-1005"/>
  </r>
  <r>
    <s v="TXN-00870"/>
    <d v="2025-04-11T00:00:00"/>
    <x v="9"/>
    <x v="2"/>
    <x v="0"/>
    <x v="1"/>
    <x v="0"/>
    <s v="Kerala"/>
    <s v="Thiruvananthapuram"/>
    <s v="Branch C"/>
    <x v="3"/>
    <s v="CC-1004"/>
    <s v="P006"/>
    <s v="Smartphone"/>
    <x v="0"/>
    <x v="9"/>
    <n v="39602.379999999997"/>
    <n v="37861.93"/>
    <n v="27743.65"/>
    <n v="4102.62"/>
    <n v="1024.67"/>
    <n v="2232.39"/>
    <n v="1342.49"/>
    <n v="36445.82"/>
    <n v="11858.73"/>
    <n v="3156.5599999999977"/>
    <n v="7.9706320680726708E-2"/>
    <n v="1740.45"/>
    <n v="1980.12"/>
    <n v="6772.01"/>
    <n v="44394.27"/>
    <x v="8"/>
    <s v="Kerala"/>
    <x v="3"/>
    <x v="16"/>
    <s v="CC-1004"/>
  </r>
  <r>
    <s v="TXN-00871"/>
    <d v="2026-03-13T00:00:00"/>
    <x v="8"/>
    <x v="1"/>
    <x v="0"/>
    <x v="0"/>
    <x v="0"/>
    <s v="Rajasthan"/>
    <s v="Jodhpur"/>
    <s v="Branch D"/>
    <x v="0"/>
    <s v="CC-1003"/>
    <s v="P016"/>
    <s v="Network Switch"/>
    <x v="4"/>
    <x v="10"/>
    <n v="14376.36"/>
    <n v="13341.58"/>
    <n v="7237.76"/>
    <n v="1318.01"/>
    <n v="1032.58"/>
    <n v="1382.33"/>
    <n v="370.67"/>
    <n v="11341.34"/>
    <n v="7138.59"/>
    <n v="3035.0200000000004"/>
    <n v="0.21111185306990088"/>
    <n v="1034.77"/>
    <n v="431.29"/>
    <n v="1673.41"/>
    <n v="15618.47"/>
    <x v="11"/>
    <s v="Rajasthan"/>
    <x v="0"/>
    <x v="13"/>
    <s v="CC-1003"/>
  </r>
  <r>
    <s v="TXN-00872"/>
    <d v="2025-12-14T00:00:00"/>
    <x v="6"/>
    <x v="3"/>
    <x v="0"/>
    <x v="1"/>
    <x v="0"/>
    <s v="Tamil Nadu"/>
    <s v="Madurai"/>
    <s v="Branch B"/>
    <x v="1"/>
    <s v="CC-1004"/>
    <s v="P017"/>
    <s v="UPS System"/>
    <x v="0"/>
    <x v="7"/>
    <n v="48224.71"/>
    <n v="54079.26"/>
    <n v="31671.99"/>
    <n v="5981.14"/>
    <n v="2606.27"/>
    <n v="2596.9"/>
    <n v="562.95000000000005"/>
    <n v="43419.24"/>
    <n v="16552.72"/>
    <n v="4805.4700000000012"/>
    <n v="9.9647462887801741E-2"/>
    <n v="-5854.55"/>
    <n v="964.49"/>
    <n v="2363.0100000000002"/>
    <n v="49623.22"/>
    <x v="43"/>
    <s v="Tamil Nadu"/>
    <x v="1"/>
    <x v="10"/>
    <s v="CC-1004"/>
  </r>
  <r>
    <s v="TXN-00873"/>
    <d v="2025-08-16T00:00:00"/>
    <x v="7"/>
    <x v="0"/>
    <x v="0"/>
    <x v="3"/>
    <x v="0"/>
    <s v="West Bengal"/>
    <s v="Siliguri"/>
    <s v="Branch A"/>
    <x v="1"/>
    <s v="CC-1002"/>
    <s v="P016"/>
    <s v="Network Switch"/>
    <x v="4"/>
    <x v="10"/>
    <n v="15057.89"/>
    <n v="14650.34"/>
    <n v="10382.74"/>
    <n v="1158.75"/>
    <n v="982.98"/>
    <n v="946.75"/>
    <n v="633.98"/>
    <n v="14105.21"/>
    <n v="4675.1499999999996"/>
    <n v="952.68000000000029"/>
    <n v="6.3267828361078499E-2"/>
    <n v="407.56"/>
    <n v="1204.6300000000001"/>
    <n v="692.66"/>
    <n v="14545.93"/>
    <x v="44"/>
    <s v="West Bengal"/>
    <x v="1"/>
    <x v="13"/>
    <s v="CC-1002"/>
  </r>
  <r>
    <s v="TXN-00874"/>
    <d v="2026-03-20T00:00:00"/>
    <x v="8"/>
    <x v="1"/>
    <x v="0"/>
    <x v="2"/>
    <x v="0"/>
    <s v="Delhi"/>
    <s v="Gurugram"/>
    <s v="Branch A"/>
    <x v="2"/>
    <s v="CC-1005"/>
    <s v="P007"/>
    <s v="Tablet"/>
    <x v="0"/>
    <x v="9"/>
    <n v="40733.35"/>
    <n v="46827.38"/>
    <n v="29305.49"/>
    <n v="4491.71"/>
    <n v="3588.67"/>
    <n v="4194.2299999999996"/>
    <n v="1780.54"/>
    <n v="43360.639999999999"/>
    <n v="11427.86"/>
    <n v="-2627.2900000000009"/>
    <n v="-6.4499728109767576E-2"/>
    <n v="-6094.03"/>
    <n v="2036.67"/>
    <n v="1934.83"/>
    <n v="40631.51"/>
    <x v="27"/>
    <s v="Delhi"/>
    <x v="2"/>
    <x v="12"/>
    <s v="CC-1005"/>
  </r>
  <r>
    <s v="TXN-00875"/>
    <d v="2026-01-22T00:00:00"/>
    <x v="4"/>
    <x v="1"/>
    <x v="0"/>
    <x v="0"/>
    <x v="0"/>
    <s v="Gujarat"/>
    <s v="Vadodara"/>
    <s v="Branch C"/>
    <x v="0"/>
    <s v="CC-1001"/>
    <s v="P008"/>
    <s v="Headset"/>
    <x v="1"/>
    <x v="8"/>
    <n v="5860.76"/>
    <n v="5549.16"/>
    <n v="3732.27"/>
    <n v="614.48"/>
    <n v="407.54"/>
    <n v="247.08"/>
    <n v="243.04"/>
    <n v="5244.42"/>
    <n v="2128.4899999999998"/>
    <n v="616.34000000000015"/>
    <n v="0.10516383540701207"/>
    <n v="311.60000000000002"/>
    <n v="175.82"/>
    <n v="1023.29"/>
    <n v="6708.23"/>
    <x v="19"/>
    <s v="Gujarat"/>
    <x v="0"/>
    <x v="11"/>
    <s v="CC-1001"/>
  </r>
  <r>
    <s v="TXN-00876"/>
    <d v="2025-08-24T00:00:00"/>
    <x v="7"/>
    <x v="0"/>
    <x v="0"/>
    <x v="0"/>
    <x v="0"/>
    <s v="Gujarat"/>
    <s v="Surat"/>
    <s v="Branch B"/>
    <x v="0"/>
    <s v="CC-1005"/>
    <s v="P011"/>
    <s v="Cloud Software"/>
    <x v="2"/>
    <x v="11"/>
    <n v="18238.560000000001"/>
    <n v="18220.78"/>
    <n v="9208.07"/>
    <n v="2133.29"/>
    <n v="1108.3499999999999"/>
    <n v="1737.7"/>
    <n v="618.11"/>
    <n v="14805.53"/>
    <n v="9030.49"/>
    <n v="3433.0300000000007"/>
    <n v="0.1882292242370012"/>
    <n v="17.78"/>
    <n v="1459.08"/>
    <n v="838.97"/>
    <n v="17618.45"/>
    <x v="26"/>
    <s v="Gujarat"/>
    <x v="0"/>
    <x v="18"/>
    <s v="CC-1005"/>
  </r>
  <r>
    <s v="TXN-00877"/>
    <d v="2025-06-16T00:00:00"/>
    <x v="11"/>
    <x v="2"/>
    <x v="0"/>
    <x v="2"/>
    <x v="0"/>
    <s v="Uttar Pradesh"/>
    <s v="Kanpur"/>
    <s v="Branch C"/>
    <x v="1"/>
    <s v="CC-1005"/>
    <s v="P003"/>
    <s v="Printer"/>
    <x v="0"/>
    <x v="3"/>
    <n v="49304.86"/>
    <n v="50753.5"/>
    <n v="28385.83"/>
    <n v="5425.07"/>
    <n v="1467.13"/>
    <n v="2325.13"/>
    <n v="1618.14"/>
    <n v="39221.300000000003"/>
    <n v="20919.03"/>
    <n v="10083.559999999998"/>
    <n v="0.20451452453165869"/>
    <n v="-1448.65"/>
    <n v="1479.15"/>
    <n v="8608.6299999999992"/>
    <n v="56434.34"/>
    <x v="25"/>
    <s v="Uttar Pradesh"/>
    <x v="1"/>
    <x v="5"/>
    <s v="CC-1005"/>
  </r>
  <r>
    <s v="TXN-00878"/>
    <d v="2025-08-05T00:00:00"/>
    <x v="7"/>
    <x v="0"/>
    <x v="0"/>
    <x v="1"/>
    <x v="0"/>
    <s v="Telangana"/>
    <s v="Hyderabad"/>
    <s v="Branch A"/>
    <x v="2"/>
    <s v="CC-1002"/>
    <s v="P013"/>
    <s v="CRM Software"/>
    <x v="2"/>
    <x v="4"/>
    <n v="23440.6"/>
    <n v="26060.27"/>
    <n v="12744.97"/>
    <n v="1563.47"/>
    <n v="2024.74"/>
    <n v="973.82"/>
    <n v="1026.43"/>
    <n v="18333.439999999999"/>
    <n v="10695.63"/>
    <n v="5107.16"/>
    <n v="0.21787667551171899"/>
    <n v="-2619.67"/>
    <n v="0"/>
    <n v="4219.3100000000004"/>
    <n v="27659.91"/>
    <x v="51"/>
    <s v="Telangana"/>
    <x v="2"/>
    <x v="15"/>
    <s v="CC-1002"/>
  </r>
  <r>
    <s v="TXN-00879"/>
    <d v="2025-06-08T00:00:00"/>
    <x v="11"/>
    <x v="2"/>
    <x v="0"/>
    <x v="2"/>
    <x v="0"/>
    <s v="Haryana"/>
    <s v="Panipat"/>
    <s v="Branch B"/>
    <x v="0"/>
    <s v="CC-1005"/>
    <s v="P010"/>
    <s v="Mouse"/>
    <x v="1"/>
    <x v="1"/>
    <n v="4805.16"/>
    <n v="4321.34"/>
    <n v="2421.41"/>
    <n v="401.32"/>
    <n v="374.62"/>
    <n v="533.63"/>
    <n v="89.22"/>
    <n v="3820.21"/>
    <n v="2383.75"/>
    <n v="984.94999999999982"/>
    <n v="0.20497756578344942"/>
    <n v="483.82"/>
    <n v="240.26"/>
    <n v="821.68"/>
    <n v="5386.58"/>
    <x v="16"/>
    <s v="Haryana"/>
    <x v="0"/>
    <x v="1"/>
    <s v="CC-1005"/>
  </r>
  <r>
    <s v="TXN-00880"/>
    <d v="2026-02-19T00:00:00"/>
    <x v="2"/>
    <x v="1"/>
    <x v="0"/>
    <x v="3"/>
    <x v="0"/>
    <s v="Odisha"/>
    <s v="Cuttack"/>
    <s v="Branch A"/>
    <x v="3"/>
    <s v="CC-1002"/>
    <s v="P009"/>
    <s v="Keyboard"/>
    <x v="1"/>
    <x v="1"/>
    <n v="2552.92"/>
    <n v="2306.21"/>
    <n v="1342.85"/>
    <n v="313.76"/>
    <n v="67.03"/>
    <n v="235.57"/>
    <n v="59.88"/>
    <n v="2019.08"/>
    <n v="1210.06"/>
    <n v="533.84000000000015"/>
    <n v="0.20910956865079991"/>
    <n v="246.71"/>
    <n v="127.65"/>
    <n v="291.02999999999997"/>
    <n v="2716.3"/>
    <x v="28"/>
    <s v="Odisha"/>
    <x v="3"/>
    <x v="2"/>
    <s v="CC-1002"/>
  </r>
  <r>
    <s v="TXN-00881"/>
    <d v="2025-12-11T00:00:00"/>
    <x v="6"/>
    <x v="3"/>
    <x v="0"/>
    <x v="2"/>
    <x v="0"/>
    <s v="Punjab"/>
    <s v="Jalandhar"/>
    <s v="Branch A"/>
    <x v="2"/>
    <s v="CC-1001"/>
    <s v="P018"/>
    <s v="Projector"/>
    <x v="0"/>
    <x v="6"/>
    <n v="48189.3"/>
    <n v="55292.55"/>
    <n v="28329.77"/>
    <n v="4529.04"/>
    <n v="4013.1"/>
    <n v="3083.78"/>
    <n v="788.57"/>
    <n v="40744.26"/>
    <n v="19859.53"/>
    <n v="7445.0400000000009"/>
    <n v="0.15449570755333653"/>
    <n v="-7103.25"/>
    <n v="1445.68"/>
    <n v="2337.1799999999998"/>
    <n v="49080.81"/>
    <x v="52"/>
    <s v="Punjab"/>
    <x v="2"/>
    <x v="9"/>
    <s v="CC-1001"/>
  </r>
  <r>
    <s v="TXN-00882"/>
    <d v="2026-03-18T00:00:00"/>
    <x v="8"/>
    <x v="1"/>
    <x v="0"/>
    <x v="3"/>
    <x v="0"/>
    <s v="Jharkhand"/>
    <s v="Dhanbad"/>
    <s v="Branch B"/>
    <x v="0"/>
    <s v="CC-1002"/>
    <s v="P017"/>
    <s v="UPS System"/>
    <x v="0"/>
    <x v="7"/>
    <n v="52770.61"/>
    <n v="48349.57"/>
    <n v="29458.400000000001"/>
    <n v="5015.24"/>
    <n v="1961.3"/>
    <n v="5490.78"/>
    <n v="2323.25"/>
    <n v="44248.97"/>
    <n v="23312.21"/>
    <n v="8521.64"/>
    <n v="0.16148458393791543"/>
    <n v="4421.04"/>
    <n v="1055.4100000000001"/>
    <n v="2585.7600000000002"/>
    <n v="54300.959999999999"/>
    <x v="34"/>
    <s v="Jharkhand"/>
    <x v="0"/>
    <x v="10"/>
    <s v="CC-1002"/>
  </r>
  <r>
    <s v="TXN-00883"/>
    <d v="2025-11-16T00:00:00"/>
    <x v="10"/>
    <x v="3"/>
    <x v="0"/>
    <x v="0"/>
    <x v="0"/>
    <s v="Rajasthan"/>
    <s v="Jaipur"/>
    <s v="Branch A"/>
    <x v="1"/>
    <s v="CC-1005"/>
    <s v="P017"/>
    <s v="UPS System"/>
    <x v="0"/>
    <x v="7"/>
    <n v="50253.23"/>
    <n v="54694.73"/>
    <n v="32795.32"/>
    <n v="4774.87"/>
    <n v="4439.8500000000004"/>
    <n v="4779.55"/>
    <n v="2076.77"/>
    <n v="48866.37"/>
    <n v="17457.91"/>
    <n v="1386.8600000000006"/>
    <n v="2.7597430055739711E-2"/>
    <n v="-4441.5"/>
    <n v="2512.66"/>
    <n v="8593.2999999999993"/>
    <n v="56333.87"/>
    <x v="21"/>
    <s v="Rajasthan"/>
    <x v="1"/>
    <x v="10"/>
    <s v="CC-1005"/>
  </r>
  <r>
    <s v="TXN-00884"/>
    <d v="2025-10-13T00:00:00"/>
    <x v="5"/>
    <x v="3"/>
    <x v="0"/>
    <x v="2"/>
    <x v="0"/>
    <s v="Punjab"/>
    <s v="Jalandhar"/>
    <s v="Branch D"/>
    <x v="1"/>
    <s v="CC-1005"/>
    <s v="P018"/>
    <s v="Projector"/>
    <x v="0"/>
    <x v="6"/>
    <n v="36857.9"/>
    <n v="33656.81"/>
    <n v="25028.99"/>
    <n v="3620.12"/>
    <n v="1369.24"/>
    <n v="3072.58"/>
    <n v="733.01"/>
    <n v="33823.94"/>
    <n v="11828.91"/>
    <n v="3033.9599999999991"/>
    <n v="8.231505321789899E-2"/>
    <n v="3201.09"/>
    <n v="737.16"/>
    <n v="4334.49"/>
    <n v="40455.230000000003"/>
    <x v="52"/>
    <s v="Punjab"/>
    <x v="1"/>
    <x v="9"/>
    <s v="CC-1005"/>
  </r>
  <r>
    <s v="TXN-00885"/>
    <d v="2025-10-06T00:00:00"/>
    <x v="5"/>
    <x v="3"/>
    <x v="0"/>
    <x v="3"/>
    <x v="0"/>
    <s v="Odisha"/>
    <s v="Cuttack"/>
    <s v="Branch A"/>
    <x v="0"/>
    <s v="CC-1003"/>
    <s v="P005"/>
    <s v="Office Desk"/>
    <x v="3"/>
    <x v="5"/>
    <n v="16053.35"/>
    <n v="18843.72"/>
    <n v="8698.73"/>
    <n v="1391.94"/>
    <n v="627"/>
    <n v="1276.46"/>
    <n v="585.30999999999995"/>
    <n v="12579.45"/>
    <n v="7354.62"/>
    <n v="3473.8999999999996"/>
    <n v="0.2163972005843017"/>
    <n v="-2790.37"/>
    <n v="481.6"/>
    <n v="1868.61"/>
    <n v="17440.36"/>
    <x v="28"/>
    <s v="Odisha"/>
    <x v="0"/>
    <x v="8"/>
    <s v="CC-1003"/>
  </r>
  <r>
    <s v="TXN-00886"/>
    <d v="2026-02-22T00:00:00"/>
    <x v="2"/>
    <x v="1"/>
    <x v="0"/>
    <x v="0"/>
    <x v="0"/>
    <s v="Maharashtra"/>
    <s v="Pune"/>
    <s v="Branch B"/>
    <x v="1"/>
    <s v="CC-1004"/>
    <s v="P003"/>
    <s v="Printer"/>
    <x v="0"/>
    <x v="3"/>
    <n v="40382.06"/>
    <n v="42046.1"/>
    <n v="23931.17"/>
    <n v="3670.97"/>
    <n v="2679.86"/>
    <n v="3747.46"/>
    <n v="812.23"/>
    <n v="34841.69"/>
    <n v="16450.89"/>
    <n v="5540.3699999999953"/>
    <n v="0.13719879570284418"/>
    <n v="-1664.04"/>
    <n v="0"/>
    <n v="2019.1"/>
    <n v="42401.16"/>
    <x v="12"/>
    <s v="Maharashtra"/>
    <x v="1"/>
    <x v="5"/>
    <s v="CC-1004"/>
  </r>
  <r>
    <s v="TXN-00887"/>
    <d v="2026-01-12T00:00:00"/>
    <x v="4"/>
    <x v="1"/>
    <x v="0"/>
    <x v="2"/>
    <x v="0"/>
    <s v="Haryana"/>
    <s v="Faridabad"/>
    <s v="Branch A"/>
    <x v="2"/>
    <s v="CC-1002"/>
    <s v="P009"/>
    <s v="Keyboard"/>
    <x v="1"/>
    <x v="1"/>
    <n v="8989.15"/>
    <n v="10231.620000000001"/>
    <n v="4348.05"/>
    <n v="526.57000000000005"/>
    <n v="278.82"/>
    <n v="872.02"/>
    <n v="111.78"/>
    <n v="6137.25"/>
    <n v="4641.1000000000004"/>
    <n v="2851.8999999999996"/>
    <n v="0.31726025263790231"/>
    <n v="-1242.47"/>
    <n v="269.67"/>
    <n v="1046.3399999999999"/>
    <n v="9765.82"/>
    <x v="13"/>
    <s v="Haryana"/>
    <x v="2"/>
    <x v="2"/>
    <s v="CC-1002"/>
  </r>
  <r>
    <s v="TXN-00888"/>
    <d v="2025-05-13T00:00:00"/>
    <x v="3"/>
    <x v="2"/>
    <x v="0"/>
    <x v="2"/>
    <x v="0"/>
    <s v="Delhi"/>
    <s v="New Delhi"/>
    <s v="Branch D"/>
    <x v="2"/>
    <s v="CC-1004"/>
    <s v="P006"/>
    <s v="Smartphone"/>
    <x v="0"/>
    <x v="9"/>
    <n v="73809.570000000007"/>
    <n v="84356.15"/>
    <n v="41086.26"/>
    <n v="7152.82"/>
    <n v="2216.06"/>
    <n v="4475.04"/>
    <n v="981.5"/>
    <n v="55911.69"/>
    <n v="32723.31"/>
    <n v="17897.880000000005"/>
    <n v="0.24248725470152452"/>
    <n v="-10546.58"/>
    <n v="1476.19"/>
    <n v="13020.01"/>
    <n v="85353.39"/>
    <x v="48"/>
    <s v="Delhi"/>
    <x v="2"/>
    <x v="16"/>
    <s v="CC-1004"/>
  </r>
  <r>
    <s v="TXN-00889"/>
    <d v="2026-01-11T00:00:00"/>
    <x v="4"/>
    <x v="1"/>
    <x v="0"/>
    <x v="3"/>
    <x v="0"/>
    <s v="Bihar"/>
    <s v="Muzaffarpur"/>
    <s v="Branch D"/>
    <x v="3"/>
    <s v="CC-1004"/>
    <s v="P013"/>
    <s v="CRM Software"/>
    <x v="2"/>
    <x v="4"/>
    <n v="18985.59"/>
    <n v="17439.599999999999"/>
    <n v="11373.57"/>
    <n v="1649.4"/>
    <n v="1348.84"/>
    <n v="895.68"/>
    <n v="618.36"/>
    <n v="15885.85"/>
    <n v="7612.02"/>
    <n v="3099.74"/>
    <n v="0.1632680364423755"/>
    <n v="1545.99"/>
    <n v="949.28"/>
    <n v="901.82"/>
    <n v="18938.13"/>
    <x v="36"/>
    <s v="Bihar"/>
    <x v="3"/>
    <x v="15"/>
    <s v="CC-1004"/>
  </r>
  <r>
    <s v="TXN-00890"/>
    <d v="2025-09-20T00:00:00"/>
    <x v="1"/>
    <x v="0"/>
    <x v="0"/>
    <x v="3"/>
    <x v="0"/>
    <s v="Bihar"/>
    <s v="Muzaffarpur"/>
    <s v="Branch A"/>
    <x v="0"/>
    <s v="CC-1002"/>
    <s v="P014"/>
    <s v="Data Storage"/>
    <x v="2"/>
    <x v="12"/>
    <n v="20273.27"/>
    <n v="23099.439999999999"/>
    <n v="14236.74"/>
    <n v="1052.27"/>
    <n v="574.77"/>
    <n v="2365.88"/>
    <n v="399.4"/>
    <n v="18629.060000000001"/>
    <n v="6036.53"/>
    <n v="1644.2099999999991"/>
    <n v="8.1102357932390734E-2"/>
    <n v="-2826.16"/>
    <n v="1621.86"/>
    <n v="2238.17"/>
    <n v="20889.580000000002"/>
    <x v="36"/>
    <s v="Bihar"/>
    <x v="0"/>
    <x v="19"/>
    <s v="CC-1002"/>
  </r>
  <r>
    <s v="TXN-00891"/>
    <d v="2026-03-29T00:00:00"/>
    <x v="8"/>
    <x v="1"/>
    <x v="0"/>
    <x v="2"/>
    <x v="0"/>
    <s v="Haryana"/>
    <s v="Panipat"/>
    <s v="Branch D"/>
    <x v="1"/>
    <s v="CC-1005"/>
    <s v="P017"/>
    <s v="UPS System"/>
    <x v="0"/>
    <x v="7"/>
    <n v="46740.14"/>
    <n v="54886.28"/>
    <n v="29671.8"/>
    <n v="5606.53"/>
    <n v="2987.53"/>
    <n v="4448.87"/>
    <n v="1593.18"/>
    <n v="44307.9"/>
    <n v="17068.34"/>
    <n v="2432.239999999998"/>
    <n v="5.2037499245830197E-2"/>
    <n v="-8146.13"/>
    <n v="2337.0100000000002"/>
    <n v="5328.38"/>
    <n v="49731.51"/>
    <x v="16"/>
    <s v="Haryana"/>
    <x v="1"/>
    <x v="10"/>
    <s v="CC-1005"/>
  </r>
  <r>
    <s v="TXN-00892"/>
    <d v="2026-01-12T00:00:00"/>
    <x v="4"/>
    <x v="1"/>
    <x v="0"/>
    <x v="1"/>
    <x v="0"/>
    <s v="Tamil Nadu"/>
    <s v="Coimbatore"/>
    <s v="Branch C"/>
    <x v="2"/>
    <s v="CC-1002"/>
    <s v="P004"/>
    <s v="Office Chair"/>
    <x v="3"/>
    <x v="5"/>
    <n v="14762.64"/>
    <n v="13768.17"/>
    <n v="9942.49"/>
    <n v="1787.38"/>
    <n v="1185.94"/>
    <n v="1102.32"/>
    <n v="539.63"/>
    <n v="14557.76"/>
    <n v="4820.1400000000003"/>
    <n v="204.8799999999992"/>
    <n v="1.3878276514227754E-2"/>
    <n v="994.46"/>
    <n v="0"/>
    <n v="738.13"/>
    <n v="15500.77"/>
    <x v="10"/>
    <s v="Tamil Nadu"/>
    <x v="2"/>
    <x v="17"/>
    <s v="CC-1002"/>
  </r>
  <r>
    <s v="TXN-00893"/>
    <d v="2025-04-19T00:00:00"/>
    <x v="9"/>
    <x v="2"/>
    <x v="0"/>
    <x v="2"/>
    <x v="0"/>
    <s v="Punjab"/>
    <s v="Ludhiana"/>
    <s v="Branch D"/>
    <x v="1"/>
    <s v="CC-1002"/>
    <s v="P012"/>
    <s v="Accounting Software"/>
    <x v="2"/>
    <x v="4"/>
    <n v="30922.47"/>
    <n v="29974.85"/>
    <n v="21891.62"/>
    <n v="1921.32"/>
    <n v="937.82"/>
    <n v="2304.63"/>
    <n v="1205.71"/>
    <n v="28261.09"/>
    <n v="9030.85"/>
    <n v="2661.380000000001"/>
    <n v="8.6066216573255652E-2"/>
    <n v="947.62"/>
    <n v="927.67"/>
    <n v="5399.06"/>
    <n v="35393.86"/>
    <x v="35"/>
    <s v="Punjab"/>
    <x v="1"/>
    <x v="7"/>
    <s v="CC-1002"/>
  </r>
  <r>
    <s v="TXN-00894"/>
    <d v="2026-01-29T00:00:00"/>
    <x v="4"/>
    <x v="1"/>
    <x v="0"/>
    <x v="1"/>
    <x v="0"/>
    <s v="Telangana"/>
    <s v="Nizamabad"/>
    <s v="Branch C"/>
    <x v="1"/>
    <s v="CC-1003"/>
    <s v="P017"/>
    <s v="UPS System"/>
    <x v="0"/>
    <x v="7"/>
    <n v="33927.15"/>
    <n v="34154.660000000003"/>
    <n v="17684.2"/>
    <n v="2668.43"/>
    <n v="1273.6500000000001"/>
    <n v="1910.47"/>
    <n v="561.39"/>
    <n v="24098.14"/>
    <n v="16242.95"/>
    <n v="9829.010000000002"/>
    <n v="0.28970927413590597"/>
    <n v="-227.5"/>
    <n v="1017.81"/>
    <n v="5923.68"/>
    <n v="38833.019999999997"/>
    <x v="29"/>
    <s v="Telangana"/>
    <x v="1"/>
    <x v="10"/>
    <s v="CC-1003"/>
  </r>
  <r>
    <s v="TXN-00895"/>
    <d v="2026-01-22T00:00:00"/>
    <x v="4"/>
    <x v="1"/>
    <x v="0"/>
    <x v="1"/>
    <x v="0"/>
    <s v="Kerala"/>
    <s v="Kozhikode"/>
    <s v="Branch C"/>
    <x v="0"/>
    <s v="CC-1005"/>
    <s v="P002"/>
    <s v="Monitor"/>
    <x v="0"/>
    <x v="2"/>
    <n v="56509.77"/>
    <n v="55747.97"/>
    <n v="40388.339999999997"/>
    <n v="6007.45"/>
    <n v="4466.5600000000004"/>
    <n v="2442.34"/>
    <n v="1031.71"/>
    <n v="54336.4"/>
    <n v="16121.43"/>
    <n v="2173.3699999999953"/>
    <n v="3.8460075133910393E-2"/>
    <n v="761.8"/>
    <n v="1695.29"/>
    <n v="2740.72"/>
    <n v="57555.199999999997"/>
    <x v="24"/>
    <s v="Kerala"/>
    <x v="0"/>
    <x v="3"/>
    <s v="CC-1005"/>
  </r>
  <r>
    <s v="TXN-00896"/>
    <d v="2025-11-10T00:00:00"/>
    <x v="10"/>
    <x v="3"/>
    <x v="0"/>
    <x v="0"/>
    <x v="0"/>
    <s v="Gujarat"/>
    <s v="Ahmedabad"/>
    <s v="Branch A"/>
    <x v="0"/>
    <s v="CC-1002"/>
    <s v="P019"/>
    <s v="Conference Camera"/>
    <x v="0"/>
    <x v="0"/>
    <n v="38854.75"/>
    <n v="36305.79"/>
    <n v="23087.15"/>
    <n v="3974.27"/>
    <n v="1339.77"/>
    <n v="2129.9299999999998"/>
    <n v="666.58"/>
    <n v="31197.7"/>
    <n v="15767.6"/>
    <n v="7657.0499999999993"/>
    <n v="0.19706856947992199"/>
    <n v="2548.96"/>
    <n v="777.1"/>
    <n v="1903.88"/>
    <n v="39981.54"/>
    <x v="18"/>
    <s v="Gujarat"/>
    <x v="0"/>
    <x v="0"/>
    <s v="CC-1002"/>
  </r>
  <r>
    <s v="TXN-00897"/>
    <d v="2025-06-12T00:00:00"/>
    <x v="11"/>
    <x v="2"/>
    <x v="0"/>
    <x v="0"/>
    <x v="0"/>
    <s v="Gujarat"/>
    <s v="Vadodara"/>
    <s v="Branch C"/>
    <x v="0"/>
    <s v="CC-1003"/>
    <s v="P004"/>
    <s v="Office Chair"/>
    <x v="3"/>
    <x v="5"/>
    <n v="18303.400000000001"/>
    <n v="18181.97"/>
    <n v="12341.97"/>
    <n v="2318.83"/>
    <n v="897.98"/>
    <n v="1963.87"/>
    <n v="736.41"/>
    <n v="18259.060000000001"/>
    <n v="5961.43"/>
    <n v="44.340000000000146"/>
    <n v="2.4225007375678915E-3"/>
    <n v="121.43"/>
    <n v="0"/>
    <n v="3294.61"/>
    <n v="21598.01"/>
    <x v="19"/>
    <s v="Gujarat"/>
    <x v="0"/>
    <x v="17"/>
    <s v="CC-1003"/>
  </r>
  <r>
    <s v="TXN-00898"/>
    <d v="2025-08-30T00:00:00"/>
    <x v="7"/>
    <x v="0"/>
    <x v="0"/>
    <x v="1"/>
    <x v="0"/>
    <s v="Telangana"/>
    <s v="Warangal"/>
    <s v="Branch C"/>
    <x v="0"/>
    <s v="CC-1004"/>
    <s v="P001"/>
    <s v="Business Laptop"/>
    <x v="0"/>
    <x v="2"/>
    <n v="43010.91"/>
    <n v="45313.8"/>
    <n v="30839.81"/>
    <n v="3432.16"/>
    <n v="2354.66"/>
    <n v="2837.27"/>
    <n v="705.42"/>
    <n v="40169.33"/>
    <n v="12171.1"/>
    <n v="2841.5800000000017"/>
    <n v="6.6066493361800566E-2"/>
    <n v="-2302.89"/>
    <n v="0"/>
    <n v="7741.96"/>
    <n v="50752.87"/>
    <x v="46"/>
    <s v="Telangana"/>
    <x v="0"/>
    <x v="4"/>
    <s v="CC-1004"/>
  </r>
  <r>
    <s v="TXN-00899"/>
    <d v="2025-11-14T00:00:00"/>
    <x v="10"/>
    <x v="3"/>
    <x v="0"/>
    <x v="2"/>
    <x v="0"/>
    <s v="Uttar Pradesh"/>
    <s v="Kanpur"/>
    <s v="Branch B"/>
    <x v="3"/>
    <s v="CC-1005"/>
    <s v="P004"/>
    <s v="Office Chair"/>
    <x v="3"/>
    <x v="5"/>
    <n v="28280.9"/>
    <n v="31610.87"/>
    <n v="14199.75"/>
    <n v="1539.93"/>
    <n v="2179.44"/>
    <n v="1718.09"/>
    <n v="858.86"/>
    <n v="20496.07"/>
    <n v="14081.15"/>
    <n v="7784.8300000000017"/>
    <n v="0.27526811381533123"/>
    <n v="-3329.97"/>
    <n v="848.43"/>
    <n v="1371.62"/>
    <n v="28804.1"/>
    <x v="25"/>
    <s v="Uttar Pradesh"/>
    <x v="3"/>
    <x v="17"/>
    <s v="CC-1005"/>
  </r>
  <r>
    <s v="TXN-00900"/>
    <d v="2026-03-05T00:00:00"/>
    <x v="8"/>
    <x v="1"/>
    <x v="0"/>
    <x v="4"/>
    <x v="0"/>
    <s v="Uttar Pradesh"/>
    <s v="Lucknow"/>
    <s v="Branch D"/>
    <x v="0"/>
    <s v="CC-1002"/>
    <s v="P015"/>
    <s v="Network Router"/>
    <x v="4"/>
    <x v="10"/>
    <n v="26816.34"/>
    <n v="29789.73"/>
    <n v="19063.68"/>
    <n v="3013.37"/>
    <n v="2195.38"/>
    <n v="2588.38"/>
    <n v="981.95"/>
    <n v="27842.76"/>
    <n v="7752.65"/>
    <n v="-1026.4199999999983"/>
    <n v="-3.8275916847712935E-2"/>
    <n v="-2973.4"/>
    <n v="804.49"/>
    <n v="4682.13"/>
    <n v="30693.98"/>
    <x v="2"/>
    <s v="Uttar Pradesh"/>
    <x v="0"/>
    <x v="14"/>
    <s v="CC-1002"/>
  </r>
  <r>
    <s v="TXN-00901"/>
    <d v="2025-05-02T00:00:00"/>
    <x v="3"/>
    <x v="2"/>
    <x v="0"/>
    <x v="2"/>
    <x v="0"/>
    <s v="Haryana"/>
    <s v="Panipat"/>
    <s v="Branch C"/>
    <x v="1"/>
    <s v="CC-1001"/>
    <s v="P006"/>
    <s v="Smartphone"/>
    <x v="0"/>
    <x v="9"/>
    <n v="68277.009999999995"/>
    <n v="66190.66"/>
    <n v="35216.76"/>
    <n v="7944.84"/>
    <n v="5419.41"/>
    <n v="7180.05"/>
    <n v="2224.3200000000002"/>
    <n v="57985.38"/>
    <n v="33060.239999999998"/>
    <n v="10291.629999999997"/>
    <n v="0.15073346064802776"/>
    <n v="2086.35"/>
    <n v="2048.31"/>
    <n v="7947.44"/>
    <n v="74176.14"/>
    <x v="16"/>
    <s v="Haryana"/>
    <x v="1"/>
    <x v="16"/>
    <s v="CC-1001"/>
  </r>
  <r>
    <s v="TXN-00902"/>
    <d v="2026-02-01T00:00:00"/>
    <x v="2"/>
    <x v="1"/>
    <x v="0"/>
    <x v="0"/>
    <x v="0"/>
    <s v="Rajasthan"/>
    <s v="Udaipur"/>
    <s v="Branch D"/>
    <x v="0"/>
    <s v="CC-1001"/>
    <s v="P013"/>
    <s v="CRM Software"/>
    <x v="2"/>
    <x v="4"/>
    <n v="22351.17"/>
    <n v="19881.02"/>
    <n v="14877.25"/>
    <n v="1210.6300000000001"/>
    <n v="614.21"/>
    <n v="1662.6"/>
    <n v="272.85000000000002"/>
    <n v="18637.55"/>
    <n v="7473.92"/>
    <n v="3713.619999999999"/>
    <n v="0.16614879668491625"/>
    <n v="2470.15"/>
    <n v="1788.09"/>
    <n v="2467.5700000000002"/>
    <n v="23030.639999999999"/>
    <x v="17"/>
    <s v="Rajasthan"/>
    <x v="0"/>
    <x v="15"/>
    <s v="CC-1001"/>
  </r>
  <r>
    <s v="TXN-00903"/>
    <d v="2025-09-18T00:00:00"/>
    <x v="1"/>
    <x v="0"/>
    <x v="0"/>
    <x v="2"/>
    <x v="0"/>
    <s v="Delhi"/>
    <s v="Noida"/>
    <s v="Branch D"/>
    <x v="0"/>
    <s v="CC-1004"/>
    <s v="P009"/>
    <s v="Keyboard"/>
    <x v="1"/>
    <x v="1"/>
    <n v="5275.47"/>
    <n v="5612.65"/>
    <n v="3327.7"/>
    <n v="573.59"/>
    <n v="344.79"/>
    <n v="620.08000000000004"/>
    <n v="89.18"/>
    <n v="4955.33"/>
    <n v="1947.77"/>
    <n v="320.14000000000033"/>
    <n v="6.0684640420664002E-2"/>
    <n v="-337.18"/>
    <n v="527.54999999999995"/>
    <n v="569.75"/>
    <n v="5317.67"/>
    <x v="40"/>
    <s v="Delhi"/>
    <x v="0"/>
    <x v="2"/>
    <s v="CC-1004"/>
  </r>
  <r>
    <s v="TXN-00904"/>
    <d v="2026-02-27T00:00:00"/>
    <x v="2"/>
    <x v="1"/>
    <x v="0"/>
    <x v="3"/>
    <x v="0"/>
    <s v="Odisha"/>
    <s v="Bhubaneswar"/>
    <s v="Branch C"/>
    <x v="2"/>
    <s v="CC-1004"/>
    <s v="P019"/>
    <s v="Conference Camera"/>
    <x v="0"/>
    <x v="0"/>
    <n v="35024.53"/>
    <n v="35992.94"/>
    <n v="19657.05"/>
    <n v="3026.37"/>
    <n v="1666.63"/>
    <n v="3161.92"/>
    <n v="402.83"/>
    <n v="27914.81"/>
    <n v="15367.48"/>
    <n v="7109.7199999999975"/>
    <n v="0.20299258833737377"/>
    <n v="-968.42"/>
    <n v="0"/>
    <n v="4202.9399999999996"/>
    <n v="39227.47"/>
    <x v="3"/>
    <s v="Odisha"/>
    <x v="2"/>
    <x v="0"/>
    <s v="CC-1004"/>
  </r>
  <r>
    <s v="TXN-00905"/>
    <d v="2025-11-21T00:00:00"/>
    <x v="10"/>
    <x v="3"/>
    <x v="0"/>
    <x v="0"/>
    <x v="0"/>
    <s v="Maharashtra"/>
    <s v="Pune"/>
    <s v="Branch C"/>
    <x v="3"/>
    <s v="CC-1002"/>
    <s v="P005"/>
    <s v="Office Desk"/>
    <x v="3"/>
    <x v="5"/>
    <n v="36948.11"/>
    <n v="43535.07"/>
    <n v="19226.53"/>
    <n v="2272.58"/>
    <n v="2132.63"/>
    <n v="3365.66"/>
    <n v="590.69000000000005"/>
    <n v="27588.1"/>
    <n v="17721.580000000002"/>
    <n v="9360.010000000002"/>
    <n v="0.25332851937487472"/>
    <n v="-6586.96"/>
    <n v="2955.85"/>
    <n v="4079.07"/>
    <n v="38071.33"/>
    <x v="12"/>
    <s v="Maharashtra"/>
    <x v="3"/>
    <x v="8"/>
    <s v="CC-1002"/>
  </r>
  <r>
    <s v="TXN-00906"/>
    <d v="2025-06-05T00:00:00"/>
    <x v="11"/>
    <x v="2"/>
    <x v="0"/>
    <x v="0"/>
    <x v="0"/>
    <s v="Rajasthan"/>
    <s v="Jodhpur"/>
    <s v="Branch B"/>
    <x v="2"/>
    <s v="CC-1002"/>
    <s v="P009"/>
    <s v="Keyboard"/>
    <x v="1"/>
    <x v="1"/>
    <n v="2398.1799999999998"/>
    <n v="2819.38"/>
    <n v="1347.08"/>
    <n v="179.76"/>
    <n v="201.18"/>
    <n v="208.18"/>
    <n v="42.02"/>
    <n v="1978.22"/>
    <n v="1051.0999999999999"/>
    <n v="419.95999999999981"/>
    <n v="0.17511612973171314"/>
    <n v="-421.2"/>
    <n v="191.85"/>
    <n v="397.14"/>
    <n v="2603.4699999999998"/>
    <x v="11"/>
    <s v="Rajasthan"/>
    <x v="2"/>
    <x v="2"/>
    <s v="CC-1002"/>
  </r>
  <r>
    <s v="TXN-00907"/>
    <d v="2025-11-20T00:00:00"/>
    <x v="10"/>
    <x v="3"/>
    <x v="0"/>
    <x v="3"/>
    <x v="0"/>
    <s v="Jharkhand"/>
    <s v="Jamshedpur"/>
    <s v="Branch C"/>
    <x v="0"/>
    <s v="CC-1002"/>
    <s v="P002"/>
    <s v="Monitor"/>
    <x v="0"/>
    <x v="2"/>
    <n v="57839.199999999997"/>
    <n v="54591.83"/>
    <n v="28880.5"/>
    <n v="5491.48"/>
    <n v="1497.13"/>
    <n v="4219.4799999999996"/>
    <n v="726.95"/>
    <n v="40815.53"/>
    <n v="28958.7"/>
    <n v="17023.669999999998"/>
    <n v="0.29432754948201217"/>
    <n v="3247.37"/>
    <n v="1735.18"/>
    <n v="2805.2"/>
    <n v="58909.23"/>
    <x v="30"/>
    <s v="Jharkhand"/>
    <x v="0"/>
    <x v="3"/>
    <s v="CC-1002"/>
  </r>
  <r>
    <s v="TXN-00908"/>
    <d v="2025-07-06T00:00:00"/>
    <x v="0"/>
    <x v="0"/>
    <x v="0"/>
    <x v="2"/>
    <x v="0"/>
    <s v="Delhi"/>
    <s v="New Delhi"/>
    <s v="Branch B"/>
    <x v="1"/>
    <s v="CC-1002"/>
    <s v="P019"/>
    <s v="Conference Camera"/>
    <x v="0"/>
    <x v="0"/>
    <n v="44224.53"/>
    <n v="47901.75"/>
    <n v="31288.57"/>
    <n v="4470.1400000000003"/>
    <n v="3266.32"/>
    <n v="4428.04"/>
    <n v="954.13"/>
    <n v="44407.19"/>
    <n v="12935.96"/>
    <n v="-182.66000000000349"/>
    <n v="-4.1302869696976654E-3"/>
    <n v="-3677.22"/>
    <n v="0"/>
    <n v="2211.23"/>
    <n v="46435.75"/>
    <x v="48"/>
    <s v="Delhi"/>
    <x v="1"/>
    <x v="0"/>
    <s v="CC-1002"/>
  </r>
  <r>
    <s v="TXN-00909"/>
    <d v="2026-01-06T00:00:00"/>
    <x v="4"/>
    <x v="1"/>
    <x v="0"/>
    <x v="0"/>
    <x v="0"/>
    <s v="Maharashtra"/>
    <s v="Pune"/>
    <s v="Branch C"/>
    <x v="1"/>
    <s v="CC-1003"/>
    <s v="P017"/>
    <s v="UPS System"/>
    <x v="0"/>
    <x v="7"/>
    <n v="62430.06"/>
    <n v="69119.44"/>
    <n v="31516.22"/>
    <n v="4275.97"/>
    <n v="3160.28"/>
    <n v="3346.78"/>
    <n v="1705.71"/>
    <n v="44004.959999999999"/>
    <n v="30913.84"/>
    <n v="18425.099999999999"/>
    <n v="0.29513186436149508"/>
    <n v="-6689.38"/>
    <n v="1872.9"/>
    <n v="10900.29"/>
    <n v="71457.45"/>
    <x v="12"/>
    <s v="Maharashtra"/>
    <x v="1"/>
    <x v="10"/>
    <s v="CC-1003"/>
  </r>
  <r>
    <s v="TXN-00910"/>
    <d v="2025-07-25T00:00:00"/>
    <x v="0"/>
    <x v="0"/>
    <x v="0"/>
    <x v="2"/>
    <x v="0"/>
    <s v="Punjab"/>
    <s v="Ludhiana"/>
    <s v="Branch D"/>
    <x v="2"/>
    <s v="CC-1001"/>
    <s v="P013"/>
    <s v="CRM Software"/>
    <x v="2"/>
    <x v="4"/>
    <n v="12866.93"/>
    <n v="12715.64"/>
    <n v="8727.98"/>
    <n v="1108.76"/>
    <n v="759.67"/>
    <n v="1525.96"/>
    <n v="155.68"/>
    <n v="12278.05"/>
    <n v="4138.96"/>
    <n v="588.88000000000102"/>
    <n v="4.5766938966793243E-2"/>
    <n v="151.29"/>
    <n v="386.01"/>
    <n v="2246.5700000000002"/>
    <n v="14727.49"/>
    <x v="35"/>
    <s v="Punjab"/>
    <x v="2"/>
    <x v="15"/>
    <s v="CC-1001"/>
  </r>
  <r>
    <s v="TXN-00911"/>
    <d v="2025-10-22T00:00:00"/>
    <x v="5"/>
    <x v="3"/>
    <x v="0"/>
    <x v="0"/>
    <x v="0"/>
    <s v="Maharashtra"/>
    <s v="Mumbai"/>
    <s v="Branch D"/>
    <x v="2"/>
    <s v="CC-1001"/>
    <s v="P013"/>
    <s v="CRM Software"/>
    <x v="2"/>
    <x v="4"/>
    <n v="13937.35"/>
    <n v="13032.39"/>
    <n v="7642.87"/>
    <n v="1161.4100000000001"/>
    <n v="668.8"/>
    <n v="1142.73"/>
    <n v="431.88"/>
    <n v="11047.69"/>
    <n v="6294.48"/>
    <n v="2889.66"/>
    <n v="0.20733209684767906"/>
    <n v="904.97"/>
    <n v="696.87"/>
    <n v="2383.29"/>
    <n v="15623.77"/>
    <x v="6"/>
    <s v="Maharashtra"/>
    <x v="2"/>
    <x v="15"/>
    <s v="CC-1001"/>
  </r>
  <r>
    <s v="TXN-00912"/>
    <d v="2025-04-04T00:00:00"/>
    <x v="9"/>
    <x v="2"/>
    <x v="0"/>
    <x v="4"/>
    <x v="0"/>
    <s v="Chhattisgarh"/>
    <s v="Raipur"/>
    <s v="Branch A"/>
    <x v="2"/>
    <s v="CC-1002"/>
    <s v="P010"/>
    <s v="Mouse"/>
    <x v="1"/>
    <x v="1"/>
    <n v="4590.33"/>
    <n v="4773.93"/>
    <n v="2929.9"/>
    <n v="244.79"/>
    <n v="330.03"/>
    <n v="206.37"/>
    <n v="121.14"/>
    <n v="3832.23"/>
    <n v="1660.42"/>
    <n v="758.09999999999991"/>
    <n v="0.1651515250537543"/>
    <n v="-183.6"/>
    <n v="367.23"/>
    <n v="506.77"/>
    <n v="4729.87"/>
    <x v="50"/>
    <s v="Chhattisgarh"/>
    <x v="2"/>
    <x v="1"/>
    <s v="CC-1002"/>
  </r>
  <r>
    <s v="TXN-00913"/>
    <d v="2025-11-12T00:00:00"/>
    <x v="10"/>
    <x v="3"/>
    <x v="0"/>
    <x v="1"/>
    <x v="0"/>
    <s v="Telangana"/>
    <s v="Nizamabad"/>
    <s v="Branch A"/>
    <x v="2"/>
    <s v="CC-1001"/>
    <s v="P014"/>
    <s v="Data Storage"/>
    <x v="2"/>
    <x v="12"/>
    <n v="28945.13"/>
    <n v="31544.73"/>
    <n v="16266.71"/>
    <n v="2450.33"/>
    <n v="993.33"/>
    <n v="1547.05"/>
    <n v="455.89"/>
    <n v="21713.32"/>
    <n v="12678.41"/>
    <n v="7231.8100000000013"/>
    <n v="0.24984548350620644"/>
    <n v="-2599.6"/>
    <n v="0"/>
    <n v="1447.26"/>
    <n v="30392.38"/>
    <x v="29"/>
    <s v="Telangana"/>
    <x v="2"/>
    <x v="19"/>
    <s v="CC-1001"/>
  </r>
  <r>
    <s v="TXN-00914"/>
    <d v="2025-08-17T00:00:00"/>
    <x v="7"/>
    <x v="0"/>
    <x v="0"/>
    <x v="0"/>
    <x v="0"/>
    <s v="Maharashtra"/>
    <s v="Pune"/>
    <s v="Branch D"/>
    <x v="1"/>
    <s v="CC-1002"/>
    <s v="P006"/>
    <s v="Smartphone"/>
    <x v="0"/>
    <x v="9"/>
    <n v="26443.96"/>
    <n v="31162.25"/>
    <n v="17891.8"/>
    <n v="2497.8000000000002"/>
    <n v="1494.3"/>
    <n v="2824.28"/>
    <n v="1130.72"/>
    <n v="25838.9"/>
    <n v="8552.15"/>
    <n v="605.05999999999767"/>
    <n v="2.2880839329661583E-2"/>
    <n v="-4718.29"/>
    <n v="2644.4"/>
    <n v="2855.95"/>
    <n v="26655.51"/>
    <x v="12"/>
    <s v="Maharashtra"/>
    <x v="1"/>
    <x v="16"/>
    <s v="CC-1002"/>
  </r>
  <r>
    <s v="TXN-00915"/>
    <d v="2025-09-05T00:00:00"/>
    <x v="1"/>
    <x v="0"/>
    <x v="0"/>
    <x v="2"/>
    <x v="0"/>
    <s v="Delhi"/>
    <s v="New Delhi"/>
    <s v="Branch D"/>
    <x v="1"/>
    <s v="CC-1001"/>
    <s v="P016"/>
    <s v="Network Switch"/>
    <x v="4"/>
    <x v="10"/>
    <n v="16054.21"/>
    <n v="16915.71"/>
    <n v="9717.7199999999993"/>
    <n v="814.04"/>
    <n v="908.21"/>
    <n v="1718.02"/>
    <n v="283.95999999999998"/>
    <n v="13441.95"/>
    <n v="6336.49"/>
    <n v="2612.2599999999984"/>
    <n v="0.16271495140526993"/>
    <n v="-861.5"/>
    <n v="481.63"/>
    <n v="778.63"/>
    <n v="16351.21"/>
    <x v="48"/>
    <s v="Delhi"/>
    <x v="1"/>
    <x v="13"/>
    <s v="CC-1001"/>
  </r>
  <r>
    <s v="TXN-00916"/>
    <d v="2025-08-18T00:00:00"/>
    <x v="7"/>
    <x v="0"/>
    <x v="0"/>
    <x v="2"/>
    <x v="0"/>
    <s v="Uttar Pradesh"/>
    <s v="Kanpur"/>
    <s v="Branch A"/>
    <x v="4"/>
    <s v="CC-1004"/>
    <s v="P013"/>
    <s v="CRM Software"/>
    <x v="2"/>
    <x v="4"/>
    <n v="26169.1"/>
    <n v="27080.76"/>
    <n v="14651.12"/>
    <n v="1887.67"/>
    <n v="1769.99"/>
    <n v="1297.6500000000001"/>
    <n v="1067.03"/>
    <n v="20673.47"/>
    <n v="11517.98"/>
    <n v="5495.6299999999974"/>
    <n v="0.21000454734782617"/>
    <n v="-911.66"/>
    <n v="1308.45"/>
    <n v="1243.03"/>
    <n v="26103.68"/>
    <x v="25"/>
    <s v="Uttar Pradesh"/>
    <x v="4"/>
    <x v="15"/>
    <s v="CC-1004"/>
  </r>
  <r>
    <s v="TXN-00917"/>
    <d v="2025-08-19T00:00:00"/>
    <x v="7"/>
    <x v="0"/>
    <x v="0"/>
    <x v="1"/>
    <x v="0"/>
    <s v="Kerala"/>
    <s v="Kochi"/>
    <s v="Branch C"/>
    <x v="2"/>
    <s v="CC-1003"/>
    <s v="P014"/>
    <s v="Data Storage"/>
    <x v="2"/>
    <x v="12"/>
    <n v="16954.439999999999"/>
    <n v="16283.1"/>
    <n v="9665.64"/>
    <n v="2044.35"/>
    <n v="1471.28"/>
    <n v="1649.98"/>
    <n v="461.82"/>
    <n v="15293.06"/>
    <n v="7288.8"/>
    <n v="1661.3799999999992"/>
    <n v="9.7990850774192437E-2"/>
    <n v="671.34"/>
    <n v="847.72"/>
    <n v="1932.81"/>
    <n v="18039.52"/>
    <x v="4"/>
    <s v="Kerala"/>
    <x v="2"/>
    <x v="19"/>
    <s v="CC-1003"/>
  </r>
  <r>
    <s v="TXN-00918"/>
    <d v="2025-12-28T00:00:00"/>
    <x v="6"/>
    <x v="3"/>
    <x v="0"/>
    <x v="3"/>
    <x v="0"/>
    <s v="Odisha"/>
    <s v="Rourkela"/>
    <s v="Branch D"/>
    <x v="3"/>
    <s v="CC-1005"/>
    <s v="P014"/>
    <s v="Data Storage"/>
    <x v="2"/>
    <x v="12"/>
    <n v="23905.94"/>
    <n v="22594.62"/>
    <n v="17121.91"/>
    <n v="2804.98"/>
    <n v="1823.67"/>
    <n v="1587.77"/>
    <n v="687.23"/>
    <n v="24025.56"/>
    <n v="6784.03"/>
    <n v="-119.62000000000262"/>
    <n v="-5.0037773038835798E-3"/>
    <n v="1311.32"/>
    <n v="0"/>
    <n v="2868.71"/>
    <n v="26774.65"/>
    <x v="41"/>
    <s v="Odisha"/>
    <x v="3"/>
    <x v="19"/>
    <s v="CC-1005"/>
  </r>
  <r>
    <s v="TXN-00919"/>
    <d v="2026-03-02T00:00:00"/>
    <x v="8"/>
    <x v="1"/>
    <x v="0"/>
    <x v="4"/>
    <x v="0"/>
    <s v="Uttar Pradesh"/>
    <s v="Agra"/>
    <s v="Branch B"/>
    <x v="3"/>
    <s v="CC-1004"/>
    <s v="P004"/>
    <s v="Office Chair"/>
    <x v="3"/>
    <x v="5"/>
    <n v="17400.38"/>
    <n v="19907.97"/>
    <n v="8567.25"/>
    <n v="1642.52"/>
    <n v="1316.88"/>
    <n v="858.65"/>
    <n v="420.34"/>
    <n v="12805.64"/>
    <n v="8833.1299999999992"/>
    <n v="4594.7400000000016"/>
    <n v="0.26405975041924379"/>
    <n v="-2507.58"/>
    <n v="0"/>
    <n v="3132.07"/>
    <n v="20532.45"/>
    <x v="7"/>
    <s v="Uttar Pradesh"/>
    <x v="3"/>
    <x v="17"/>
    <s v="CC-1004"/>
  </r>
  <r>
    <s v="TXN-00920"/>
    <d v="2025-06-14T00:00:00"/>
    <x v="11"/>
    <x v="2"/>
    <x v="0"/>
    <x v="2"/>
    <x v="0"/>
    <s v="Punjab"/>
    <s v="Amritsar"/>
    <s v="Branch C"/>
    <x v="1"/>
    <s v="CC-1004"/>
    <s v="P004"/>
    <s v="Office Chair"/>
    <x v="3"/>
    <x v="5"/>
    <n v="28206.23"/>
    <n v="31839.759999999998"/>
    <n v="14830.56"/>
    <n v="3231.71"/>
    <n v="1910.61"/>
    <n v="1563.17"/>
    <n v="580.70000000000005"/>
    <n v="22116.75"/>
    <n v="13375.67"/>
    <n v="6089.48"/>
    <n v="0.21589131195484118"/>
    <n v="-3633.53"/>
    <n v="0"/>
    <n v="3384.75"/>
    <n v="31590.98"/>
    <x v="47"/>
    <s v="Punjab"/>
    <x v="1"/>
    <x v="17"/>
    <s v="CC-1004"/>
  </r>
  <r>
    <s v="TXN-00921"/>
    <d v="2026-01-31T00:00:00"/>
    <x v="4"/>
    <x v="1"/>
    <x v="0"/>
    <x v="4"/>
    <x v="0"/>
    <s v="Chhattisgarh"/>
    <s v="Bhilai"/>
    <s v="Branch C"/>
    <x v="0"/>
    <s v="CC-1005"/>
    <s v="P001"/>
    <s v="Business Laptop"/>
    <x v="0"/>
    <x v="2"/>
    <n v="44966.93"/>
    <n v="45933.53"/>
    <n v="24486.16"/>
    <n v="2449.9"/>
    <n v="2318.62"/>
    <n v="1987.87"/>
    <n v="1316.06"/>
    <n v="32558.61"/>
    <n v="20480.77"/>
    <n v="12408.32"/>
    <n v="0.27594323205964916"/>
    <n v="-966.6"/>
    <n v="899.34"/>
    <n v="5288.11"/>
    <n v="49355.7"/>
    <x v="38"/>
    <s v="Chhattisgarh"/>
    <x v="0"/>
    <x v="4"/>
    <s v="CC-1005"/>
  </r>
  <r>
    <s v="TXN-00922"/>
    <d v="2026-01-27T00:00:00"/>
    <x v="4"/>
    <x v="1"/>
    <x v="0"/>
    <x v="3"/>
    <x v="0"/>
    <s v="West Bengal"/>
    <s v="Siliguri"/>
    <s v="Branch B"/>
    <x v="2"/>
    <s v="CC-1005"/>
    <s v="P016"/>
    <s v="Network Switch"/>
    <x v="4"/>
    <x v="10"/>
    <n v="16229.31"/>
    <n v="17250.45"/>
    <n v="8858.66"/>
    <n v="1718.45"/>
    <n v="566.98"/>
    <n v="789.43"/>
    <n v="466.12"/>
    <n v="12399.64"/>
    <n v="7370.65"/>
    <n v="3829.67"/>
    <n v="0.23597244738069581"/>
    <n v="-1021.14"/>
    <n v="811.47"/>
    <n v="770.89"/>
    <n v="16188.74"/>
    <x v="44"/>
    <s v="West Bengal"/>
    <x v="2"/>
    <x v="13"/>
    <s v="CC-1005"/>
  </r>
  <r>
    <s v="TXN-00923"/>
    <d v="2026-01-10T00:00:00"/>
    <x v="4"/>
    <x v="1"/>
    <x v="0"/>
    <x v="0"/>
    <x v="0"/>
    <s v="Maharashtra"/>
    <s v="Nagpur"/>
    <s v="Branch C"/>
    <x v="1"/>
    <s v="CC-1002"/>
    <s v="P006"/>
    <s v="Smartphone"/>
    <x v="0"/>
    <x v="9"/>
    <n v="44694.52"/>
    <n v="47291.38"/>
    <n v="30098.06"/>
    <n v="3763.03"/>
    <n v="1446.8"/>
    <n v="3338.6"/>
    <n v="1162.3"/>
    <n v="39808.800000000003"/>
    <n v="14596.45"/>
    <n v="4885.7199999999939"/>
    <n v="0.1093136250260657"/>
    <n v="-2596.86"/>
    <n v="2234.73"/>
    <n v="2122.9899999999998"/>
    <n v="44582.78"/>
    <x v="15"/>
    <s v="Maharashtra"/>
    <x v="1"/>
    <x v="16"/>
    <s v="CC-1002"/>
  </r>
  <r>
    <s v="TXN-00924"/>
    <d v="2026-01-21T00:00:00"/>
    <x v="4"/>
    <x v="1"/>
    <x v="0"/>
    <x v="0"/>
    <x v="0"/>
    <s v="Maharashtra"/>
    <s v="Pune"/>
    <s v="Branch D"/>
    <x v="0"/>
    <s v="CC-1004"/>
    <s v="P015"/>
    <s v="Network Router"/>
    <x v="4"/>
    <x v="10"/>
    <n v="9562.7099999999991"/>
    <n v="10787.68"/>
    <n v="6337.75"/>
    <n v="858.84"/>
    <n v="409.92"/>
    <n v="900.89"/>
    <n v="108.49"/>
    <n v="8615.9"/>
    <n v="3224.96"/>
    <n v="946.80999999999949"/>
    <n v="9.9010636106292002E-2"/>
    <n v="-1224.97"/>
    <n v="478.14"/>
    <n v="1090.1500000000001"/>
    <n v="10174.73"/>
    <x v="12"/>
    <s v="Maharashtra"/>
    <x v="0"/>
    <x v="14"/>
    <s v="CC-1004"/>
  </r>
  <r>
    <s v="TXN-00925"/>
    <d v="2025-06-22T00:00:00"/>
    <x v="11"/>
    <x v="2"/>
    <x v="0"/>
    <x v="1"/>
    <x v="0"/>
    <s v="Karnataka"/>
    <s v="Mysuru"/>
    <s v="Branch D"/>
    <x v="2"/>
    <s v="CC-1002"/>
    <s v="P014"/>
    <s v="Data Storage"/>
    <x v="2"/>
    <x v="12"/>
    <n v="10900.69"/>
    <n v="12680.56"/>
    <n v="6304.73"/>
    <n v="1137.72"/>
    <n v="965.5"/>
    <n v="1159.77"/>
    <n v="360.44"/>
    <n v="9928.15"/>
    <n v="4595.96"/>
    <n v="972.54000000000087"/>
    <n v="8.9218205453049385E-2"/>
    <n v="-1779.87"/>
    <n v="545.03"/>
    <n v="1864.02"/>
    <n v="12219.68"/>
    <x v="33"/>
    <s v="Karnataka"/>
    <x v="2"/>
    <x v="19"/>
    <s v="CC-1002"/>
  </r>
  <r>
    <s v="TXN-00926"/>
    <d v="2025-06-16T00:00:00"/>
    <x v="11"/>
    <x v="2"/>
    <x v="0"/>
    <x v="4"/>
    <x v="0"/>
    <s v="Uttar Pradesh"/>
    <s v="Lucknow"/>
    <s v="Branch A"/>
    <x v="3"/>
    <s v="CC-1003"/>
    <s v="P002"/>
    <s v="Monitor"/>
    <x v="0"/>
    <x v="2"/>
    <n v="64969.2"/>
    <n v="67661.72"/>
    <n v="32546.880000000001"/>
    <n v="8061.8"/>
    <n v="3548.24"/>
    <n v="4487.21"/>
    <n v="2081.2800000000002"/>
    <n v="50725.4"/>
    <n v="32422.32"/>
    <n v="14243.799999999996"/>
    <n v="0.21923927030038842"/>
    <n v="-2692.52"/>
    <n v="3248.46"/>
    <n v="3086.04"/>
    <n v="64806.78"/>
    <x v="2"/>
    <s v="Uttar Pradesh"/>
    <x v="3"/>
    <x v="3"/>
    <s v="CC-1003"/>
  </r>
  <r>
    <s v="TXN-00927"/>
    <d v="2025-04-21T00:00:00"/>
    <x v="9"/>
    <x v="2"/>
    <x v="0"/>
    <x v="1"/>
    <x v="0"/>
    <s v="Telangana"/>
    <s v="Nizamabad"/>
    <s v="Branch B"/>
    <x v="2"/>
    <s v="CC-1001"/>
    <s v="P005"/>
    <s v="Office Desk"/>
    <x v="3"/>
    <x v="5"/>
    <n v="33912.1"/>
    <n v="31273.119999999999"/>
    <n v="16857.11"/>
    <n v="3208.64"/>
    <n v="1487.7"/>
    <n v="3602.97"/>
    <n v="1136.72"/>
    <n v="26293.14"/>
    <n v="17054.990000000002"/>
    <n v="7618.9599999999991"/>
    <n v="0.2246678914015941"/>
    <n v="2638.98"/>
    <n v="3391.21"/>
    <n v="3662.51"/>
    <n v="34183.39"/>
    <x v="29"/>
    <s v="Telangana"/>
    <x v="2"/>
    <x v="8"/>
    <s v="CC-1001"/>
  </r>
  <r>
    <s v="TXN-00928"/>
    <d v="2025-12-26T00:00:00"/>
    <x v="6"/>
    <x v="3"/>
    <x v="0"/>
    <x v="2"/>
    <x v="0"/>
    <s v="Haryana"/>
    <s v="Faridabad"/>
    <s v="Branch D"/>
    <x v="0"/>
    <s v="CC-1004"/>
    <s v="P008"/>
    <s v="Headset"/>
    <x v="1"/>
    <x v="8"/>
    <n v="3062.94"/>
    <n v="3175.13"/>
    <n v="1716.65"/>
    <n v="153.47"/>
    <n v="137.88"/>
    <n v="190.79"/>
    <n v="72.81"/>
    <n v="2271.6"/>
    <n v="1346.29"/>
    <n v="791.34000000000015"/>
    <n v="0.25835961527160184"/>
    <n v="-112.19"/>
    <n v="0"/>
    <n v="367.55"/>
    <n v="3430.49"/>
    <x v="13"/>
    <s v="Haryana"/>
    <x v="0"/>
    <x v="11"/>
    <s v="CC-1004"/>
  </r>
  <r>
    <s v="TXN-00929"/>
    <d v="2026-03-12T00:00:00"/>
    <x v="8"/>
    <x v="1"/>
    <x v="0"/>
    <x v="4"/>
    <x v="0"/>
    <s v="Madhya Pradesh"/>
    <s v="Bhopal"/>
    <s v="Branch A"/>
    <x v="3"/>
    <s v="CC-1002"/>
    <s v="P007"/>
    <s v="Tablet"/>
    <x v="0"/>
    <x v="9"/>
    <n v="44615.85"/>
    <n v="45078.99"/>
    <n v="25888.65"/>
    <n v="4944.17"/>
    <n v="1622.43"/>
    <n v="2993.14"/>
    <n v="796.22"/>
    <n v="36244.6"/>
    <n v="18727.2"/>
    <n v="8371.25"/>
    <n v="0.18762950834736983"/>
    <n v="-463.14"/>
    <n v="1338.48"/>
    <n v="2163.87"/>
    <n v="45441.24"/>
    <x v="23"/>
    <s v="Madhya Pradesh"/>
    <x v="3"/>
    <x v="12"/>
    <s v="CC-1002"/>
  </r>
  <r>
    <s v="TXN-00930"/>
    <d v="2025-08-11T00:00:00"/>
    <x v="7"/>
    <x v="0"/>
    <x v="0"/>
    <x v="0"/>
    <x v="0"/>
    <s v="Gujarat"/>
    <s v="Ahmedabad"/>
    <s v="Branch A"/>
    <x v="1"/>
    <s v="CC-1003"/>
    <s v="P015"/>
    <s v="Network Router"/>
    <x v="4"/>
    <x v="10"/>
    <n v="10468.870000000001"/>
    <n v="11420.92"/>
    <n v="5916.92"/>
    <n v="1271.07"/>
    <n v="603.44000000000005"/>
    <n v="959.59"/>
    <n v="181.48"/>
    <n v="8932.5"/>
    <n v="4551.95"/>
    <n v="1536.3700000000008"/>
    <n v="0.1467560491246907"/>
    <n v="-952.06"/>
    <n v="314.07"/>
    <n v="1827.86"/>
    <n v="11982.67"/>
    <x v="18"/>
    <s v="Gujarat"/>
    <x v="1"/>
    <x v="14"/>
    <s v="CC-1003"/>
  </r>
  <r>
    <s v="TXN-00931"/>
    <d v="2025-10-26T00:00:00"/>
    <x v="5"/>
    <x v="3"/>
    <x v="0"/>
    <x v="1"/>
    <x v="0"/>
    <s v="Tamil Nadu"/>
    <s v="Chennai"/>
    <s v="Branch D"/>
    <x v="1"/>
    <s v="CC-1002"/>
    <s v="P018"/>
    <s v="Projector"/>
    <x v="0"/>
    <x v="6"/>
    <n v="37742.67"/>
    <n v="41604.629999999997"/>
    <n v="20979.8"/>
    <n v="4191.97"/>
    <n v="997.88"/>
    <n v="3099.5"/>
    <n v="708.12"/>
    <n v="29977.279999999999"/>
    <n v="16762.86"/>
    <n v="7765.3899999999994"/>
    <n v="0.20574564544585744"/>
    <n v="-3861.97"/>
    <n v="0"/>
    <n v="6793.68"/>
    <n v="44536.35"/>
    <x v="1"/>
    <s v="Tamil Nadu"/>
    <x v="1"/>
    <x v="9"/>
    <s v="CC-1002"/>
  </r>
  <r>
    <s v="TXN-00932"/>
    <d v="2026-01-21T00:00:00"/>
    <x v="4"/>
    <x v="1"/>
    <x v="0"/>
    <x v="0"/>
    <x v="0"/>
    <s v="Rajasthan"/>
    <s v="Udaipur"/>
    <s v="Branch B"/>
    <x v="0"/>
    <s v="CC-1001"/>
    <s v="P004"/>
    <s v="Office Chair"/>
    <x v="3"/>
    <x v="5"/>
    <n v="12650.5"/>
    <n v="13007.18"/>
    <n v="6331.9"/>
    <n v="1511.66"/>
    <n v="545.54"/>
    <n v="712.07"/>
    <n v="250.89"/>
    <n v="9352.07"/>
    <n v="6318.6"/>
    <n v="3298.4300000000003"/>
    <n v="0.26073514880834753"/>
    <n v="-356.69"/>
    <n v="632.52"/>
    <n v="600.9"/>
    <n v="12618.87"/>
    <x v="17"/>
    <s v="Rajasthan"/>
    <x v="0"/>
    <x v="17"/>
    <s v="CC-1001"/>
  </r>
  <r>
    <s v="TXN-00933"/>
    <d v="2026-03-18T00:00:00"/>
    <x v="8"/>
    <x v="1"/>
    <x v="0"/>
    <x v="2"/>
    <x v="0"/>
    <s v="Uttar Pradesh"/>
    <s v="Kanpur"/>
    <s v="Branch B"/>
    <x v="1"/>
    <s v="CC-1005"/>
    <s v="P006"/>
    <s v="Smartphone"/>
    <x v="0"/>
    <x v="9"/>
    <n v="28923.75"/>
    <n v="28472.12"/>
    <n v="15202.92"/>
    <n v="2954.33"/>
    <n v="778.11"/>
    <n v="1832.45"/>
    <n v="841.13"/>
    <n v="21608.93"/>
    <n v="13720.84"/>
    <n v="7314.82"/>
    <n v="0.25290012532953021"/>
    <n v="451.64"/>
    <n v="578.48"/>
    <n v="3401.43"/>
    <n v="31746.71"/>
    <x v="25"/>
    <s v="Uttar Pradesh"/>
    <x v="1"/>
    <x v="16"/>
    <s v="CC-1005"/>
  </r>
  <r>
    <s v="TXN-00934"/>
    <d v="2026-03-06T00:00:00"/>
    <x v="8"/>
    <x v="1"/>
    <x v="0"/>
    <x v="4"/>
    <x v="0"/>
    <s v="Uttar Pradesh"/>
    <s v="Agra"/>
    <s v="Branch B"/>
    <x v="0"/>
    <s v="CC-1002"/>
    <s v="P020"/>
    <s v="Document Scanner"/>
    <x v="0"/>
    <x v="3"/>
    <n v="28708.51"/>
    <n v="28396.62"/>
    <n v="18851.53"/>
    <n v="2613.5700000000002"/>
    <n v="2096.1"/>
    <n v="3232.1"/>
    <n v="1212.53"/>
    <n v="28005.83"/>
    <n v="9856.98"/>
    <n v="702.67999999999665"/>
    <n v="2.4476366067065016E-2"/>
    <n v="311.89"/>
    <n v="1435.43"/>
    <n v="3272.77"/>
    <n v="30545.86"/>
    <x v="7"/>
    <s v="Uttar Pradesh"/>
    <x v="0"/>
    <x v="6"/>
    <s v="CC-1002"/>
  </r>
  <r>
    <s v="TXN-00935"/>
    <d v="2026-01-02T00:00:00"/>
    <x v="4"/>
    <x v="1"/>
    <x v="0"/>
    <x v="2"/>
    <x v="0"/>
    <s v="Punjab"/>
    <s v="Amritsar"/>
    <s v="Branch B"/>
    <x v="1"/>
    <s v="CC-1003"/>
    <s v="P014"/>
    <s v="Data Storage"/>
    <x v="2"/>
    <x v="12"/>
    <n v="18124.87"/>
    <n v="19494.86"/>
    <n v="12669.98"/>
    <n v="2114.77"/>
    <n v="1263.17"/>
    <n v="1241.3399999999999"/>
    <n v="334.2"/>
    <n v="17623.47"/>
    <n v="5454.89"/>
    <n v="501.39999999999782"/>
    <n v="2.7663646690983045E-2"/>
    <n v="-1369.99"/>
    <n v="362.5"/>
    <n v="3197.23"/>
    <n v="20959.599999999999"/>
    <x v="47"/>
    <s v="Punjab"/>
    <x v="1"/>
    <x v="19"/>
    <s v="CC-1003"/>
  </r>
  <r>
    <s v="TXN-00936"/>
    <d v="2025-07-21T00:00:00"/>
    <x v="0"/>
    <x v="0"/>
    <x v="0"/>
    <x v="1"/>
    <x v="0"/>
    <s v="Tamil Nadu"/>
    <s v="Chennai"/>
    <s v="Branch A"/>
    <x v="0"/>
    <s v="CC-1005"/>
    <s v="P007"/>
    <s v="Tablet"/>
    <x v="0"/>
    <x v="9"/>
    <n v="35111.69"/>
    <n v="32478.07"/>
    <n v="23459.49"/>
    <n v="2689.41"/>
    <n v="2227.39"/>
    <n v="3414.65"/>
    <n v="1443.67"/>
    <n v="33234.61"/>
    <n v="11652.2"/>
    <n v="1877.0800000000017"/>
    <n v="5.3460257822964423E-2"/>
    <n v="2633.62"/>
    <n v="2808.94"/>
    <n v="5814.5"/>
    <n v="38117.25"/>
    <x v="1"/>
    <s v="Tamil Nadu"/>
    <x v="0"/>
    <x v="12"/>
    <s v="CC-1005"/>
  </r>
  <r>
    <s v="TXN-00937"/>
    <d v="2025-06-17T00:00:00"/>
    <x v="11"/>
    <x v="2"/>
    <x v="0"/>
    <x v="1"/>
    <x v="0"/>
    <s v="Kerala"/>
    <s v="Kozhikode"/>
    <s v="Branch C"/>
    <x v="1"/>
    <s v="CC-1001"/>
    <s v="P005"/>
    <s v="Office Desk"/>
    <x v="3"/>
    <x v="5"/>
    <n v="25300.01"/>
    <n v="24785.62"/>
    <n v="14641.56"/>
    <n v="2485.16"/>
    <n v="2276.6799999999998"/>
    <n v="2009.82"/>
    <n v="437.62"/>
    <n v="21850.84"/>
    <n v="10658.45"/>
    <n v="3449.1699999999983"/>
    <n v="0.13633077615384337"/>
    <n v="514.39"/>
    <n v="0"/>
    <n v="1265"/>
    <n v="26565.01"/>
    <x v="24"/>
    <s v="Kerala"/>
    <x v="1"/>
    <x v="8"/>
    <s v="CC-1001"/>
  </r>
  <r>
    <s v="TXN-00938"/>
    <d v="2026-03-20T00:00:00"/>
    <x v="8"/>
    <x v="1"/>
    <x v="0"/>
    <x v="0"/>
    <x v="0"/>
    <s v="Rajasthan"/>
    <s v="Jaipur"/>
    <s v="Branch A"/>
    <x v="0"/>
    <s v="CC-1005"/>
    <s v="P011"/>
    <s v="Cloud Software"/>
    <x v="2"/>
    <x v="11"/>
    <n v="22037.279999999999"/>
    <n v="20517.37"/>
    <n v="12249.47"/>
    <n v="2668.46"/>
    <n v="1353.75"/>
    <n v="1910"/>
    <n v="589.1"/>
    <n v="18770.78"/>
    <n v="9787.81"/>
    <n v="3266.5"/>
    <n v="0.14822609686857907"/>
    <n v="1519.9"/>
    <n v="1101.8599999999999"/>
    <n v="1046.77"/>
    <n v="21982.18"/>
    <x v="21"/>
    <s v="Rajasthan"/>
    <x v="0"/>
    <x v="18"/>
    <s v="CC-1005"/>
  </r>
  <r>
    <s v="TXN-00939"/>
    <d v="2025-04-01T00:00:00"/>
    <x v="9"/>
    <x v="2"/>
    <x v="0"/>
    <x v="0"/>
    <x v="0"/>
    <s v="Goa"/>
    <s v="Margao"/>
    <s v="Branch C"/>
    <x v="1"/>
    <s v="CC-1002"/>
    <s v="P002"/>
    <s v="Monitor"/>
    <x v="0"/>
    <x v="2"/>
    <n v="31284.85"/>
    <n v="34539.230000000003"/>
    <n v="19241.439999999999"/>
    <n v="1772.73"/>
    <n v="1159.5"/>
    <n v="1800.33"/>
    <n v="595.20000000000005"/>
    <n v="24569.200000000001"/>
    <n v="12043.42"/>
    <n v="6715.6499999999978"/>
    <n v="0.21466140959601845"/>
    <n v="-3254.38"/>
    <n v="1564.24"/>
    <n v="3566.47"/>
    <n v="33287.08"/>
    <x v="37"/>
    <s v="Goa"/>
    <x v="1"/>
    <x v="3"/>
    <s v="CC-1002"/>
  </r>
  <r>
    <s v="TXN-00940"/>
    <d v="2025-05-03T00:00:00"/>
    <x v="3"/>
    <x v="2"/>
    <x v="0"/>
    <x v="0"/>
    <x v="0"/>
    <s v="Rajasthan"/>
    <s v="Udaipur"/>
    <s v="Branch B"/>
    <x v="3"/>
    <s v="CC-1004"/>
    <s v="P001"/>
    <s v="Business Laptop"/>
    <x v="0"/>
    <x v="2"/>
    <n v="64157.27"/>
    <n v="68682.3"/>
    <n v="44730.86"/>
    <n v="6790.28"/>
    <n v="3150.9"/>
    <n v="3496.61"/>
    <n v="2717.87"/>
    <n v="60886.53"/>
    <n v="19426.41"/>
    <n v="3270.739999999998"/>
    <n v="5.0980037024642696E-2"/>
    <n v="-4525.0200000000004"/>
    <n v="0"/>
    <n v="7698.87"/>
    <n v="71856.149999999994"/>
    <x v="17"/>
    <s v="Rajasthan"/>
    <x v="3"/>
    <x v="4"/>
    <s v="CC-1004"/>
  </r>
  <r>
    <s v="TXN-00941"/>
    <d v="2025-10-10T00:00:00"/>
    <x v="5"/>
    <x v="3"/>
    <x v="0"/>
    <x v="1"/>
    <x v="0"/>
    <s v="Tamil Nadu"/>
    <s v="Coimbatore"/>
    <s v="Branch C"/>
    <x v="4"/>
    <s v="CC-1005"/>
    <s v="P011"/>
    <s v="Cloud Software"/>
    <x v="2"/>
    <x v="11"/>
    <n v="7741.77"/>
    <n v="8227.3700000000008"/>
    <n v="5216.0600000000004"/>
    <n v="624.84"/>
    <n v="430.98"/>
    <n v="847.79"/>
    <n v="189.83"/>
    <n v="7309.49"/>
    <n v="2525.71"/>
    <n v="432.28000000000065"/>
    <n v="5.5837360190240812E-2"/>
    <n v="-485.6"/>
    <n v="387.09"/>
    <n v="367.73"/>
    <n v="7722.41"/>
    <x v="10"/>
    <s v="Tamil Nadu"/>
    <x v="4"/>
    <x v="18"/>
    <s v="CC-1005"/>
  </r>
  <r>
    <s v="TXN-00942"/>
    <d v="2025-12-29T00:00:00"/>
    <x v="6"/>
    <x v="3"/>
    <x v="0"/>
    <x v="2"/>
    <x v="0"/>
    <s v="Haryana"/>
    <s v="Faridabad"/>
    <s v="Branch C"/>
    <x v="0"/>
    <s v="CC-1002"/>
    <s v="P001"/>
    <s v="Business Laptop"/>
    <x v="0"/>
    <x v="2"/>
    <n v="59440.22"/>
    <n v="60399.87"/>
    <n v="37522.720000000001"/>
    <n v="5537.81"/>
    <n v="1688.09"/>
    <n v="5909.81"/>
    <n v="952.99"/>
    <n v="51611.42"/>
    <n v="21917.5"/>
    <n v="7828.8000000000029"/>
    <n v="0.13170879919354272"/>
    <n v="-959.65"/>
    <n v="0"/>
    <n v="7132.83"/>
    <n v="66573.05"/>
    <x v="13"/>
    <s v="Haryana"/>
    <x v="0"/>
    <x v="4"/>
    <s v="CC-1002"/>
  </r>
  <r>
    <s v="TXN-00943"/>
    <d v="2025-10-16T00:00:00"/>
    <x v="5"/>
    <x v="3"/>
    <x v="0"/>
    <x v="1"/>
    <x v="0"/>
    <s v="Karnataka"/>
    <s v="Mysuru"/>
    <s v="Branch A"/>
    <x v="1"/>
    <s v="CC-1005"/>
    <s v="P018"/>
    <s v="Projector"/>
    <x v="0"/>
    <x v="6"/>
    <n v="66940.94"/>
    <n v="72882.559999999998"/>
    <n v="39963.26"/>
    <n v="5302.88"/>
    <n v="3307.76"/>
    <n v="5371.72"/>
    <n v="850.55"/>
    <n v="54796.18"/>
    <n v="26977.69"/>
    <n v="12144.760000000002"/>
    <n v="0.18142499940992765"/>
    <n v="-5941.62"/>
    <n v="3347.05"/>
    <n v="7631.27"/>
    <n v="71225.16"/>
    <x v="33"/>
    <s v="Karnataka"/>
    <x v="1"/>
    <x v="9"/>
    <s v="CC-1005"/>
  </r>
  <r>
    <s v="TXN-00944"/>
    <d v="2025-08-16T00:00:00"/>
    <x v="7"/>
    <x v="0"/>
    <x v="0"/>
    <x v="3"/>
    <x v="0"/>
    <s v="Jharkhand"/>
    <s v="Jamshedpur"/>
    <s v="Branch D"/>
    <x v="4"/>
    <s v="CC-1001"/>
    <s v="P005"/>
    <s v="Office Desk"/>
    <x v="3"/>
    <x v="5"/>
    <n v="29984.33"/>
    <n v="34189.19"/>
    <n v="17803.96"/>
    <n v="3724.37"/>
    <n v="1161.8"/>
    <n v="2529.94"/>
    <n v="431.9"/>
    <n v="25651.98"/>
    <n v="12180.37"/>
    <n v="4332.3500000000022"/>
    <n v="0.14448713711461961"/>
    <n v="-4204.8599999999997"/>
    <n v="899.53"/>
    <n v="3490.18"/>
    <n v="32574.98"/>
    <x v="30"/>
    <s v="Jharkhand"/>
    <x v="4"/>
    <x v="8"/>
    <s v="CC-1001"/>
  </r>
  <r>
    <s v="TXN-00945"/>
    <d v="2025-04-18T00:00:00"/>
    <x v="9"/>
    <x v="2"/>
    <x v="0"/>
    <x v="1"/>
    <x v="0"/>
    <s v="Telangana"/>
    <s v="Warangal"/>
    <s v="Branch B"/>
    <x v="0"/>
    <s v="CC-1005"/>
    <s v="P015"/>
    <s v="Network Router"/>
    <x v="4"/>
    <x v="10"/>
    <n v="43942.91"/>
    <n v="49962.29"/>
    <n v="29992.28"/>
    <n v="2544.02"/>
    <n v="3936.07"/>
    <n v="3165.23"/>
    <n v="690.31"/>
    <n v="40327.910000000003"/>
    <n v="13950.63"/>
    <n v="3615"/>
    <n v="8.2265830824585801E-2"/>
    <n v="-6019.38"/>
    <n v="3515.43"/>
    <n v="2021.37"/>
    <n v="42448.85"/>
    <x v="46"/>
    <s v="Telangana"/>
    <x v="0"/>
    <x v="14"/>
    <s v="CC-1005"/>
  </r>
  <r>
    <s v="TXN-00946"/>
    <d v="2026-01-10T00:00:00"/>
    <x v="4"/>
    <x v="1"/>
    <x v="0"/>
    <x v="2"/>
    <x v="0"/>
    <s v="Uttar Pradesh"/>
    <s v="Agra"/>
    <s v="Branch D"/>
    <x v="0"/>
    <s v="CC-1003"/>
    <s v="P006"/>
    <s v="Smartphone"/>
    <x v="0"/>
    <x v="9"/>
    <n v="22137"/>
    <n v="22594.86"/>
    <n v="12015.72"/>
    <n v="2738.97"/>
    <n v="1154.5899999999999"/>
    <n v="2415.79"/>
    <n v="306.33999999999997"/>
    <n v="18631.41"/>
    <n v="10121.280000000001"/>
    <n v="3505.59"/>
    <n v="0.15835885621357909"/>
    <n v="-457.86"/>
    <n v="442.74"/>
    <n v="1084.71"/>
    <n v="22778.98"/>
    <x v="7"/>
    <s v="Uttar Pradesh"/>
    <x v="0"/>
    <x v="16"/>
    <s v="CC-1003"/>
  </r>
  <r>
    <s v="TXN-00947"/>
    <d v="2025-04-10T00:00:00"/>
    <x v="9"/>
    <x v="2"/>
    <x v="0"/>
    <x v="2"/>
    <x v="0"/>
    <s v="Uttar Pradesh"/>
    <s v="Kanpur"/>
    <s v="Branch B"/>
    <x v="1"/>
    <s v="CC-1001"/>
    <s v="P020"/>
    <s v="Document Scanner"/>
    <x v="0"/>
    <x v="3"/>
    <n v="49586.38"/>
    <n v="56399.75"/>
    <n v="27876.05"/>
    <n v="3537.13"/>
    <n v="4414"/>
    <n v="5597.85"/>
    <n v="546.17999999999995"/>
    <n v="41971.21"/>
    <n v="21710.32"/>
    <n v="7615.1699999999983"/>
    <n v="0.15357382410250553"/>
    <n v="-6813.37"/>
    <n v="2479.3200000000002"/>
    <n v="2355.35"/>
    <n v="49462.41"/>
    <x v="25"/>
    <s v="Uttar Pradesh"/>
    <x v="1"/>
    <x v="6"/>
    <s v="CC-1001"/>
  </r>
  <r>
    <s v="TXN-00948"/>
    <d v="2026-01-02T00:00:00"/>
    <x v="4"/>
    <x v="1"/>
    <x v="0"/>
    <x v="3"/>
    <x v="0"/>
    <s v="Bihar"/>
    <s v="Gaya"/>
    <s v="Branch B"/>
    <x v="2"/>
    <s v="CC-1002"/>
    <s v="P012"/>
    <s v="Accounting Software"/>
    <x v="2"/>
    <x v="4"/>
    <n v="10111.879999999999"/>
    <n v="9145.42"/>
    <n v="6524.4"/>
    <n v="689.03"/>
    <n v="275.92"/>
    <n v="452.72"/>
    <n v="233.31"/>
    <n v="8175.39"/>
    <n v="3587.48"/>
    <n v="1936.4899999999989"/>
    <n v="0.19150642610474006"/>
    <n v="966.46"/>
    <n v="0"/>
    <n v="1213.43"/>
    <n v="11325.31"/>
    <x v="32"/>
    <s v="Bihar"/>
    <x v="2"/>
    <x v="7"/>
    <s v="CC-1002"/>
  </r>
  <r>
    <s v="TXN-00949"/>
    <d v="2025-09-17T00:00:00"/>
    <x v="1"/>
    <x v="0"/>
    <x v="0"/>
    <x v="4"/>
    <x v="0"/>
    <s v="Chhattisgarh"/>
    <s v="Bilaspur"/>
    <s v="Branch D"/>
    <x v="3"/>
    <s v="CC-1001"/>
    <s v="P017"/>
    <s v="UPS System"/>
    <x v="0"/>
    <x v="7"/>
    <n v="41810.19"/>
    <n v="40975.53"/>
    <n v="24499.279999999999"/>
    <n v="3860.55"/>
    <n v="2266.48"/>
    <n v="3322.06"/>
    <n v="855.04"/>
    <n v="34803.42"/>
    <n v="17310.900000000001"/>
    <n v="7006.7700000000041"/>
    <n v="0.16758522264548437"/>
    <n v="834.65"/>
    <n v="0"/>
    <n v="2090.5100000000002"/>
    <n v="43900.7"/>
    <x v="22"/>
    <s v="Chhattisgarh"/>
    <x v="3"/>
    <x v="10"/>
    <s v="CC-1001"/>
  </r>
  <r>
    <s v="TXN-00950"/>
    <d v="2026-02-18T00:00:00"/>
    <x v="2"/>
    <x v="1"/>
    <x v="0"/>
    <x v="4"/>
    <x v="0"/>
    <s v="Madhya Pradesh"/>
    <s v="Indore"/>
    <s v="Branch C"/>
    <x v="1"/>
    <s v="CC-1004"/>
    <s v="P004"/>
    <s v="Office Chair"/>
    <x v="3"/>
    <x v="5"/>
    <n v="22846.26"/>
    <n v="26626.17"/>
    <n v="14882.88"/>
    <n v="1739.53"/>
    <n v="1001.13"/>
    <n v="1871.01"/>
    <n v="291.75"/>
    <n v="19786.3"/>
    <n v="7963.38"/>
    <n v="3059.9599999999991"/>
    <n v="0.13393702076401123"/>
    <n v="-3779.91"/>
    <n v="0"/>
    <n v="1142.31"/>
    <n v="23988.57"/>
    <x v="5"/>
    <s v="Madhya Pradesh"/>
    <x v="1"/>
    <x v="17"/>
    <s v="CC-1004"/>
  </r>
  <r>
    <s v="TXN-00951"/>
    <d v="2025-12-31T00:00:00"/>
    <x v="6"/>
    <x v="3"/>
    <x v="0"/>
    <x v="3"/>
    <x v="0"/>
    <s v="Odisha"/>
    <s v="Bhubaneswar"/>
    <s v="Branch A"/>
    <x v="0"/>
    <s v="CC-1005"/>
    <s v="P018"/>
    <s v="Projector"/>
    <x v="0"/>
    <x v="6"/>
    <n v="30338.55"/>
    <n v="35609.75"/>
    <n v="15097.27"/>
    <n v="2206.02"/>
    <n v="1237.6600000000001"/>
    <n v="1816.79"/>
    <n v="705.51"/>
    <n v="21063.26"/>
    <n v="15241.28"/>
    <n v="9275.2900000000009"/>
    <n v="0.30572621301940933"/>
    <n v="-5271.2"/>
    <n v="2427.08"/>
    <n v="5024.0600000000004"/>
    <n v="32935.53"/>
    <x v="3"/>
    <s v="Odisha"/>
    <x v="0"/>
    <x v="9"/>
    <s v="CC-1005"/>
  </r>
  <r>
    <s v="TXN-00952"/>
    <d v="2025-05-06T00:00:00"/>
    <x v="3"/>
    <x v="2"/>
    <x v="0"/>
    <x v="0"/>
    <x v="0"/>
    <s v="Rajasthan"/>
    <s v="Jodhpur"/>
    <s v="Branch D"/>
    <x v="1"/>
    <s v="CC-1003"/>
    <s v="P004"/>
    <s v="Office Chair"/>
    <x v="3"/>
    <x v="5"/>
    <n v="20652.080000000002"/>
    <n v="22904.84"/>
    <n v="10577.16"/>
    <n v="1178.8499999999999"/>
    <n v="1735.39"/>
    <n v="1710.83"/>
    <n v="826.56"/>
    <n v="16028.8"/>
    <n v="10074.92"/>
    <n v="4623.2800000000025"/>
    <n v="0.22386510220762276"/>
    <n v="-2252.7600000000002"/>
    <n v="0"/>
    <n v="2478.25"/>
    <n v="23130.33"/>
    <x v="11"/>
    <s v="Rajasthan"/>
    <x v="1"/>
    <x v="17"/>
    <s v="CC-1003"/>
  </r>
  <r>
    <s v="TXN-00953"/>
    <d v="2026-02-14T00:00:00"/>
    <x v="2"/>
    <x v="1"/>
    <x v="0"/>
    <x v="1"/>
    <x v="0"/>
    <s v="Tamil Nadu"/>
    <s v="Madurai"/>
    <s v="Branch C"/>
    <x v="1"/>
    <s v="CC-1002"/>
    <s v="P020"/>
    <s v="Document Scanner"/>
    <x v="0"/>
    <x v="3"/>
    <n v="77085.31"/>
    <n v="90792.42"/>
    <n v="54746.48"/>
    <n v="3890.91"/>
    <n v="2166.1799999999998"/>
    <n v="3993.68"/>
    <n v="1712.08"/>
    <n v="66509.33"/>
    <n v="22338.83"/>
    <n v="10575.979999999996"/>
    <n v="0.13719838449115657"/>
    <n v="-13707.11"/>
    <n v="6166.82"/>
    <n v="12765.33"/>
    <n v="83683.81"/>
    <x v="43"/>
    <s v="Tamil Nadu"/>
    <x v="1"/>
    <x v="6"/>
    <s v="CC-1002"/>
  </r>
  <r>
    <s v="TXN-00954"/>
    <d v="2026-01-16T00:00:00"/>
    <x v="4"/>
    <x v="1"/>
    <x v="0"/>
    <x v="3"/>
    <x v="0"/>
    <s v="Bihar"/>
    <s v="Patna"/>
    <s v="Branch D"/>
    <x v="3"/>
    <s v="CC-1004"/>
    <s v="P008"/>
    <s v="Headset"/>
    <x v="1"/>
    <x v="8"/>
    <n v="4653.95"/>
    <n v="4901.99"/>
    <n v="2723.85"/>
    <n v="239.16"/>
    <n v="417.04"/>
    <n v="388.53"/>
    <n v="123.69"/>
    <n v="3892.26"/>
    <n v="1930.09"/>
    <n v="761.6899999999996"/>
    <n v="0.16366527358480423"/>
    <n v="-248.04"/>
    <n v="465.39"/>
    <n v="209.43"/>
    <n v="4397.9799999999996"/>
    <x v="45"/>
    <s v="Bihar"/>
    <x v="3"/>
    <x v="11"/>
    <s v="CC-1004"/>
  </r>
  <r>
    <s v="TXN-00955"/>
    <d v="2025-06-02T00:00:00"/>
    <x v="11"/>
    <x v="2"/>
    <x v="0"/>
    <x v="2"/>
    <x v="0"/>
    <s v="Delhi"/>
    <s v="Gurugram"/>
    <s v="Branch D"/>
    <x v="2"/>
    <s v="CC-1004"/>
    <s v="P016"/>
    <s v="Network Switch"/>
    <x v="4"/>
    <x v="10"/>
    <n v="17749.43"/>
    <n v="17307.09"/>
    <n v="11120.88"/>
    <n v="2260.36"/>
    <n v="1217.57"/>
    <n v="1224.94"/>
    <n v="758.81"/>
    <n v="16582.560000000001"/>
    <n v="6628.55"/>
    <n v="1166.869999999999"/>
    <n v="6.574126605755784E-2"/>
    <n v="442.34"/>
    <n v="887.47"/>
    <n v="843.1"/>
    <n v="17705.060000000001"/>
    <x v="27"/>
    <s v="Delhi"/>
    <x v="2"/>
    <x v="13"/>
    <s v="CC-1004"/>
  </r>
  <r>
    <s v="TXN-00956"/>
    <d v="2025-04-05T00:00:00"/>
    <x v="9"/>
    <x v="2"/>
    <x v="0"/>
    <x v="0"/>
    <x v="0"/>
    <s v="Rajasthan"/>
    <s v="Jaipur"/>
    <s v="Branch B"/>
    <x v="4"/>
    <s v="CC-1001"/>
    <s v="P012"/>
    <s v="Accounting Software"/>
    <x v="2"/>
    <x v="4"/>
    <n v="6812.52"/>
    <n v="7504.03"/>
    <n v="4570.09"/>
    <n v="563.73"/>
    <n v="345.63"/>
    <n v="792.56"/>
    <n v="286.7"/>
    <n v="6558.72"/>
    <n v="2242.42"/>
    <n v="253.80000000000018"/>
    <n v="3.7254936499269017E-2"/>
    <n v="-691.51"/>
    <n v="136.25"/>
    <n v="1201.73"/>
    <n v="7877.99"/>
    <x v="21"/>
    <s v="Rajasthan"/>
    <x v="4"/>
    <x v="7"/>
    <s v="CC-1001"/>
  </r>
  <r>
    <s v="TXN-00957"/>
    <d v="2025-12-29T00:00:00"/>
    <x v="6"/>
    <x v="3"/>
    <x v="0"/>
    <x v="3"/>
    <x v="0"/>
    <s v="Bihar"/>
    <s v="Muzaffarpur"/>
    <s v="Branch A"/>
    <x v="4"/>
    <s v="CC-1002"/>
    <s v="P002"/>
    <s v="Monitor"/>
    <x v="0"/>
    <x v="2"/>
    <n v="75340.639999999999"/>
    <n v="76451.31"/>
    <n v="45863.11"/>
    <n v="8239.81"/>
    <n v="5292.64"/>
    <n v="8381.9699999999993"/>
    <n v="2642.32"/>
    <n v="70419.850000000006"/>
    <n v="29477.53"/>
    <n v="4920.7899999999936"/>
    <n v="6.5313886369959079E-2"/>
    <n v="-1110.6600000000001"/>
    <n v="7534.06"/>
    <n v="8136.79"/>
    <n v="75943.37"/>
    <x v="36"/>
    <s v="Bihar"/>
    <x v="4"/>
    <x v="3"/>
    <s v="CC-1002"/>
  </r>
  <r>
    <s v="TXN-00958"/>
    <d v="2026-01-03T00:00:00"/>
    <x v="4"/>
    <x v="1"/>
    <x v="0"/>
    <x v="1"/>
    <x v="0"/>
    <s v="Karnataka"/>
    <s v="Mangaluru"/>
    <s v="Branch B"/>
    <x v="1"/>
    <s v="CC-1004"/>
    <s v="P004"/>
    <s v="Office Chair"/>
    <x v="3"/>
    <x v="5"/>
    <n v="24502.68"/>
    <n v="26160.26"/>
    <n v="14067.29"/>
    <n v="3164.86"/>
    <n v="1375.19"/>
    <n v="1427.66"/>
    <n v="572.51"/>
    <n v="20607.509999999998"/>
    <n v="10435.39"/>
    <n v="3895.1700000000019"/>
    <n v="0.15896914133474388"/>
    <n v="-1657.58"/>
    <n v="1225.1300000000001"/>
    <n v="1163.8800000000001"/>
    <n v="24441.42"/>
    <x v="31"/>
    <s v="Karnataka"/>
    <x v="1"/>
    <x v="17"/>
    <s v="CC-1004"/>
  </r>
  <r>
    <s v="TXN-00959"/>
    <d v="2025-11-26T00:00:00"/>
    <x v="10"/>
    <x v="3"/>
    <x v="0"/>
    <x v="4"/>
    <x v="0"/>
    <s v="Chhattisgarh"/>
    <s v="Bhilai"/>
    <s v="Branch D"/>
    <x v="4"/>
    <s v="CC-1003"/>
    <s v="P015"/>
    <s v="Network Router"/>
    <x v="4"/>
    <x v="10"/>
    <n v="20225.53"/>
    <n v="19551.91"/>
    <n v="13294.23"/>
    <n v="1059.1600000000001"/>
    <n v="1006.45"/>
    <n v="1468.43"/>
    <n v="545.66"/>
    <n v="17373.93"/>
    <n v="6931.3"/>
    <n v="2851.5999999999985"/>
    <n v="0.14099012485704943"/>
    <n v="673.61"/>
    <n v="1011.28"/>
    <n v="2305.71"/>
    <n v="21519.96"/>
    <x v="38"/>
    <s v="Chhattisgarh"/>
    <x v="4"/>
    <x v="14"/>
    <s v="CC-1003"/>
  </r>
  <r>
    <s v="TXN-00960"/>
    <d v="2026-01-17T00:00:00"/>
    <x v="4"/>
    <x v="1"/>
    <x v="0"/>
    <x v="4"/>
    <x v="0"/>
    <s v="Chhattisgarh"/>
    <s v="Raipur"/>
    <s v="Branch B"/>
    <x v="1"/>
    <s v="CC-1001"/>
    <s v="P012"/>
    <s v="Accounting Software"/>
    <x v="2"/>
    <x v="4"/>
    <n v="28630.89"/>
    <n v="25690.29"/>
    <n v="20183.14"/>
    <n v="2774.37"/>
    <n v="2016.98"/>
    <n v="2348.14"/>
    <n v="1122.78"/>
    <n v="28445.41"/>
    <n v="8447.75"/>
    <n v="185.47999999999956"/>
    <n v="6.4783176492243019E-3"/>
    <n v="2940.6"/>
    <n v="0"/>
    <n v="3435.71"/>
    <n v="32066.6"/>
    <x v="50"/>
    <s v="Chhattisgarh"/>
    <x v="1"/>
    <x v="7"/>
    <s v="CC-1001"/>
  </r>
  <r>
    <s v="TXN-00961"/>
    <d v="2026-03-15T00:00:00"/>
    <x v="8"/>
    <x v="1"/>
    <x v="0"/>
    <x v="2"/>
    <x v="0"/>
    <s v="Uttar Pradesh"/>
    <s v="Kanpur"/>
    <s v="Branch B"/>
    <x v="1"/>
    <s v="CC-1004"/>
    <s v="P010"/>
    <s v="Mouse"/>
    <x v="1"/>
    <x v="1"/>
    <n v="8520.2900000000009"/>
    <n v="8507.61"/>
    <n v="5243.49"/>
    <n v="581.21"/>
    <n v="557.59"/>
    <n v="349.08"/>
    <n v="230.92"/>
    <n v="6962.3"/>
    <n v="3276.8"/>
    <n v="1557.9900000000007"/>
    <n v="0.18285645206911977"/>
    <n v="12.68"/>
    <n v="426.01"/>
    <n v="1456.97"/>
    <n v="9551.25"/>
    <x v="25"/>
    <s v="Uttar Pradesh"/>
    <x v="1"/>
    <x v="1"/>
    <s v="CC-1004"/>
  </r>
  <r>
    <s v="TXN-00962"/>
    <d v="2026-03-18T00:00:00"/>
    <x v="8"/>
    <x v="1"/>
    <x v="0"/>
    <x v="4"/>
    <x v="0"/>
    <s v="Chhattisgarh"/>
    <s v="Raipur"/>
    <s v="Branch D"/>
    <x v="4"/>
    <s v="CC-1002"/>
    <s v="P014"/>
    <s v="Data Storage"/>
    <x v="2"/>
    <x v="12"/>
    <n v="17898.580000000002"/>
    <n v="19368.45"/>
    <n v="11048.2"/>
    <n v="2308.19"/>
    <n v="1408.28"/>
    <n v="1094.96"/>
    <n v="633.64"/>
    <n v="16493.28"/>
    <n v="6850.38"/>
    <n v="1405.3000000000029"/>
    <n v="7.8514608421450346E-2"/>
    <n v="-1469.87"/>
    <n v="357.97"/>
    <n v="3157.31"/>
    <n v="20697.919999999998"/>
    <x v="50"/>
    <s v="Chhattisgarh"/>
    <x v="4"/>
    <x v="19"/>
    <s v="CC-1002"/>
  </r>
  <r>
    <s v="TXN-00963"/>
    <d v="2025-07-13T00:00:00"/>
    <x v="0"/>
    <x v="0"/>
    <x v="0"/>
    <x v="2"/>
    <x v="0"/>
    <s v="Punjab"/>
    <s v="Amritsar"/>
    <s v="Branch C"/>
    <x v="2"/>
    <s v="CC-1001"/>
    <s v="P001"/>
    <s v="Business Laptop"/>
    <x v="0"/>
    <x v="2"/>
    <n v="68065.820000000007"/>
    <n v="76845.460000000006"/>
    <n v="35947.08"/>
    <n v="8243.52"/>
    <n v="3127.12"/>
    <n v="2795.63"/>
    <n v="2689.87"/>
    <n v="52803.22"/>
    <n v="32118.75"/>
    <n v="15262.600000000006"/>
    <n v="0.2242329556890669"/>
    <n v="-8779.6299999999992"/>
    <n v="6806.58"/>
    <n v="11026.66"/>
    <n v="72285.91"/>
    <x v="47"/>
    <s v="Punjab"/>
    <x v="2"/>
    <x v="4"/>
    <s v="CC-1001"/>
  </r>
  <r>
    <s v="TXN-00964"/>
    <d v="2025-06-30T00:00:00"/>
    <x v="11"/>
    <x v="2"/>
    <x v="0"/>
    <x v="0"/>
    <x v="0"/>
    <s v="Gujarat"/>
    <s v="Ahmedabad"/>
    <s v="Branch A"/>
    <x v="1"/>
    <s v="CC-1005"/>
    <s v="P008"/>
    <s v="Headset"/>
    <x v="1"/>
    <x v="8"/>
    <n v="9775.2999999999993"/>
    <n v="9855.93"/>
    <n v="5548.58"/>
    <n v="1116.1199999999999"/>
    <n v="580.80999999999995"/>
    <n v="926.27"/>
    <n v="310.83999999999997"/>
    <n v="8482.6299999999992"/>
    <n v="4226.72"/>
    <n v="1292.67"/>
    <n v="0.13223839677554655"/>
    <n v="-80.63"/>
    <n v="0"/>
    <n v="1759.55"/>
    <n v="11534.85"/>
    <x v="18"/>
    <s v="Gujarat"/>
    <x v="1"/>
    <x v="11"/>
    <s v="CC-1005"/>
  </r>
  <r>
    <s v="TXN-00965"/>
    <d v="2026-02-24T00:00:00"/>
    <x v="2"/>
    <x v="1"/>
    <x v="0"/>
    <x v="0"/>
    <x v="0"/>
    <s v="Rajasthan"/>
    <s v="Jaipur"/>
    <s v="Branch B"/>
    <x v="2"/>
    <s v="CC-1002"/>
    <s v="P011"/>
    <s v="Cloud Software"/>
    <x v="2"/>
    <x v="11"/>
    <n v="11521.3"/>
    <n v="12723.75"/>
    <n v="7069.88"/>
    <n v="1389.89"/>
    <n v="518.22"/>
    <n v="1098.6600000000001"/>
    <n v="418.84"/>
    <n v="10495.48"/>
    <n v="4451.42"/>
    <n v="1025.8199999999997"/>
    <n v="8.9036827441347749E-2"/>
    <n v="-1202.45"/>
    <n v="0"/>
    <n v="1382.56"/>
    <n v="12903.85"/>
    <x v="21"/>
    <s v="Rajasthan"/>
    <x v="2"/>
    <x v="18"/>
    <s v="CC-1002"/>
  </r>
  <r>
    <s v="TXN-00966"/>
    <d v="2025-05-12T00:00:00"/>
    <x v="3"/>
    <x v="2"/>
    <x v="0"/>
    <x v="1"/>
    <x v="0"/>
    <s v="Tamil Nadu"/>
    <s v="Coimbatore"/>
    <s v="Branch C"/>
    <x v="0"/>
    <s v="CC-1005"/>
    <s v="P007"/>
    <s v="Tablet"/>
    <x v="0"/>
    <x v="9"/>
    <n v="67467.710000000006"/>
    <n v="71747.199999999997"/>
    <n v="33500.68"/>
    <n v="8039.33"/>
    <n v="2938.5"/>
    <n v="6018.4"/>
    <n v="2986.72"/>
    <n v="53483.62"/>
    <n v="33967.03"/>
    <n v="13984.090000000004"/>
    <n v="0.20727085593982666"/>
    <n v="-4279.5"/>
    <n v="3373.39"/>
    <n v="11536.98"/>
    <n v="75631.3"/>
    <x v="10"/>
    <s v="Tamil Nadu"/>
    <x v="0"/>
    <x v="12"/>
    <s v="CC-1005"/>
  </r>
  <r>
    <s v="TXN-00967"/>
    <d v="2026-03-27T00:00:00"/>
    <x v="8"/>
    <x v="1"/>
    <x v="0"/>
    <x v="1"/>
    <x v="0"/>
    <s v="Kerala"/>
    <s v="Kozhikode"/>
    <s v="Branch D"/>
    <x v="4"/>
    <s v="CC-1001"/>
    <s v="P014"/>
    <s v="Data Storage"/>
    <x v="2"/>
    <x v="12"/>
    <n v="20973.51"/>
    <n v="21692.52"/>
    <n v="13073.13"/>
    <n v="1816.38"/>
    <n v="988.89"/>
    <n v="1623.88"/>
    <n v="438.34"/>
    <n v="17940.62"/>
    <n v="7900.38"/>
    <n v="3032.8899999999994"/>
    <n v="0.14460574314933455"/>
    <n v="-719"/>
    <n v="629.21"/>
    <n v="2441.3200000000002"/>
    <n v="22785.62"/>
    <x v="24"/>
    <s v="Kerala"/>
    <x v="4"/>
    <x v="19"/>
    <s v="CC-1001"/>
  </r>
  <r>
    <s v="TXN-00968"/>
    <d v="2025-09-07T00:00:00"/>
    <x v="1"/>
    <x v="0"/>
    <x v="0"/>
    <x v="4"/>
    <x v="0"/>
    <s v="Madhya Pradesh"/>
    <s v="Indore"/>
    <s v="Branch B"/>
    <x v="1"/>
    <s v="CC-1002"/>
    <s v="P009"/>
    <s v="Keyboard"/>
    <x v="1"/>
    <x v="1"/>
    <n v="2376.16"/>
    <n v="2746.57"/>
    <n v="1541.37"/>
    <n v="264.91000000000003"/>
    <n v="117.64"/>
    <n v="267.87"/>
    <n v="89.41"/>
    <n v="2281.21"/>
    <n v="834.78"/>
    <n v="94.949999999999818"/>
    <n v="3.9959430341391079E-2"/>
    <n v="-370.41"/>
    <n v="118.81"/>
    <n v="406.32"/>
    <n v="2663.67"/>
    <x v="5"/>
    <s v="Madhya Pradesh"/>
    <x v="1"/>
    <x v="2"/>
    <s v="CC-1002"/>
  </r>
  <r>
    <s v="TXN-00969"/>
    <d v="2026-03-17T00:00:00"/>
    <x v="8"/>
    <x v="1"/>
    <x v="0"/>
    <x v="0"/>
    <x v="0"/>
    <s v="Maharashtra"/>
    <s v="Nagpur"/>
    <s v="Branch A"/>
    <x v="1"/>
    <s v="CC-1002"/>
    <s v="P006"/>
    <s v="Smartphone"/>
    <x v="0"/>
    <x v="9"/>
    <n v="51887.5"/>
    <n v="48528"/>
    <n v="35892.699999999997"/>
    <n v="4019.2"/>
    <n v="2604.04"/>
    <n v="4866.6400000000003"/>
    <n v="1406.56"/>
    <n v="48789.14"/>
    <n v="15994.8"/>
    <n v="3098.3600000000006"/>
    <n v="5.971303300409541E-2"/>
    <n v="3359.5"/>
    <n v="0"/>
    <n v="6226.5"/>
    <n v="58114.01"/>
    <x v="15"/>
    <s v="Maharashtra"/>
    <x v="1"/>
    <x v="16"/>
    <s v="CC-1002"/>
  </r>
  <r>
    <s v="TXN-00970"/>
    <d v="2025-07-28T00:00:00"/>
    <x v="0"/>
    <x v="0"/>
    <x v="0"/>
    <x v="0"/>
    <x v="0"/>
    <s v="Gujarat"/>
    <s v="Surat"/>
    <s v="Branch C"/>
    <x v="2"/>
    <s v="CC-1002"/>
    <s v="P008"/>
    <s v="Headset"/>
    <x v="1"/>
    <x v="8"/>
    <n v="6881.97"/>
    <n v="6449.8"/>
    <n v="4216.24"/>
    <n v="568.41999999999996"/>
    <n v="346.52"/>
    <n v="721.09"/>
    <n v="167"/>
    <n v="6019.27"/>
    <n v="2665.73"/>
    <n v="862.69999999999982"/>
    <n v="0.12535654761645282"/>
    <n v="432.17"/>
    <n v="0"/>
    <n v="344.1"/>
    <n v="7226.07"/>
    <x v="26"/>
    <s v="Gujarat"/>
    <x v="2"/>
    <x v="11"/>
    <s v="CC-1002"/>
  </r>
  <r>
    <s v="TXN-00971"/>
    <d v="2026-02-13T00:00:00"/>
    <x v="2"/>
    <x v="1"/>
    <x v="0"/>
    <x v="4"/>
    <x v="0"/>
    <s v="Uttar Pradesh"/>
    <s v="Lucknow"/>
    <s v="Branch B"/>
    <x v="1"/>
    <s v="CC-1002"/>
    <s v="P017"/>
    <s v="UPS System"/>
    <x v="0"/>
    <x v="7"/>
    <n v="69769.06"/>
    <n v="69332.429999999993"/>
    <n v="41504.82"/>
    <n v="4527.3500000000004"/>
    <n v="3068.51"/>
    <n v="7133.89"/>
    <n v="2880.71"/>
    <n v="59115.28"/>
    <n v="28264.25"/>
    <n v="10653.779999999999"/>
    <n v="0.15270063836319422"/>
    <n v="436.63"/>
    <n v="3488.45"/>
    <n v="7953.67"/>
    <n v="74234.28"/>
    <x v="2"/>
    <s v="Uttar Pradesh"/>
    <x v="1"/>
    <x v="10"/>
    <s v="CC-1002"/>
  </r>
  <r>
    <s v="TXN-00972"/>
    <d v="2025-09-13T00:00:00"/>
    <x v="1"/>
    <x v="0"/>
    <x v="0"/>
    <x v="3"/>
    <x v="0"/>
    <s v="Odisha"/>
    <s v="Bhubaneswar"/>
    <s v="Branch C"/>
    <x v="3"/>
    <s v="CC-1002"/>
    <s v="P011"/>
    <s v="Cloud Software"/>
    <x v="2"/>
    <x v="11"/>
    <n v="6919.75"/>
    <n v="6844.89"/>
    <n v="4729.9399999999996"/>
    <n v="642.13"/>
    <n v="231.66"/>
    <n v="718.31"/>
    <n v="241.11"/>
    <n v="6563.16"/>
    <n v="2189.8000000000002"/>
    <n v="356.59000000000015"/>
    <n v="5.1532208533545308E-2"/>
    <n v="74.86"/>
    <n v="207.59"/>
    <n v="805.46"/>
    <n v="7517.61"/>
    <x v="3"/>
    <s v="Odisha"/>
    <x v="3"/>
    <x v="18"/>
    <s v="CC-1002"/>
  </r>
  <r>
    <s v="TXN-00973"/>
    <d v="2025-05-17T00:00:00"/>
    <x v="3"/>
    <x v="2"/>
    <x v="0"/>
    <x v="4"/>
    <x v="0"/>
    <s v="Madhya Pradesh"/>
    <s v="Bhopal"/>
    <s v="Branch C"/>
    <x v="1"/>
    <s v="CC-1004"/>
    <s v="P005"/>
    <s v="Office Desk"/>
    <x v="3"/>
    <x v="5"/>
    <n v="23973.78"/>
    <n v="25385.79"/>
    <n v="13899.74"/>
    <n v="1774.04"/>
    <n v="674.97"/>
    <n v="2386.41"/>
    <n v="865.77"/>
    <n v="19600.939999999999"/>
    <n v="10074.040000000001"/>
    <n v="4372.84"/>
    <n v="0.18240093969328158"/>
    <n v="-1412.01"/>
    <n v="1198.69"/>
    <n v="4099.5200000000004"/>
    <n v="26874.61"/>
    <x v="23"/>
    <s v="Madhya Pradesh"/>
    <x v="1"/>
    <x v="8"/>
    <s v="CC-1004"/>
  </r>
  <r>
    <s v="TXN-00974"/>
    <d v="2025-12-12T00:00:00"/>
    <x v="6"/>
    <x v="3"/>
    <x v="0"/>
    <x v="0"/>
    <x v="0"/>
    <s v="Rajasthan"/>
    <s v="Jodhpur"/>
    <s v="Branch B"/>
    <x v="3"/>
    <s v="CC-1001"/>
    <s v="P019"/>
    <s v="Conference Camera"/>
    <x v="0"/>
    <x v="0"/>
    <n v="62520.87"/>
    <n v="69538.649999999994"/>
    <n v="37068.49"/>
    <n v="4602.68"/>
    <n v="4567.29"/>
    <n v="6493.18"/>
    <n v="1069.07"/>
    <n v="53800.7"/>
    <n v="25452.38"/>
    <n v="8720.1700000000055"/>
    <n v="0.13947614612528592"/>
    <n v="-7017.78"/>
    <n v="1250.42"/>
    <n v="7352.45"/>
    <n v="68622.899999999994"/>
    <x v="11"/>
    <s v="Rajasthan"/>
    <x v="3"/>
    <x v="0"/>
    <s v="CC-1001"/>
  </r>
  <r>
    <s v="TXN-00975"/>
    <d v="2025-12-19T00:00:00"/>
    <x v="6"/>
    <x v="3"/>
    <x v="0"/>
    <x v="1"/>
    <x v="0"/>
    <s v="Tamil Nadu"/>
    <s v="Coimbatore"/>
    <s v="Branch B"/>
    <x v="0"/>
    <s v="CC-1001"/>
    <s v="P014"/>
    <s v="Data Storage"/>
    <x v="2"/>
    <x v="12"/>
    <n v="19654.2"/>
    <n v="20659.82"/>
    <n v="13577.13"/>
    <n v="1290.69"/>
    <n v="704.67"/>
    <n v="1691.17"/>
    <n v="515.26"/>
    <n v="17778.919999999998"/>
    <n v="6077.07"/>
    <n v="1875.2800000000025"/>
    <n v="9.5413702923548269E-2"/>
    <n v="-1005.62"/>
    <n v="982.71"/>
    <n v="3360.87"/>
    <n v="22032.36"/>
    <x v="10"/>
    <s v="Tamil Nadu"/>
    <x v="0"/>
    <x v="19"/>
    <s v="CC-1001"/>
  </r>
  <r>
    <s v="TXN-00976"/>
    <d v="2025-11-05T00:00:00"/>
    <x v="10"/>
    <x v="3"/>
    <x v="0"/>
    <x v="1"/>
    <x v="0"/>
    <s v="Karnataka"/>
    <s v="Mysuru"/>
    <s v="Branch A"/>
    <x v="1"/>
    <s v="CC-1001"/>
    <s v="P013"/>
    <s v="CRM Software"/>
    <x v="2"/>
    <x v="4"/>
    <n v="6968.31"/>
    <n v="6566.7"/>
    <n v="4008"/>
    <n v="410.41"/>
    <n v="188.63"/>
    <n v="644.87"/>
    <n v="218.52"/>
    <n v="5470.43"/>
    <n v="2960.31"/>
    <n v="1497.88"/>
    <n v="0.21495599363403753"/>
    <n v="401.61"/>
    <n v="348.42"/>
    <n v="1191.58"/>
    <n v="7811.48"/>
    <x v="33"/>
    <s v="Karnataka"/>
    <x v="1"/>
    <x v="15"/>
    <s v="CC-1001"/>
  </r>
  <r>
    <s v="TXN-00977"/>
    <d v="2025-08-08T00:00:00"/>
    <x v="7"/>
    <x v="0"/>
    <x v="0"/>
    <x v="3"/>
    <x v="0"/>
    <s v="Bihar"/>
    <s v="Patna"/>
    <s v="Branch A"/>
    <x v="0"/>
    <s v="CC-1003"/>
    <s v="P002"/>
    <s v="Monitor"/>
    <x v="0"/>
    <x v="2"/>
    <n v="48962.01"/>
    <n v="44738.17"/>
    <n v="24495.25"/>
    <n v="2621.4"/>
    <n v="2929.34"/>
    <n v="4724.76"/>
    <n v="713.29"/>
    <n v="35484.050000000003"/>
    <n v="24466.76"/>
    <n v="13477.96"/>
    <n v="0.27527382964874192"/>
    <n v="4223.8500000000004"/>
    <n v="2448.1"/>
    <n v="5581.67"/>
    <n v="52095.58"/>
    <x v="45"/>
    <s v="Bihar"/>
    <x v="0"/>
    <x v="3"/>
    <s v="CC-1003"/>
  </r>
  <r>
    <s v="TXN-00978"/>
    <d v="2025-05-27T00:00:00"/>
    <x v="3"/>
    <x v="2"/>
    <x v="0"/>
    <x v="1"/>
    <x v="0"/>
    <s v="Karnataka"/>
    <s v="Bengaluru"/>
    <s v="Branch B"/>
    <x v="4"/>
    <s v="CC-1004"/>
    <s v="P003"/>
    <s v="Printer"/>
    <x v="0"/>
    <x v="3"/>
    <n v="40467.839999999997"/>
    <n v="40811.93"/>
    <n v="24585.65"/>
    <n v="2909.1"/>
    <n v="3449.53"/>
    <n v="3205.8"/>
    <n v="1597.28"/>
    <n v="35747.360000000001"/>
    <n v="15882.19"/>
    <n v="4720.4799999999959"/>
    <n v="0.11664768863373969"/>
    <n v="-344.09"/>
    <n v="1214.04"/>
    <n v="7065.68"/>
    <n v="46319.49"/>
    <x v="49"/>
    <s v="Karnataka"/>
    <x v="4"/>
    <x v="5"/>
    <s v="CC-1004"/>
  </r>
  <r>
    <s v="TXN-00979"/>
    <d v="2026-03-31T00:00:00"/>
    <x v="8"/>
    <x v="1"/>
    <x v="0"/>
    <x v="0"/>
    <x v="0"/>
    <s v="Gujarat"/>
    <s v="Ahmedabad"/>
    <s v="Branch D"/>
    <x v="4"/>
    <s v="CC-1005"/>
    <s v="P019"/>
    <s v="Conference Camera"/>
    <x v="0"/>
    <x v="0"/>
    <n v="49584.06"/>
    <n v="44021.59"/>
    <n v="30528.53"/>
    <n v="2860.31"/>
    <n v="3929"/>
    <n v="4968.3999999999996"/>
    <n v="1295.03"/>
    <n v="43581.27"/>
    <n v="19055.53"/>
    <n v="6002.7900000000009"/>
    <n v="0.12106289803618342"/>
    <n v="5562.47"/>
    <n v="1487.52"/>
    <n v="8657.3799999999992"/>
    <n v="56753.91"/>
    <x v="18"/>
    <s v="Gujarat"/>
    <x v="4"/>
    <x v="0"/>
    <s v="CC-1005"/>
  </r>
  <r>
    <s v="TXN-00980"/>
    <d v="2025-04-18T00:00:00"/>
    <x v="9"/>
    <x v="2"/>
    <x v="0"/>
    <x v="3"/>
    <x v="0"/>
    <s v="West Bengal"/>
    <s v="Siliguri"/>
    <s v="Branch C"/>
    <x v="2"/>
    <s v="CC-1002"/>
    <s v="P006"/>
    <s v="Smartphone"/>
    <x v="0"/>
    <x v="9"/>
    <n v="22716.95"/>
    <n v="20168.310000000001"/>
    <n v="12196.5"/>
    <n v="2542.83"/>
    <n v="922.36"/>
    <n v="2233.7199999999998"/>
    <n v="427.46"/>
    <n v="18322.87"/>
    <n v="10520.45"/>
    <n v="4394.0800000000017"/>
    <n v="0.19342737471359497"/>
    <n v="2548.64"/>
    <n v="681.51"/>
    <n v="3966.38"/>
    <n v="26001.82"/>
    <x v="44"/>
    <s v="West Bengal"/>
    <x v="2"/>
    <x v="16"/>
    <s v="CC-1002"/>
  </r>
  <r>
    <s v="TXN-00981"/>
    <d v="2026-03-15T00:00:00"/>
    <x v="8"/>
    <x v="1"/>
    <x v="0"/>
    <x v="1"/>
    <x v="0"/>
    <s v="Kerala"/>
    <s v="Kochi"/>
    <s v="Branch A"/>
    <x v="1"/>
    <s v="CC-1002"/>
    <s v="P016"/>
    <s v="Network Switch"/>
    <x v="4"/>
    <x v="10"/>
    <n v="33355.06"/>
    <n v="30795.919999999998"/>
    <n v="20992"/>
    <n v="2901.17"/>
    <n v="2862.49"/>
    <n v="2379.9299999999998"/>
    <n v="803.87"/>
    <n v="29939.46"/>
    <n v="12363.05"/>
    <n v="3415.5999999999985"/>
    <n v="0.10240125486208086"/>
    <n v="2559.13"/>
    <n v="1667.75"/>
    <n v="3802.48"/>
    <n v="35489.78"/>
    <x v="4"/>
    <s v="Kerala"/>
    <x v="1"/>
    <x v="13"/>
    <s v="CC-1002"/>
  </r>
  <r>
    <s v="TXN-00982"/>
    <d v="2025-07-10T00:00:00"/>
    <x v="0"/>
    <x v="0"/>
    <x v="0"/>
    <x v="0"/>
    <x v="0"/>
    <s v="Goa"/>
    <s v="Panaji"/>
    <s v="Branch B"/>
    <x v="4"/>
    <s v="CC-1005"/>
    <s v="P016"/>
    <s v="Network Switch"/>
    <x v="4"/>
    <x v="10"/>
    <n v="13952.52"/>
    <n v="12958.2"/>
    <n v="9998.2800000000007"/>
    <n v="1215.76"/>
    <n v="890.57"/>
    <n v="737.11"/>
    <n v="280.83999999999997"/>
    <n v="13122.56"/>
    <n v="3954.24"/>
    <n v="829.96000000000095"/>
    <n v="5.9484594897552624E-2"/>
    <n v="994.32"/>
    <n v="697.63"/>
    <n v="1590.59"/>
    <n v="14845.49"/>
    <x v="14"/>
    <s v="Goa"/>
    <x v="4"/>
    <x v="13"/>
    <s v="CC-1005"/>
  </r>
  <r>
    <s v="TXN-00983"/>
    <d v="2026-03-03T00:00:00"/>
    <x v="8"/>
    <x v="1"/>
    <x v="0"/>
    <x v="0"/>
    <x v="0"/>
    <s v="Rajasthan"/>
    <s v="Jodhpur"/>
    <s v="Branch B"/>
    <x v="1"/>
    <s v="CC-1003"/>
    <s v="P016"/>
    <s v="Network Switch"/>
    <x v="4"/>
    <x v="10"/>
    <n v="36252.6"/>
    <n v="38665.75"/>
    <n v="21717.040000000001"/>
    <n v="2678.88"/>
    <n v="1187.31"/>
    <n v="2636.51"/>
    <n v="398.71"/>
    <n v="28618.45"/>
    <n v="14535.56"/>
    <n v="7634.1499999999978"/>
    <n v="0.21058213755703034"/>
    <n v="-2413.15"/>
    <n v="725.05"/>
    <n v="4263.3100000000004"/>
    <n v="39790.85"/>
    <x v="11"/>
    <s v="Rajasthan"/>
    <x v="1"/>
    <x v="13"/>
    <s v="CC-1003"/>
  </r>
  <r>
    <s v="TXN-00984"/>
    <d v="2025-12-18T00:00:00"/>
    <x v="6"/>
    <x v="3"/>
    <x v="0"/>
    <x v="2"/>
    <x v="0"/>
    <s v="Haryana"/>
    <s v="Panipat"/>
    <s v="Branch C"/>
    <x v="4"/>
    <s v="CC-1004"/>
    <s v="P009"/>
    <s v="Keyboard"/>
    <x v="1"/>
    <x v="1"/>
    <n v="1803.65"/>
    <n v="1909.64"/>
    <n v="1088.21"/>
    <n v="95.14"/>
    <n v="121.67"/>
    <n v="96.91"/>
    <n v="76.819999999999993"/>
    <n v="1478.76"/>
    <n v="715.43"/>
    <n v="324.8900000000001"/>
    <n v="0.18012918249105983"/>
    <n v="-105.99"/>
    <n v="90.18"/>
    <n v="308.42"/>
    <n v="2021.89"/>
    <x v="16"/>
    <s v="Haryana"/>
    <x v="4"/>
    <x v="2"/>
    <s v="CC-1004"/>
  </r>
  <r>
    <s v="TXN-00985"/>
    <d v="2025-07-16T00:00:00"/>
    <x v="0"/>
    <x v="0"/>
    <x v="0"/>
    <x v="2"/>
    <x v="0"/>
    <s v="Haryana"/>
    <s v="Gurugram"/>
    <s v="Branch C"/>
    <x v="3"/>
    <s v="CC-1004"/>
    <s v="P010"/>
    <s v="Mouse"/>
    <x v="1"/>
    <x v="1"/>
    <n v="9539.2199999999993"/>
    <n v="9471.01"/>
    <n v="5737.84"/>
    <n v="754.08"/>
    <n v="397.88"/>
    <n v="954.71"/>
    <n v="208.79"/>
    <n v="8053.31"/>
    <n v="3801.37"/>
    <n v="1485.9099999999989"/>
    <n v="0.15576850098855033"/>
    <n v="68.209999999999994"/>
    <n v="286.18"/>
    <n v="1110.3599999999999"/>
    <n v="10363.4"/>
    <x v="27"/>
    <s v="Haryana"/>
    <x v="3"/>
    <x v="1"/>
    <s v="CC-1004"/>
  </r>
  <r>
    <s v="TXN-00986"/>
    <d v="2026-02-24T00:00:00"/>
    <x v="2"/>
    <x v="1"/>
    <x v="0"/>
    <x v="3"/>
    <x v="0"/>
    <s v="Bihar"/>
    <s v="Muzaffarpur"/>
    <s v="Branch B"/>
    <x v="0"/>
    <s v="CC-1003"/>
    <s v="P009"/>
    <s v="Keyboard"/>
    <x v="1"/>
    <x v="1"/>
    <n v="1350.58"/>
    <n v="1203.8800000000001"/>
    <n v="796.35"/>
    <n v="156.76"/>
    <n v="61.25"/>
    <n v="95.53"/>
    <n v="56.5"/>
    <n v="1166.3900000000001"/>
    <n v="554.23"/>
    <n v="184.18999999999983"/>
    <n v="0.13637844481630101"/>
    <n v="146.71"/>
    <n v="108.05"/>
    <n v="223.66"/>
    <n v="1466.19"/>
    <x v="36"/>
    <s v="Bihar"/>
    <x v="0"/>
    <x v="2"/>
    <s v="CC-1003"/>
  </r>
  <r>
    <s v="TXN-00987"/>
    <d v="2025-09-11T00:00:00"/>
    <x v="1"/>
    <x v="0"/>
    <x v="0"/>
    <x v="3"/>
    <x v="0"/>
    <s v="Odisha"/>
    <s v="Rourkela"/>
    <s v="Branch B"/>
    <x v="1"/>
    <s v="CC-1002"/>
    <s v="P017"/>
    <s v="UPS System"/>
    <x v="0"/>
    <x v="7"/>
    <n v="17473.13"/>
    <n v="16325.57"/>
    <n v="11037.35"/>
    <n v="1734.44"/>
    <n v="1062.3599999999999"/>
    <n v="1049.0899999999999"/>
    <n v="401.69"/>
    <n v="15284.93"/>
    <n v="6435.78"/>
    <n v="2188.2000000000007"/>
    <n v="0.12523228522880564"/>
    <n v="1147.56"/>
    <n v="0"/>
    <n v="873.66"/>
    <n v="18346.78"/>
    <x v="41"/>
    <s v="Odisha"/>
    <x v="1"/>
    <x v="10"/>
    <s v="CC-1002"/>
  </r>
  <r>
    <s v="TXN-00988"/>
    <d v="2025-08-05T00:00:00"/>
    <x v="7"/>
    <x v="0"/>
    <x v="0"/>
    <x v="4"/>
    <x v="0"/>
    <s v="Uttar Pradesh"/>
    <s v="Lucknow"/>
    <s v="Branch C"/>
    <x v="4"/>
    <s v="CC-1005"/>
    <s v="P018"/>
    <s v="Projector"/>
    <x v="0"/>
    <x v="6"/>
    <n v="26249.89"/>
    <n v="28871.03"/>
    <n v="15077.62"/>
    <n v="2827.67"/>
    <n v="1210.47"/>
    <n v="2707.08"/>
    <n v="575.86"/>
    <n v="22398.7"/>
    <n v="11172.27"/>
    <n v="3851.1899999999987"/>
    <n v="0.14671261479571909"/>
    <n v="-2621.14"/>
    <n v="525"/>
    <n v="4630.4799999999996"/>
    <n v="30355.37"/>
    <x v="2"/>
    <s v="Uttar Pradesh"/>
    <x v="4"/>
    <x v="9"/>
    <s v="CC-1005"/>
  </r>
  <r>
    <s v="TXN-00989"/>
    <d v="2025-12-14T00:00:00"/>
    <x v="6"/>
    <x v="3"/>
    <x v="0"/>
    <x v="3"/>
    <x v="0"/>
    <s v="Jharkhand"/>
    <s v="Jamshedpur"/>
    <s v="Branch C"/>
    <x v="0"/>
    <s v="CC-1005"/>
    <s v="P003"/>
    <s v="Printer"/>
    <x v="0"/>
    <x v="3"/>
    <n v="59651.87"/>
    <n v="64951.7"/>
    <n v="32136.98"/>
    <n v="6079"/>
    <n v="3892.01"/>
    <n v="6303.26"/>
    <n v="968.43"/>
    <n v="49379.68"/>
    <n v="27514.89"/>
    <n v="10272.190000000002"/>
    <n v="0.17220231318817"/>
    <n v="-5299.83"/>
    <n v="2982.59"/>
    <n v="2833.46"/>
    <n v="59502.74"/>
    <x v="30"/>
    <s v="Jharkhand"/>
    <x v="0"/>
    <x v="5"/>
    <s v="CC-1005"/>
  </r>
  <r>
    <s v="TXN-00990"/>
    <d v="2025-12-24T00:00:00"/>
    <x v="6"/>
    <x v="3"/>
    <x v="0"/>
    <x v="4"/>
    <x v="0"/>
    <s v="Madhya Pradesh"/>
    <s v="Indore"/>
    <s v="Branch C"/>
    <x v="0"/>
    <s v="CC-1005"/>
    <s v="P018"/>
    <s v="Projector"/>
    <x v="0"/>
    <x v="6"/>
    <n v="39263.89"/>
    <n v="45144.98"/>
    <n v="25693.27"/>
    <n v="4196.6000000000004"/>
    <n v="1956.44"/>
    <n v="4433.46"/>
    <n v="773.75"/>
    <n v="37053.519999999997"/>
    <n v="13570.62"/>
    <n v="2210.3700000000026"/>
    <n v="5.6295237175939587E-2"/>
    <n v="-5881.09"/>
    <n v="785.28"/>
    <n v="4617.43"/>
    <n v="43096.04"/>
    <x v="5"/>
    <s v="Madhya Pradesh"/>
    <x v="0"/>
    <x v="9"/>
    <s v="CC-1005"/>
  </r>
  <r>
    <s v="TXN-00991"/>
    <d v="2026-03-10T00:00:00"/>
    <x v="8"/>
    <x v="1"/>
    <x v="0"/>
    <x v="0"/>
    <x v="0"/>
    <s v="Gujarat"/>
    <s v="Vadodara"/>
    <s v="Branch A"/>
    <x v="2"/>
    <s v="CC-1004"/>
    <s v="P004"/>
    <s v="Office Chair"/>
    <x v="3"/>
    <x v="5"/>
    <n v="21249.9"/>
    <n v="19781.02"/>
    <n v="14600.21"/>
    <n v="1909.34"/>
    <n v="870.95"/>
    <n v="2020.83"/>
    <n v="875.83"/>
    <n v="20277.16"/>
    <n v="6649.69"/>
    <n v="972.7400000000016"/>
    <n v="4.5776215417484389E-2"/>
    <n v="1468.88"/>
    <n v="1062.5"/>
    <n v="2422.4899999999998"/>
    <n v="22609.89"/>
    <x v="19"/>
    <s v="Gujarat"/>
    <x v="2"/>
    <x v="17"/>
    <s v="CC-1004"/>
  </r>
  <r>
    <s v="TXN-00992"/>
    <d v="2025-06-26T00:00:00"/>
    <x v="11"/>
    <x v="2"/>
    <x v="0"/>
    <x v="4"/>
    <x v="0"/>
    <s v="Uttar Pradesh"/>
    <s v="Agra"/>
    <s v="Branch D"/>
    <x v="1"/>
    <s v="CC-1005"/>
    <s v="P012"/>
    <s v="Accounting Software"/>
    <x v="2"/>
    <x v="4"/>
    <n v="10423.24"/>
    <n v="11014.86"/>
    <n v="6809.1"/>
    <n v="1166.17"/>
    <n v="362.08"/>
    <n v="787.3"/>
    <n v="168.75"/>
    <n v="9293.4"/>
    <n v="3614.13"/>
    <n v="1129.8400000000001"/>
    <n v="0.1083962376382008"/>
    <n v="-591.63"/>
    <n v="521.16"/>
    <n v="495.1"/>
    <n v="10397.18"/>
    <x v="7"/>
    <s v="Uttar Pradesh"/>
    <x v="1"/>
    <x v="7"/>
    <s v="CC-1005"/>
  </r>
  <r>
    <s v="TXN-00993"/>
    <d v="2026-01-12T00:00:00"/>
    <x v="4"/>
    <x v="1"/>
    <x v="0"/>
    <x v="1"/>
    <x v="0"/>
    <s v="Telangana"/>
    <s v="Warangal"/>
    <s v="Branch A"/>
    <x v="1"/>
    <s v="CC-1005"/>
    <s v="P012"/>
    <s v="Accounting Software"/>
    <x v="2"/>
    <x v="4"/>
    <n v="16410.79"/>
    <n v="16372.7"/>
    <n v="9606.26"/>
    <n v="1866.97"/>
    <n v="510.15"/>
    <n v="895.78"/>
    <n v="723.46"/>
    <n v="13602.63"/>
    <n v="6804.53"/>
    <n v="2808.1600000000017"/>
    <n v="0.17111668603400576"/>
    <n v="38.1"/>
    <n v="492.32"/>
    <n v="795.92"/>
    <n v="16714.39"/>
    <x v="46"/>
    <s v="Telangana"/>
    <x v="1"/>
    <x v="7"/>
    <s v="CC-1005"/>
  </r>
  <r>
    <s v="TXN-00994"/>
    <d v="2025-11-10T00:00:00"/>
    <x v="10"/>
    <x v="3"/>
    <x v="0"/>
    <x v="1"/>
    <x v="0"/>
    <s v="Tamil Nadu"/>
    <s v="Coimbatore"/>
    <s v="Branch B"/>
    <x v="3"/>
    <s v="CC-1003"/>
    <s v="P012"/>
    <s v="Accounting Software"/>
    <x v="2"/>
    <x v="4"/>
    <n v="22013.01"/>
    <n v="19435.28"/>
    <n v="10953.58"/>
    <n v="1494.02"/>
    <n v="597.95000000000005"/>
    <n v="1766.05"/>
    <n v="462.12"/>
    <n v="15273.72"/>
    <n v="11059.42"/>
    <n v="6739.2899999999991"/>
    <n v="0.30615031747134985"/>
    <n v="2577.73"/>
    <n v="440.26"/>
    <n v="3883.09"/>
    <n v="25455.84"/>
    <x v="10"/>
    <s v="Tamil Nadu"/>
    <x v="3"/>
    <x v="7"/>
    <s v="CC-1003"/>
  </r>
  <r>
    <s v="TXN-00995"/>
    <d v="2025-04-17T00:00:00"/>
    <x v="9"/>
    <x v="2"/>
    <x v="0"/>
    <x v="3"/>
    <x v="0"/>
    <s v="Odisha"/>
    <s v="Rourkela"/>
    <s v="Branch C"/>
    <x v="0"/>
    <s v="CC-1005"/>
    <s v="P005"/>
    <s v="Office Desk"/>
    <x v="3"/>
    <x v="5"/>
    <n v="9264.2199999999993"/>
    <n v="10527.19"/>
    <n v="5754.14"/>
    <n v="668.41"/>
    <n v="471.08"/>
    <n v="874.74"/>
    <n v="381.49"/>
    <n v="8149.85"/>
    <n v="3510.09"/>
    <n v="1114.369999999999"/>
    <n v="0.12028751476109149"/>
    <n v="-1262.96"/>
    <n v="0"/>
    <n v="463.21"/>
    <n v="9727.43"/>
    <x v="41"/>
    <s v="Odisha"/>
    <x v="0"/>
    <x v="8"/>
    <s v="CC-1005"/>
  </r>
  <r>
    <s v="TXN-00996"/>
    <d v="2026-03-28T00:00:00"/>
    <x v="8"/>
    <x v="1"/>
    <x v="0"/>
    <x v="1"/>
    <x v="0"/>
    <s v="Kerala"/>
    <s v="Thiruvananthapuram"/>
    <s v="Branch D"/>
    <x v="1"/>
    <s v="CC-1005"/>
    <s v="P017"/>
    <s v="UPS System"/>
    <x v="0"/>
    <x v="7"/>
    <n v="42585.33"/>
    <n v="40587.910000000003"/>
    <n v="30221.71"/>
    <n v="3702.45"/>
    <n v="1146.0899999999999"/>
    <n v="2861.2"/>
    <n v="1297.03"/>
    <n v="39228.47"/>
    <n v="12363.62"/>
    <n v="3356.8600000000006"/>
    <n v="7.8826675758999654E-2"/>
    <n v="1997.41"/>
    <n v="851.71"/>
    <n v="2086.6799999999998"/>
    <n v="43820.3"/>
    <x v="8"/>
    <s v="Kerala"/>
    <x v="1"/>
    <x v="10"/>
    <s v="CC-1005"/>
  </r>
  <r>
    <s v="TXN-00997"/>
    <d v="2025-04-23T00:00:00"/>
    <x v="9"/>
    <x v="2"/>
    <x v="0"/>
    <x v="0"/>
    <x v="0"/>
    <s v="Maharashtra"/>
    <s v="Mumbai"/>
    <s v="Branch B"/>
    <x v="4"/>
    <s v="CC-1005"/>
    <s v="P019"/>
    <s v="Conference Camera"/>
    <x v="0"/>
    <x v="0"/>
    <n v="29317.69"/>
    <n v="25928.23"/>
    <n v="20259.62"/>
    <n v="1828.42"/>
    <n v="2374.61"/>
    <n v="1945.26"/>
    <n v="670.93"/>
    <n v="27078.83"/>
    <n v="9058.08"/>
    <n v="2238.8599999999969"/>
    <n v="7.6365498100293611E-2"/>
    <n v="3389.46"/>
    <n v="0"/>
    <n v="3518.12"/>
    <n v="32835.82"/>
    <x v="6"/>
    <s v="Maharashtra"/>
    <x v="4"/>
    <x v="0"/>
    <s v="CC-1005"/>
  </r>
  <r>
    <s v="TXN-00998"/>
    <d v="2026-03-28T00:00:00"/>
    <x v="8"/>
    <x v="1"/>
    <x v="0"/>
    <x v="2"/>
    <x v="0"/>
    <s v="Delhi"/>
    <s v="New Delhi"/>
    <s v="Branch A"/>
    <x v="1"/>
    <s v="CC-1001"/>
    <s v="P020"/>
    <s v="Document Scanner"/>
    <x v="0"/>
    <x v="3"/>
    <n v="52298.9"/>
    <n v="57668.25"/>
    <n v="33739.58"/>
    <n v="4024.62"/>
    <n v="1687.28"/>
    <n v="3270.63"/>
    <n v="907.93"/>
    <n v="43630.04"/>
    <n v="18559.32"/>
    <n v="8668.86"/>
    <n v="0.1657560675272329"/>
    <n v="-5369.35"/>
    <n v="0"/>
    <n v="2614.94"/>
    <n v="54913.84"/>
    <x v="48"/>
    <s v="Delhi"/>
    <x v="1"/>
    <x v="6"/>
    <s v="CC-1001"/>
  </r>
  <r>
    <s v="TXN-00999"/>
    <d v="2025-09-29T00:00:00"/>
    <x v="1"/>
    <x v="0"/>
    <x v="0"/>
    <x v="3"/>
    <x v="0"/>
    <s v="Odisha"/>
    <s v="Bhubaneswar"/>
    <s v="Branch C"/>
    <x v="1"/>
    <s v="CC-1004"/>
    <s v="P001"/>
    <s v="Business Laptop"/>
    <x v="0"/>
    <x v="2"/>
    <n v="36351.79"/>
    <n v="32907.5"/>
    <n v="19295.57"/>
    <n v="2052.34"/>
    <n v="3225.31"/>
    <n v="4124.95"/>
    <n v="1275.3"/>
    <n v="29973.47"/>
    <n v="17056.22"/>
    <n v="6378.32"/>
    <n v="0.17546096079450282"/>
    <n v="3444.29"/>
    <n v="1090.55"/>
    <n v="1763.06"/>
    <n v="37024.300000000003"/>
    <x v="3"/>
    <s v="Odisha"/>
    <x v="1"/>
    <x v="4"/>
    <s v="CC-1004"/>
  </r>
  <r>
    <s v="TXN-01000"/>
    <d v="2025-12-09T00:00:00"/>
    <x v="6"/>
    <x v="3"/>
    <x v="0"/>
    <x v="0"/>
    <x v="0"/>
    <s v="Maharashtra"/>
    <s v="Nagpur"/>
    <s v="Branch A"/>
    <x v="3"/>
    <s v="CC-1003"/>
    <s v="P016"/>
    <s v="Network Switch"/>
    <x v="4"/>
    <x v="10"/>
    <n v="34733.42"/>
    <n v="30619.73"/>
    <n v="24454.69"/>
    <n v="3158"/>
    <n v="2450.36"/>
    <n v="3766.84"/>
    <n v="915.18"/>
    <n v="34745.07"/>
    <n v="10278.73"/>
    <n v="-11.650000000001455"/>
    <n v="-3.3541183102618328E-4"/>
    <n v="4113.7"/>
    <n v="2778.67"/>
    <n v="1597.74"/>
    <n v="33552.49"/>
    <x v="15"/>
    <s v="Maharashtra"/>
    <x v="3"/>
    <x v="13"/>
    <s v="CC-1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9FAFB1-D019-435B-8432-0337E70F84F9}" name="Country Performanc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6:I28" firstHeaderRow="0" firstDataRow="1" firstDataCol="1"/>
  <pivotFields count="37">
    <pivotField showAll="0"/>
    <pivotField numFmtId="164" showAll="0"/>
    <pivotField showAll="0"/>
    <pivotField showAll="0"/>
    <pivotField showAll="0">
      <items count="4">
        <item m="1" x="1"/>
        <item m="1" x="2"/>
        <item x="0"/>
        <item t="default"/>
      </items>
    </pivotField>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dataField="1" showAll="0"/>
    <pivotField numFmtId="10"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6"/>
  </rowFields>
  <rowItems count="2">
    <i>
      <x/>
    </i>
    <i t="grand">
      <x/>
    </i>
  </rowItems>
  <colFields count="1">
    <field x="-2"/>
  </colFields>
  <colItems count="3">
    <i>
      <x/>
    </i>
    <i i="1">
      <x v="1"/>
    </i>
    <i i="2">
      <x v="2"/>
    </i>
  </colItems>
  <dataFields count="3">
    <dataField name="Sum of Revenue" fld="16" baseField="0" baseItem="0"/>
    <dataField name="Sum of Budget Revenue" fld="17" baseField="0" baseItem="0"/>
    <dataField name="Sum of Net Profit" fld="25" baseField="0" baseItem="0"/>
  </dataFields>
  <formats count="25">
    <format dxfId="39">
      <pivotArea outline="0" collapsedLevelsAreSubtotals="1" fieldPosition="0"/>
    </format>
    <format dxfId="38">
      <pivotArea field="6" type="button" dataOnly="0" labelOnly="1" outline="0" axis="axisRow" fieldPosition="0"/>
    </format>
    <format dxfId="37">
      <pivotArea dataOnly="0" labelOnly="1" outline="0" fieldPosition="0">
        <references count="1">
          <reference field="4294967294" count="3">
            <x v="0"/>
            <x v="1"/>
            <x v="2"/>
          </reference>
        </references>
      </pivotArea>
    </format>
    <format dxfId="36">
      <pivotArea field="6" type="button" dataOnly="0" labelOnly="1" outline="0" axis="axisRow" fieldPosition="0"/>
    </format>
    <format dxfId="35">
      <pivotArea dataOnly="0" labelOnly="1" outline="0" fieldPosition="0">
        <references count="1">
          <reference field="4294967294" count="3">
            <x v="0"/>
            <x v="1"/>
            <x v="2"/>
          </reference>
        </references>
      </pivotArea>
    </format>
    <format dxfId="34">
      <pivotArea grandRow="1" outline="0" collapsedLevelsAreSubtotals="1" fieldPosition="0"/>
    </format>
    <format dxfId="33">
      <pivotArea dataOnly="0" labelOnly="1" grandRow="1" outline="0" fieldPosition="0"/>
    </format>
    <format dxfId="32">
      <pivotArea field="6" type="button" dataOnly="0" labelOnly="1" outline="0" axis="axisRow" fieldPosition="0"/>
    </format>
    <format dxfId="31">
      <pivotArea dataOnly="0" labelOnly="1" fieldPosition="0">
        <references count="1">
          <reference field="6" count="0"/>
        </references>
      </pivotArea>
    </format>
    <format dxfId="30">
      <pivotArea dataOnly="0" labelOnly="1" grandRow="1" outline="0" fieldPosition="0"/>
    </format>
    <format dxfId="29">
      <pivotArea field="6" type="button" dataOnly="0" labelOnly="1" outline="0" axis="axisRow" fieldPosition="0"/>
    </format>
    <format dxfId="28">
      <pivotArea dataOnly="0" labelOnly="1" fieldPosition="0">
        <references count="1">
          <reference field="6" count="0"/>
        </references>
      </pivotArea>
    </format>
    <format dxfId="27">
      <pivotArea dataOnly="0" labelOnly="1" grandRow="1" outline="0" fieldPosition="0"/>
    </format>
    <format dxfId="26">
      <pivotArea outline="0" collapsedLevelsAreSubtotals="1" fieldPosition="0">
        <references count="1">
          <reference field="4294967294" count="1" selected="0">
            <x v="0"/>
          </reference>
        </references>
      </pivotArea>
    </format>
    <format dxfId="25">
      <pivotArea dataOnly="0" labelOnly="1" outline="0" fieldPosition="0">
        <references count="1">
          <reference field="4294967294" count="1">
            <x v="0"/>
          </reference>
        </references>
      </pivotArea>
    </format>
    <format dxfId="24">
      <pivotArea outline="0" collapsedLevelsAreSubtotals="1" fieldPosition="0">
        <references count="1">
          <reference field="4294967294" count="1" selected="0">
            <x v="0"/>
          </reference>
        </references>
      </pivotArea>
    </format>
    <format dxfId="23">
      <pivotArea dataOnly="0" labelOnly="1" outline="0" fieldPosition="0">
        <references count="1">
          <reference field="4294967294" count="1">
            <x v="0"/>
          </reference>
        </references>
      </pivotArea>
    </format>
    <format dxfId="22">
      <pivotArea outline="0" collapsedLevelsAreSubtotals="1" fieldPosition="0">
        <references count="1">
          <reference field="4294967294" count="1" selected="0">
            <x v="1"/>
          </reference>
        </references>
      </pivotArea>
    </format>
    <format dxfId="21">
      <pivotArea dataOnly="0" labelOnly="1" outline="0" fieldPosition="0">
        <references count="1">
          <reference field="4294967294" count="1">
            <x v="1"/>
          </reference>
        </references>
      </pivotArea>
    </format>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outline="0" collapsedLevelsAreSubtotals="1" fieldPosition="0">
        <references count="1">
          <reference field="4294967294" count="1" selected="0">
            <x v="2"/>
          </reference>
        </references>
      </pivotArea>
    </format>
    <format dxfId="17">
      <pivotArea dataOnly="0" labelOnly="1" outline="0" fieldPosition="0">
        <references count="1">
          <reference field="4294967294" count="1">
            <x v="2"/>
          </reference>
        </references>
      </pivotArea>
    </format>
    <format dxfId="16">
      <pivotArea outline="0" collapsedLevelsAreSubtotals="1" fieldPosition="0">
        <references count="1">
          <reference field="4294967294" count="1" selected="0">
            <x v="2"/>
          </reference>
        </references>
      </pivotArea>
    </format>
    <format dxfId="15">
      <pivotArea dataOnly="0" labelOnly="1" outline="0" fieldPosition="0">
        <references count="1">
          <reference field="4294967294" count="1">
            <x v="2"/>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D719A4-DEF6-4150-B4BB-4BC69A320C10}" name="Dept Performanc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5:D21" firstHeaderRow="0" firstDataRow="1" firstDataCol="1"/>
  <pivotFields count="37">
    <pivotField showAll="0"/>
    <pivotField numFmtId="164" showAll="0"/>
    <pivotField showAll="0"/>
    <pivotField showAll="0"/>
    <pivotField showAll="0">
      <items count="4">
        <item m="1" x="1"/>
        <item m="1" x="2"/>
        <item x="0"/>
        <item t="default"/>
      </items>
    </pivotField>
    <pivotField showAll="0"/>
    <pivotField showAll="0"/>
    <pivotField showAll="0"/>
    <pivotField showAll="0"/>
    <pivotField showAll="0"/>
    <pivotField showAll="0">
      <items count="7">
        <item x="5"/>
        <item x="3"/>
        <item x="4"/>
        <item x="2"/>
        <item x="0"/>
        <item x="1"/>
        <item t="default"/>
      </items>
    </pivotField>
    <pivotField showAll="0"/>
    <pivotField showAll="0"/>
    <pivotField showAll="0"/>
    <pivotField showAll="0">
      <items count="6">
        <item x="1"/>
        <item x="0"/>
        <item x="3"/>
        <item x="4"/>
        <item x="2"/>
        <item t="default"/>
      </items>
    </pivotField>
    <pivotField showAll="0"/>
    <pivotField dataField="1" showAll="0"/>
    <pivotField showAll="0"/>
    <pivotField showAll="0"/>
    <pivotField showAll="0"/>
    <pivotField showAll="0"/>
    <pivotField showAll="0"/>
    <pivotField showAll="0"/>
    <pivotField dataField="1" showAll="0"/>
    <pivotField showAll="0"/>
    <pivotField dataField="1" showAll="0"/>
    <pivotField numFmtId="10" showAll="0"/>
    <pivotField showAll="0"/>
    <pivotField showAll="0"/>
    <pivotField showAll="0"/>
    <pivotField showAll="0"/>
    <pivotField showAll="0"/>
    <pivotField showAll="0"/>
    <pivotField axis="axisRow" showAll="0" sortType="descending">
      <items count="6">
        <item x="3"/>
        <item x="4"/>
        <item x="2"/>
        <item x="0"/>
        <item x="1"/>
        <item t="default"/>
      </items>
      <autoSortScope>
        <pivotArea dataOnly="0" outline="0" fieldPosition="0">
          <references count="1">
            <reference field="4294967294" count="1" selected="0">
              <x v="2"/>
            </reference>
          </references>
        </pivotArea>
      </autoSortScope>
    </pivotField>
    <pivotField showAll="0"/>
    <pivotField showAll="0"/>
    <pivotField dragToRow="0" dragToCol="0" dragToPage="0" showAll="0" defaultSubtotal="0"/>
  </pivotFields>
  <rowFields count="1">
    <field x="33"/>
  </rowFields>
  <rowItems count="6">
    <i>
      <x v="4"/>
    </i>
    <i>
      <x v="3"/>
    </i>
    <i>
      <x v="2"/>
    </i>
    <i>
      <x/>
    </i>
    <i>
      <x v="1"/>
    </i>
    <i t="grand">
      <x/>
    </i>
  </rowItems>
  <colFields count="1">
    <field x="-2"/>
  </colFields>
  <colItems count="3">
    <i>
      <x/>
    </i>
    <i i="1">
      <x v="1"/>
    </i>
    <i i="2">
      <x v="2"/>
    </i>
  </colItems>
  <dataFields count="3">
    <dataField name="Sum of Revenue" fld="16" baseField="0" baseItem="0"/>
    <dataField name="Sum of Total Expense" fld="23" baseField="0" baseItem="0"/>
    <dataField name="Sum of Net Profit" fld="25" baseField="0" baseItem="0"/>
  </dataFields>
  <formats count="19">
    <format dxfId="58">
      <pivotArea outline="0" collapsedLevelsAreSubtotals="1" fieldPosition="0"/>
    </format>
    <format dxfId="57">
      <pivotArea field="10" type="button" dataOnly="0" labelOnly="1" outline="0"/>
    </format>
    <format dxfId="56">
      <pivotArea dataOnly="0" labelOnly="1" outline="0" fieldPosition="0">
        <references count="1">
          <reference field="4294967294" count="3">
            <x v="0"/>
            <x v="1"/>
            <x v="2"/>
          </reference>
        </references>
      </pivotArea>
    </format>
    <format dxfId="55">
      <pivotArea field="10" type="button" dataOnly="0" labelOnly="1" outline="0"/>
    </format>
    <format dxfId="54">
      <pivotArea dataOnly="0" labelOnly="1" outline="0" fieldPosition="0">
        <references count="1">
          <reference field="4294967294" count="3">
            <x v="0"/>
            <x v="1"/>
            <x v="2"/>
          </reference>
        </references>
      </pivotArea>
    </format>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33" type="button" dataOnly="0" labelOnly="1" outline="0" axis="axisRow" fieldPosition="0"/>
    </format>
    <format dxfId="47">
      <pivotArea field="33" type="button" dataOnly="0" labelOnly="1" outline="0" axis="axisRow" fieldPosition="0"/>
    </format>
    <format dxfId="46">
      <pivotArea field="33" dataOnly="0" grandRow="1" axis="axisRow" fieldPosition="0">
        <references count="1">
          <reference field="33" count="1">
            <x v="4"/>
          </reference>
        </references>
      </pivotArea>
    </format>
    <format dxfId="45">
      <pivotArea field="33" type="button" dataOnly="0" labelOnly="1" outline="0" axis="axisRow" fieldPosition="0"/>
    </format>
    <format dxfId="44">
      <pivotArea dataOnly="0" labelOnly="1" fieldPosition="0">
        <references count="1">
          <reference field="33" count="0"/>
        </references>
      </pivotArea>
    </format>
    <format dxfId="43">
      <pivotArea dataOnly="0" labelOnly="1" grandRow="1" outline="0" fieldPosition="0"/>
    </format>
    <format dxfId="42">
      <pivotArea field="33" type="button" dataOnly="0" labelOnly="1" outline="0" axis="axisRow" fieldPosition="0"/>
    </format>
    <format dxfId="41">
      <pivotArea dataOnly="0" labelOnly="1" fieldPosition="0">
        <references count="1">
          <reference field="33" count="0"/>
        </references>
      </pivotArea>
    </format>
    <format dxfId="40">
      <pivotArea dataOnly="0" labelOnly="1" grandRow="1" outline="0" fieldPosition="0"/>
    </format>
  </formats>
  <chartFormats count="3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33" count="1" selected="0">
            <x v="4"/>
          </reference>
        </references>
      </pivotArea>
    </chartFormat>
    <chartFormat chart="1" format="5">
      <pivotArea type="data" outline="0" fieldPosition="0">
        <references count="2">
          <reference field="4294967294" count="1" selected="0">
            <x v="0"/>
          </reference>
          <reference field="33" count="1" selected="0">
            <x v="3"/>
          </reference>
        </references>
      </pivotArea>
    </chartFormat>
    <chartFormat chart="1" format="6">
      <pivotArea type="data" outline="0" fieldPosition="0">
        <references count="2">
          <reference field="4294967294" count="1" selected="0">
            <x v="0"/>
          </reference>
          <reference field="33" count="1" selected="0">
            <x v="2"/>
          </reference>
        </references>
      </pivotArea>
    </chartFormat>
    <chartFormat chart="1" format="7">
      <pivotArea type="data" outline="0" fieldPosition="0">
        <references count="2">
          <reference field="4294967294" count="1" selected="0">
            <x v="0"/>
          </reference>
          <reference field="33" count="1" selected="0">
            <x v="0"/>
          </reference>
        </references>
      </pivotArea>
    </chartFormat>
    <chartFormat chart="1" format="8">
      <pivotArea type="data" outline="0" fieldPosition="0">
        <references count="2">
          <reference field="4294967294" count="1" selected="0">
            <x v="0"/>
          </reference>
          <reference field="33" count="1" selected="0">
            <x v="1"/>
          </reference>
        </references>
      </pivotArea>
    </chartFormat>
    <chartFormat chart="1" format="9" series="1">
      <pivotArea type="data" outline="0" fieldPosition="0">
        <references count="1">
          <reference field="4294967294" count="1" selected="0">
            <x v="1"/>
          </reference>
        </references>
      </pivotArea>
    </chartFormat>
    <chartFormat chart="1" format="10">
      <pivotArea type="data" outline="0" fieldPosition="0">
        <references count="2">
          <reference field="4294967294" count="1" selected="0">
            <x v="1"/>
          </reference>
          <reference field="33" count="1" selected="0">
            <x v="4"/>
          </reference>
        </references>
      </pivotArea>
    </chartFormat>
    <chartFormat chart="1" format="11">
      <pivotArea type="data" outline="0" fieldPosition="0">
        <references count="2">
          <reference field="4294967294" count="1" selected="0">
            <x v="1"/>
          </reference>
          <reference field="33" count="1" selected="0">
            <x v="3"/>
          </reference>
        </references>
      </pivotArea>
    </chartFormat>
    <chartFormat chart="1" format="12">
      <pivotArea type="data" outline="0" fieldPosition="0">
        <references count="2">
          <reference field="4294967294" count="1" selected="0">
            <x v="1"/>
          </reference>
          <reference field="33" count="1" selected="0">
            <x v="2"/>
          </reference>
        </references>
      </pivotArea>
    </chartFormat>
    <chartFormat chart="1" format="13">
      <pivotArea type="data" outline="0" fieldPosition="0">
        <references count="2">
          <reference field="4294967294" count="1" selected="0">
            <x v="1"/>
          </reference>
          <reference field="33" count="1" selected="0">
            <x v="0"/>
          </reference>
        </references>
      </pivotArea>
    </chartFormat>
    <chartFormat chart="1" format="14">
      <pivotArea type="data" outline="0" fieldPosition="0">
        <references count="2">
          <reference field="4294967294" count="1" selected="0">
            <x v="1"/>
          </reference>
          <reference field="33" count="1" selected="0">
            <x v="1"/>
          </reference>
        </references>
      </pivotArea>
    </chartFormat>
    <chartFormat chart="1" format="15" series="1">
      <pivotArea type="data" outline="0" fieldPosition="0">
        <references count="1">
          <reference field="4294967294" count="1" selected="0">
            <x v="2"/>
          </reference>
        </references>
      </pivotArea>
    </chartFormat>
    <chartFormat chart="1" format="16">
      <pivotArea type="data" outline="0" fieldPosition="0">
        <references count="2">
          <reference field="4294967294" count="1" selected="0">
            <x v="2"/>
          </reference>
          <reference field="33" count="1" selected="0">
            <x v="4"/>
          </reference>
        </references>
      </pivotArea>
    </chartFormat>
    <chartFormat chart="1" format="17">
      <pivotArea type="data" outline="0" fieldPosition="0">
        <references count="2">
          <reference field="4294967294" count="1" selected="0">
            <x v="2"/>
          </reference>
          <reference field="33" count="1" selected="0">
            <x v="3"/>
          </reference>
        </references>
      </pivotArea>
    </chartFormat>
    <chartFormat chart="1" format="18">
      <pivotArea type="data" outline="0" fieldPosition="0">
        <references count="2">
          <reference field="4294967294" count="1" selected="0">
            <x v="2"/>
          </reference>
          <reference field="33" count="1" selected="0">
            <x v="2"/>
          </reference>
        </references>
      </pivotArea>
    </chartFormat>
    <chartFormat chart="1" format="19">
      <pivotArea type="data" outline="0" fieldPosition="0">
        <references count="2">
          <reference field="4294967294" count="1" selected="0">
            <x v="2"/>
          </reference>
          <reference field="33" count="1" selected="0">
            <x v="0"/>
          </reference>
        </references>
      </pivotArea>
    </chartFormat>
    <chartFormat chart="1" format="20">
      <pivotArea type="data" outline="0" fieldPosition="0">
        <references count="2">
          <reference field="4294967294" count="1" selected="0">
            <x v="2"/>
          </reference>
          <reference field="33" count="1" selected="0">
            <x v="1"/>
          </reference>
        </references>
      </pivotArea>
    </chartFormat>
    <chartFormat chart="2" format="21" series="1">
      <pivotArea type="data" outline="0" fieldPosition="0">
        <references count="1">
          <reference field="4294967294" count="1" selected="0">
            <x v="0"/>
          </reference>
        </references>
      </pivotArea>
    </chartFormat>
    <chartFormat chart="2" format="22">
      <pivotArea type="data" outline="0" fieldPosition="0">
        <references count="2">
          <reference field="4294967294" count="1" selected="0">
            <x v="0"/>
          </reference>
          <reference field="33" count="1" selected="0">
            <x v="4"/>
          </reference>
        </references>
      </pivotArea>
    </chartFormat>
    <chartFormat chart="2" format="23">
      <pivotArea type="data" outline="0" fieldPosition="0">
        <references count="2">
          <reference field="4294967294" count="1" selected="0">
            <x v="0"/>
          </reference>
          <reference field="33" count="1" selected="0">
            <x v="3"/>
          </reference>
        </references>
      </pivotArea>
    </chartFormat>
    <chartFormat chart="2" format="24">
      <pivotArea type="data" outline="0" fieldPosition="0">
        <references count="2">
          <reference field="4294967294" count="1" selected="0">
            <x v="0"/>
          </reference>
          <reference field="33" count="1" selected="0">
            <x v="2"/>
          </reference>
        </references>
      </pivotArea>
    </chartFormat>
    <chartFormat chart="2" format="25">
      <pivotArea type="data" outline="0" fieldPosition="0">
        <references count="2">
          <reference field="4294967294" count="1" selected="0">
            <x v="0"/>
          </reference>
          <reference field="33" count="1" selected="0">
            <x v="0"/>
          </reference>
        </references>
      </pivotArea>
    </chartFormat>
    <chartFormat chart="2" format="26">
      <pivotArea type="data" outline="0" fieldPosition="0">
        <references count="2">
          <reference field="4294967294" count="1" selected="0">
            <x v="0"/>
          </reference>
          <reference field="33" count="1" selected="0">
            <x v="1"/>
          </reference>
        </references>
      </pivotArea>
    </chartFormat>
    <chartFormat chart="2" format="27" series="1">
      <pivotArea type="data" outline="0" fieldPosition="0">
        <references count="1">
          <reference field="4294967294" count="1" selected="0">
            <x v="1"/>
          </reference>
        </references>
      </pivotArea>
    </chartFormat>
    <chartFormat chart="2" format="28">
      <pivotArea type="data" outline="0" fieldPosition="0">
        <references count="2">
          <reference field="4294967294" count="1" selected="0">
            <x v="1"/>
          </reference>
          <reference field="33" count="1" selected="0">
            <x v="4"/>
          </reference>
        </references>
      </pivotArea>
    </chartFormat>
    <chartFormat chart="2" format="29">
      <pivotArea type="data" outline="0" fieldPosition="0">
        <references count="2">
          <reference field="4294967294" count="1" selected="0">
            <x v="1"/>
          </reference>
          <reference field="33" count="1" selected="0">
            <x v="3"/>
          </reference>
        </references>
      </pivotArea>
    </chartFormat>
    <chartFormat chart="2" format="30">
      <pivotArea type="data" outline="0" fieldPosition="0">
        <references count="2">
          <reference field="4294967294" count="1" selected="0">
            <x v="1"/>
          </reference>
          <reference field="33" count="1" selected="0">
            <x v="2"/>
          </reference>
        </references>
      </pivotArea>
    </chartFormat>
    <chartFormat chart="2" format="31">
      <pivotArea type="data" outline="0" fieldPosition="0">
        <references count="2">
          <reference field="4294967294" count="1" selected="0">
            <x v="1"/>
          </reference>
          <reference field="33" count="1" selected="0">
            <x v="0"/>
          </reference>
        </references>
      </pivotArea>
    </chartFormat>
    <chartFormat chart="2" format="32">
      <pivotArea type="data" outline="0" fieldPosition="0">
        <references count="2">
          <reference field="4294967294" count="1" selected="0">
            <x v="1"/>
          </reference>
          <reference field="33" count="1" selected="0">
            <x v="1"/>
          </reference>
        </references>
      </pivotArea>
    </chartFormat>
    <chartFormat chart="2" format="33" series="1">
      <pivotArea type="data" outline="0" fieldPosition="0">
        <references count="1">
          <reference field="4294967294" count="1" selected="0">
            <x v="2"/>
          </reference>
        </references>
      </pivotArea>
    </chartFormat>
    <chartFormat chart="2" format="34">
      <pivotArea type="data" outline="0" fieldPosition="0">
        <references count="2">
          <reference field="4294967294" count="1" selected="0">
            <x v="2"/>
          </reference>
          <reference field="33" count="1" selected="0">
            <x v="4"/>
          </reference>
        </references>
      </pivotArea>
    </chartFormat>
    <chartFormat chart="2" format="35">
      <pivotArea type="data" outline="0" fieldPosition="0">
        <references count="2">
          <reference field="4294967294" count="1" selected="0">
            <x v="2"/>
          </reference>
          <reference field="33" count="1" selected="0">
            <x v="3"/>
          </reference>
        </references>
      </pivotArea>
    </chartFormat>
    <chartFormat chart="2" format="36">
      <pivotArea type="data" outline="0" fieldPosition="0">
        <references count="2">
          <reference field="4294967294" count="1" selected="0">
            <x v="2"/>
          </reference>
          <reference field="33" count="1" selected="0">
            <x v="2"/>
          </reference>
        </references>
      </pivotArea>
    </chartFormat>
    <chartFormat chart="2" format="37">
      <pivotArea type="data" outline="0" fieldPosition="0">
        <references count="2">
          <reference field="4294967294" count="1" selected="0">
            <x v="2"/>
          </reference>
          <reference field="33" count="1" selected="0">
            <x v="0"/>
          </reference>
        </references>
      </pivotArea>
    </chartFormat>
    <chartFormat chart="2" format="38">
      <pivotArea type="data" outline="0" fieldPosition="0">
        <references count="2">
          <reference field="4294967294" count="1" selected="0">
            <x v="2"/>
          </reference>
          <reference field="33"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5B90E2-1C08-40C6-9364-8905D65499E5}" name="Clean City Performanc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C90" firstHeaderRow="0" firstDataRow="1" firstDataCol="1"/>
  <pivotFields count="37">
    <pivotField showAll="0"/>
    <pivotField numFmtId="164" showAll="0"/>
    <pivotField showAll="0"/>
    <pivotField showAll="0"/>
    <pivotField showAll="0">
      <items count="4">
        <item m="1" x="1"/>
        <item m="1" x="2"/>
        <item x="0"/>
        <item t="default"/>
      </items>
    </pivotField>
    <pivotField showAll="0">
      <items count="6">
        <item x="4"/>
        <item x="3"/>
        <item x="2"/>
        <item x="1"/>
        <item x="0"/>
        <item t="default"/>
      </items>
    </pivotField>
    <pivotField showAll="0"/>
    <pivotField showAll="0"/>
    <pivotField showAll="0"/>
    <pivotField showAll="0"/>
    <pivotField showAll="0">
      <items count="7">
        <item x="5"/>
        <item x="3"/>
        <item x="4"/>
        <item x="2"/>
        <item x="0"/>
        <item x="1"/>
        <item t="default"/>
      </items>
    </pivotField>
    <pivotField showAll="0"/>
    <pivotField showAll="0"/>
    <pivotField showAll="0"/>
    <pivotField showAll="0">
      <items count="6">
        <item x="1"/>
        <item x="0"/>
        <item x="3"/>
        <item x="4"/>
        <item x="2"/>
        <item t="default"/>
      </items>
    </pivotField>
    <pivotField showAll="0"/>
    <pivotField dataField="1" showAll="0"/>
    <pivotField showAll="0"/>
    <pivotField showAll="0"/>
    <pivotField showAll="0"/>
    <pivotField showAll="0"/>
    <pivotField showAll="0"/>
    <pivotField showAll="0"/>
    <pivotField showAll="0"/>
    <pivotField showAll="0"/>
    <pivotField dataField="1" showAll="0"/>
    <pivotField numFmtId="10" showAll="0"/>
    <pivotField showAll="0"/>
    <pivotField showAll="0"/>
    <pivotField showAll="0"/>
    <pivotField showAll="0"/>
    <pivotField axis="axisRow" showAll="0" sortType="descending">
      <items count="55">
        <item x="7"/>
        <item x="18"/>
        <item x="47"/>
        <item x="49"/>
        <item x="38"/>
        <item x="23"/>
        <item x="3"/>
        <item x="22"/>
        <item x="1"/>
        <item x="10"/>
        <item x="28"/>
        <item x="34"/>
        <item x="39"/>
        <item x="13"/>
        <item x="32"/>
        <item x="27"/>
        <item x="42"/>
        <item x="51"/>
        <item x="5"/>
        <item x="21"/>
        <item x="52"/>
        <item x="30"/>
        <item x="11"/>
        <item x="25"/>
        <item x="4"/>
        <item x="20"/>
        <item x="24"/>
        <item x="2"/>
        <item x="35"/>
        <item x="43"/>
        <item x="31"/>
        <item x="37"/>
        <item x="6"/>
        <item x="36"/>
        <item x="33"/>
        <item x="15"/>
        <item x="48"/>
        <item x="29"/>
        <item x="40"/>
        <item x="14"/>
        <item x="16"/>
        <item x="45"/>
        <item x="12"/>
        <item x="50"/>
        <item x="9"/>
        <item x="41"/>
        <item x="44"/>
        <item x="26"/>
        <item x="8"/>
        <item x="17"/>
        <item x="53"/>
        <item x="19"/>
        <item x="0"/>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ragToRow="0" dragToCol="0" dragToPage="0" showAll="0" defaultSubtotal="0"/>
  </pivotFields>
  <rowFields count="1">
    <field x="31"/>
  </rowFields>
  <rowItems count="55">
    <i>
      <x v="15"/>
    </i>
    <i>
      <x v="23"/>
    </i>
    <i>
      <x v="49"/>
    </i>
    <i>
      <x v="32"/>
    </i>
    <i>
      <x v="27"/>
    </i>
    <i>
      <x v="42"/>
    </i>
    <i>
      <x v="22"/>
    </i>
    <i>
      <x/>
    </i>
    <i>
      <x v="21"/>
    </i>
    <i>
      <x v="6"/>
    </i>
    <i>
      <x v="35"/>
    </i>
    <i>
      <x v="51"/>
    </i>
    <i>
      <x v="39"/>
    </i>
    <i>
      <x v="28"/>
    </i>
    <i>
      <x v="5"/>
    </i>
    <i>
      <x v="26"/>
    </i>
    <i>
      <x v="31"/>
    </i>
    <i>
      <x v="13"/>
    </i>
    <i>
      <x v="52"/>
    </i>
    <i>
      <x v="36"/>
    </i>
    <i>
      <x v="9"/>
    </i>
    <i>
      <x v="19"/>
    </i>
    <i>
      <x v="53"/>
    </i>
    <i>
      <x v="1"/>
    </i>
    <i>
      <x v="46"/>
    </i>
    <i>
      <x v="37"/>
    </i>
    <i>
      <x v="24"/>
    </i>
    <i>
      <x v="34"/>
    </i>
    <i>
      <x v="25"/>
    </i>
    <i>
      <x v="47"/>
    </i>
    <i>
      <x v="40"/>
    </i>
    <i>
      <x v="10"/>
    </i>
    <i>
      <x v="17"/>
    </i>
    <i>
      <x v="2"/>
    </i>
    <i>
      <x v="18"/>
    </i>
    <i>
      <x v="12"/>
    </i>
    <i>
      <x v="44"/>
    </i>
    <i>
      <x v="38"/>
    </i>
    <i>
      <x v="33"/>
    </i>
    <i>
      <x v="41"/>
    </i>
    <i>
      <x v="43"/>
    </i>
    <i>
      <x v="11"/>
    </i>
    <i>
      <x v="4"/>
    </i>
    <i>
      <x v="8"/>
    </i>
    <i>
      <x v="20"/>
    </i>
    <i>
      <x v="3"/>
    </i>
    <i>
      <x v="29"/>
    </i>
    <i>
      <x v="7"/>
    </i>
    <i>
      <x v="14"/>
    </i>
    <i>
      <x v="48"/>
    </i>
    <i>
      <x v="45"/>
    </i>
    <i>
      <x v="16"/>
    </i>
    <i>
      <x v="30"/>
    </i>
    <i>
      <x v="50"/>
    </i>
    <i t="grand">
      <x/>
    </i>
  </rowItems>
  <colFields count="1">
    <field x="-2"/>
  </colFields>
  <colItems count="2">
    <i>
      <x/>
    </i>
    <i i="1">
      <x v="1"/>
    </i>
  </colItems>
  <dataFields count="2">
    <dataField name="Sum of Revenue" fld="16" baseField="0" baseItem="0"/>
    <dataField name="Sum of Net Profit" fld="25" baseField="0" baseItem="0"/>
  </dataFields>
  <formats count="15">
    <format dxfId="73">
      <pivotArea outline="0" collapsedLevelsAreSubtotals="1" fieldPosition="0"/>
    </format>
    <format dxfId="72">
      <pivotArea field="31" type="button" dataOnly="0" labelOnly="1" outline="0" axis="axisRow" fieldPosition="0"/>
    </format>
    <format dxfId="71">
      <pivotArea dataOnly="0" labelOnly="1" outline="0" fieldPosition="0">
        <references count="1">
          <reference field="4294967294" count="2">
            <x v="0"/>
            <x v="1"/>
          </reference>
        </references>
      </pivotArea>
    </format>
    <format dxfId="70">
      <pivotArea field="31" type="button" dataOnly="0" labelOnly="1" outline="0" axis="axisRow" fieldPosition="0"/>
    </format>
    <format dxfId="69">
      <pivotArea dataOnly="0" labelOnly="1" outline="0" fieldPosition="0">
        <references count="1">
          <reference field="4294967294" count="2">
            <x v="0"/>
            <x v="1"/>
          </reference>
        </references>
      </pivotArea>
    </format>
    <format dxfId="68">
      <pivotArea grandRow="1" outline="0" collapsedLevelsAreSubtotals="1" fieldPosition="0"/>
    </format>
    <format dxfId="67">
      <pivotArea dataOnly="0" labelOnly="1" grandRow="1" outline="0" fieldPosition="0"/>
    </format>
    <format dxfId="66">
      <pivotArea field="31" type="button" dataOnly="0" labelOnly="1" outline="0" axis="axisRow" fieldPosition="0"/>
    </format>
    <format dxfId="65">
      <pivotArea dataOnly="0" labelOnly="1" fieldPosition="0">
        <references count="1">
          <reference field="31" count="50">
            <x v="0"/>
            <x v="1"/>
            <x v="2"/>
            <x v="3"/>
            <x v="4"/>
            <x v="5"/>
            <x v="6"/>
            <x v="7"/>
            <x v="8"/>
            <x v="9"/>
            <x v="10"/>
            <x v="11"/>
            <x v="12"/>
            <x v="13"/>
            <x v="14"/>
            <x v="15"/>
            <x v="17"/>
            <x v="18"/>
            <x v="19"/>
            <x v="20"/>
            <x v="21"/>
            <x v="22"/>
            <x v="23"/>
            <x v="24"/>
            <x v="25"/>
            <x v="26"/>
            <x v="27"/>
            <x v="28"/>
            <x v="29"/>
            <x v="31"/>
            <x v="32"/>
            <x v="33"/>
            <x v="34"/>
            <x v="35"/>
            <x v="36"/>
            <x v="37"/>
            <x v="38"/>
            <x v="39"/>
            <x v="40"/>
            <x v="41"/>
            <x v="42"/>
            <x v="43"/>
            <x v="44"/>
            <x v="46"/>
            <x v="47"/>
            <x v="48"/>
            <x v="49"/>
            <x v="51"/>
            <x v="52"/>
            <x v="53"/>
          </reference>
        </references>
      </pivotArea>
    </format>
    <format dxfId="64">
      <pivotArea dataOnly="0" labelOnly="1" fieldPosition="0">
        <references count="1">
          <reference field="31" count="4">
            <x v="16"/>
            <x v="30"/>
            <x v="45"/>
            <x v="50"/>
          </reference>
        </references>
      </pivotArea>
    </format>
    <format dxfId="63">
      <pivotArea dataOnly="0" labelOnly="1" grandRow="1" outline="0" fieldPosition="0"/>
    </format>
    <format dxfId="62">
      <pivotArea field="31" type="button" dataOnly="0" labelOnly="1" outline="0" axis="axisRow" fieldPosition="0"/>
    </format>
    <format dxfId="61">
      <pivotArea dataOnly="0" labelOnly="1" fieldPosition="0">
        <references count="1">
          <reference field="31" count="50">
            <x v="0"/>
            <x v="1"/>
            <x v="2"/>
            <x v="3"/>
            <x v="4"/>
            <x v="5"/>
            <x v="6"/>
            <x v="7"/>
            <x v="8"/>
            <x v="9"/>
            <x v="10"/>
            <x v="11"/>
            <x v="12"/>
            <x v="13"/>
            <x v="14"/>
            <x v="15"/>
            <x v="17"/>
            <x v="18"/>
            <x v="19"/>
            <x v="20"/>
            <x v="21"/>
            <x v="22"/>
            <x v="23"/>
            <x v="24"/>
            <x v="25"/>
            <x v="26"/>
            <x v="27"/>
            <x v="28"/>
            <x v="29"/>
            <x v="31"/>
            <x v="32"/>
            <x v="33"/>
            <x v="34"/>
            <x v="35"/>
            <x v="36"/>
            <x v="37"/>
            <x v="38"/>
            <x v="39"/>
            <x v="40"/>
            <x v="41"/>
            <x v="42"/>
            <x v="43"/>
            <x v="44"/>
            <x v="46"/>
            <x v="47"/>
            <x v="48"/>
            <x v="49"/>
            <x v="51"/>
            <x v="52"/>
            <x v="53"/>
          </reference>
        </references>
      </pivotArea>
    </format>
    <format dxfId="60">
      <pivotArea dataOnly="0" labelOnly="1" fieldPosition="0">
        <references count="1">
          <reference field="31" count="4">
            <x v="16"/>
            <x v="30"/>
            <x v="45"/>
            <x v="50"/>
          </reference>
        </references>
      </pivotArea>
    </format>
    <format dxfId="59">
      <pivotArea dataOnly="0" labelOnly="1" grandRow="1" outline="0"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BD391F-3D1D-41FF-BBAA-D5FE2E75B220}" name="Monthly Revenue Performanc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5:M18" firstHeaderRow="0" firstDataRow="1" firstDataCol="1"/>
  <pivotFields count="37">
    <pivotField showAll="0"/>
    <pivotField numFmtId="164" showAll="0"/>
    <pivotField axis="axisRow" showAll="0">
      <items count="13">
        <item x="4"/>
        <item x="2"/>
        <item x="8"/>
        <item x="9"/>
        <item x="3"/>
        <item x="11"/>
        <item x="0"/>
        <item x="7"/>
        <item x="1"/>
        <item x="5"/>
        <item x="10"/>
        <item x="6"/>
        <item t="default"/>
      </items>
    </pivotField>
    <pivotField showAll="0"/>
    <pivotField showAll="0">
      <items count="4">
        <item m="1" x="1"/>
        <item m="1" x="2"/>
        <item x="0"/>
        <item t="default"/>
      </items>
    </pivotField>
    <pivotField showAll="0">
      <items count="6">
        <item x="4"/>
        <item x="3"/>
        <item x="2"/>
        <item x="1"/>
        <item x="0"/>
        <item t="default"/>
      </items>
    </pivotField>
    <pivotField showAll="0"/>
    <pivotField showAll="0"/>
    <pivotField showAll="0"/>
    <pivotField showAll="0"/>
    <pivotField showAll="0">
      <items count="7">
        <item x="5"/>
        <item x="3"/>
        <item x="4"/>
        <item x="2"/>
        <item x="0"/>
        <item x="1"/>
        <item t="default"/>
      </items>
    </pivotField>
    <pivotField showAll="0"/>
    <pivotField showAll="0"/>
    <pivotField showAll="0"/>
    <pivotField showAll="0">
      <items count="6">
        <item x="1"/>
        <item x="0"/>
        <item x="3"/>
        <item x="4"/>
        <item x="2"/>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6" baseField="0" baseItem="0"/>
    <dataField name="Sum of Budget Revenue" fld="17" baseField="0" baseItem="0"/>
  </dataFields>
  <formats count="21">
    <format dxfId="94">
      <pivotArea outline="0" collapsedLevelsAreSubtotals="1" fieldPosition="0"/>
    </format>
    <format dxfId="93">
      <pivotArea field="2" type="button" dataOnly="0" labelOnly="1" outline="0" axis="axisRow" fieldPosition="0"/>
    </format>
    <format dxfId="92">
      <pivotArea dataOnly="0" labelOnly="1" outline="0" fieldPosition="0">
        <references count="1">
          <reference field="4294967294" count="2">
            <x v="0"/>
            <x v="1"/>
          </reference>
        </references>
      </pivotArea>
    </format>
    <format dxfId="91">
      <pivotArea field="2" type="button" dataOnly="0" labelOnly="1" outline="0" axis="axisRow" fieldPosition="0"/>
    </format>
    <format dxfId="90">
      <pivotArea dataOnly="0" labelOnly="1" outline="0" fieldPosition="0">
        <references count="1">
          <reference field="4294967294" count="2">
            <x v="0"/>
            <x v="1"/>
          </reference>
        </references>
      </pivotArea>
    </format>
    <format dxfId="89">
      <pivotArea outline="0" collapsedLevelsAreSubtotals="1" fieldPosition="0"/>
    </format>
    <format dxfId="88">
      <pivotArea outline="0" collapsedLevelsAreSubtotals="1" fieldPosition="0"/>
    </format>
    <format dxfId="87">
      <pivotArea outline="0" collapsedLevelsAreSubtotals="1" fieldPosition="0"/>
    </format>
    <format dxfId="86">
      <pivotArea type="all" dataOnly="0" outline="0" fieldPosition="0"/>
    </format>
    <format dxfId="85">
      <pivotArea grandRow="1" outline="0" collapsedLevelsAreSubtotals="1" fieldPosition="0"/>
    </format>
    <format dxfId="84">
      <pivotArea dataOnly="0" labelOnly="1" grandRow="1" outline="0" fieldPosition="0"/>
    </format>
    <format dxfId="83">
      <pivotArea field="2" type="button" dataOnly="0" labelOnly="1" outline="0" axis="axisRow" fieldPosition="0"/>
    </format>
    <format dxfId="82">
      <pivotArea dataOnly="0" labelOnly="1" fieldPosition="0">
        <references count="1">
          <reference field="2" count="0"/>
        </references>
      </pivotArea>
    </format>
    <format dxfId="81">
      <pivotArea dataOnly="0" labelOnly="1" grandRow="1" outline="0" fieldPosition="0"/>
    </format>
    <format dxfId="80">
      <pivotArea field="2" type="button" dataOnly="0" labelOnly="1" outline="0" axis="axisRow" fieldPosition="0"/>
    </format>
    <format dxfId="79">
      <pivotArea dataOnly="0" labelOnly="1" fieldPosition="0">
        <references count="1">
          <reference field="2" count="0"/>
        </references>
      </pivotArea>
    </format>
    <format dxfId="78">
      <pivotArea dataOnly="0" labelOnly="1" grandRow="1" outline="0" fieldPosition="0"/>
    </format>
    <format dxfId="77">
      <pivotArea outline="0" collapsedLevelsAreSubtotals="1" fieldPosition="0"/>
    </format>
    <format dxfId="76">
      <pivotArea dataOnly="0" labelOnly="1" outline="0" fieldPosition="0">
        <references count="1">
          <reference field="4294967294" count="2">
            <x v="0"/>
            <x v="1"/>
          </reference>
        </references>
      </pivotArea>
    </format>
    <format dxfId="75">
      <pivotArea outline="0" collapsedLevelsAreSubtotals="1" fieldPosition="0"/>
    </format>
    <format dxfId="74">
      <pivotArea dataOnly="0" labelOnly="1" outline="0" fieldPosition="0">
        <references count="1">
          <reference field="4294967294" count="2">
            <x v="0"/>
            <x v="1"/>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75443D-FAEE-4E57-8F7B-3F9454A8D80A}" name="Product Category Performanc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5:I11" firstHeaderRow="0" firstDataRow="1" firstDataCol="1"/>
  <pivotFields count="37">
    <pivotField showAll="0"/>
    <pivotField numFmtId="164" showAll="0"/>
    <pivotField showAll="0"/>
    <pivotField showAll="0"/>
    <pivotField showAll="0">
      <items count="4">
        <item m="1" x="1"/>
        <item m="1" x="2"/>
        <item x="0"/>
        <item t="default"/>
      </items>
    </pivotField>
    <pivotField showAll="0">
      <items count="6">
        <item x="4"/>
        <item x="3"/>
        <item x="2"/>
        <item x="1"/>
        <item x="0"/>
        <item t="default"/>
      </items>
    </pivotField>
    <pivotField showAll="0"/>
    <pivotField showAll="0"/>
    <pivotField showAll="0"/>
    <pivotField showAll="0"/>
    <pivotField showAll="0">
      <items count="7">
        <item x="5"/>
        <item x="3"/>
        <item x="4"/>
        <item x="2"/>
        <item x="0"/>
        <item x="1"/>
        <item t="default"/>
      </items>
    </pivotField>
    <pivotField showAll="0"/>
    <pivotField showAll="0"/>
    <pivotField showAll="0"/>
    <pivotField axis="axisRow" showAll="0" sortType="descending">
      <items count="6">
        <item x="1"/>
        <item x="0"/>
        <item x="3"/>
        <item x="4"/>
        <item x="2"/>
        <item t="default"/>
      </items>
      <autoSortScope>
        <pivotArea dataOnly="0" outline="0" fieldPosition="0">
          <references count="1">
            <reference field="4294967294" count="1" selected="0">
              <x v="1"/>
            </reference>
          </references>
        </pivotArea>
      </autoSortScope>
    </pivotField>
    <pivotField showAll="0"/>
    <pivotField dataField="1"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4"/>
  </rowFields>
  <rowItems count="6">
    <i>
      <x v="1"/>
    </i>
    <i>
      <x v="4"/>
    </i>
    <i>
      <x v="3"/>
    </i>
    <i>
      <x v="2"/>
    </i>
    <i>
      <x/>
    </i>
    <i t="grand">
      <x/>
    </i>
  </rowItems>
  <colFields count="1">
    <field x="-2"/>
  </colFields>
  <colItems count="3">
    <i>
      <x/>
    </i>
    <i i="1">
      <x v="1"/>
    </i>
    <i i="2">
      <x v="2"/>
    </i>
  </colItems>
  <dataFields count="3">
    <dataField name="Sum of Revenue" fld="16" baseField="0" baseItem="0" numFmtId="165"/>
    <dataField name="Sum of Net Profit" fld="25" baseField="0" baseItem="0" numFmtId="165"/>
    <dataField name="Sum of Category Profit Margin %" fld="36" baseField="0" baseItem="0" numFmtId="10"/>
  </dataFields>
  <formats count="30">
    <format dxfId="124">
      <pivotArea outline="0" collapsedLevelsAreSubtotals="1" fieldPosition="0">
        <references count="1">
          <reference field="4294967294" count="2" selected="0">
            <x v="0"/>
            <x v="1"/>
          </reference>
        </references>
      </pivotArea>
    </format>
    <format dxfId="123">
      <pivotArea field="14" type="button" dataOnly="0" labelOnly="1" outline="0" axis="axisRow" fieldPosition="0"/>
    </format>
    <format dxfId="122">
      <pivotArea dataOnly="0" labelOnly="1" outline="0" fieldPosition="0">
        <references count="1">
          <reference field="4294967294" count="3">
            <x v="0"/>
            <x v="1"/>
            <x v="2"/>
          </reference>
        </references>
      </pivotArea>
    </format>
    <format dxfId="121">
      <pivotArea field="14" type="button" dataOnly="0" labelOnly="1" outline="0" axis="axisRow" fieldPosition="0"/>
    </format>
    <format dxfId="120">
      <pivotArea dataOnly="0" labelOnly="1" outline="0" fieldPosition="0">
        <references count="1">
          <reference field="4294967294" count="3">
            <x v="0"/>
            <x v="1"/>
            <x v="2"/>
          </reference>
        </references>
      </pivotArea>
    </format>
    <format dxfId="119">
      <pivotArea outline="0" collapsedLevelsAreSubtotals="1" fieldPosition="0"/>
    </format>
    <format dxfId="118">
      <pivotArea outline="0" collapsedLevelsAreSubtotals="1" fieldPosition="0"/>
    </format>
    <format dxfId="117">
      <pivotArea outline="0" collapsedLevelsAreSubtotals="1" fieldPosition="0"/>
    </format>
    <format dxfId="116">
      <pivotArea outline="0" collapsedLevelsAreSubtotals="1" fieldPosition="0">
        <references count="1">
          <reference field="4294967294" count="1" selected="0">
            <x v="2"/>
          </reference>
        </references>
      </pivotArea>
    </format>
    <format dxfId="115">
      <pivotArea type="all" dataOnly="0" outline="0" fieldPosition="0"/>
    </format>
    <format dxfId="114">
      <pivotArea outline="0" collapsedLevelsAreSubtotals="1" fieldPosition="0"/>
    </format>
    <format dxfId="113">
      <pivotArea dataOnly="0" grandRow="1" fieldPosition="0"/>
    </format>
    <format dxfId="112">
      <pivotArea field="14" type="button" dataOnly="0" labelOnly="1" outline="0" axis="axisRow" fieldPosition="0"/>
    </format>
    <format dxfId="111">
      <pivotArea dataOnly="0" labelOnly="1" fieldPosition="0">
        <references count="1">
          <reference field="14" count="0"/>
        </references>
      </pivotArea>
    </format>
    <format dxfId="110">
      <pivotArea dataOnly="0" labelOnly="1" grandRow="1" outline="0" fieldPosition="0"/>
    </format>
    <format dxfId="109">
      <pivotArea field="14" type="button" dataOnly="0" labelOnly="1" outline="0" axis="axisRow" fieldPosition="0"/>
    </format>
    <format dxfId="108">
      <pivotArea dataOnly="0" labelOnly="1" fieldPosition="0">
        <references count="1">
          <reference field="14" count="0"/>
        </references>
      </pivotArea>
    </format>
    <format dxfId="107">
      <pivotArea dataOnly="0" labelOnly="1" grandRow="1" outline="0" fieldPosition="0"/>
    </format>
    <format dxfId="106">
      <pivotArea outline="0" collapsedLevelsAreSubtotals="1" fieldPosition="0">
        <references count="1">
          <reference field="4294967294" count="1" selected="0">
            <x v="0"/>
          </reference>
        </references>
      </pivotArea>
    </format>
    <format dxfId="105">
      <pivotArea dataOnly="0" labelOnly="1" outline="0" fieldPosition="0">
        <references count="1">
          <reference field="4294967294" count="1">
            <x v="0"/>
          </reference>
        </references>
      </pivotArea>
    </format>
    <format dxfId="104">
      <pivotArea outline="0" collapsedLevelsAreSubtotals="1" fieldPosition="0">
        <references count="1">
          <reference field="4294967294" count="1" selected="0">
            <x v="0"/>
          </reference>
        </references>
      </pivotArea>
    </format>
    <format dxfId="103">
      <pivotArea dataOnly="0" labelOnly="1" outline="0" fieldPosition="0">
        <references count="1">
          <reference field="4294967294" count="1">
            <x v="0"/>
          </reference>
        </references>
      </pivotArea>
    </format>
    <format dxfId="102">
      <pivotArea outline="0" collapsedLevelsAreSubtotals="1" fieldPosition="0">
        <references count="1">
          <reference field="4294967294" count="1" selected="0">
            <x v="1"/>
          </reference>
        </references>
      </pivotArea>
    </format>
    <format dxfId="101">
      <pivotArea dataOnly="0" labelOnly="1" outline="0" fieldPosition="0">
        <references count="1">
          <reference field="4294967294" count="1">
            <x v="1"/>
          </reference>
        </references>
      </pivotArea>
    </format>
    <format dxfId="100">
      <pivotArea outline="0" collapsedLevelsAreSubtotals="1" fieldPosition="0">
        <references count="1">
          <reference field="4294967294" count="1" selected="0">
            <x v="1"/>
          </reference>
        </references>
      </pivotArea>
    </format>
    <format dxfId="99">
      <pivotArea dataOnly="0" labelOnly="1" outline="0" fieldPosition="0">
        <references count="1">
          <reference field="4294967294" count="1">
            <x v="1"/>
          </reference>
        </references>
      </pivotArea>
    </format>
    <format dxfId="98">
      <pivotArea outline="0" collapsedLevelsAreSubtotals="1" fieldPosition="0">
        <references count="1">
          <reference field="4294967294" count="1" selected="0">
            <x v="2"/>
          </reference>
        </references>
      </pivotArea>
    </format>
    <format dxfId="97">
      <pivotArea dataOnly="0" labelOnly="1" outline="0" fieldPosition="0">
        <references count="1">
          <reference field="4294967294" count="1">
            <x v="2"/>
          </reference>
        </references>
      </pivotArea>
    </format>
    <format dxfId="96">
      <pivotArea outline="0" collapsedLevelsAreSubtotals="1" fieldPosition="0">
        <references count="1">
          <reference field="4294967294" count="1" selected="0">
            <x v="2"/>
          </reference>
        </references>
      </pivotArea>
    </format>
    <format dxfId="95">
      <pivotArea dataOnly="0" labelOnly="1" outline="0" fieldPosition="0">
        <references count="1">
          <reference field="4294967294" count="1">
            <x v="2"/>
          </reference>
        </references>
      </pivotArea>
    </format>
  </formats>
  <chartFormats count="2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 chart="4" format="9">
      <pivotArea type="data" outline="0" fieldPosition="0">
        <references count="2">
          <reference field="4294967294" count="1" selected="0">
            <x v="0"/>
          </reference>
          <reference field="14" count="1" selected="0">
            <x v="1"/>
          </reference>
        </references>
      </pivotArea>
    </chartFormat>
    <chartFormat chart="4" format="10">
      <pivotArea type="data" outline="0" fieldPosition="0">
        <references count="2">
          <reference field="4294967294" count="1" selected="0">
            <x v="0"/>
          </reference>
          <reference field="14" count="1" selected="0">
            <x v="4"/>
          </reference>
        </references>
      </pivotArea>
    </chartFormat>
    <chartFormat chart="4" format="11">
      <pivotArea type="data" outline="0" fieldPosition="0">
        <references count="2">
          <reference field="4294967294" count="1" selected="0">
            <x v="0"/>
          </reference>
          <reference field="14" count="1" selected="0">
            <x v="3"/>
          </reference>
        </references>
      </pivotArea>
    </chartFormat>
    <chartFormat chart="4" format="12">
      <pivotArea type="data" outline="0" fieldPosition="0">
        <references count="2">
          <reference field="4294967294" count="1" selected="0">
            <x v="0"/>
          </reference>
          <reference field="14" count="1" selected="0">
            <x v="2"/>
          </reference>
        </references>
      </pivotArea>
    </chartFormat>
    <chartFormat chart="4" format="13">
      <pivotArea type="data" outline="0" fieldPosition="0">
        <references count="2">
          <reference field="4294967294" count="1" selected="0">
            <x v="0"/>
          </reference>
          <reference field="14" count="1" selected="0">
            <x v="0"/>
          </reference>
        </references>
      </pivotArea>
    </chartFormat>
    <chartFormat chart="4" format="14">
      <pivotArea type="data" outline="0" fieldPosition="0">
        <references count="2">
          <reference field="4294967294" count="1" selected="0">
            <x v="1"/>
          </reference>
          <reference field="14" count="1" selected="0">
            <x v="1"/>
          </reference>
        </references>
      </pivotArea>
    </chartFormat>
    <chartFormat chart="4" format="15">
      <pivotArea type="data" outline="0" fieldPosition="0">
        <references count="2">
          <reference field="4294967294" count="1" selected="0">
            <x v="1"/>
          </reference>
          <reference field="14" count="1" selected="0">
            <x v="4"/>
          </reference>
        </references>
      </pivotArea>
    </chartFormat>
    <chartFormat chart="4" format="16">
      <pivotArea type="data" outline="0" fieldPosition="0">
        <references count="2">
          <reference field="4294967294" count="1" selected="0">
            <x v="1"/>
          </reference>
          <reference field="14" count="1" selected="0">
            <x v="3"/>
          </reference>
        </references>
      </pivotArea>
    </chartFormat>
    <chartFormat chart="4" format="17">
      <pivotArea type="data" outline="0" fieldPosition="0">
        <references count="2">
          <reference field="4294967294" count="1" selected="0">
            <x v="1"/>
          </reference>
          <reference field="14" count="1" selected="0">
            <x v="2"/>
          </reference>
        </references>
      </pivotArea>
    </chartFormat>
    <chartFormat chart="4" format="18">
      <pivotArea type="data" outline="0" fieldPosition="0">
        <references count="2">
          <reference field="4294967294" count="1" selected="0">
            <x v="1"/>
          </reference>
          <reference field="14" count="1" selected="0">
            <x v="0"/>
          </reference>
        </references>
      </pivotArea>
    </chartFormat>
    <chartFormat chart="4" format="19">
      <pivotArea type="data" outline="0" fieldPosition="0">
        <references count="2">
          <reference field="4294967294" count="1" selected="0">
            <x v="2"/>
          </reference>
          <reference field="14" count="1" selected="0">
            <x v="1"/>
          </reference>
        </references>
      </pivotArea>
    </chartFormat>
    <chartFormat chart="4" format="20">
      <pivotArea type="data" outline="0" fieldPosition="0">
        <references count="2">
          <reference field="4294967294" count="1" selected="0">
            <x v="2"/>
          </reference>
          <reference field="14" count="1" selected="0">
            <x v="4"/>
          </reference>
        </references>
      </pivotArea>
    </chartFormat>
    <chartFormat chart="4" format="21">
      <pivotArea type="data" outline="0" fieldPosition="0">
        <references count="2">
          <reference field="4294967294" count="1" selected="0">
            <x v="2"/>
          </reference>
          <reference field="14" count="1" selected="0">
            <x v="3"/>
          </reference>
        </references>
      </pivotArea>
    </chartFormat>
    <chartFormat chart="4" format="22">
      <pivotArea type="data" outline="0" fieldPosition="0">
        <references count="2">
          <reference field="4294967294" count="1" selected="0">
            <x v="2"/>
          </reference>
          <reference field="14" count="1" selected="0">
            <x v="2"/>
          </reference>
        </references>
      </pivotArea>
    </chartFormat>
    <chartFormat chart="4" format="23">
      <pivotArea type="data" outline="0" fieldPosition="0">
        <references count="2">
          <reference field="4294967294" count="1" selected="0">
            <x v="2"/>
          </reference>
          <reference field="1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0B5FF7-8F81-4912-B4E2-64CA1BF6C3B7}" name="Expense Performance Pivot"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26:L31" firstHeaderRow="1" firstDataRow="1" firstDataCol="1"/>
  <pivotFields count="37">
    <pivotField showAll="0"/>
    <pivotField numFmtId="164" showAll="0"/>
    <pivotField showAll="0"/>
    <pivotField showAll="0"/>
    <pivotField showAll="0">
      <items count="4">
        <item m="1" x="1"/>
        <item m="1"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numFmtId="10"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5">
    <i>
      <x/>
    </i>
    <i i="1">
      <x v="1"/>
    </i>
    <i i="2">
      <x v="2"/>
    </i>
    <i i="3">
      <x v="3"/>
    </i>
    <i i="4">
      <x v="4"/>
    </i>
  </rowItems>
  <colItems count="1">
    <i/>
  </colItems>
  <dataFields count="5">
    <dataField name="Sum of COGS" fld="18" baseField="0" baseItem="0"/>
    <dataField name="Sum of Operating Expense" fld="19" baseField="0" baseItem="0"/>
    <dataField name="Sum of Marketing Expense" fld="20" baseField="0" baseItem="0"/>
    <dataField name="Sum of Salary Expense" fld="21" baseField="0" baseItem="0"/>
    <dataField name="Sum of Misc Expense" fld="22" baseField="0" baseItem="0"/>
  </dataFields>
  <formats count="13">
    <format dxfId="137">
      <pivotArea outline="0" collapsedLevelsAreSubtotals="1" fieldPosition="0"/>
    </format>
    <format dxfId="136">
      <pivotArea field="-2" type="button" dataOnly="0" labelOnly="1" outline="0" axis="axisRow" fieldPosition="0"/>
    </format>
    <format dxfId="135">
      <pivotArea dataOnly="0" labelOnly="1" grandCol="1" outline="0" axis="axisCol" fieldPosition="0"/>
    </format>
    <format dxfId="134">
      <pivotArea field="-2" type="button" dataOnly="0" labelOnly="1" outline="0" axis="axisRow" fieldPosition="0"/>
    </format>
    <format dxfId="133">
      <pivotArea dataOnly="0" labelOnly="1" grandCol="1" outline="0" axis="axisCol" fieldPosition="0"/>
    </format>
    <format dxfId="132">
      <pivotArea field="-2" type="button" dataOnly="0" labelOnly="1" outline="0" axis="axisRow" fieldPosition="0"/>
    </format>
    <format dxfId="131">
      <pivotArea dataOnly="0" labelOnly="1" outline="0" fieldPosition="0">
        <references count="1">
          <reference field="4294967294" count="5">
            <x v="0"/>
            <x v="1"/>
            <x v="2"/>
            <x v="3"/>
            <x v="4"/>
          </reference>
        </references>
      </pivotArea>
    </format>
    <format dxfId="130">
      <pivotArea field="-2" type="button" dataOnly="0" labelOnly="1" outline="0" axis="axisRow" fieldPosition="0"/>
    </format>
    <format dxfId="129">
      <pivotArea dataOnly="0" labelOnly="1" outline="0" fieldPosition="0">
        <references count="1">
          <reference field="4294967294" count="5">
            <x v="0"/>
            <x v="1"/>
            <x v="2"/>
            <x v="3"/>
            <x v="4"/>
          </reference>
        </references>
      </pivotArea>
    </format>
    <format dxfId="128">
      <pivotArea outline="0" collapsedLevelsAreSubtotals="1" fieldPosition="0"/>
    </format>
    <format dxfId="127">
      <pivotArea dataOnly="0" labelOnly="1" grandCol="1" outline="0" axis="axisCol" fieldPosition="0"/>
    </format>
    <format dxfId="126">
      <pivotArea outline="0" collapsedLevelsAreSubtotals="1" fieldPosition="0"/>
    </format>
    <format dxfId="125">
      <pivotArea dataOnly="0" labelOnly="1" grandCol="1" outline="0" axis="axisCol" fieldPosition="0"/>
    </format>
  </formats>
  <chartFormats count="9">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1">
          <reference field="4294967294" count="1" selected="0">
            <x v="0"/>
          </reference>
        </references>
      </pivotArea>
    </chartFormat>
    <chartFormat chart="10" format="9">
      <pivotArea type="data" outline="0" fieldPosition="0">
        <references count="1">
          <reference field="4294967294" count="1" selected="0">
            <x v="1"/>
          </reference>
        </references>
      </pivotArea>
    </chartFormat>
    <chartFormat chart="10" format="10">
      <pivotArea type="data" outline="0" fieldPosition="0">
        <references count="1">
          <reference field="4294967294" count="1" selected="0">
            <x v="2"/>
          </reference>
        </references>
      </pivotArea>
    </chartFormat>
    <chartFormat chart="10" format="11">
      <pivotArea type="data" outline="0" fieldPosition="0">
        <references count="1">
          <reference field="4294967294" count="1" selected="0">
            <x v="3"/>
          </reference>
        </references>
      </pivotArea>
    </chartFormat>
    <chartFormat chart="10" format="12">
      <pivotArea type="data" outline="0" fieldPosition="0">
        <references count="1">
          <reference field="4294967294" count="1" selected="0">
            <x v="4"/>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D30442-75C7-4A4E-88F5-620DE8262A4A}" name="Quarterly Performanc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6:D31" firstHeaderRow="0" firstDataRow="1" firstDataCol="1"/>
  <pivotFields count="37">
    <pivotField showAll="0"/>
    <pivotField numFmtId="164" showAll="0"/>
    <pivotField showAll="0"/>
    <pivotField axis="axisRow" showAll="0">
      <items count="6">
        <item x="2"/>
        <item x="0"/>
        <item x="3"/>
        <item x="1"/>
        <item m="1" x="4"/>
        <item t="default"/>
      </items>
    </pivotField>
    <pivotField showAll="0">
      <items count="4">
        <item m="1" x="1"/>
        <item m="1" x="2"/>
        <item x="0"/>
        <item t="default"/>
      </items>
    </pivotField>
    <pivotField showAll="0"/>
    <pivotField showAll="0"/>
    <pivotField showAll="0"/>
    <pivotField showAll="0"/>
    <pivotField showAll="0"/>
    <pivotField showAll="0">
      <items count="7">
        <item x="5"/>
        <item x="3"/>
        <item x="4"/>
        <item x="2"/>
        <item x="0"/>
        <item x="1"/>
        <item t="default"/>
      </items>
    </pivotField>
    <pivotField showAll="0"/>
    <pivotField showAll="0"/>
    <pivotField showAll="0"/>
    <pivotField showAll="0">
      <items count="6">
        <item x="1"/>
        <item x="0"/>
        <item x="3"/>
        <item x="4"/>
        <item x="2"/>
        <item t="default"/>
      </items>
    </pivotField>
    <pivotField showAll="0"/>
    <pivotField dataField="1" showAll="0"/>
    <pivotField dataField="1" showAll="0"/>
    <pivotField showAll="0"/>
    <pivotField showAll="0"/>
    <pivotField showAll="0"/>
    <pivotField showAll="0"/>
    <pivotField showAll="0"/>
    <pivotField showAll="0"/>
    <pivotField showAll="0"/>
    <pivotField dataField="1" showAll="0"/>
    <pivotField numFmtId="10"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5">
    <i>
      <x/>
    </i>
    <i>
      <x v="1"/>
    </i>
    <i>
      <x v="2"/>
    </i>
    <i>
      <x v="3"/>
    </i>
    <i t="grand">
      <x/>
    </i>
  </rowItems>
  <colFields count="1">
    <field x="-2"/>
  </colFields>
  <colItems count="3">
    <i>
      <x/>
    </i>
    <i i="1">
      <x v="1"/>
    </i>
    <i i="2">
      <x v="2"/>
    </i>
  </colItems>
  <dataFields count="3">
    <dataField name="Sum of Revenue" fld="16" baseField="0" baseItem="0"/>
    <dataField name="Sum of Budget Revenue" fld="17" baseField="0" baseItem="0"/>
    <dataField name="Sum of Net Profit" fld="25" baseField="0" baseItem="0"/>
  </dataFields>
  <formats count="13">
    <format dxfId="150">
      <pivotArea field="3" type="button" dataOnly="0" labelOnly="1" outline="0" axis="axisRow" fieldPosition="0"/>
    </format>
    <format dxfId="149">
      <pivotArea dataOnly="0" labelOnly="1" outline="0" fieldPosition="0">
        <references count="1">
          <reference field="4294967294" count="3">
            <x v="0"/>
            <x v="1"/>
            <x v="2"/>
          </reference>
        </references>
      </pivotArea>
    </format>
    <format dxfId="148">
      <pivotArea field="3" type="button" dataOnly="0" labelOnly="1" outline="0" axis="axisRow" fieldPosition="0"/>
    </format>
    <format dxfId="147">
      <pivotArea dataOnly="0" labelOnly="1" outline="0" fieldPosition="0">
        <references count="1">
          <reference field="4294967294" count="3">
            <x v="0"/>
            <x v="1"/>
            <x v="2"/>
          </reference>
        </references>
      </pivotArea>
    </format>
    <format dxfId="146">
      <pivotArea outline="0" collapsedLevelsAreSubtotals="1" fieldPosition="0"/>
    </format>
    <format dxfId="145">
      <pivotArea grandRow="1" outline="0" collapsedLevelsAreSubtotals="1" fieldPosition="0"/>
    </format>
    <format dxfId="144">
      <pivotArea dataOnly="0" labelOnly="1" grandRow="1" outline="0" fieldPosition="0"/>
    </format>
    <format dxfId="143">
      <pivotArea field="3" type="button" dataOnly="0" labelOnly="1" outline="0" axis="axisRow" fieldPosition="0"/>
    </format>
    <format dxfId="142">
      <pivotArea dataOnly="0" labelOnly="1" fieldPosition="0">
        <references count="1">
          <reference field="3" count="0"/>
        </references>
      </pivotArea>
    </format>
    <format dxfId="141">
      <pivotArea dataOnly="0" labelOnly="1" grandRow="1" outline="0" fieldPosition="0"/>
    </format>
    <format dxfId="140">
      <pivotArea field="3" type="button" dataOnly="0" labelOnly="1" outline="0" axis="axisRow" fieldPosition="0"/>
    </format>
    <format dxfId="139">
      <pivotArea dataOnly="0" labelOnly="1" fieldPosition="0">
        <references count="1">
          <reference field="3" count="0"/>
        </references>
      </pivotArea>
    </format>
    <format dxfId="138">
      <pivotArea dataOnly="0" labelOnly="1" grandRow="1" outline="0"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7DAD81-A1B0-4C2B-B20C-385AD1D68925}" name="Budget Vs Actual Performanc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15:I21" firstHeaderRow="0" firstDataRow="1" firstDataCol="1"/>
  <pivotFields count="37">
    <pivotField showAll="0"/>
    <pivotField numFmtId="164" showAll="0"/>
    <pivotField showAll="0"/>
    <pivotField showAll="0"/>
    <pivotField showAll="0">
      <items count="4">
        <item m="1" x="1"/>
        <item m="1" x="2"/>
        <item x="0"/>
        <item t="default"/>
      </items>
    </pivotField>
    <pivotField axis="axisRow"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numFmtId="10"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s>
  <rowFields count="1">
    <field x="5"/>
  </rowFields>
  <rowItems count="6">
    <i>
      <x/>
    </i>
    <i>
      <x v="1"/>
    </i>
    <i>
      <x v="2"/>
    </i>
    <i>
      <x v="3"/>
    </i>
    <i>
      <x v="4"/>
    </i>
    <i t="grand">
      <x/>
    </i>
  </rowItems>
  <colFields count="1">
    <field x="-2"/>
  </colFields>
  <colItems count="3">
    <i>
      <x/>
    </i>
    <i i="1">
      <x v="1"/>
    </i>
    <i i="2">
      <x v="2"/>
    </i>
  </colItems>
  <dataFields count="3">
    <dataField name="Sum of Revenue" fld="16" baseField="0" baseItem="0"/>
    <dataField name="Sum of Budget Revenue" fld="17" baseField="0" baseItem="0"/>
    <dataField name="Sum of Budget Variance" fld="27" baseField="0" baseItem="0"/>
  </dataFields>
  <formats count="27">
    <format dxfId="177">
      <pivotArea outline="0" collapsedLevelsAreSubtotals="1" fieldPosition="0"/>
    </format>
    <format dxfId="176">
      <pivotArea field="5" type="button" dataOnly="0" labelOnly="1" outline="0" axis="axisRow" fieldPosition="0"/>
    </format>
    <format dxfId="175">
      <pivotArea dataOnly="0" labelOnly="1" outline="0" fieldPosition="0">
        <references count="1">
          <reference field="4294967294" count="3">
            <x v="0"/>
            <x v="1"/>
            <x v="2"/>
          </reference>
        </references>
      </pivotArea>
    </format>
    <format dxfId="174">
      <pivotArea field="5" type="button" dataOnly="0" labelOnly="1" outline="0" axis="axisRow" fieldPosition="0"/>
    </format>
    <format dxfId="173">
      <pivotArea dataOnly="0" labelOnly="1" outline="0" fieldPosition="0">
        <references count="1">
          <reference field="4294967294" count="3">
            <x v="0"/>
            <x v="1"/>
            <x v="2"/>
          </reference>
        </references>
      </pivotArea>
    </format>
    <format dxfId="172">
      <pivotArea outline="0" collapsedLevelsAreSubtotals="1" fieldPosition="0"/>
    </format>
    <format dxfId="171">
      <pivotArea outline="0" collapsedLevelsAreSubtotals="1" fieldPosition="0"/>
    </format>
    <format dxfId="170">
      <pivotArea outline="0" collapsedLevelsAreSubtotals="1" fieldPosition="0">
        <references count="1">
          <reference field="4294967294" count="2" selected="0">
            <x v="1"/>
            <x v="2"/>
          </reference>
        </references>
      </pivotArea>
    </format>
    <format dxfId="169">
      <pivotArea field="5" dataOnly="0" grandRow="1" axis="axisRow" fieldPosition="0">
        <references count="1">
          <reference field="5" count="1">
            <x v="4"/>
          </reference>
        </references>
      </pivotArea>
    </format>
    <format dxfId="168">
      <pivotArea field="5" type="button" dataOnly="0" labelOnly="1" outline="0" axis="axisRow" fieldPosition="0"/>
    </format>
    <format dxfId="167">
      <pivotArea dataOnly="0" labelOnly="1" fieldPosition="0">
        <references count="1">
          <reference field="5" count="0"/>
        </references>
      </pivotArea>
    </format>
    <format dxfId="166">
      <pivotArea dataOnly="0" labelOnly="1" grandRow="1" outline="0" fieldPosition="0"/>
    </format>
    <format dxfId="165">
      <pivotArea field="5" type="button" dataOnly="0" labelOnly="1" outline="0" axis="axisRow" fieldPosition="0"/>
    </format>
    <format dxfId="164">
      <pivotArea dataOnly="0" labelOnly="1" fieldPosition="0">
        <references count="1">
          <reference field="5" count="0"/>
        </references>
      </pivotArea>
    </format>
    <format dxfId="163">
      <pivotArea dataOnly="0" labelOnly="1" grandRow="1" outline="0" fieldPosition="0"/>
    </format>
    <format dxfId="162">
      <pivotArea outline="0" collapsedLevelsAreSubtotals="1" fieldPosition="0">
        <references count="1">
          <reference field="4294967294" count="1" selected="0">
            <x v="0"/>
          </reference>
        </references>
      </pivotArea>
    </format>
    <format dxfId="161">
      <pivotArea dataOnly="0" labelOnly="1" outline="0" fieldPosition="0">
        <references count="1">
          <reference field="4294967294" count="1">
            <x v="0"/>
          </reference>
        </references>
      </pivotArea>
    </format>
    <format dxfId="160">
      <pivotArea outline="0" collapsedLevelsAreSubtotals="1" fieldPosition="0">
        <references count="1">
          <reference field="4294967294" count="1" selected="0">
            <x v="0"/>
          </reference>
        </references>
      </pivotArea>
    </format>
    <format dxfId="159">
      <pivotArea dataOnly="0" labelOnly="1" outline="0" fieldPosition="0">
        <references count="1">
          <reference field="4294967294" count="1">
            <x v="0"/>
          </reference>
        </references>
      </pivotArea>
    </format>
    <format dxfId="158">
      <pivotArea outline="0" collapsedLevelsAreSubtotals="1" fieldPosition="0">
        <references count="1">
          <reference field="4294967294" count="1" selected="0">
            <x v="1"/>
          </reference>
        </references>
      </pivotArea>
    </format>
    <format dxfId="157">
      <pivotArea dataOnly="0" labelOnly="1" outline="0" fieldPosition="0">
        <references count="1">
          <reference field="4294967294" count="1">
            <x v="1"/>
          </reference>
        </references>
      </pivotArea>
    </format>
    <format dxfId="156">
      <pivotArea outline="0" collapsedLevelsAreSubtotals="1" fieldPosition="0">
        <references count="1">
          <reference field="4294967294" count="1" selected="0">
            <x v="1"/>
          </reference>
        </references>
      </pivotArea>
    </format>
    <format dxfId="155">
      <pivotArea dataOnly="0" labelOnly="1" outline="0" fieldPosition="0">
        <references count="1">
          <reference field="4294967294" count="1">
            <x v="1"/>
          </reference>
        </references>
      </pivotArea>
    </format>
    <format dxfId="154">
      <pivotArea outline="0" collapsedLevelsAreSubtotals="1" fieldPosition="0">
        <references count="1">
          <reference field="4294967294" count="1" selected="0">
            <x v="2"/>
          </reference>
        </references>
      </pivotArea>
    </format>
    <format dxfId="153">
      <pivotArea dataOnly="0" labelOnly="1" outline="0" fieldPosition="0">
        <references count="1">
          <reference field="4294967294" count="1">
            <x v="2"/>
          </reference>
        </references>
      </pivotArea>
    </format>
    <format dxfId="152">
      <pivotArea outline="0" collapsedLevelsAreSubtotals="1" fieldPosition="0">
        <references count="1">
          <reference field="4294967294" count="1" selected="0">
            <x v="2"/>
          </reference>
        </references>
      </pivotArea>
    </format>
    <format dxfId="151">
      <pivotArea dataOnly="0" labelOnly="1" outline="0" fieldPosition="0">
        <references count="1">
          <reference field="4294967294" count="1">
            <x v="2"/>
          </reference>
        </references>
      </pivotArea>
    </format>
  </formats>
  <conditionalFormats count="1">
    <conditionalFormat priority="1">
      <pivotAreas count="1">
        <pivotArea type="data" collapsedLevelsAreSubtotals="1" fieldPosition="0">
          <references count="2">
            <reference field="4294967294" count="1" selected="0">
              <x v="2"/>
            </reference>
            <reference field="5" count="5">
              <x v="0"/>
              <x v="1"/>
              <x v="2"/>
              <x v="3"/>
              <x v="4"/>
            </reference>
          </references>
        </pivotArea>
      </pivotAreas>
    </conditionalFormat>
  </conditional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E94692-6E45-4072-A48B-2EC889AFAA13}" name="Regional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D11" firstHeaderRow="0" firstDataRow="1" firstDataCol="1"/>
  <pivotFields count="37">
    <pivotField showAll="0"/>
    <pivotField numFmtId="164" showAll="0"/>
    <pivotField showAll="0">
      <items count="13">
        <item x="4"/>
        <item x="2"/>
        <item x="8"/>
        <item x="9"/>
        <item x="3"/>
        <item x="11"/>
        <item x="0"/>
        <item x="7"/>
        <item x="1"/>
        <item x="5"/>
        <item x="10"/>
        <item x="6"/>
        <item t="default"/>
      </items>
    </pivotField>
    <pivotField showAll="0">
      <items count="6">
        <item x="2"/>
        <item x="0"/>
        <item x="3"/>
        <item x="1"/>
        <item m="1" x="4"/>
        <item t="default"/>
      </items>
    </pivotField>
    <pivotField showAll="0">
      <items count="4">
        <item m="1" x="1"/>
        <item m="1" x="2"/>
        <item x="0"/>
        <item t="default"/>
      </items>
    </pivotField>
    <pivotField axis="axisRow" showAll="0">
      <items count="6">
        <item x="4"/>
        <item x="3"/>
        <item x="2"/>
        <item x="1"/>
        <item x="0"/>
        <item t="default"/>
      </items>
    </pivotField>
    <pivotField showAll="0"/>
    <pivotField showAll="0"/>
    <pivotField showAll="0"/>
    <pivotField showAll="0"/>
    <pivotField showAll="0">
      <items count="7">
        <item x="5"/>
        <item x="3"/>
        <item x="4"/>
        <item x="2"/>
        <item x="0"/>
        <item x="1"/>
        <item t="default"/>
      </items>
    </pivotField>
    <pivotField showAll="0"/>
    <pivotField showAll="0"/>
    <pivotField showAll="0"/>
    <pivotField showAll="0">
      <items count="6">
        <item x="1"/>
        <item x="0"/>
        <item x="3"/>
        <item x="4"/>
        <item x="2"/>
        <item t="default"/>
      </items>
    </pivotField>
    <pivotField showAll="0">
      <items count="14">
        <item x="8"/>
        <item x="4"/>
        <item x="12"/>
        <item x="1"/>
        <item x="2"/>
        <item x="9"/>
        <item x="10"/>
        <item x="3"/>
        <item x="5"/>
        <item x="7"/>
        <item x="6"/>
        <item x="11"/>
        <item x="0"/>
        <item t="default"/>
      </items>
    </pivotField>
    <pivotField dataField="1"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5"/>
  </rowFields>
  <rowItems count="6">
    <i>
      <x/>
    </i>
    <i>
      <x v="1"/>
    </i>
    <i>
      <x v="2"/>
    </i>
    <i>
      <x v="3"/>
    </i>
    <i>
      <x v="4"/>
    </i>
    <i t="grand">
      <x/>
    </i>
  </rowItems>
  <colFields count="1">
    <field x="-2"/>
  </colFields>
  <colItems count="3">
    <i>
      <x/>
    </i>
    <i i="1">
      <x v="1"/>
    </i>
    <i i="2">
      <x v="2"/>
    </i>
  </colItems>
  <dataFields count="3">
    <dataField name="Sum of Revenue" fld="16" baseField="0" baseItem="0" numFmtId="44"/>
    <dataField name="Sum of Budget Revenue" fld="17" baseField="0" baseItem="0" numFmtId="44"/>
    <dataField name="Sum of Net Profit" fld="25" baseField="0" baseItem="0" numFmtId="44"/>
  </dataFields>
  <formats count="22">
    <format dxfId="199">
      <pivotArea outline="0" collapsedLevelsAreSubtotals="1" fieldPosition="0">
        <references count="1">
          <reference field="4294967294" count="1" selected="0">
            <x v="0"/>
          </reference>
        </references>
      </pivotArea>
    </format>
    <format dxfId="198">
      <pivotArea outline="0" collapsedLevelsAreSubtotals="1" fieldPosition="0">
        <references count="1">
          <reference field="4294967294" count="2" selected="0">
            <x v="1"/>
            <x v="2"/>
          </reference>
        </references>
      </pivotArea>
    </format>
    <format dxfId="197">
      <pivotArea field="5" type="button" dataOnly="0" labelOnly="1" outline="0" axis="axisRow" fieldPosition="0"/>
    </format>
    <format dxfId="196">
      <pivotArea dataOnly="0" labelOnly="1" outline="0" fieldPosition="0">
        <references count="1">
          <reference field="4294967294" count="3">
            <x v="0"/>
            <x v="1"/>
            <x v="2"/>
          </reference>
        </references>
      </pivotArea>
    </format>
    <format dxfId="195">
      <pivotArea field="5" type="button" dataOnly="0" labelOnly="1" outline="0" axis="axisRow" fieldPosition="0"/>
    </format>
    <format dxfId="194">
      <pivotArea dataOnly="0" labelOnly="1" outline="0" fieldPosition="0">
        <references count="1">
          <reference field="4294967294" count="3">
            <x v="0"/>
            <x v="1"/>
            <x v="2"/>
          </reference>
        </references>
      </pivotArea>
    </format>
    <format dxfId="193">
      <pivotArea dataOnly="0" labelOnly="1" outline="0" fieldPosition="0">
        <references count="1">
          <reference field="4294967294" count="3">
            <x v="0"/>
            <x v="1"/>
            <x v="2"/>
          </reference>
        </references>
      </pivotArea>
    </format>
    <format dxfId="192">
      <pivotArea dataOnly="0" labelOnly="1" outline="0" fieldPosition="0">
        <references count="1">
          <reference field="4294967294" count="3">
            <x v="0"/>
            <x v="1"/>
            <x v="2"/>
          </reference>
        </references>
      </pivotArea>
    </format>
    <format dxfId="191">
      <pivotArea outline="0" collapsedLevelsAreSubtotals="1" fieldPosition="0"/>
    </format>
    <format dxfId="190">
      <pivotArea outline="0" collapsedLevelsAreSubtotals="1" fieldPosition="0"/>
    </format>
    <format dxfId="189">
      <pivotArea dataOnly="0" labelOnly="1" grandRow="1" outline="0" fieldPosition="0"/>
    </format>
    <format dxfId="188">
      <pivotArea dataOnly="0" labelOnly="1" grandRow="1" outline="0" fieldPosition="0"/>
    </format>
    <format dxfId="187">
      <pivotArea grandRow="1" outline="0" collapsedLevelsAreSubtotals="1" fieldPosition="0"/>
    </format>
    <format dxfId="186">
      <pivotArea dataOnly="0" labelOnly="1" grandRow="1" outline="0" fieldPosition="0"/>
    </format>
    <format dxfId="185">
      <pivotArea dataOnly="0" labelOnly="1" outline="0" fieldPosition="0">
        <references count="1">
          <reference field="4294967294" count="1">
            <x v="1"/>
          </reference>
        </references>
      </pivotArea>
    </format>
    <format dxfId="184">
      <pivotArea dataOnly="0" labelOnly="1" outline="0" fieldPosition="0">
        <references count="1">
          <reference field="4294967294" count="1">
            <x v="1"/>
          </reference>
        </references>
      </pivotArea>
    </format>
    <format dxfId="183">
      <pivotArea field="5" type="button" dataOnly="0" labelOnly="1" outline="0" axis="axisRow" fieldPosition="0"/>
    </format>
    <format dxfId="182">
      <pivotArea dataOnly="0" labelOnly="1" fieldPosition="0">
        <references count="1">
          <reference field="5" count="0"/>
        </references>
      </pivotArea>
    </format>
    <format dxfId="181">
      <pivotArea dataOnly="0" labelOnly="1" grandRow="1" outline="0" fieldPosition="0"/>
    </format>
    <format dxfId="180">
      <pivotArea field="5" type="button" dataOnly="0" labelOnly="1" outline="0" axis="axisRow" fieldPosition="0"/>
    </format>
    <format dxfId="179">
      <pivotArea dataOnly="0" labelOnly="1" fieldPosition="0">
        <references count="1">
          <reference field="5" count="0"/>
        </references>
      </pivotArea>
    </format>
    <format dxfId="178">
      <pivotArea dataOnly="0" labelOnly="1" grandRow="1" outline="0"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53EAAE-A813-4480-AEA2-6D43827036AD}" name="Product Performanc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5:H56" firstHeaderRow="0" firstDataRow="1" firstDataCol="1"/>
  <pivotFields count="37">
    <pivotField showAll="0"/>
    <pivotField numFmtId="164" showAll="0"/>
    <pivotField showAll="0"/>
    <pivotField showAll="0"/>
    <pivotField showAll="0">
      <items count="4">
        <item m="1" x="1"/>
        <item m="1" x="2"/>
        <item x="0"/>
        <item t="default"/>
      </items>
    </pivotField>
    <pivotField showAll="0">
      <items count="6">
        <item x="4"/>
        <item x="3"/>
        <item x="2"/>
        <item x="1"/>
        <item x="0"/>
        <item t="default"/>
      </items>
    </pivotField>
    <pivotField showAll="0"/>
    <pivotField showAll="0"/>
    <pivotField showAll="0"/>
    <pivotField showAll="0"/>
    <pivotField showAll="0">
      <items count="7">
        <item x="5"/>
        <item x="3"/>
        <item x="4"/>
        <item x="2"/>
        <item x="0"/>
        <item x="1"/>
        <item t="default"/>
      </items>
    </pivotField>
    <pivotField showAll="0"/>
    <pivotField showAll="0"/>
    <pivotField showAll="0"/>
    <pivotField showAll="0">
      <items count="6">
        <item x="1"/>
        <item x="0"/>
        <item x="3"/>
        <item x="4"/>
        <item x="2"/>
        <item t="default"/>
      </items>
    </pivotField>
    <pivotField showAll="0"/>
    <pivotField dataField="1" showAll="0"/>
    <pivotField showAll="0"/>
    <pivotField showAll="0"/>
    <pivotField showAll="0"/>
    <pivotField showAll="0"/>
    <pivotField showAll="0"/>
    <pivotField showAll="0"/>
    <pivotField showAll="0"/>
    <pivotField showAll="0"/>
    <pivotField dataField="1" showAll="0"/>
    <pivotField numFmtId="10" showAll="0"/>
    <pivotField showAll="0"/>
    <pivotField showAll="0"/>
    <pivotField showAll="0"/>
    <pivotField showAll="0"/>
    <pivotField showAll="0"/>
    <pivotField showAll="0"/>
    <pivotField showAll="0"/>
    <pivotField axis="axisRow" showAll="0" sortType="descending">
      <items count="21">
        <item x="7"/>
        <item x="4"/>
        <item x="18"/>
        <item x="0"/>
        <item x="15"/>
        <item x="19"/>
        <item x="6"/>
        <item x="11"/>
        <item x="2"/>
        <item x="3"/>
        <item x="1"/>
        <item x="14"/>
        <item x="13"/>
        <item x="17"/>
        <item x="8"/>
        <item x="5"/>
        <item x="9"/>
        <item x="16"/>
        <item x="12"/>
        <item x="10"/>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s>
  <rowFields count="1">
    <field x="34"/>
  </rowFields>
  <rowItems count="21">
    <i>
      <x v="6"/>
    </i>
    <i>
      <x v="19"/>
    </i>
    <i>
      <x v="3"/>
    </i>
    <i>
      <x v="16"/>
    </i>
    <i>
      <x v="9"/>
    </i>
    <i>
      <x v="17"/>
    </i>
    <i>
      <x v="15"/>
    </i>
    <i>
      <x v="1"/>
    </i>
    <i>
      <x v="18"/>
    </i>
    <i>
      <x v="12"/>
    </i>
    <i>
      <x v="11"/>
    </i>
    <i>
      <x v="13"/>
    </i>
    <i>
      <x v="4"/>
    </i>
    <i>
      <x v="14"/>
    </i>
    <i>
      <x/>
    </i>
    <i>
      <x v="5"/>
    </i>
    <i>
      <x v="2"/>
    </i>
    <i>
      <x v="10"/>
    </i>
    <i>
      <x v="7"/>
    </i>
    <i>
      <x v="8"/>
    </i>
    <i t="grand">
      <x/>
    </i>
  </rowItems>
  <colFields count="1">
    <field x="-2"/>
  </colFields>
  <colItems count="2">
    <i>
      <x/>
    </i>
    <i i="1">
      <x v="1"/>
    </i>
  </colItems>
  <dataFields count="2">
    <dataField name="Sum of Revenue" fld="16" baseField="0" baseItem="0"/>
    <dataField name="Sum of Net Profit" fld="25" baseField="0" baseItem="0"/>
  </dataFields>
  <formats count="19">
    <format dxfId="218">
      <pivotArea outline="0" collapsedLevelsAreSubtotals="1" fieldPosition="0"/>
    </format>
    <format dxfId="217">
      <pivotArea field="34" type="button" dataOnly="0" labelOnly="1" outline="0" axis="axisRow" fieldPosition="0"/>
    </format>
    <format dxfId="216">
      <pivotArea dataOnly="0" labelOnly="1" outline="0" fieldPosition="0">
        <references count="1">
          <reference field="4294967294" count="2">
            <x v="0"/>
            <x v="1"/>
          </reference>
        </references>
      </pivotArea>
    </format>
    <format dxfId="215">
      <pivotArea field="34" type="button" dataOnly="0" labelOnly="1" outline="0" axis="axisRow" fieldPosition="0"/>
    </format>
    <format dxfId="214">
      <pivotArea dataOnly="0" labelOnly="1" outline="0" fieldPosition="0">
        <references count="1">
          <reference field="4294967294" count="2">
            <x v="0"/>
            <x v="1"/>
          </reference>
        </references>
      </pivotArea>
    </format>
    <format dxfId="213">
      <pivotArea field="34" type="button" dataOnly="0" labelOnly="1" outline="0" axis="axisRow" fieldPosition="0"/>
    </format>
    <format dxfId="212">
      <pivotArea dataOnly="0" labelOnly="1" fieldPosition="0">
        <references count="1">
          <reference field="34" count="0"/>
        </references>
      </pivotArea>
    </format>
    <format dxfId="211">
      <pivotArea dataOnly="0" labelOnly="1" grandRow="1" outline="0" fieldPosition="0"/>
    </format>
    <format dxfId="210">
      <pivotArea field="34" type="button" dataOnly="0" labelOnly="1" outline="0" axis="axisRow" fieldPosition="0"/>
    </format>
    <format dxfId="209">
      <pivotArea dataOnly="0" labelOnly="1" fieldPosition="0">
        <references count="1">
          <reference field="34" count="0"/>
        </references>
      </pivotArea>
    </format>
    <format dxfId="208">
      <pivotArea dataOnly="0" labelOnly="1" grandRow="1" outline="0" fieldPosition="0"/>
    </format>
    <format dxfId="207">
      <pivotArea outline="0" collapsedLevelsAreSubtotals="1" fieldPosition="0">
        <references count="1">
          <reference field="4294967294" count="1" selected="0">
            <x v="0"/>
          </reference>
        </references>
      </pivotArea>
    </format>
    <format dxfId="206">
      <pivotArea dataOnly="0" labelOnly="1" outline="0" fieldPosition="0">
        <references count="1">
          <reference field="4294967294" count="1">
            <x v="0"/>
          </reference>
        </references>
      </pivotArea>
    </format>
    <format dxfId="205">
      <pivotArea outline="0" collapsedLevelsAreSubtotals="1" fieldPosition="0">
        <references count="1">
          <reference field="4294967294" count="1" selected="0">
            <x v="0"/>
          </reference>
        </references>
      </pivotArea>
    </format>
    <format dxfId="204">
      <pivotArea dataOnly="0" labelOnly="1" outline="0" fieldPosition="0">
        <references count="1">
          <reference field="4294967294" count="1">
            <x v="0"/>
          </reference>
        </references>
      </pivotArea>
    </format>
    <format dxfId="203">
      <pivotArea outline="0" collapsedLevelsAreSubtotals="1" fieldPosition="0">
        <references count="1">
          <reference field="4294967294" count="1" selected="0">
            <x v="1"/>
          </reference>
        </references>
      </pivotArea>
    </format>
    <format dxfId="202">
      <pivotArea dataOnly="0" labelOnly="1" outline="0" fieldPosition="0">
        <references count="1">
          <reference field="4294967294" count="1">
            <x v="1"/>
          </reference>
        </references>
      </pivotArea>
    </format>
    <format dxfId="201">
      <pivotArea outline="0" collapsedLevelsAreSubtotals="1" fieldPosition="0">
        <references count="1">
          <reference field="4294967294" count="1" selected="0">
            <x v="1"/>
          </reference>
        </references>
      </pivotArea>
    </format>
    <format dxfId="200">
      <pivotArea dataOnly="0" labelOnly="1" outline="0" fieldPosition="0">
        <references count="1">
          <reference field="4294967294" count="1">
            <x v="1"/>
          </reference>
        </references>
      </pivotArea>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71B4F07-A617-4C2B-B1E7-8C77FC53AFFB}" sourceName="Year">
  <pivotTables>
    <pivotTable tabId="4" name="Clean City Performance Pivot"/>
    <pivotTable tabId="4" name="Monthly Revenue Performance Pivot"/>
    <pivotTable tabId="4" name="Product Category Performance Pivot"/>
    <pivotTable tabId="4" name="Quarterly Performance Pivot"/>
    <pivotTable tabId="4" name="Product Performance Pivot"/>
    <pivotTable tabId="4" name="Regional Pivot"/>
    <pivotTable tabId="4" name="Budget Vs Actual Performance Pivot"/>
    <pivotTable tabId="4" name="Country Performance Pivot"/>
    <pivotTable tabId="4" name="Dept Performance Pivot"/>
    <pivotTable tabId="4" name="Expense Performance Pivot"/>
  </pivotTables>
  <data>
    <tabular pivotCacheId="262575818">
      <items count="3">
        <i x="0" s="1"/>
        <i x="1"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C514136-D0DB-4415-8A66-C622086F2ECC}" sourceName="Region">
  <pivotTables>
    <pivotTable tabId="4" name="Clean City Performance Pivot"/>
    <pivotTable tabId="4" name="Monthly Revenue Performance Pivot"/>
    <pivotTable tabId="4" name="Product Category Performance Pivot"/>
    <pivotTable tabId="4" name="Product Performance Pivot"/>
    <pivotTable tabId="4" name="Regional Pivot"/>
  </pivotTables>
  <data>
    <tabular pivotCacheId="262575818">
      <items count="5">
        <i x="4"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E8088B3-DA85-4101-8CA1-F5CF3A5135F7}" sourceName="Department">
  <pivotTables>
    <pivotTable tabId="4" name="Clean City Performance Pivot"/>
    <pivotTable tabId="4" name="Monthly Revenue Performance Pivot"/>
    <pivotTable tabId="4" name="Product Category Performance Pivot"/>
    <pivotTable tabId="4" name="Quarterly Performance Pivot"/>
    <pivotTable tabId="4" name="Product Performance Pivot"/>
    <pivotTable tabId="4" name="Regional Pivot"/>
  </pivotTables>
  <data>
    <tabular pivotCacheId="262575818">
      <items count="6">
        <i x="5" s="1"/>
        <i x="3" s="1"/>
        <i x="4"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3AB141-5360-4BB8-BFDC-D67017333B23}" sourceName="Category">
  <pivotTables>
    <pivotTable tabId="4" name="Clean City Performance Pivot"/>
    <pivotTable tabId="4" name="Monthly Revenue Performance Pivot"/>
    <pivotTable tabId="4" name="Product Category Performance Pivot"/>
    <pivotTable tabId="4" name="Quarterly Performance Pivot"/>
    <pivotTable tabId="4" name="Dept Performance Pivot"/>
    <pivotTable tabId="4" name="Product Performance Pivot"/>
    <pivotTable tabId="4" name="Regional Pivot"/>
  </pivotTables>
  <data>
    <tabular pivotCacheId="262575818">
      <items count="5">
        <i x="1" s="1"/>
        <i x="0" s="1"/>
        <i x="3"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CB088C4-AC21-44C4-84BD-77A91164C5D7}" sourceName="Sub Category">
  <pivotTables>
    <pivotTable tabId="4" name="Regional Pivot"/>
  </pivotTables>
  <data>
    <tabular pivotCacheId="262575818">
      <items count="13">
        <i x="8" s="1"/>
        <i x="4" s="1"/>
        <i x="12" s="1"/>
        <i x="1" s="1"/>
        <i x="2" s="1"/>
        <i x="9" s="1"/>
        <i x="10" s="1"/>
        <i x="3" s="1"/>
        <i x="5" s="1"/>
        <i x="7" s="1"/>
        <i x="6" s="1"/>
        <i x="1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FD7F1DF-5BBC-4A73-8D01-64165BBC2B1D}" sourceName="Quarter">
  <pivotTables>
    <pivotTable tabId="4" name="Regional Pivot"/>
  </pivotTables>
  <data>
    <tabular pivotCacheId="262575818">
      <items count="5">
        <i x="2" s="1"/>
        <i x="0" s="1"/>
        <i x="3" s="1"/>
        <i x="1" s="1"/>
        <i x="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654F478-1C1A-4767-A717-7F8A500FD0EC}" sourceName="Month">
  <pivotTables>
    <pivotTable tabId="4" name="Regional Pivot"/>
  </pivotTables>
  <data>
    <tabular pivotCacheId="262575818">
      <items count="12">
        <i x="4" s="1"/>
        <i x="2" s="1"/>
        <i x="8" s="1"/>
        <i x="9" s="1"/>
        <i x="3" s="1"/>
        <i x="11" s="1"/>
        <i x="0" s="1"/>
        <i x="7" s="1"/>
        <i x="1" s="1"/>
        <i x="5" s="1"/>
        <i x="1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E65B16-9348-4C04-A028-10419BD0C862}" cache="Slicer_Year" caption="Year" showCaption="0" style="SlicerStyleDark1" rowHeight="257175"/>
  <slicer name="Region" xr10:uid="{7A03A78F-7E51-4DDF-9C9B-E330AA6072B1}" cache="Slicer_Region" caption="Region" columnCount="2" showCaption="0" style="SlicerStyleDark1" rowHeight="257175"/>
  <slicer name="Department" xr10:uid="{47BC5C41-D9C5-48CF-B463-41D8CE59B124}" cache="Slicer_Department" caption="Department" columnCount="2" showCaption="0" style="SlicerStyleDark1" rowHeight="257175"/>
  <slicer name="Category" xr10:uid="{7FF96DDF-2C5F-4CEF-B9AB-B75FDB84526E}" cache="Slicer_Category" caption="Category" columnCount="2" showCaption="0"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4F19D95-3BDE-4B13-98F1-13564009F797}" cache="Slicer_Year" caption="Year" showCaption="0" style="SlicerStyleDark1 2" rowHeight="257175"/>
  <slicer name="Region 1" xr10:uid="{EDBB829C-4AD2-401A-82CC-AFAF84BE166A}" cache="Slicer_Region" caption="Region" columnCount="2" showCaption="0" style="SlicerStyleDark1 2" rowHeight="257175"/>
  <slicer name="Department 1" xr10:uid="{15C89E20-D33E-4F53-8799-427B6AC69E80}" cache="Slicer_Department" caption="Department" columnCount="2" showCaption="0" style="SlicerStyleDark1 2" rowHeight="257175"/>
  <slicer name="Category 1" xr10:uid="{BD1540F3-FEE9-42BC-BCCE-44A34E87E18F}" cache="Slicer_Category" caption="Category" columnCount="2" showCaption="0" style="SlicerStyleDark1 2" rowHeight="257175"/>
  <slicer name="Sub Category" xr10:uid="{F3283B82-E60B-4A60-A234-07DC3C183502}" cache="Slicer_Sub_Category" caption="Sub Category" columnCount="2" showCaption="0" style="SlicerStyleDark1 2" rowHeight="257175"/>
  <slicer name="Quarter" xr10:uid="{B83E46E7-C653-4C67-B88E-778F1C47C2AF}" cache="Slicer_Quarter" caption="Quarter" columnCount="2" showCaption="0" style="SlicerStyleDark1 2" rowHeight="257175"/>
  <slicer name="Month" xr10:uid="{893F377B-B696-4E93-B0D8-4579E0CF4F99}" cache="Slicer_Month" caption="Month" columnCount="2" showCaption="0" style="SlicerStyleDark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B96D7F-B011-4A3E-B4BF-3B7659206A22}" name="tbl_FinancialData" displayName="tbl_FinancialData" ref="A1:AJ1001" totalsRowShown="0" headerRowDxfId="258" headerRowBorderDxfId="257" tableBorderDxfId="256">
  <autoFilter ref="A1:AJ1001" xr:uid="{81B96D7F-B011-4A3E-B4BF-3B7659206A22}"/>
  <tableColumns count="36">
    <tableColumn id="1" xr3:uid="{09DB82FC-3EA6-42C6-B82D-7B5B2AA41181}" name="Transaction ID" dataDxfId="255"/>
    <tableColumn id="2" xr3:uid="{E0578917-10F5-4C3A-8DEF-49B9B9C1FAA7}" name="Date" dataDxfId="254"/>
    <tableColumn id="3" xr3:uid="{D840841A-166B-4832-8928-E332823FCFD7}" name="Month"/>
    <tableColumn id="4" xr3:uid="{BD557AD7-2495-4917-83BE-0CBC8E6444FE}" name="Quarter" dataDxfId="253">
      <calculatedColumnFormula>"Q"&amp;INT(MOD(MONTH(B2)-4,12)/3)+1</calculatedColumnFormula>
    </tableColumn>
    <tableColumn id="5" xr3:uid="{4692E517-4E18-477A-A6B3-BBEB65256E02}" name="Year" dataDxfId="252">
      <calculatedColumnFormula>"FY"&amp; (YEAR(B2)+(MONTH(B2)&gt;=4))</calculatedColumnFormula>
    </tableColumn>
    <tableColumn id="6" xr3:uid="{C7C484CC-D82C-49DE-9A2A-E6B4C67D34CE}" name="Region" dataDxfId="251"/>
    <tableColumn id="7" xr3:uid="{A636B2C4-35D5-4946-8543-022FA7706399}" name="Country" dataDxfId="250"/>
    <tableColumn id="8" xr3:uid="{4CC89B5B-20EF-49D7-A915-B1A89BC7E6D7}" name="State"/>
    <tableColumn id="9" xr3:uid="{AE05021C-E44A-4D40-AD6D-3BCA44988A31}" name="City"/>
    <tableColumn id="10" xr3:uid="{72682F20-0B60-42DB-99F3-5E254E908D84}" name="Branch" dataDxfId="249"/>
    <tableColumn id="11" xr3:uid="{6FCC7D7F-CF5A-47BA-A1B1-17FCD2DB3E34}" name="Department"/>
    <tableColumn id="12" xr3:uid="{3B66AC8A-594E-4DA9-94ED-36D4EFF9A26C}" name="Cost Center" dataDxfId="248"/>
    <tableColumn id="13" xr3:uid="{4892B81C-8A85-4E6C-AD82-C515725D6306}" name="Product ID" dataDxfId="247"/>
    <tableColumn id="14" xr3:uid="{2DEBD4BE-4936-4979-B64A-D8BB27F270A4}" name="Product Name"/>
    <tableColumn id="15" xr3:uid="{C95FD923-D662-44F8-AC68-042DEFF61E8B}" name="Category"/>
    <tableColumn id="16" xr3:uid="{37B11329-697D-4B6C-9BFA-45AE26D4D694}" name="Sub Category"/>
    <tableColumn id="17" xr3:uid="{479E25B7-5D3B-4388-81D0-E51F33C38DE8}" name="Revenue" dataDxfId="246"/>
    <tableColumn id="18" xr3:uid="{5FA1D590-8D78-44AB-886F-7A562DE4C708}" name="Budget Revenue" dataDxfId="245"/>
    <tableColumn id="19" xr3:uid="{3DFC3AEF-2224-4C43-A285-F4FEB9EA6C75}" name="COGS" dataDxfId="244"/>
    <tableColumn id="20" xr3:uid="{C0CB8E8B-5256-4BF8-9A58-5612FB1A07B0}" name="Operating Expense" dataDxfId="243"/>
    <tableColumn id="21" xr3:uid="{F0643CE6-2631-4313-B457-85CF1AC0006C}" name="Marketing Expense" dataDxfId="242"/>
    <tableColumn id="22" xr3:uid="{DED70107-6191-40E1-9852-ECC386402E31}" name="Salary Expense" dataDxfId="241"/>
    <tableColumn id="23" xr3:uid="{FC1F9814-F2C4-4ECD-BB41-47A8D821DD45}" name="Misc Expense" dataDxfId="240"/>
    <tableColumn id="24" xr3:uid="{E6826837-FEF6-4AD5-BAAC-DC9E87A1DED2}" name="Total Expense" dataDxfId="239"/>
    <tableColumn id="25" xr3:uid="{52398454-6051-4EEC-8518-9FC95A609CD0}" name="Gross Profit" dataDxfId="238"/>
    <tableColumn id="26" xr3:uid="{103C6A58-E219-4D03-88E8-319A2282A35C}" name="Net Profit" dataDxfId="237">
      <calculatedColumnFormula>Q2-X2</calculatedColumnFormula>
    </tableColumn>
    <tableColumn id="27" xr3:uid="{209E653E-21AA-4098-9BEA-93272DA5B593}" name="Profit Margin %" dataDxfId="236" dataCellStyle="Percent">
      <calculatedColumnFormula>Z2/Q2</calculatedColumnFormula>
    </tableColumn>
    <tableColumn id="28" xr3:uid="{C0FD162B-0051-4667-9FB3-6863595FAFE3}" name="Budget Variance" dataDxfId="235"/>
    <tableColumn id="29" xr3:uid="{09B50E0E-DAB5-4B55-B84E-17699DF8C660}" name="Discount" dataDxfId="234"/>
    <tableColumn id="30" xr3:uid="{BEF9D4E5-74A4-4F8C-A279-1B4265A6FA55}" name="Tax" dataDxfId="233"/>
    <tableColumn id="31" xr3:uid="{1AF6F7CD-E8C0-425D-8826-7906AD7ECC34}" name="Net Revenue" dataDxfId="232"/>
    <tableColumn id="32" xr3:uid="{63B4A875-C14F-49B6-8B3E-291AB2FC2E8A}" name="Clean City" dataDxfId="231">
      <calculatedColumnFormula>IF(tbl_FinancialData[[#This Row],[City]]="","Unknown",PROPER(TRIM(tbl_FinancialData[[#This Row],[City]])))</calculatedColumnFormula>
    </tableColumn>
    <tableColumn id="33" xr3:uid="{A6CA714C-BDE9-4993-9735-B4EECDDB63C7}" name="Clean State" dataDxfId="230">
      <calculatedColumnFormula>_xlfn.LET(_xlpm.city,LOWER(TRIM(tbl_FinancialData[[#This Row],[City]])),_xlpm.st,PROPER(TRIM(tbl_FinancialData[[#This Row],[State]])),IF(_xlpm.city="pune","Maharashtra",IF(_xlpm.city="jamshedpur","Jharkhand",IF(_xlpm.city="bhilai","Chhattisgarh",IF(_xlpm.city="mumbai","Maharashtra",_xlpm.st)))))</calculatedColumnFormula>
    </tableColumn>
    <tableColumn id="34" xr3:uid="{69EFDB30-D26F-429A-993A-83B1781DFAD0}" name="Clean Department" dataDxfId="229">
      <calculatedColumnFormula>_xlfn.LET(_xlpm.d,PROPER(TRIM(tbl_FinancialData[[#This Row],[Department]])),IF(_xlpm.d="It","IT",_xlpm.d))</calculatedColumnFormula>
    </tableColumn>
    <tableColumn id="35" xr3:uid="{124D479C-55A0-4C09-865A-6ADA6FC7E318}" name="Clean Product Name" dataDxfId="228">
      <calculatedColumnFormula>_xlfn.LET(_xlpm.pid,tbl_FinancialData[[#This Row],[Product ID]],_xlpm.n,PROPER(TRIM(tbl_FinancialData[[#This Row],[Product Name]])),IF(_xlpm.pid="P020","Document Scanner",IF(_xlpm.pid="P015","Network Router",SUBSTITUTE(SUBSTITUTE(_xlpm.n,"Crm","CRM"),"Ups","UPS"))))</calculatedColumnFormula>
    </tableColumn>
    <tableColumn id="36" xr3:uid="{BAD9E2D7-D1F8-4E22-A1A1-B859B104E8BD}" name="Clean Cost Center" dataDxfId="227">
      <calculatedColumnFormula>UPPER(TRIM(tbl_FinancialData[[#This Row],[Cost Center]]))</calculatedColumnFormula>
    </tableColumn>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3ADA57-7CBB-483C-B030-28218070A03E}" name="Table3" displayName="Table3" ref="B5:C16" totalsRowShown="0">
  <tableColumns count="2">
    <tableColumn id="1" xr3:uid="{B23C4597-2857-4439-8DF8-3B8BE527469F}" name="Metric" dataDxfId="226"/>
    <tableColumn id="2" xr3:uid="{D9DB8C9A-3D98-442D-9DC8-B35D822EC748}" name="Value" dataDxfId="22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07294E5-04B8-449B-B42C-876826F6E1A3}" name="Table5" displayName="Table5" ref="E5:F16" totalsRowShown="0">
  <tableColumns count="2">
    <tableColumn id="1" xr3:uid="{C2F3E771-78CE-4BFB-815B-4DF0CA01EFE2}" name="Metric" dataDxfId="224"/>
    <tableColumn id="2" xr3:uid="{781E17B7-95F8-413E-AE35-0880AF3E4EE1}" name="Value" dataDxfId="223" dataCellStyle="Percent"/>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32FBCF-1A89-4827-B300-8953FC743767}" name="Table8" displayName="Table8" ref="K5:L16" totalsRowShown="0">
  <tableColumns count="2">
    <tableColumn id="1" xr3:uid="{5E4A254A-CE88-49B4-BD12-33E418197A0F}" name="Metric" dataDxfId="222"/>
    <tableColumn id="2" xr3:uid="{F0A3111A-7C0A-4255-930A-BE57FCE8E07B}" name="Value"/>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0CAF0F-693D-46D7-B3C7-CA78BBFA31D1}" name="Table2" displayName="Table2" ref="H5:I16" totalsRowShown="0">
  <tableColumns count="2">
    <tableColumn id="1" xr3:uid="{D7EC7D7B-5026-4F5B-A0FE-DAE76D012767}" name="Metric" dataDxfId="221"/>
    <tableColumn id="2" xr3:uid="{11B9386C-7E52-4F11-A5A7-A92FE1B1B048}" name="Value" dataDxfId="220"/>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28C46C0-5861-42F1-A803-7D2B658AD4A3}" name="Table6" displayName="Table6" ref="N5:O16" totalsRowShown="0">
  <tableColumns count="2">
    <tableColumn id="1" xr3:uid="{E95806C8-CC1E-4809-B74D-872C6F450A71}" name="Metric"/>
    <tableColumn id="2" xr3:uid="{46260987-3AAA-42B8-B198-BCB000B948A8}" name="Value" dataDxfId="219">
      <calculatedColumnFormula>IF(C6=SUM(tbl_FinancialData[Revenue]),"PASS","CHECK")</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60EAA-CD2E-40E3-BA31-9FF0FB375E5B}">
  <dimension ref="A1:AE1001"/>
  <sheetViews>
    <sheetView workbookViewId="0"/>
  </sheetViews>
  <sheetFormatPr defaultRowHeight="15" x14ac:dyDescent="0.25"/>
  <cols>
    <col min="1" max="1" width="13.5703125" bestFit="1" customWidth="1"/>
    <col min="2" max="2" width="18.28515625" bestFit="1" customWidth="1"/>
  </cols>
  <sheetData>
    <row r="1" spans="1:3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x14ac:dyDescent="0.25">
      <c r="A2" t="s">
        <v>31</v>
      </c>
      <c r="B2" s="2">
        <v>45850</v>
      </c>
      <c r="C2" t="s">
        <v>32</v>
      </c>
      <c r="D2" t="s">
        <v>33</v>
      </c>
      <c r="E2">
        <v>2025</v>
      </c>
      <c r="F2" t="s">
        <v>34</v>
      </c>
      <c r="G2" t="s">
        <v>35</v>
      </c>
      <c r="H2" t="s">
        <v>36</v>
      </c>
      <c r="I2" t="s">
        <v>37</v>
      </c>
      <c r="J2" t="s">
        <v>38</v>
      </c>
      <c r="K2" t="s">
        <v>39</v>
      </c>
      <c r="L2" t="s">
        <v>40</v>
      </c>
      <c r="M2" t="s">
        <v>41</v>
      </c>
      <c r="N2" t="s">
        <v>42</v>
      </c>
      <c r="O2" t="s">
        <v>43</v>
      </c>
      <c r="P2" t="s">
        <v>44</v>
      </c>
      <c r="Q2">
        <v>23278.76</v>
      </c>
      <c r="R2">
        <v>22815.81</v>
      </c>
      <c r="S2">
        <v>11971.99</v>
      </c>
      <c r="T2">
        <v>2376.09</v>
      </c>
      <c r="U2">
        <v>667.33</v>
      </c>
      <c r="V2">
        <v>2275.73</v>
      </c>
      <c r="W2">
        <v>997.48</v>
      </c>
      <c r="X2">
        <v>18288.61</v>
      </c>
      <c r="Y2">
        <v>11306.77</v>
      </c>
      <c r="Z2">
        <v>-6981.84</v>
      </c>
      <c r="AA2">
        <v>-0.25419999999999998</v>
      </c>
      <c r="AB2">
        <v>462.95</v>
      </c>
      <c r="AC2">
        <v>0</v>
      </c>
      <c r="AD2">
        <v>4190.18</v>
      </c>
      <c r="AE2">
        <v>27468.94</v>
      </c>
    </row>
    <row r="3" spans="1:31" x14ac:dyDescent="0.25">
      <c r="A3" t="s">
        <v>45</v>
      </c>
      <c r="B3" s="2">
        <v>45908</v>
      </c>
      <c r="C3" t="s">
        <v>46</v>
      </c>
      <c r="D3" t="s">
        <v>33</v>
      </c>
      <c r="E3">
        <v>2025</v>
      </c>
      <c r="F3" t="s">
        <v>47</v>
      </c>
      <c r="G3" t="s">
        <v>35</v>
      </c>
      <c r="H3" t="s">
        <v>48</v>
      </c>
      <c r="I3" t="s">
        <v>49</v>
      </c>
      <c r="J3" t="s">
        <v>38</v>
      </c>
      <c r="K3" t="s">
        <v>50</v>
      </c>
      <c r="L3" t="s">
        <v>51</v>
      </c>
      <c r="M3" t="s">
        <v>52</v>
      </c>
      <c r="N3" t="s">
        <v>53</v>
      </c>
      <c r="O3" t="s">
        <v>54</v>
      </c>
      <c r="P3" t="s">
        <v>55</v>
      </c>
      <c r="Q3">
        <v>2086.7600000000002</v>
      </c>
      <c r="R3">
        <v>1982.07</v>
      </c>
      <c r="S3">
        <v>1047.02</v>
      </c>
      <c r="T3">
        <v>207.57</v>
      </c>
      <c r="U3">
        <v>104.05</v>
      </c>
      <c r="V3">
        <v>247.61</v>
      </c>
      <c r="W3">
        <v>54.96</v>
      </c>
      <c r="X3">
        <v>1661.21</v>
      </c>
      <c r="Y3">
        <v>1039.74</v>
      </c>
      <c r="Z3">
        <v>-621.47</v>
      </c>
      <c r="AA3">
        <v>-0.27429999999999999</v>
      </c>
      <c r="AB3">
        <v>104.69</v>
      </c>
      <c r="AC3">
        <v>166.94</v>
      </c>
      <c r="AD3">
        <v>345.57</v>
      </c>
      <c r="AE3">
        <v>2265.39</v>
      </c>
    </row>
    <row r="4" spans="1:31" x14ac:dyDescent="0.25">
      <c r="A4" t="s">
        <v>56</v>
      </c>
      <c r="B4" s="2">
        <v>46076</v>
      </c>
      <c r="C4" t="s">
        <v>57</v>
      </c>
      <c r="D4" t="s">
        <v>58</v>
      </c>
      <c r="E4">
        <v>2026</v>
      </c>
      <c r="F4" t="s">
        <v>59</v>
      </c>
      <c r="G4" t="s">
        <v>35</v>
      </c>
      <c r="H4" t="s">
        <v>60</v>
      </c>
      <c r="I4" t="s">
        <v>61</v>
      </c>
      <c r="J4" t="s">
        <v>38</v>
      </c>
      <c r="K4" t="s">
        <v>39</v>
      </c>
      <c r="L4" t="s">
        <v>40</v>
      </c>
      <c r="M4" t="s">
        <v>62</v>
      </c>
      <c r="N4" t="s">
        <v>63</v>
      </c>
      <c r="O4" t="s">
        <v>54</v>
      </c>
      <c r="P4" t="s">
        <v>55</v>
      </c>
      <c r="Q4">
        <v>1176.9000000000001</v>
      </c>
      <c r="R4">
        <v>1120.77</v>
      </c>
      <c r="S4">
        <v>757.9</v>
      </c>
      <c r="T4">
        <v>116.28</v>
      </c>
      <c r="U4">
        <v>93.16</v>
      </c>
      <c r="V4">
        <v>63.4</v>
      </c>
      <c r="W4">
        <v>27.88</v>
      </c>
      <c r="X4">
        <v>1058.6199999999999</v>
      </c>
      <c r="Y4">
        <v>419</v>
      </c>
      <c r="Z4">
        <v>-639.62</v>
      </c>
      <c r="AA4">
        <v>-0.47</v>
      </c>
      <c r="AB4">
        <v>56.13</v>
      </c>
      <c r="AC4">
        <v>23.54</v>
      </c>
      <c r="AD4">
        <v>207.6</v>
      </c>
      <c r="AE4">
        <v>1360.97</v>
      </c>
    </row>
    <row r="5" spans="1:31" x14ac:dyDescent="0.25">
      <c r="A5" t="s">
        <v>64</v>
      </c>
      <c r="B5" s="2">
        <v>45801</v>
      </c>
      <c r="C5" t="s">
        <v>65</v>
      </c>
      <c r="D5" t="s">
        <v>66</v>
      </c>
      <c r="E5">
        <v>2025</v>
      </c>
      <c r="F5" t="s">
        <v>67</v>
      </c>
      <c r="G5" t="s">
        <v>35</v>
      </c>
      <c r="H5" t="s">
        <v>68</v>
      </c>
      <c r="I5" t="s">
        <v>69</v>
      </c>
      <c r="J5" t="s">
        <v>70</v>
      </c>
      <c r="K5" t="s">
        <v>71</v>
      </c>
      <c r="L5" t="s">
        <v>72</v>
      </c>
      <c r="M5" t="s">
        <v>73</v>
      </c>
      <c r="N5" t="s">
        <v>74</v>
      </c>
      <c r="O5" t="s">
        <v>43</v>
      </c>
      <c r="P5" t="s">
        <v>75</v>
      </c>
      <c r="Q5">
        <v>47762.94</v>
      </c>
      <c r="R5">
        <v>52452.38</v>
      </c>
      <c r="S5">
        <v>26669.38</v>
      </c>
      <c r="T5">
        <v>4567.83</v>
      </c>
      <c r="U5">
        <v>2811.05</v>
      </c>
      <c r="V5">
        <v>5583.19</v>
      </c>
      <c r="W5">
        <v>1889.44</v>
      </c>
      <c r="X5">
        <v>41520.9</v>
      </c>
      <c r="Y5">
        <v>21093.56</v>
      </c>
      <c r="Z5">
        <v>-20427.34</v>
      </c>
      <c r="AA5">
        <v>-0.40200000000000002</v>
      </c>
      <c r="AB5">
        <v>-4689.4399999999996</v>
      </c>
      <c r="AC5">
        <v>2388.15</v>
      </c>
      <c r="AD5">
        <v>5444.98</v>
      </c>
      <c r="AE5">
        <v>50819.77</v>
      </c>
    </row>
    <row r="6" spans="1:31" x14ac:dyDescent="0.25">
      <c r="A6" t="s">
        <v>76</v>
      </c>
      <c r="B6" s="2">
        <v>46027</v>
      </c>
      <c r="C6" t="s">
        <v>77</v>
      </c>
      <c r="D6" t="s">
        <v>58</v>
      </c>
      <c r="E6">
        <v>2026</v>
      </c>
      <c r="F6" t="s">
        <v>47</v>
      </c>
      <c r="G6" t="s">
        <v>35</v>
      </c>
      <c r="H6" t="s">
        <v>78</v>
      </c>
      <c r="I6" t="s">
        <v>79</v>
      </c>
      <c r="J6" t="s">
        <v>80</v>
      </c>
      <c r="K6" t="s">
        <v>50</v>
      </c>
      <c r="L6" t="s">
        <v>81</v>
      </c>
      <c r="M6" t="s">
        <v>82</v>
      </c>
      <c r="N6" t="s">
        <v>83</v>
      </c>
      <c r="O6" t="s">
        <v>43</v>
      </c>
      <c r="P6" t="s">
        <v>75</v>
      </c>
      <c r="Q6">
        <v>18810.62</v>
      </c>
      <c r="R6">
        <v>18781.73</v>
      </c>
      <c r="S6">
        <v>10354.06</v>
      </c>
      <c r="T6">
        <v>961.72</v>
      </c>
      <c r="U6">
        <v>713.39</v>
      </c>
      <c r="V6">
        <v>1822.89</v>
      </c>
      <c r="W6">
        <v>708.34</v>
      </c>
      <c r="X6">
        <v>14560.39</v>
      </c>
      <c r="Y6">
        <v>8456.5499999999993</v>
      </c>
      <c r="Z6">
        <v>-6103.84</v>
      </c>
      <c r="AA6">
        <v>-0.28949999999999998</v>
      </c>
      <c r="AB6">
        <v>28.88</v>
      </c>
      <c r="AC6">
        <v>940.53</v>
      </c>
      <c r="AD6">
        <v>3216.62</v>
      </c>
      <c r="AE6">
        <v>21086.7</v>
      </c>
    </row>
    <row r="7" spans="1:31" x14ac:dyDescent="0.25">
      <c r="A7" t="s">
        <v>84</v>
      </c>
      <c r="B7" s="2">
        <v>45788</v>
      </c>
      <c r="C7" t="s">
        <v>65</v>
      </c>
      <c r="D7" t="s">
        <v>66</v>
      </c>
      <c r="E7">
        <v>2025</v>
      </c>
      <c r="F7" t="s">
        <v>85</v>
      </c>
      <c r="G7" t="s">
        <v>35</v>
      </c>
      <c r="H7" t="s">
        <v>86</v>
      </c>
      <c r="I7" t="s">
        <v>87</v>
      </c>
      <c r="J7" t="s">
        <v>80</v>
      </c>
      <c r="K7" t="s">
        <v>50</v>
      </c>
      <c r="L7" t="s">
        <v>81</v>
      </c>
      <c r="M7" t="s">
        <v>88</v>
      </c>
      <c r="N7" t="s">
        <v>89</v>
      </c>
      <c r="O7" t="s">
        <v>43</v>
      </c>
      <c r="P7" t="s">
        <v>90</v>
      </c>
      <c r="Q7">
        <v>41891.120000000003</v>
      </c>
      <c r="R7">
        <v>43917.52</v>
      </c>
      <c r="S7">
        <v>23957.63</v>
      </c>
      <c r="T7">
        <v>5351.04</v>
      </c>
      <c r="U7">
        <v>3358.8</v>
      </c>
      <c r="V7">
        <v>4094.37</v>
      </c>
      <c r="W7">
        <v>764.91</v>
      </c>
      <c r="X7">
        <v>37526.76</v>
      </c>
      <c r="Y7">
        <v>17933.48</v>
      </c>
      <c r="Z7">
        <v>-19593.28</v>
      </c>
      <c r="AA7">
        <v>-0.45450000000000002</v>
      </c>
      <c r="AB7">
        <v>-2026.4</v>
      </c>
      <c r="AC7">
        <v>837.82</v>
      </c>
      <c r="AD7">
        <v>2052.66</v>
      </c>
      <c r="AE7">
        <v>43105.96</v>
      </c>
    </row>
    <row r="8" spans="1:31" x14ac:dyDescent="0.25">
      <c r="A8" t="s">
        <v>91</v>
      </c>
      <c r="B8" s="2">
        <v>45954</v>
      </c>
      <c r="C8" t="s">
        <v>92</v>
      </c>
      <c r="D8" t="s">
        <v>93</v>
      </c>
      <c r="E8">
        <v>2025</v>
      </c>
      <c r="F8" t="s">
        <v>67</v>
      </c>
      <c r="G8" t="s">
        <v>35</v>
      </c>
      <c r="H8" t="s">
        <v>68</v>
      </c>
      <c r="I8" t="s">
        <v>69</v>
      </c>
      <c r="J8" t="s">
        <v>70</v>
      </c>
      <c r="K8" t="s">
        <v>50</v>
      </c>
      <c r="L8" t="s">
        <v>94</v>
      </c>
      <c r="M8" t="s">
        <v>95</v>
      </c>
      <c r="N8" t="s">
        <v>96</v>
      </c>
      <c r="O8" t="s">
        <v>43</v>
      </c>
      <c r="P8" t="s">
        <v>90</v>
      </c>
      <c r="Q8">
        <v>51914.87</v>
      </c>
      <c r="R8">
        <v>47855.1</v>
      </c>
      <c r="S8">
        <v>32449.919999999998</v>
      </c>
      <c r="T8">
        <v>4837.8100000000004</v>
      </c>
      <c r="U8">
        <v>1983.1</v>
      </c>
      <c r="V8">
        <v>5992.44</v>
      </c>
      <c r="W8">
        <v>1607.3</v>
      </c>
      <c r="X8">
        <v>46870.57</v>
      </c>
      <c r="Y8">
        <v>19464.95</v>
      </c>
      <c r="Z8">
        <v>-27405.61</v>
      </c>
      <c r="AA8">
        <v>-0.47089999999999999</v>
      </c>
      <c r="AB8">
        <v>4059.77</v>
      </c>
      <c r="AC8">
        <v>2595.7399999999998</v>
      </c>
      <c r="AD8">
        <v>8877.44</v>
      </c>
      <c r="AE8">
        <v>58196.57</v>
      </c>
    </row>
    <row r="9" spans="1:31" x14ac:dyDescent="0.25">
      <c r="A9" t="s">
        <v>97</v>
      </c>
      <c r="B9" s="2">
        <v>45917</v>
      </c>
      <c r="C9" t="s">
        <v>46</v>
      </c>
      <c r="D9" t="s">
        <v>33</v>
      </c>
      <c r="E9">
        <v>2025</v>
      </c>
      <c r="F9" t="s">
        <v>34</v>
      </c>
      <c r="G9" t="s">
        <v>35</v>
      </c>
      <c r="H9" t="s">
        <v>98</v>
      </c>
      <c r="I9" t="s">
        <v>99</v>
      </c>
      <c r="J9" t="s">
        <v>100</v>
      </c>
      <c r="K9" t="s">
        <v>101</v>
      </c>
      <c r="L9" t="s">
        <v>72</v>
      </c>
      <c r="M9" t="s">
        <v>102</v>
      </c>
      <c r="N9" t="s">
        <v>103</v>
      </c>
      <c r="O9" t="s">
        <v>104</v>
      </c>
      <c r="P9" t="s">
        <v>105</v>
      </c>
      <c r="Q9">
        <v>18661.59</v>
      </c>
      <c r="R9">
        <v>18238.04</v>
      </c>
      <c r="S9">
        <v>9504.3700000000008</v>
      </c>
      <c r="T9">
        <v>1465.01</v>
      </c>
      <c r="U9">
        <v>1566.53</v>
      </c>
      <c r="V9">
        <v>1152.74</v>
      </c>
      <c r="W9">
        <v>609.66</v>
      </c>
      <c r="X9">
        <v>14298.29</v>
      </c>
      <c r="Y9">
        <v>9157.2199999999993</v>
      </c>
      <c r="Z9">
        <v>-5141.07</v>
      </c>
      <c r="AA9">
        <v>-0.246</v>
      </c>
      <c r="AB9">
        <v>423.55</v>
      </c>
      <c r="AC9">
        <v>0</v>
      </c>
      <c r="AD9">
        <v>2239.39</v>
      </c>
      <c r="AE9">
        <v>20900.98</v>
      </c>
    </row>
    <row r="10" spans="1:31" x14ac:dyDescent="0.25">
      <c r="A10" t="s">
        <v>106</v>
      </c>
      <c r="B10" s="2">
        <v>46006</v>
      </c>
      <c r="C10" t="s">
        <v>107</v>
      </c>
      <c r="D10" t="s">
        <v>93</v>
      </c>
      <c r="E10">
        <v>2025</v>
      </c>
      <c r="F10" t="s">
        <v>59</v>
      </c>
      <c r="G10" t="s">
        <v>35</v>
      </c>
      <c r="H10" t="s">
        <v>60</v>
      </c>
      <c r="I10" t="s">
        <v>108</v>
      </c>
      <c r="J10" t="s">
        <v>80</v>
      </c>
      <c r="K10" t="s">
        <v>101</v>
      </c>
      <c r="L10" t="s">
        <v>94</v>
      </c>
      <c r="M10" t="s">
        <v>41</v>
      </c>
      <c r="N10" t="s">
        <v>42</v>
      </c>
      <c r="O10" t="s">
        <v>43</v>
      </c>
      <c r="P10" t="s">
        <v>44</v>
      </c>
      <c r="Q10">
        <v>27488.07</v>
      </c>
      <c r="R10">
        <v>25577.3</v>
      </c>
      <c r="S10">
        <v>14637.49</v>
      </c>
      <c r="T10">
        <v>2601.69</v>
      </c>
      <c r="U10">
        <v>1408.75</v>
      </c>
      <c r="V10">
        <v>1242.22</v>
      </c>
      <c r="W10">
        <v>519.16999999999996</v>
      </c>
      <c r="X10">
        <v>20409.32</v>
      </c>
      <c r="Y10">
        <v>12850.58</v>
      </c>
      <c r="Z10">
        <v>-7558.74</v>
      </c>
      <c r="AA10">
        <v>-0.23780000000000001</v>
      </c>
      <c r="AB10">
        <v>1910.77</v>
      </c>
      <c r="AC10">
        <v>549.76</v>
      </c>
      <c r="AD10">
        <v>4848.8900000000003</v>
      </c>
      <c r="AE10">
        <v>31787.200000000001</v>
      </c>
    </row>
    <row r="11" spans="1:31" x14ac:dyDescent="0.25">
      <c r="A11" t="s">
        <v>109</v>
      </c>
      <c r="B11" s="2">
        <v>45860</v>
      </c>
      <c r="C11" t="s">
        <v>32</v>
      </c>
      <c r="D11" t="s">
        <v>33</v>
      </c>
      <c r="E11">
        <v>2025</v>
      </c>
      <c r="F11" t="s">
        <v>59</v>
      </c>
      <c r="G11" t="s">
        <v>35</v>
      </c>
      <c r="H11" t="s">
        <v>60</v>
      </c>
      <c r="I11" t="s">
        <v>61</v>
      </c>
      <c r="J11" t="s">
        <v>70</v>
      </c>
      <c r="K11" t="s">
        <v>39</v>
      </c>
      <c r="L11" t="s">
        <v>40</v>
      </c>
      <c r="M11" t="s">
        <v>110</v>
      </c>
      <c r="N11" t="s">
        <v>111</v>
      </c>
      <c r="O11" t="s">
        <v>112</v>
      </c>
      <c r="P11" t="s">
        <v>113</v>
      </c>
      <c r="Q11">
        <v>17627.990000000002</v>
      </c>
      <c r="R11">
        <v>19112.48</v>
      </c>
      <c r="S11">
        <v>10707.67</v>
      </c>
      <c r="T11">
        <v>1512.88</v>
      </c>
      <c r="U11">
        <v>1074.22</v>
      </c>
      <c r="V11">
        <v>1540.96</v>
      </c>
      <c r="W11">
        <v>226.16</v>
      </c>
      <c r="X11">
        <v>15061.9</v>
      </c>
      <c r="Y11">
        <v>6920.32</v>
      </c>
      <c r="Z11">
        <v>-8141.58</v>
      </c>
      <c r="AA11">
        <v>-0.45350000000000001</v>
      </c>
      <c r="AB11">
        <v>-1484.48</v>
      </c>
      <c r="AC11">
        <v>528.84</v>
      </c>
      <c r="AD11">
        <v>854.96</v>
      </c>
      <c r="AE11">
        <v>17954.11</v>
      </c>
    </row>
    <row r="12" spans="1:31" x14ac:dyDescent="0.25">
      <c r="A12" t="s">
        <v>114</v>
      </c>
      <c r="B12" s="2">
        <v>46041</v>
      </c>
      <c r="C12" t="s">
        <v>77</v>
      </c>
      <c r="D12" t="s">
        <v>58</v>
      </c>
      <c r="E12">
        <v>2026</v>
      </c>
      <c r="F12" t="s">
        <v>47</v>
      </c>
      <c r="G12" t="s">
        <v>35</v>
      </c>
      <c r="H12" t="s">
        <v>78</v>
      </c>
      <c r="I12" t="s">
        <v>115</v>
      </c>
      <c r="J12" t="s">
        <v>100</v>
      </c>
      <c r="K12" t="s">
        <v>101</v>
      </c>
      <c r="L12" t="s">
        <v>94</v>
      </c>
      <c r="M12" t="s">
        <v>62</v>
      </c>
      <c r="N12" t="s">
        <v>63</v>
      </c>
      <c r="O12" t="s">
        <v>54</v>
      </c>
      <c r="P12" t="s">
        <v>55</v>
      </c>
      <c r="Q12">
        <v>3190.87</v>
      </c>
      <c r="R12">
        <v>2847</v>
      </c>
      <c r="S12">
        <v>1984.13</v>
      </c>
      <c r="T12">
        <v>332.5</v>
      </c>
      <c r="U12">
        <v>83.21</v>
      </c>
      <c r="V12">
        <v>258.36</v>
      </c>
      <c r="W12">
        <v>57.2</v>
      </c>
      <c r="X12">
        <v>2715.4</v>
      </c>
      <c r="Y12">
        <v>1206.74</v>
      </c>
      <c r="Z12">
        <v>-1508.66</v>
      </c>
      <c r="AA12">
        <v>-0.47399999999999998</v>
      </c>
      <c r="AB12">
        <v>343.87</v>
      </c>
      <c r="AC12">
        <v>159.54</v>
      </c>
      <c r="AD12">
        <v>151.57</v>
      </c>
      <c r="AE12">
        <v>3182.89</v>
      </c>
    </row>
    <row r="13" spans="1:31" x14ac:dyDescent="0.25">
      <c r="A13" t="s">
        <v>116</v>
      </c>
      <c r="B13" s="2">
        <v>45875</v>
      </c>
      <c r="C13" t="s">
        <v>117</v>
      </c>
      <c r="D13" t="s">
        <v>33</v>
      </c>
      <c r="E13">
        <v>2025</v>
      </c>
      <c r="F13" t="s">
        <v>67</v>
      </c>
      <c r="G13" t="s">
        <v>35</v>
      </c>
      <c r="H13" t="s">
        <v>118</v>
      </c>
      <c r="I13" t="s">
        <v>119</v>
      </c>
      <c r="J13" t="s">
        <v>70</v>
      </c>
      <c r="K13" t="s">
        <v>50</v>
      </c>
      <c r="L13" t="s">
        <v>94</v>
      </c>
      <c r="M13" t="s">
        <v>120</v>
      </c>
      <c r="N13" t="s">
        <v>121</v>
      </c>
      <c r="O13" t="s">
        <v>43</v>
      </c>
      <c r="P13" t="s">
        <v>122</v>
      </c>
      <c r="Q13">
        <v>78448.53</v>
      </c>
      <c r="R13">
        <v>75105.25</v>
      </c>
      <c r="S13">
        <v>50081.24</v>
      </c>
      <c r="T13">
        <v>9051.2199999999993</v>
      </c>
      <c r="U13">
        <v>4792.2700000000004</v>
      </c>
      <c r="V13">
        <v>6461.97</v>
      </c>
      <c r="W13">
        <v>1448.54</v>
      </c>
      <c r="X13">
        <v>71835.23</v>
      </c>
      <c r="Y13">
        <v>28367.29</v>
      </c>
      <c r="Z13">
        <v>-43467.94</v>
      </c>
      <c r="AA13">
        <v>-0.46960000000000002</v>
      </c>
      <c r="AB13">
        <v>3343.28</v>
      </c>
      <c r="AC13">
        <v>0</v>
      </c>
      <c r="AD13">
        <v>14120.74</v>
      </c>
      <c r="AE13">
        <v>92569.27</v>
      </c>
    </row>
    <row r="14" spans="1:31" x14ac:dyDescent="0.25">
      <c r="A14" t="s">
        <v>123</v>
      </c>
      <c r="B14" s="2">
        <v>45784</v>
      </c>
      <c r="C14" t="s">
        <v>65</v>
      </c>
      <c r="D14" t="s">
        <v>66</v>
      </c>
      <c r="E14">
        <v>2025</v>
      </c>
      <c r="F14" t="s">
        <v>85</v>
      </c>
      <c r="G14" t="s">
        <v>35</v>
      </c>
      <c r="H14" t="s">
        <v>60</v>
      </c>
      <c r="I14" t="s">
        <v>61</v>
      </c>
      <c r="J14" t="s">
        <v>80</v>
      </c>
      <c r="K14" t="s">
        <v>50</v>
      </c>
      <c r="L14" t="s">
        <v>51</v>
      </c>
      <c r="M14" t="s">
        <v>95</v>
      </c>
      <c r="N14" t="s">
        <v>96</v>
      </c>
      <c r="O14" t="s">
        <v>43</v>
      </c>
      <c r="P14" t="s">
        <v>90</v>
      </c>
      <c r="Q14">
        <v>72701.69</v>
      </c>
      <c r="R14">
        <v>77980.53</v>
      </c>
      <c r="S14">
        <v>36364.92</v>
      </c>
      <c r="T14">
        <v>4575.1400000000003</v>
      </c>
      <c r="U14">
        <v>6063.76</v>
      </c>
      <c r="V14">
        <v>6435.14</v>
      </c>
      <c r="W14">
        <v>750.42</v>
      </c>
      <c r="X14">
        <v>54189.38</v>
      </c>
      <c r="Y14">
        <v>36336.769999999997</v>
      </c>
      <c r="Z14">
        <v>-17852.61</v>
      </c>
      <c r="AA14">
        <v>-0.20810000000000001</v>
      </c>
      <c r="AB14">
        <v>-5278.83</v>
      </c>
      <c r="AC14">
        <v>0</v>
      </c>
      <c r="AD14">
        <v>13086.3</v>
      </c>
      <c r="AE14">
        <v>85788</v>
      </c>
    </row>
    <row r="15" spans="1:31" x14ac:dyDescent="0.25">
      <c r="A15" t="s">
        <v>124</v>
      </c>
      <c r="B15" s="2">
        <v>46096</v>
      </c>
      <c r="C15" t="s">
        <v>125</v>
      </c>
      <c r="D15" t="s">
        <v>58</v>
      </c>
      <c r="E15">
        <v>2026</v>
      </c>
      <c r="F15" t="s">
        <v>47</v>
      </c>
      <c r="G15" t="s">
        <v>35</v>
      </c>
      <c r="H15" t="s">
        <v>48</v>
      </c>
      <c r="I15" t="s">
        <v>126</v>
      </c>
      <c r="J15" t="s">
        <v>100</v>
      </c>
      <c r="K15" t="s">
        <v>39</v>
      </c>
      <c r="L15" t="s">
        <v>81</v>
      </c>
      <c r="M15" t="s">
        <v>62</v>
      </c>
      <c r="N15" t="s">
        <v>63</v>
      </c>
      <c r="O15" t="s">
        <v>54</v>
      </c>
      <c r="P15" t="s">
        <v>55</v>
      </c>
      <c r="Q15">
        <v>1957.06</v>
      </c>
      <c r="R15">
        <v>2012.19</v>
      </c>
      <c r="S15">
        <v>1023.38</v>
      </c>
      <c r="T15">
        <v>155.22999999999999</v>
      </c>
      <c r="U15">
        <v>143.59</v>
      </c>
      <c r="V15">
        <v>191.16</v>
      </c>
      <c r="W15">
        <v>40.67</v>
      </c>
      <c r="X15">
        <v>1554.03</v>
      </c>
      <c r="Y15">
        <v>933.68</v>
      </c>
      <c r="Z15">
        <v>-620.35</v>
      </c>
      <c r="AA15">
        <v>-0.2979</v>
      </c>
      <c r="AB15">
        <v>-55.13</v>
      </c>
      <c r="AC15">
        <v>97.85</v>
      </c>
      <c r="AD15">
        <v>223.1</v>
      </c>
      <c r="AE15">
        <v>2082.31</v>
      </c>
    </row>
    <row r="16" spans="1:31" x14ac:dyDescent="0.25">
      <c r="A16" t="s">
        <v>127</v>
      </c>
      <c r="B16" s="2">
        <v>45769</v>
      </c>
      <c r="C16" t="s">
        <v>128</v>
      </c>
      <c r="D16" t="s">
        <v>66</v>
      </c>
      <c r="E16">
        <v>2025</v>
      </c>
      <c r="F16" t="s">
        <v>47</v>
      </c>
      <c r="G16" t="s">
        <v>35</v>
      </c>
      <c r="H16" t="s">
        <v>48</v>
      </c>
      <c r="I16" t="s">
        <v>126</v>
      </c>
      <c r="J16" t="s">
        <v>80</v>
      </c>
      <c r="K16" t="s">
        <v>101</v>
      </c>
      <c r="L16" t="s">
        <v>51</v>
      </c>
      <c r="M16" t="s">
        <v>73</v>
      </c>
      <c r="N16" t="s">
        <v>74</v>
      </c>
      <c r="O16" t="s">
        <v>43</v>
      </c>
      <c r="P16" t="s">
        <v>75</v>
      </c>
      <c r="Q16">
        <v>39175.980000000003</v>
      </c>
      <c r="R16">
        <v>42336.59</v>
      </c>
      <c r="S16">
        <v>26929.57</v>
      </c>
      <c r="T16">
        <v>2680.22</v>
      </c>
      <c r="U16">
        <v>2250.56</v>
      </c>
      <c r="V16">
        <v>3359.74</v>
      </c>
      <c r="W16">
        <v>1445.57</v>
      </c>
      <c r="X16">
        <v>36665.67</v>
      </c>
      <c r="Y16">
        <v>12246.4</v>
      </c>
      <c r="Z16">
        <v>-24419.27</v>
      </c>
      <c r="AA16">
        <v>-0.5282</v>
      </c>
      <c r="AB16">
        <v>-3160.61</v>
      </c>
      <c r="AC16">
        <v>0</v>
      </c>
      <c r="AD16">
        <v>7051.68</v>
      </c>
      <c r="AE16">
        <v>46227.65</v>
      </c>
    </row>
    <row r="17" spans="1:31" x14ac:dyDescent="0.25">
      <c r="A17" t="s">
        <v>129</v>
      </c>
      <c r="B17" s="2">
        <v>45905</v>
      </c>
      <c r="C17" t="s">
        <v>46</v>
      </c>
      <c r="D17" t="s">
        <v>33</v>
      </c>
      <c r="E17">
        <v>2025</v>
      </c>
      <c r="F17" t="s">
        <v>85</v>
      </c>
      <c r="G17" t="s">
        <v>35</v>
      </c>
      <c r="H17" t="s">
        <v>86</v>
      </c>
      <c r="I17" t="s">
        <v>87</v>
      </c>
      <c r="J17" t="s">
        <v>70</v>
      </c>
      <c r="K17" t="s">
        <v>71</v>
      </c>
      <c r="L17" t="s">
        <v>81</v>
      </c>
      <c r="M17" t="s">
        <v>130</v>
      </c>
      <c r="N17" t="s">
        <v>131</v>
      </c>
      <c r="O17" t="s">
        <v>43</v>
      </c>
      <c r="P17" t="s">
        <v>132</v>
      </c>
      <c r="Q17">
        <v>48086.6</v>
      </c>
      <c r="R17">
        <v>56458.46</v>
      </c>
      <c r="S17">
        <v>23951.119999999999</v>
      </c>
      <c r="T17">
        <v>3580.32</v>
      </c>
      <c r="U17">
        <v>1798.88</v>
      </c>
      <c r="V17">
        <v>2956.27</v>
      </c>
      <c r="W17">
        <v>1297.6099999999999</v>
      </c>
      <c r="X17">
        <v>33584.21</v>
      </c>
      <c r="Y17">
        <v>24135.48</v>
      </c>
      <c r="Z17">
        <v>-9448.73</v>
      </c>
      <c r="AA17">
        <v>-0.18090000000000001</v>
      </c>
      <c r="AB17">
        <v>-8371.85</v>
      </c>
      <c r="AC17">
        <v>1442.6</v>
      </c>
      <c r="AD17">
        <v>5597.28</v>
      </c>
      <c r="AE17">
        <v>52241.29</v>
      </c>
    </row>
    <row r="18" spans="1:31" x14ac:dyDescent="0.25">
      <c r="A18" t="s">
        <v>133</v>
      </c>
      <c r="B18" s="2">
        <v>45801</v>
      </c>
      <c r="C18" t="s">
        <v>65</v>
      </c>
      <c r="D18" t="s">
        <v>66</v>
      </c>
      <c r="E18">
        <v>2025</v>
      </c>
      <c r="F18" t="s">
        <v>34</v>
      </c>
      <c r="G18" t="s">
        <v>35</v>
      </c>
      <c r="H18" t="s">
        <v>134</v>
      </c>
      <c r="I18" t="s">
        <v>135</v>
      </c>
      <c r="J18" t="s">
        <v>38</v>
      </c>
      <c r="K18" t="s">
        <v>50</v>
      </c>
      <c r="L18" t="s">
        <v>40</v>
      </c>
      <c r="M18" t="s">
        <v>52</v>
      </c>
      <c r="N18" t="s">
        <v>53</v>
      </c>
      <c r="O18" t="s">
        <v>54</v>
      </c>
      <c r="P18" t="s">
        <v>55</v>
      </c>
      <c r="Q18">
        <v>9607.66</v>
      </c>
      <c r="R18">
        <v>10463.75</v>
      </c>
      <c r="S18">
        <v>6231.49</v>
      </c>
      <c r="T18">
        <v>756.69</v>
      </c>
      <c r="U18">
        <v>423.54</v>
      </c>
      <c r="V18">
        <v>1006.39</v>
      </c>
      <c r="W18">
        <v>368.49</v>
      </c>
      <c r="X18">
        <v>8786.61</v>
      </c>
      <c r="Y18">
        <v>3376.17</v>
      </c>
      <c r="Z18">
        <v>-5410.44</v>
      </c>
      <c r="AA18">
        <v>-0.51870000000000005</v>
      </c>
      <c r="AB18">
        <v>-856.09</v>
      </c>
      <c r="AC18">
        <v>768.61</v>
      </c>
      <c r="AD18">
        <v>1591.03</v>
      </c>
      <c r="AE18">
        <v>10430.08</v>
      </c>
    </row>
    <row r="19" spans="1:31" x14ac:dyDescent="0.25">
      <c r="A19" t="s">
        <v>136</v>
      </c>
      <c r="B19" s="2">
        <v>46060</v>
      </c>
      <c r="C19" t="s">
        <v>57</v>
      </c>
      <c r="D19" t="s">
        <v>58</v>
      </c>
      <c r="E19">
        <v>2026</v>
      </c>
      <c r="F19" t="s">
        <v>34</v>
      </c>
      <c r="G19" t="s">
        <v>35</v>
      </c>
      <c r="H19" t="s">
        <v>134</v>
      </c>
      <c r="I19" t="s">
        <v>137</v>
      </c>
      <c r="J19" t="s">
        <v>38</v>
      </c>
      <c r="K19" t="s">
        <v>71</v>
      </c>
      <c r="L19" t="s">
        <v>72</v>
      </c>
      <c r="M19" t="s">
        <v>41</v>
      </c>
      <c r="N19" t="s">
        <v>42</v>
      </c>
      <c r="O19" t="s">
        <v>43</v>
      </c>
      <c r="P19" t="s">
        <v>44</v>
      </c>
      <c r="Q19">
        <v>33050.480000000003</v>
      </c>
      <c r="R19">
        <v>30016.27</v>
      </c>
      <c r="S19">
        <v>20451.22</v>
      </c>
      <c r="T19">
        <v>1747.56</v>
      </c>
      <c r="U19">
        <v>1826.5</v>
      </c>
      <c r="V19">
        <v>2756.79</v>
      </c>
      <c r="W19">
        <v>661.97</v>
      </c>
      <c r="X19">
        <v>27444.03</v>
      </c>
      <c r="Y19">
        <v>12599.27</v>
      </c>
      <c r="Z19">
        <v>-14844.76</v>
      </c>
      <c r="AA19">
        <v>-0.45029999999999998</v>
      </c>
      <c r="AB19">
        <v>3034.21</v>
      </c>
      <c r="AC19">
        <v>1652.52</v>
      </c>
      <c r="AD19">
        <v>1569.9</v>
      </c>
      <c r="AE19">
        <v>32967.85</v>
      </c>
    </row>
    <row r="20" spans="1:31" x14ac:dyDescent="0.25">
      <c r="A20" t="s">
        <v>138</v>
      </c>
      <c r="B20" s="2">
        <v>45927</v>
      </c>
      <c r="C20" t="s">
        <v>46</v>
      </c>
      <c r="D20" t="s">
        <v>33</v>
      </c>
      <c r="E20">
        <v>2025</v>
      </c>
      <c r="F20" t="s">
        <v>59</v>
      </c>
      <c r="G20" t="s">
        <v>35</v>
      </c>
      <c r="H20" t="s">
        <v>139</v>
      </c>
      <c r="I20" t="s">
        <v>140</v>
      </c>
      <c r="J20" t="s">
        <v>70</v>
      </c>
      <c r="K20" t="s">
        <v>50</v>
      </c>
      <c r="L20" t="s">
        <v>94</v>
      </c>
      <c r="M20" t="s">
        <v>141</v>
      </c>
      <c r="N20" t="s">
        <v>142</v>
      </c>
      <c r="O20" t="s">
        <v>54</v>
      </c>
      <c r="P20" t="s">
        <v>143</v>
      </c>
      <c r="Q20">
        <v>6337.58</v>
      </c>
      <c r="R20">
        <v>6761.36</v>
      </c>
      <c r="S20">
        <v>3171.85</v>
      </c>
      <c r="T20">
        <v>343.08</v>
      </c>
      <c r="U20">
        <v>377.33</v>
      </c>
      <c r="V20">
        <v>527.61</v>
      </c>
      <c r="W20">
        <v>204.77</v>
      </c>
      <c r="X20">
        <v>4624.6400000000003</v>
      </c>
      <c r="Y20">
        <v>3165.73</v>
      </c>
      <c r="Z20">
        <v>-1458.91</v>
      </c>
      <c r="AA20">
        <v>-0.2054</v>
      </c>
      <c r="AB20">
        <v>-423.78</v>
      </c>
      <c r="AC20">
        <v>316.88</v>
      </c>
      <c r="AD20">
        <v>1083.73</v>
      </c>
      <c r="AE20">
        <v>7104.43</v>
      </c>
    </row>
    <row r="21" spans="1:31" x14ac:dyDescent="0.25">
      <c r="A21" t="s">
        <v>144</v>
      </c>
      <c r="B21" s="2">
        <v>45871</v>
      </c>
      <c r="C21" t="s">
        <v>117</v>
      </c>
      <c r="D21" t="s">
        <v>33</v>
      </c>
      <c r="E21">
        <v>2025</v>
      </c>
      <c r="F21" t="s">
        <v>34</v>
      </c>
      <c r="G21" t="s">
        <v>35</v>
      </c>
      <c r="H21" t="s">
        <v>36</v>
      </c>
      <c r="I21" t="s">
        <v>145</v>
      </c>
      <c r="J21" t="s">
        <v>38</v>
      </c>
      <c r="K21" t="s">
        <v>50</v>
      </c>
      <c r="L21" t="s">
        <v>72</v>
      </c>
      <c r="M21" t="s">
        <v>110</v>
      </c>
      <c r="N21" t="s">
        <v>111</v>
      </c>
      <c r="O21" t="s">
        <v>112</v>
      </c>
      <c r="P21" t="s">
        <v>113</v>
      </c>
      <c r="Q21">
        <v>9626.48</v>
      </c>
      <c r="R21">
        <v>9708.25</v>
      </c>
      <c r="S21">
        <v>6211.39</v>
      </c>
      <c r="T21">
        <v>526.14</v>
      </c>
      <c r="U21">
        <v>813.33</v>
      </c>
      <c r="V21">
        <v>725.72</v>
      </c>
      <c r="W21">
        <v>177.06</v>
      </c>
      <c r="X21">
        <v>8453.64</v>
      </c>
      <c r="Y21">
        <v>3415.09</v>
      </c>
      <c r="Z21">
        <v>-5038.55</v>
      </c>
      <c r="AA21">
        <v>-0.4985</v>
      </c>
      <c r="AB21">
        <v>-81.77</v>
      </c>
      <c r="AC21">
        <v>0</v>
      </c>
      <c r="AD21">
        <v>481.32</v>
      </c>
      <c r="AE21">
        <v>10107.799999999999</v>
      </c>
    </row>
    <row r="22" spans="1:31" x14ac:dyDescent="0.25">
      <c r="A22" t="s">
        <v>146</v>
      </c>
      <c r="B22" s="2">
        <v>45984</v>
      </c>
      <c r="C22" t="s">
        <v>147</v>
      </c>
      <c r="D22" t="s">
        <v>93</v>
      </c>
      <c r="E22">
        <v>2025</v>
      </c>
      <c r="F22" t="s">
        <v>47</v>
      </c>
      <c r="G22" t="s">
        <v>35</v>
      </c>
      <c r="H22" t="s">
        <v>78</v>
      </c>
      <c r="I22" t="s">
        <v>79</v>
      </c>
      <c r="J22" t="s">
        <v>70</v>
      </c>
      <c r="K22" t="s">
        <v>39</v>
      </c>
      <c r="L22" t="s">
        <v>81</v>
      </c>
      <c r="M22" t="s">
        <v>88</v>
      </c>
      <c r="N22" t="s">
        <v>89</v>
      </c>
      <c r="O22" t="s">
        <v>43</v>
      </c>
      <c r="P22" t="s">
        <v>90</v>
      </c>
      <c r="Q22">
        <v>28563.85</v>
      </c>
      <c r="R22">
        <v>31630.29</v>
      </c>
      <c r="S22">
        <v>13809.32</v>
      </c>
      <c r="T22">
        <v>1693.43</v>
      </c>
      <c r="U22">
        <v>799.51</v>
      </c>
      <c r="V22">
        <v>1235.6199999999999</v>
      </c>
      <c r="W22">
        <v>1140.8699999999999</v>
      </c>
      <c r="X22">
        <v>18678.759999999998</v>
      </c>
      <c r="Y22">
        <v>14754.53</v>
      </c>
      <c r="Z22">
        <v>-3924.22</v>
      </c>
      <c r="AA22">
        <v>-0.12909999999999999</v>
      </c>
      <c r="AB22">
        <v>-3066.44</v>
      </c>
      <c r="AC22">
        <v>1428.19</v>
      </c>
      <c r="AD22">
        <v>3256.28</v>
      </c>
      <c r="AE22">
        <v>30391.94</v>
      </c>
    </row>
    <row r="23" spans="1:31" x14ac:dyDescent="0.25">
      <c r="A23" t="s">
        <v>148</v>
      </c>
      <c r="B23" s="2">
        <v>45965</v>
      </c>
      <c r="C23" t="s">
        <v>147</v>
      </c>
      <c r="D23" t="s">
        <v>93</v>
      </c>
      <c r="E23">
        <v>2025</v>
      </c>
      <c r="F23" t="s">
        <v>34</v>
      </c>
      <c r="G23" t="s">
        <v>35</v>
      </c>
      <c r="H23" t="s">
        <v>98</v>
      </c>
      <c r="I23" t="s">
        <v>149</v>
      </c>
      <c r="J23" t="s">
        <v>38</v>
      </c>
      <c r="K23" t="s">
        <v>50</v>
      </c>
      <c r="L23" t="s">
        <v>81</v>
      </c>
      <c r="M23" t="s">
        <v>52</v>
      </c>
      <c r="N23" t="s">
        <v>53</v>
      </c>
      <c r="O23" t="s">
        <v>54</v>
      </c>
      <c r="P23" t="s">
        <v>55</v>
      </c>
      <c r="Q23">
        <v>11029.55</v>
      </c>
      <c r="R23">
        <v>10569.26</v>
      </c>
      <c r="S23">
        <v>5334.7</v>
      </c>
      <c r="T23">
        <v>1375.11</v>
      </c>
      <c r="U23">
        <v>634.94000000000005</v>
      </c>
      <c r="V23">
        <v>917.11</v>
      </c>
      <c r="W23">
        <v>374.33</v>
      </c>
      <c r="X23">
        <v>8636.19</v>
      </c>
      <c r="Y23">
        <v>5694.85</v>
      </c>
      <c r="Z23">
        <v>-2941.33</v>
      </c>
      <c r="AA23">
        <v>-0.2379</v>
      </c>
      <c r="AB23">
        <v>460.28</v>
      </c>
      <c r="AC23">
        <v>551.48</v>
      </c>
      <c r="AD23">
        <v>1886.05</v>
      </c>
      <c r="AE23">
        <v>12364.12</v>
      </c>
    </row>
    <row r="24" spans="1:31" x14ac:dyDescent="0.25">
      <c r="A24" t="s">
        <v>150</v>
      </c>
      <c r="B24" s="2">
        <v>46005</v>
      </c>
      <c r="C24" t="s">
        <v>107</v>
      </c>
      <c r="D24" t="s">
        <v>93</v>
      </c>
      <c r="E24">
        <v>2025</v>
      </c>
      <c r="F24" t="s">
        <v>59</v>
      </c>
      <c r="G24" t="s">
        <v>35</v>
      </c>
      <c r="H24" t="s">
        <v>60</v>
      </c>
      <c r="I24" t="s">
        <v>108</v>
      </c>
      <c r="J24" t="s">
        <v>38</v>
      </c>
      <c r="K24" t="s">
        <v>39</v>
      </c>
      <c r="L24" t="s">
        <v>40</v>
      </c>
      <c r="M24" t="s">
        <v>88</v>
      </c>
      <c r="N24" t="s">
        <v>89</v>
      </c>
      <c r="O24" t="s">
        <v>43</v>
      </c>
      <c r="P24" t="s">
        <v>90</v>
      </c>
      <c r="Q24">
        <v>49438.080000000002</v>
      </c>
      <c r="R24">
        <v>51597.79</v>
      </c>
      <c r="S24">
        <v>34900.89</v>
      </c>
      <c r="T24">
        <v>3998.96</v>
      </c>
      <c r="U24">
        <v>4324.71</v>
      </c>
      <c r="V24">
        <v>5558.23</v>
      </c>
      <c r="W24">
        <v>833.16</v>
      </c>
      <c r="X24">
        <v>49615.95</v>
      </c>
      <c r="Y24">
        <v>14537.19</v>
      </c>
      <c r="Z24">
        <v>-35078.76</v>
      </c>
      <c r="AA24">
        <v>-0.67579999999999996</v>
      </c>
      <c r="AB24">
        <v>-2159.6999999999998</v>
      </c>
      <c r="AC24">
        <v>0</v>
      </c>
      <c r="AD24">
        <v>2471.9</v>
      </c>
      <c r="AE24">
        <v>51909.99</v>
      </c>
    </row>
    <row r="25" spans="1:31" x14ac:dyDescent="0.25">
      <c r="A25" t="s">
        <v>151</v>
      </c>
      <c r="B25" s="2">
        <v>46000</v>
      </c>
      <c r="C25" t="s">
        <v>107</v>
      </c>
      <c r="D25" t="s">
        <v>93</v>
      </c>
      <c r="E25">
        <v>2025</v>
      </c>
      <c r="F25" t="s">
        <v>59</v>
      </c>
      <c r="G25" t="s">
        <v>35</v>
      </c>
      <c r="H25" t="s">
        <v>139</v>
      </c>
      <c r="I25" t="s">
        <v>152</v>
      </c>
      <c r="J25" t="s">
        <v>80</v>
      </c>
      <c r="K25" t="s">
        <v>39</v>
      </c>
      <c r="L25" t="s">
        <v>81</v>
      </c>
      <c r="M25" t="s">
        <v>52</v>
      </c>
      <c r="N25" t="s">
        <v>53</v>
      </c>
      <c r="O25" t="s">
        <v>54</v>
      </c>
      <c r="P25" t="s">
        <v>55</v>
      </c>
      <c r="Q25">
        <v>1711.26</v>
      </c>
      <c r="R25">
        <v>1650.61</v>
      </c>
      <c r="S25">
        <v>869.94</v>
      </c>
      <c r="T25">
        <v>180.95</v>
      </c>
      <c r="U25">
        <v>112.74</v>
      </c>
      <c r="V25">
        <v>188.58</v>
      </c>
      <c r="W25">
        <v>61.14</v>
      </c>
      <c r="X25">
        <v>1413.34</v>
      </c>
      <c r="Y25">
        <v>841.33</v>
      </c>
      <c r="Z25">
        <v>-572.02</v>
      </c>
      <c r="AA25">
        <v>-0.32440000000000002</v>
      </c>
      <c r="AB25">
        <v>60.65</v>
      </c>
      <c r="AC25">
        <v>136.9</v>
      </c>
      <c r="AD25">
        <v>188.92</v>
      </c>
      <c r="AE25">
        <v>1763.29</v>
      </c>
    </row>
    <row r="26" spans="1:31" x14ac:dyDescent="0.25">
      <c r="A26" t="s">
        <v>153</v>
      </c>
      <c r="B26" s="2">
        <v>46104</v>
      </c>
      <c r="C26" t="s">
        <v>125</v>
      </c>
      <c r="D26" t="s">
        <v>58</v>
      </c>
      <c r="E26">
        <v>2026</v>
      </c>
      <c r="F26" t="s">
        <v>34</v>
      </c>
      <c r="G26" t="s">
        <v>35</v>
      </c>
      <c r="H26" t="s">
        <v>134</v>
      </c>
      <c r="I26" t="s">
        <v>154</v>
      </c>
      <c r="J26" t="s">
        <v>80</v>
      </c>
      <c r="K26" t="s">
        <v>71</v>
      </c>
      <c r="L26" t="s">
        <v>72</v>
      </c>
      <c r="M26" t="s">
        <v>120</v>
      </c>
      <c r="N26" t="s">
        <v>121</v>
      </c>
      <c r="O26" t="s">
        <v>43</v>
      </c>
      <c r="P26" t="s">
        <v>122</v>
      </c>
      <c r="Q26">
        <v>32676.06</v>
      </c>
      <c r="R26">
        <v>37255.120000000003</v>
      </c>
      <c r="S26">
        <v>20090.810000000001</v>
      </c>
      <c r="T26">
        <v>2257.52</v>
      </c>
      <c r="U26">
        <v>2260.85</v>
      </c>
      <c r="V26">
        <v>3241.23</v>
      </c>
      <c r="W26">
        <v>599.22</v>
      </c>
      <c r="X26">
        <v>28449.63</v>
      </c>
      <c r="Y26">
        <v>12585.25</v>
      </c>
      <c r="Z26">
        <v>-15864.38</v>
      </c>
      <c r="AA26">
        <v>-0.44690000000000002</v>
      </c>
      <c r="AB26">
        <v>-4579.0600000000004</v>
      </c>
      <c r="AC26">
        <v>980.28</v>
      </c>
      <c r="AD26">
        <v>3803.49</v>
      </c>
      <c r="AE26">
        <v>35499.269999999997</v>
      </c>
    </row>
    <row r="27" spans="1:31" x14ac:dyDescent="0.25">
      <c r="A27" t="s">
        <v>155</v>
      </c>
      <c r="B27" s="2">
        <v>45831</v>
      </c>
      <c r="C27" t="s">
        <v>156</v>
      </c>
      <c r="D27" t="s">
        <v>66</v>
      </c>
      <c r="E27">
        <v>2025</v>
      </c>
      <c r="F27" t="s">
        <v>34</v>
      </c>
      <c r="G27" t="s">
        <v>35</v>
      </c>
      <c r="H27" t="s">
        <v>157</v>
      </c>
      <c r="I27" t="s">
        <v>158</v>
      </c>
      <c r="J27" t="s">
        <v>70</v>
      </c>
      <c r="K27" t="s">
        <v>50</v>
      </c>
      <c r="L27" t="s">
        <v>72</v>
      </c>
      <c r="M27" t="s">
        <v>102</v>
      </c>
      <c r="N27" t="s">
        <v>103</v>
      </c>
      <c r="O27" t="s">
        <v>104</v>
      </c>
      <c r="P27" t="s">
        <v>105</v>
      </c>
      <c r="Q27">
        <v>34032.17</v>
      </c>
      <c r="R27">
        <v>33571.769999999997</v>
      </c>
      <c r="S27">
        <v>24150.33</v>
      </c>
      <c r="T27">
        <v>3544.16</v>
      </c>
      <c r="U27">
        <v>1918.18</v>
      </c>
      <c r="V27">
        <v>2703.59</v>
      </c>
      <c r="W27">
        <v>439.52</v>
      </c>
      <c r="X27">
        <v>32755.78</v>
      </c>
      <c r="Y27">
        <v>9881.85</v>
      </c>
      <c r="Z27">
        <v>-22873.94</v>
      </c>
      <c r="AA27">
        <v>-0.5696</v>
      </c>
      <c r="AB27">
        <v>460.4</v>
      </c>
      <c r="AC27">
        <v>0</v>
      </c>
      <c r="AD27">
        <v>6125.79</v>
      </c>
      <c r="AE27">
        <v>40157.96</v>
      </c>
    </row>
    <row r="28" spans="1:31" x14ac:dyDescent="0.25">
      <c r="A28" t="s">
        <v>159</v>
      </c>
      <c r="B28" s="2">
        <v>45800</v>
      </c>
      <c r="C28" t="s">
        <v>65</v>
      </c>
      <c r="D28" t="s">
        <v>66</v>
      </c>
      <c r="E28">
        <v>2025</v>
      </c>
      <c r="F28" t="s">
        <v>34</v>
      </c>
      <c r="G28" t="s">
        <v>35</v>
      </c>
      <c r="H28" t="s">
        <v>98</v>
      </c>
      <c r="I28" t="s">
        <v>149</v>
      </c>
      <c r="J28" t="s">
        <v>80</v>
      </c>
      <c r="K28" t="s">
        <v>160</v>
      </c>
      <c r="L28" t="s">
        <v>40</v>
      </c>
      <c r="M28" t="s">
        <v>161</v>
      </c>
      <c r="N28" t="s">
        <v>162</v>
      </c>
      <c r="O28" t="s">
        <v>43</v>
      </c>
      <c r="P28" t="s">
        <v>163</v>
      </c>
      <c r="Q28">
        <v>50779.14</v>
      </c>
      <c r="R28">
        <v>55913.45</v>
      </c>
      <c r="S28">
        <v>31027.06</v>
      </c>
      <c r="T28">
        <v>5406.28</v>
      </c>
      <c r="U28">
        <v>4466.6499999999996</v>
      </c>
      <c r="V28">
        <v>4826.17</v>
      </c>
      <c r="W28">
        <v>1995.3</v>
      </c>
      <c r="X28">
        <v>47721.47</v>
      </c>
      <c r="Y28">
        <v>19752.080000000002</v>
      </c>
      <c r="Z28">
        <v>-27969.38</v>
      </c>
      <c r="AA28">
        <v>-0.50739999999999996</v>
      </c>
      <c r="AB28">
        <v>-5134.3100000000004</v>
      </c>
      <c r="AC28">
        <v>4062.33</v>
      </c>
      <c r="AD28">
        <v>8409.0300000000007</v>
      </c>
      <c r="AE28">
        <v>55125.84</v>
      </c>
    </row>
    <row r="29" spans="1:31" x14ac:dyDescent="0.25">
      <c r="A29" t="s">
        <v>164</v>
      </c>
      <c r="B29" s="2">
        <v>45921</v>
      </c>
      <c r="C29" t="s">
        <v>46</v>
      </c>
      <c r="D29" t="s">
        <v>33</v>
      </c>
      <c r="E29">
        <v>2025</v>
      </c>
      <c r="F29" t="s">
        <v>34</v>
      </c>
      <c r="G29" t="s">
        <v>35</v>
      </c>
      <c r="H29" t="s">
        <v>157</v>
      </c>
      <c r="I29" t="s">
        <v>158</v>
      </c>
      <c r="J29" t="s">
        <v>100</v>
      </c>
      <c r="K29" t="s">
        <v>160</v>
      </c>
      <c r="L29" t="s">
        <v>40</v>
      </c>
      <c r="M29" t="s">
        <v>110</v>
      </c>
      <c r="N29" t="s">
        <v>111</v>
      </c>
      <c r="O29" t="s">
        <v>112</v>
      </c>
      <c r="P29" t="s">
        <v>113</v>
      </c>
      <c r="Q29">
        <v>17169.71</v>
      </c>
      <c r="R29">
        <v>18103.599999999999</v>
      </c>
      <c r="S29">
        <v>11798.22</v>
      </c>
      <c r="T29">
        <v>2067.73</v>
      </c>
      <c r="U29">
        <v>693.39</v>
      </c>
      <c r="V29">
        <v>1933.58</v>
      </c>
      <c r="W29">
        <v>527.39</v>
      </c>
      <c r="X29">
        <v>17020.3</v>
      </c>
      <c r="Y29">
        <v>5371.49</v>
      </c>
      <c r="Z29">
        <v>-11648.81</v>
      </c>
      <c r="AA29">
        <v>-0.5927</v>
      </c>
      <c r="AB29">
        <v>-933.89</v>
      </c>
      <c r="AC29">
        <v>515.09</v>
      </c>
      <c r="AD29">
        <v>2997.83</v>
      </c>
      <c r="AE29">
        <v>19652.45</v>
      </c>
    </row>
    <row r="30" spans="1:31" x14ac:dyDescent="0.25">
      <c r="A30" t="s">
        <v>165</v>
      </c>
      <c r="B30" s="2">
        <v>46022</v>
      </c>
      <c r="C30" t="s">
        <v>107</v>
      </c>
      <c r="D30" t="s">
        <v>93</v>
      </c>
      <c r="E30">
        <v>2025</v>
      </c>
      <c r="F30" t="s">
        <v>34</v>
      </c>
      <c r="G30" t="s">
        <v>35</v>
      </c>
      <c r="H30" t="s">
        <v>157</v>
      </c>
      <c r="I30" t="s">
        <v>166</v>
      </c>
      <c r="J30" t="s">
        <v>70</v>
      </c>
      <c r="K30" t="s">
        <v>50</v>
      </c>
      <c r="L30" t="s">
        <v>51</v>
      </c>
      <c r="M30" t="s">
        <v>161</v>
      </c>
      <c r="N30" t="s">
        <v>162</v>
      </c>
      <c r="O30" t="s">
        <v>43</v>
      </c>
      <c r="P30" t="s">
        <v>163</v>
      </c>
      <c r="Q30">
        <v>34662.19</v>
      </c>
      <c r="R30">
        <v>34716.29</v>
      </c>
      <c r="S30">
        <v>21391.89</v>
      </c>
      <c r="T30">
        <v>3787.81</v>
      </c>
      <c r="U30">
        <v>2595.08</v>
      </c>
      <c r="V30">
        <v>3668.07</v>
      </c>
      <c r="W30">
        <v>1249.48</v>
      </c>
      <c r="X30">
        <v>32692.33</v>
      </c>
      <c r="Y30">
        <v>13270.3</v>
      </c>
      <c r="Z30">
        <v>-19422.03</v>
      </c>
      <c r="AA30">
        <v>-0.56169999999999998</v>
      </c>
      <c r="AB30">
        <v>-54.09</v>
      </c>
      <c r="AC30">
        <v>1733.11</v>
      </c>
      <c r="AD30">
        <v>1646.45</v>
      </c>
      <c r="AE30">
        <v>34575.54</v>
      </c>
    </row>
    <row r="31" spans="1:31" x14ac:dyDescent="0.25">
      <c r="A31" t="s">
        <v>167</v>
      </c>
      <c r="B31" s="2">
        <v>45938</v>
      </c>
      <c r="C31" t="s">
        <v>92</v>
      </c>
      <c r="D31" t="s">
        <v>93</v>
      </c>
      <c r="E31">
        <v>2025</v>
      </c>
      <c r="F31" t="s">
        <v>67</v>
      </c>
      <c r="G31" t="s">
        <v>35</v>
      </c>
      <c r="H31" t="s">
        <v>168</v>
      </c>
      <c r="I31" t="s">
        <v>169</v>
      </c>
      <c r="J31" t="s">
        <v>100</v>
      </c>
      <c r="K31" t="s">
        <v>101</v>
      </c>
      <c r="L31" t="s">
        <v>40</v>
      </c>
      <c r="M31" t="s">
        <v>102</v>
      </c>
      <c r="N31" t="s">
        <v>103</v>
      </c>
      <c r="O31" t="s">
        <v>104</v>
      </c>
      <c r="P31" t="s">
        <v>105</v>
      </c>
      <c r="Q31">
        <v>29790.11</v>
      </c>
      <c r="R31">
        <v>29099.15</v>
      </c>
      <c r="S31">
        <v>14609.55</v>
      </c>
      <c r="T31">
        <v>3693.12</v>
      </c>
      <c r="U31">
        <v>2524.4899999999998</v>
      </c>
      <c r="V31">
        <v>1794.53</v>
      </c>
      <c r="W31">
        <v>1022.97</v>
      </c>
      <c r="X31">
        <v>23644.67</v>
      </c>
      <c r="Y31">
        <v>15180.56</v>
      </c>
      <c r="Z31">
        <v>-8464.11</v>
      </c>
      <c r="AA31">
        <v>-0.27060000000000001</v>
      </c>
      <c r="AB31">
        <v>690.95</v>
      </c>
      <c r="AC31">
        <v>0</v>
      </c>
      <c r="AD31">
        <v>1489.51</v>
      </c>
      <c r="AE31">
        <v>31279.61</v>
      </c>
    </row>
    <row r="32" spans="1:31" x14ac:dyDescent="0.25">
      <c r="A32" t="s">
        <v>170</v>
      </c>
      <c r="B32" s="2">
        <v>46052</v>
      </c>
      <c r="C32" t="s">
        <v>77</v>
      </c>
      <c r="D32" t="s">
        <v>58</v>
      </c>
      <c r="E32">
        <v>2026</v>
      </c>
      <c r="F32" t="s">
        <v>34</v>
      </c>
      <c r="G32" t="s">
        <v>35</v>
      </c>
      <c r="H32" t="s">
        <v>36</v>
      </c>
      <c r="I32" t="s">
        <v>145</v>
      </c>
      <c r="J32" t="s">
        <v>80</v>
      </c>
      <c r="K32" t="s">
        <v>39</v>
      </c>
      <c r="L32" t="s">
        <v>51</v>
      </c>
      <c r="M32" t="s">
        <v>171</v>
      </c>
      <c r="N32" t="s">
        <v>172</v>
      </c>
      <c r="O32" t="s">
        <v>173</v>
      </c>
      <c r="P32" t="s">
        <v>174</v>
      </c>
      <c r="Q32">
        <v>35907.040000000001</v>
      </c>
      <c r="R32">
        <v>41925.449999999997</v>
      </c>
      <c r="S32">
        <v>17734.03</v>
      </c>
      <c r="T32">
        <v>2928.64</v>
      </c>
      <c r="U32">
        <v>1146.8399999999999</v>
      </c>
      <c r="V32">
        <v>2400.4899999999998</v>
      </c>
      <c r="W32">
        <v>572.32000000000005</v>
      </c>
      <c r="X32">
        <v>24782.32</v>
      </c>
      <c r="Y32">
        <v>18173.009999999998</v>
      </c>
      <c r="Z32">
        <v>-6609.31</v>
      </c>
      <c r="AA32">
        <v>-0.17299999999999999</v>
      </c>
      <c r="AB32">
        <v>-6018.41</v>
      </c>
      <c r="AC32">
        <v>1795.35</v>
      </c>
      <c r="AD32">
        <v>4093.4</v>
      </c>
      <c r="AE32">
        <v>38205.1</v>
      </c>
    </row>
    <row r="33" spans="1:31" x14ac:dyDescent="0.25">
      <c r="A33" t="s">
        <v>175</v>
      </c>
      <c r="B33" s="2">
        <v>46063</v>
      </c>
      <c r="C33" t="s">
        <v>57</v>
      </c>
      <c r="D33" t="s">
        <v>58</v>
      </c>
      <c r="E33">
        <v>2026</v>
      </c>
      <c r="F33" t="s">
        <v>34</v>
      </c>
      <c r="G33" t="s">
        <v>35</v>
      </c>
      <c r="H33" t="s">
        <v>134</v>
      </c>
      <c r="I33" t="s">
        <v>176</v>
      </c>
      <c r="J33" t="s">
        <v>80</v>
      </c>
      <c r="K33" t="s">
        <v>50</v>
      </c>
      <c r="L33" t="s">
        <v>51</v>
      </c>
      <c r="M33" t="s">
        <v>130</v>
      </c>
      <c r="N33" t="s">
        <v>131</v>
      </c>
      <c r="O33" t="s">
        <v>43</v>
      </c>
      <c r="P33" t="s">
        <v>132</v>
      </c>
      <c r="Q33">
        <v>31046.84</v>
      </c>
      <c r="R33">
        <v>32935.56</v>
      </c>
      <c r="S33">
        <v>16921.46</v>
      </c>
      <c r="T33">
        <v>1883.14</v>
      </c>
      <c r="U33">
        <v>929.95</v>
      </c>
      <c r="V33">
        <v>3577.92</v>
      </c>
      <c r="W33">
        <v>763.2</v>
      </c>
      <c r="X33">
        <v>24075.66</v>
      </c>
      <c r="Y33">
        <v>14125.39</v>
      </c>
      <c r="Z33">
        <v>-9950.2800000000007</v>
      </c>
      <c r="AA33">
        <v>-0.28589999999999999</v>
      </c>
      <c r="AB33">
        <v>-1888.72</v>
      </c>
      <c r="AC33">
        <v>1552.34</v>
      </c>
      <c r="AD33">
        <v>5309.01</v>
      </c>
      <c r="AE33">
        <v>34803.51</v>
      </c>
    </row>
    <row r="34" spans="1:31" x14ac:dyDescent="0.25">
      <c r="A34" t="s">
        <v>177</v>
      </c>
      <c r="B34" s="2">
        <v>45757</v>
      </c>
      <c r="C34" t="s">
        <v>128</v>
      </c>
      <c r="D34" t="s">
        <v>66</v>
      </c>
      <c r="E34">
        <v>2025</v>
      </c>
      <c r="F34" t="s">
        <v>85</v>
      </c>
      <c r="G34" t="s">
        <v>35</v>
      </c>
      <c r="H34" t="s">
        <v>178</v>
      </c>
      <c r="I34" t="s">
        <v>179</v>
      </c>
      <c r="J34" t="s">
        <v>80</v>
      </c>
      <c r="K34" t="s">
        <v>50</v>
      </c>
      <c r="L34" t="s">
        <v>94</v>
      </c>
      <c r="M34" t="s">
        <v>82</v>
      </c>
      <c r="N34" t="s">
        <v>83</v>
      </c>
      <c r="O34" t="s">
        <v>43</v>
      </c>
      <c r="P34" t="s">
        <v>75</v>
      </c>
      <c r="Q34">
        <v>54421.25</v>
      </c>
      <c r="R34">
        <v>54041.48</v>
      </c>
      <c r="S34">
        <v>35912.519999999997</v>
      </c>
      <c r="T34">
        <v>4432.0200000000004</v>
      </c>
      <c r="U34">
        <v>4293.6000000000004</v>
      </c>
      <c r="V34">
        <v>4654.46</v>
      </c>
      <c r="W34">
        <v>665.19</v>
      </c>
      <c r="X34">
        <v>49957.78</v>
      </c>
      <c r="Y34">
        <v>18508.73</v>
      </c>
      <c r="Z34">
        <v>-31449.05</v>
      </c>
      <c r="AA34">
        <v>-0.5504</v>
      </c>
      <c r="AB34">
        <v>379.77</v>
      </c>
      <c r="AC34">
        <v>0</v>
      </c>
      <c r="AD34">
        <v>2721.06</v>
      </c>
      <c r="AE34">
        <v>57142.31</v>
      </c>
    </row>
    <row r="35" spans="1:31" x14ac:dyDescent="0.25">
      <c r="A35" t="s">
        <v>180</v>
      </c>
      <c r="B35" s="2">
        <v>46058</v>
      </c>
      <c r="C35" t="s">
        <v>57</v>
      </c>
      <c r="D35" t="s">
        <v>58</v>
      </c>
      <c r="E35">
        <v>2026</v>
      </c>
      <c r="F35" t="s">
        <v>85</v>
      </c>
      <c r="G35" t="s">
        <v>35</v>
      </c>
      <c r="H35" t="s">
        <v>86</v>
      </c>
      <c r="I35" t="s">
        <v>181</v>
      </c>
      <c r="J35" t="s">
        <v>70</v>
      </c>
      <c r="K35" t="s">
        <v>71</v>
      </c>
      <c r="L35" t="s">
        <v>51</v>
      </c>
      <c r="M35" t="s">
        <v>110</v>
      </c>
      <c r="N35" t="s">
        <v>111</v>
      </c>
      <c r="O35" t="s">
        <v>112</v>
      </c>
      <c r="P35" t="s">
        <v>113</v>
      </c>
      <c r="Q35">
        <v>28871.45</v>
      </c>
      <c r="R35">
        <v>28679.61</v>
      </c>
      <c r="S35">
        <v>15528.81</v>
      </c>
      <c r="T35">
        <v>1917.17</v>
      </c>
      <c r="U35">
        <v>1193.6500000000001</v>
      </c>
      <c r="V35">
        <v>1789.41</v>
      </c>
      <c r="W35">
        <v>498.12</v>
      </c>
      <c r="X35">
        <v>20927.16</v>
      </c>
      <c r="Y35">
        <v>13342.64</v>
      </c>
      <c r="Z35">
        <v>-7584.52</v>
      </c>
      <c r="AA35">
        <v>-0.24199999999999999</v>
      </c>
      <c r="AB35">
        <v>191.85</v>
      </c>
      <c r="AC35">
        <v>2309.7199999999998</v>
      </c>
      <c r="AD35">
        <v>4781.1099999999997</v>
      </c>
      <c r="AE35">
        <v>31342.85</v>
      </c>
    </row>
    <row r="36" spans="1:31" x14ac:dyDescent="0.25">
      <c r="A36" t="s">
        <v>182</v>
      </c>
      <c r="B36" s="2">
        <v>45781</v>
      </c>
      <c r="C36" t="s">
        <v>65</v>
      </c>
      <c r="D36" t="s">
        <v>66</v>
      </c>
      <c r="E36">
        <v>2025</v>
      </c>
      <c r="F36" t="s">
        <v>47</v>
      </c>
      <c r="G36" t="s">
        <v>35</v>
      </c>
      <c r="H36" t="s">
        <v>78</v>
      </c>
      <c r="I36" t="s">
        <v>183</v>
      </c>
      <c r="J36" t="s">
        <v>100</v>
      </c>
      <c r="K36" t="s">
        <v>101</v>
      </c>
      <c r="L36" t="s">
        <v>51</v>
      </c>
      <c r="M36" t="s">
        <v>120</v>
      </c>
      <c r="N36" t="s">
        <v>121</v>
      </c>
      <c r="O36" t="s">
        <v>43</v>
      </c>
      <c r="P36" t="s">
        <v>122</v>
      </c>
      <c r="Q36">
        <v>62763.15</v>
      </c>
      <c r="R36">
        <v>65793.440000000002</v>
      </c>
      <c r="S36">
        <v>43331.48</v>
      </c>
      <c r="T36">
        <v>5164.07</v>
      </c>
      <c r="U36">
        <v>2115.81</v>
      </c>
      <c r="V36">
        <v>2655.05</v>
      </c>
      <c r="W36">
        <v>2286.4499999999998</v>
      </c>
      <c r="X36">
        <v>55552.85</v>
      </c>
      <c r="Y36">
        <v>19431.669999999998</v>
      </c>
      <c r="Z36">
        <v>-36121.18</v>
      </c>
      <c r="AA36">
        <v>-0.51339999999999997</v>
      </c>
      <c r="AB36">
        <v>-3030.29</v>
      </c>
      <c r="AC36">
        <v>3138.16</v>
      </c>
      <c r="AD36">
        <v>10732.5</v>
      </c>
      <c r="AE36">
        <v>70357.490000000005</v>
      </c>
    </row>
    <row r="37" spans="1:31" x14ac:dyDescent="0.25">
      <c r="A37" t="s">
        <v>184</v>
      </c>
      <c r="B37" s="2">
        <v>45850</v>
      </c>
      <c r="C37" t="s">
        <v>32</v>
      </c>
      <c r="D37" t="s">
        <v>33</v>
      </c>
      <c r="E37">
        <v>2025</v>
      </c>
      <c r="F37" t="s">
        <v>59</v>
      </c>
      <c r="G37" t="s">
        <v>35</v>
      </c>
      <c r="H37" t="s">
        <v>60</v>
      </c>
      <c r="I37" t="s">
        <v>185</v>
      </c>
      <c r="J37" t="s">
        <v>100</v>
      </c>
      <c r="K37" t="s">
        <v>39</v>
      </c>
      <c r="L37" t="s">
        <v>40</v>
      </c>
      <c r="M37" t="s">
        <v>186</v>
      </c>
      <c r="N37" t="s">
        <v>187</v>
      </c>
      <c r="O37" t="s">
        <v>173</v>
      </c>
      <c r="P37" t="s">
        <v>174</v>
      </c>
      <c r="Q37">
        <v>24879.63</v>
      </c>
      <c r="R37">
        <v>24493.41</v>
      </c>
      <c r="S37">
        <v>15011.31</v>
      </c>
      <c r="T37">
        <v>2803.74</v>
      </c>
      <c r="U37">
        <v>1263.27</v>
      </c>
      <c r="V37">
        <v>2233.37</v>
      </c>
      <c r="W37">
        <v>999.73</v>
      </c>
      <c r="X37">
        <v>22311.42</v>
      </c>
      <c r="Y37">
        <v>9868.32</v>
      </c>
      <c r="Z37">
        <v>-12443.1</v>
      </c>
      <c r="AA37">
        <v>-0.5292</v>
      </c>
      <c r="AB37">
        <v>386.22</v>
      </c>
      <c r="AC37">
        <v>2487.96</v>
      </c>
      <c r="AD37">
        <v>1119.58</v>
      </c>
      <c r="AE37">
        <v>23511.25</v>
      </c>
    </row>
    <row r="38" spans="1:31" x14ac:dyDescent="0.25">
      <c r="A38" t="s">
        <v>188</v>
      </c>
      <c r="B38" s="2">
        <v>45931</v>
      </c>
      <c r="C38" t="s">
        <v>92</v>
      </c>
      <c r="D38" t="s">
        <v>93</v>
      </c>
      <c r="E38">
        <v>2025</v>
      </c>
      <c r="F38" t="s">
        <v>34</v>
      </c>
      <c r="G38" t="s">
        <v>35</v>
      </c>
      <c r="H38" t="s">
        <v>98</v>
      </c>
      <c r="I38" t="s">
        <v>99</v>
      </c>
      <c r="J38" t="s">
        <v>100</v>
      </c>
      <c r="K38" t="s">
        <v>39</v>
      </c>
      <c r="L38" t="s">
        <v>40</v>
      </c>
      <c r="M38" t="s">
        <v>189</v>
      </c>
      <c r="N38" t="s">
        <v>190</v>
      </c>
      <c r="O38" t="s">
        <v>104</v>
      </c>
      <c r="P38" t="s">
        <v>105</v>
      </c>
      <c r="Q38">
        <v>10769.33</v>
      </c>
      <c r="R38">
        <v>10580.53</v>
      </c>
      <c r="S38">
        <v>6557.91</v>
      </c>
      <c r="T38">
        <v>934.88</v>
      </c>
      <c r="U38">
        <v>678.57</v>
      </c>
      <c r="V38">
        <v>775.65</v>
      </c>
      <c r="W38">
        <v>370.66</v>
      </c>
      <c r="X38">
        <v>9317.68</v>
      </c>
      <c r="Y38">
        <v>4211.42</v>
      </c>
      <c r="Z38">
        <v>-5106.26</v>
      </c>
      <c r="AA38">
        <v>-0.41</v>
      </c>
      <c r="AB38">
        <v>188.8</v>
      </c>
      <c r="AC38">
        <v>215.39</v>
      </c>
      <c r="AD38">
        <v>1899.71</v>
      </c>
      <c r="AE38">
        <v>12453.65</v>
      </c>
    </row>
    <row r="39" spans="1:31" x14ac:dyDescent="0.25">
      <c r="A39" t="s">
        <v>191</v>
      </c>
      <c r="B39" s="2">
        <v>46028</v>
      </c>
      <c r="C39" t="s">
        <v>77</v>
      </c>
      <c r="D39" t="s">
        <v>58</v>
      </c>
      <c r="E39">
        <v>2026</v>
      </c>
      <c r="F39" t="s">
        <v>85</v>
      </c>
      <c r="G39" t="s">
        <v>35</v>
      </c>
      <c r="H39" t="s">
        <v>60</v>
      </c>
      <c r="I39" t="s">
        <v>108</v>
      </c>
      <c r="J39" t="s">
        <v>80</v>
      </c>
      <c r="K39" t="s">
        <v>160</v>
      </c>
      <c r="L39" t="s">
        <v>81</v>
      </c>
      <c r="M39" t="s">
        <v>41</v>
      </c>
      <c r="N39" t="s">
        <v>42</v>
      </c>
      <c r="O39" t="s">
        <v>43</v>
      </c>
      <c r="P39" t="s">
        <v>44</v>
      </c>
      <c r="Q39">
        <v>16959.810000000001</v>
      </c>
      <c r="R39">
        <v>16342.09</v>
      </c>
      <c r="S39">
        <v>8861.2099999999991</v>
      </c>
      <c r="T39">
        <v>968.34</v>
      </c>
      <c r="U39">
        <v>556.98</v>
      </c>
      <c r="V39">
        <v>1303.57</v>
      </c>
      <c r="W39">
        <v>292.08</v>
      </c>
      <c r="X39">
        <v>11982.18</v>
      </c>
      <c r="Y39">
        <v>8098.61</v>
      </c>
      <c r="Z39">
        <v>-3883.57</v>
      </c>
      <c r="AA39">
        <v>-0.21079999999999999</v>
      </c>
      <c r="AB39">
        <v>617.73</v>
      </c>
      <c r="AC39">
        <v>508.79</v>
      </c>
      <c r="AD39">
        <v>1974.12</v>
      </c>
      <c r="AE39">
        <v>18425.14</v>
      </c>
    </row>
    <row r="40" spans="1:31" x14ac:dyDescent="0.25">
      <c r="A40" t="s">
        <v>192</v>
      </c>
      <c r="B40" s="2">
        <v>46048</v>
      </c>
      <c r="C40" t="s">
        <v>77</v>
      </c>
      <c r="D40" t="s">
        <v>58</v>
      </c>
      <c r="E40">
        <v>2026</v>
      </c>
      <c r="F40" t="s">
        <v>47</v>
      </c>
      <c r="G40" t="s">
        <v>35</v>
      </c>
      <c r="H40" t="s">
        <v>48</v>
      </c>
      <c r="I40" t="s">
        <v>49</v>
      </c>
      <c r="J40" t="s">
        <v>70</v>
      </c>
      <c r="K40" t="s">
        <v>39</v>
      </c>
      <c r="L40" t="s">
        <v>51</v>
      </c>
      <c r="M40" t="s">
        <v>171</v>
      </c>
      <c r="N40" t="s">
        <v>172</v>
      </c>
      <c r="O40" t="s">
        <v>173</v>
      </c>
      <c r="P40" t="s">
        <v>174</v>
      </c>
      <c r="Q40">
        <v>7979.63</v>
      </c>
      <c r="R40">
        <v>8952.0300000000007</v>
      </c>
      <c r="S40">
        <v>5263.22</v>
      </c>
      <c r="T40">
        <v>516.77</v>
      </c>
      <c r="U40">
        <v>308.08</v>
      </c>
      <c r="V40">
        <v>555.67999999999995</v>
      </c>
      <c r="W40">
        <v>215.12</v>
      </c>
      <c r="X40">
        <v>6858.87</v>
      </c>
      <c r="Y40">
        <v>2716.41</v>
      </c>
      <c r="Z40">
        <v>-4142.47</v>
      </c>
      <c r="AA40">
        <v>-0.4879</v>
      </c>
      <c r="AB40">
        <v>-972.4</v>
      </c>
      <c r="AC40">
        <v>398.98</v>
      </c>
      <c r="AD40">
        <v>909.68</v>
      </c>
      <c r="AE40">
        <v>8490.33</v>
      </c>
    </row>
    <row r="41" spans="1:31" x14ac:dyDescent="0.25">
      <c r="A41" t="s">
        <v>193</v>
      </c>
      <c r="B41" s="2">
        <v>45963</v>
      </c>
      <c r="C41" t="s">
        <v>147</v>
      </c>
      <c r="D41" t="s">
        <v>93</v>
      </c>
      <c r="E41">
        <v>2025</v>
      </c>
      <c r="F41" t="s">
        <v>34</v>
      </c>
      <c r="G41" t="s">
        <v>35</v>
      </c>
      <c r="H41" t="s">
        <v>157</v>
      </c>
      <c r="I41" t="s">
        <v>194</v>
      </c>
      <c r="J41" t="s">
        <v>70</v>
      </c>
      <c r="K41" t="s">
        <v>50</v>
      </c>
      <c r="L41" t="s">
        <v>51</v>
      </c>
      <c r="M41" t="s">
        <v>186</v>
      </c>
      <c r="N41" t="s">
        <v>187</v>
      </c>
      <c r="O41" t="s">
        <v>173</v>
      </c>
      <c r="P41" t="s">
        <v>174</v>
      </c>
      <c r="Q41">
        <v>36766.15</v>
      </c>
      <c r="R41">
        <v>32690.32</v>
      </c>
      <c r="S41">
        <v>25299.95</v>
      </c>
      <c r="T41">
        <v>2879.96</v>
      </c>
      <c r="U41">
        <v>1868.3</v>
      </c>
      <c r="V41">
        <v>1779.1</v>
      </c>
      <c r="W41">
        <v>1316.57</v>
      </c>
      <c r="X41">
        <v>33143.86</v>
      </c>
      <c r="Y41">
        <v>11466.2</v>
      </c>
      <c r="Z41">
        <v>-21677.66</v>
      </c>
      <c r="AA41">
        <v>-0.53720000000000001</v>
      </c>
      <c r="AB41">
        <v>4075.83</v>
      </c>
      <c r="AC41">
        <v>735.32</v>
      </c>
      <c r="AD41">
        <v>4323.7</v>
      </c>
      <c r="AE41">
        <v>40354.53</v>
      </c>
    </row>
    <row r="42" spans="1:31" x14ac:dyDescent="0.25">
      <c r="A42" t="s">
        <v>195</v>
      </c>
      <c r="B42" s="2">
        <v>46020</v>
      </c>
      <c r="C42" t="s">
        <v>107</v>
      </c>
      <c r="D42" t="s">
        <v>93</v>
      </c>
      <c r="E42">
        <v>2025</v>
      </c>
      <c r="F42" t="s">
        <v>47</v>
      </c>
      <c r="G42" t="s">
        <v>35</v>
      </c>
      <c r="H42" t="s">
        <v>48</v>
      </c>
      <c r="I42" t="s">
        <v>126</v>
      </c>
      <c r="J42" t="s">
        <v>38</v>
      </c>
      <c r="K42" t="s">
        <v>50</v>
      </c>
      <c r="L42" t="s">
        <v>81</v>
      </c>
      <c r="M42" t="s">
        <v>95</v>
      </c>
      <c r="N42" t="s">
        <v>96</v>
      </c>
      <c r="O42" t="s">
        <v>43</v>
      </c>
      <c r="P42" t="s">
        <v>90</v>
      </c>
      <c r="Q42">
        <v>38788.870000000003</v>
      </c>
      <c r="R42">
        <v>41684.339999999997</v>
      </c>
      <c r="S42">
        <v>23083.25</v>
      </c>
      <c r="T42">
        <v>3752.28</v>
      </c>
      <c r="U42">
        <v>2827.46</v>
      </c>
      <c r="V42">
        <v>3282.29</v>
      </c>
      <c r="W42">
        <v>1184.18</v>
      </c>
      <c r="X42">
        <v>34129.449999999997</v>
      </c>
      <c r="Y42">
        <v>15705.63</v>
      </c>
      <c r="Z42">
        <v>-18423.82</v>
      </c>
      <c r="AA42">
        <v>-0.44640000000000002</v>
      </c>
      <c r="AB42">
        <v>-2895.47</v>
      </c>
      <c r="AC42">
        <v>1939.44</v>
      </c>
      <c r="AD42">
        <v>4421.93</v>
      </c>
      <c r="AE42">
        <v>41271.360000000001</v>
      </c>
    </row>
    <row r="43" spans="1:31" x14ac:dyDescent="0.25">
      <c r="A43" t="s">
        <v>196</v>
      </c>
      <c r="B43" s="2">
        <v>45848</v>
      </c>
      <c r="C43" t="s">
        <v>32</v>
      </c>
      <c r="D43" t="s">
        <v>33</v>
      </c>
      <c r="E43">
        <v>2025</v>
      </c>
      <c r="F43" t="s">
        <v>47</v>
      </c>
      <c r="G43" t="s">
        <v>35</v>
      </c>
      <c r="H43" t="s">
        <v>48</v>
      </c>
      <c r="I43" t="s">
        <v>126</v>
      </c>
      <c r="J43" t="s">
        <v>70</v>
      </c>
      <c r="K43" t="s">
        <v>50</v>
      </c>
      <c r="L43" t="s">
        <v>81</v>
      </c>
      <c r="M43" t="s">
        <v>197</v>
      </c>
      <c r="N43" t="s">
        <v>198</v>
      </c>
      <c r="O43" t="s">
        <v>43</v>
      </c>
      <c r="P43" t="s">
        <v>163</v>
      </c>
      <c r="Q43">
        <v>41468.120000000003</v>
      </c>
      <c r="R43">
        <v>37758.17</v>
      </c>
      <c r="S43">
        <v>21426.01</v>
      </c>
      <c r="T43">
        <v>2889.36</v>
      </c>
      <c r="U43">
        <v>1469.81</v>
      </c>
      <c r="V43">
        <v>2277.65</v>
      </c>
      <c r="W43">
        <v>828.46</v>
      </c>
      <c r="X43">
        <v>28891.29</v>
      </c>
      <c r="Y43">
        <v>20042.12</v>
      </c>
      <c r="Z43">
        <v>-8849.17</v>
      </c>
      <c r="AA43">
        <v>-0.18079999999999999</v>
      </c>
      <c r="AB43">
        <v>3709.96</v>
      </c>
      <c r="AC43">
        <v>0</v>
      </c>
      <c r="AD43">
        <v>7464.26</v>
      </c>
      <c r="AE43">
        <v>48932.38</v>
      </c>
    </row>
    <row r="44" spans="1:31" x14ac:dyDescent="0.25">
      <c r="A44" t="s">
        <v>199</v>
      </c>
      <c r="B44" s="2">
        <v>45994</v>
      </c>
      <c r="C44" t="s">
        <v>107</v>
      </c>
      <c r="D44" t="s">
        <v>93</v>
      </c>
      <c r="E44">
        <v>2025</v>
      </c>
      <c r="F44" t="s">
        <v>59</v>
      </c>
      <c r="G44" t="s">
        <v>35</v>
      </c>
      <c r="H44" t="s">
        <v>139</v>
      </c>
      <c r="I44" t="s">
        <v>200</v>
      </c>
      <c r="J44" t="s">
        <v>38</v>
      </c>
      <c r="K44" t="s">
        <v>160</v>
      </c>
      <c r="L44" t="s">
        <v>40</v>
      </c>
      <c r="M44" t="s">
        <v>95</v>
      </c>
      <c r="N44" t="s">
        <v>96</v>
      </c>
      <c r="O44" t="s">
        <v>43</v>
      </c>
      <c r="P44" t="s">
        <v>90</v>
      </c>
      <c r="Q44">
        <v>80683.47</v>
      </c>
      <c r="R44">
        <v>90778.71</v>
      </c>
      <c r="S44">
        <v>43722.1</v>
      </c>
      <c r="T44">
        <v>5137.2</v>
      </c>
      <c r="U44">
        <v>5523.74</v>
      </c>
      <c r="V44">
        <v>9226.16</v>
      </c>
      <c r="W44">
        <v>2379.09</v>
      </c>
      <c r="X44">
        <v>65988.289999999994</v>
      </c>
      <c r="Y44">
        <v>36961.360000000001</v>
      </c>
      <c r="Z44">
        <v>-29026.92</v>
      </c>
      <c r="AA44">
        <v>-0.33810000000000001</v>
      </c>
      <c r="AB44">
        <v>-10095.25</v>
      </c>
      <c r="AC44">
        <v>4034.17</v>
      </c>
      <c r="AD44">
        <v>9197.92</v>
      </c>
      <c r="AE44">
        <v>85847.21</v>
      </c>
    </row>
    <row r="45" spans="1:31" x14ac:dyDescent="0.25">
      <c r="A45" t="s">
        <v>201</v>
      </c>
      <c r="B45" s="2">
        <v>46047</v>
      </c>
      <c r="C45" t="s">
        <v>77</v>
      </c>
      <c r="D45" t="s">
        <v>58</v>
      </c>
      <c r="E45">
        <v>2026</v>
      </c>
      <c r="F45" t="s">
        <v>47</v>
      </c>
      <c r="G45" t="s">
        <v>35</v>
      </c>
      <c r="H45" t="s">
        <v>48</v>
      </c>
      <c r="I45" t="s">
        <v>126</v>
      </c>
      <c r="J45" t="s">
        <v>38</v>
      </c>
      <c r="K45" t="s">
        <v>101</v>
      </c>
      <c r="L45" t="s">
        <v>94</v>
      </c>
      <c r="M45" t="s">
        <v>95</v>
      </c>
      <c r="N45" t="s">
        <v>202</v>
      </c>
      <c r="O45" t="s">
        <v>43</v>
      </c>
      <c r="P45" t="s">
        <v>90</v>
      </c>
      <c r="Q45">
        <v>24070.2</v>
      </c>
      <c r="R45">
        <v>25591.1</v>
      </c>
      <c r="S45">
        <v>13221.07</v>
      </c>
      <c r="T45">
        <v>2322.75</v>
      </c>
      <c r="U45">
        <v>843.27</v>
      </c>
      <c r="V45">
        <v>1889.3</v>
      </c>
      <c r="W45">
        <v>689.39</v>
      </c>
      <c r="X45">
        <v>18965.77</v>
      </c>
      <c r="Y45">
        <v>10849.13</v>
      </c>
      <c r="Z45">
        <v>-8116.64</v>
      </c>
      <c r="AA45">
        <v>-0.30109999999999998</v>
      </c>
      <c r="AB45">
        <v>-1520.9</v>
      </c>
      <c r="AC45">
        <v>0</v>
      </c>
      <c r="AD45">
        <v>2888.42</v>
      </c>
      <c r="AE45">
        <v>26958.62</v>
      </c>
    </row>
    <row r="46" spans="1:31" x14ac:dyDescent="0.25">
      <c r="A46" t="s">
        <v>203</v>
      </c>
      <c r="B46" s="2">
        <v>45757</v>
      </c>
      <c r="C46" t="s">
        <v>128</v>
      </c>
      <c r="D46" t="s">
        <v>66</v>
      </c>
      <c r="E46">
        <v>2025</v>
      </c>
      <c r="F46" t="s">
        <v>67</v>
      </c>
      <c r="G46" t="s">
        <v>35</v>
      </c>
      <c r="H46" t="s">
        <v>68</v>
      </c>
      <c r="I46" t="s">
        <v>204</v>
      </c>
      <c r="J46" t="s">
        <v>80</v>
      </c>
      <c r="K46" t="s">
        <v>39</v>
      </c>
      <c r="L46" t="s">
        <v>72</v>
      </c>
      <c r="M46" t="s">
        <v>82</v>
      </c>
      <c r="N46" t="s">
        <v>83</v>
      </c>
      <c r="O46" t="s">
        <v>43</v>
      </c>
      <c r="P46" t="s">
        <v>75</v>
      </c>
      <c r="Q46">
        <v>18433.46</v>
      </c>
      <c r="R46">
        <v>16866.78</v>
      </c>
      <c r="S46">
        <v>10941.36</v>
      </c>
      <c r="T46">
        <v>1815.48</v>
      </c>
      <c r="U46">
        <v>1412.53</v>
      </c>
      <c r="V46">
        <v>894.69</v>
      </c>
      <c r="W46">
        <v>733.2</v>
      </c>
      <c r="X46">
        <v>15797.26</v>
      </c>
      <c r="Y46">
        <v>7492.1</v>
      </c>
      <c r="Z46">
        <v>-8305.16</v>
      </c>
      <c r="AA46">
        <v>-0.4234</v>
      </c>
      <c r="AB46">
        <v>1566.68</v>
      </c>
      <c r="AC46">
        <v>921.67</v>
      </c>
      <c r="AD46">
        <v>2101.41</v>
      </c>
      <c r="AE46">
        <v>19613.21</v>
      </c>
    </row>
    <row r="47" spans="1:31" x14ac:dyDescent="0.25">
      <c r="A47" t="s">
        <v>205</v>
      </c>
      <c r="B47" s="2">
        <v>45884</v>
      </c>
      <c r="C47" t="s">
        <v>117</v>
      </c>
      <c r="D47" t="s">
        <v>33</v>
      </c>
      <c r="E47">
        <v>2025</v>
      </c>
      <c r="F47" t="s">
        <v>47</v>
      </c>
      <c r="G47" t="s">
        <v>35</v>
      </c>
      <c r="H47" t="s">
        <v>206</v>
      </c>
      <c r="I47" t="s">
        <v>207</v>
      </c>
      <c r="J47" t="s">
        <v>80</v>
      </c>
      <c r="K47" t="s">
        <v>71</v>
      </c>
      <c r="L47" t="s">
        <v>72</v>
      </c>
      <c r="M47" t="s">
        <v>141</v>
      </c>
      <c r="N47" t="s">
        <v>142</v>
      </c>
      <c r="O47" t="s">
        <v>54</v>
      </c>
      <c r="P47" t="s">
        <v>143</v>
      </c>
      <c r="Q47">
        <v>9191.83</v>
      </c>
      <c r="R47">
        <v>10293.58</v>
      </c>
      <c r="S47">
        <v>6232.36</v>
      </c>
      <c r="T47">
        <v>596.66</v>
      </c>
      <c r="U47">
        <v>370.61</v>
      </c>
      <c r="V47">
        <v>833.71</v>
      </c>
      <c r="W47">
        <v>383.99</v>
      </c>
      <c r="X47">
        <v>8417.33</v>
      </c>
      <c r="Y47">
        <v>2959.48</v>
      </c>
      <c r="Z47">
        <v>-5457.85</v>
      </c>
      <c r="AA47">
        <v>-0.54100000000000004</v>
      </c>
      <c r="AB47">
        <v>-1101.74</v>
      </c>
      <c r="AC47">
        <v>183.84</v>
      </c>
      <c r="AD47">
        <v>1080.96</v>
      </c>
      <c r="AE47">
        <v>10088.959999999999</v>
      </c>
    </row>
    <row r="48" spans="1:31" x14ac:dyDescent="0.25">
      <c r="A48" t="s">
        <v>208</v>
      </c>
      <c r="B48" s="2">
        <v>46043</v>
      </c>
      <c r="C48" t="s">
        <v>77</v>
      </c>
      <c r="D48" t="s">
        <v>58</v>
      </c>
      <c r="E48">
        <v>2026</v>
      </c>
      <c r="F48" t="s">
        <v>67</v>
      </c>
      <c r="G48" t="s">
        <v>35</v>
      </c>
      <c r="H48" t="s">
        <v>118</v>
      </c>
      <c r="I48" t="s">
        <v>209</v>
      </c>
      <c r="J48" t="s">
        <v>38</v>
      </c>
      <c r="K48" t="s">
        <v>101</v>
      </c>
      <c r="L48" t="s">
        <v>94</v>
      </c>
      <c r="M48" t="s">
        <v>186</v>
      </c>
      <c r="N48" t="s">
        <v>187</v>
      </c>
      <c r="O48" t="s">
        <v>173</v>
      </c>
      <c r="P48" t="s">
        <v>174</v>
      </c>
      <c r="Q48">
        <v>22317.38</v>
      </c>
      <c r="R48">
        <v>22260.35</v>
      </c>
      <c r="S48">
        <v>13561.06</v>
      </c>
      <c r="T48">
        <v>1234.81</v>
      </c>
      <c r="U48">
        <v>890.17</v>
      </c>
      <c r="V48">
        <v>1861.89</v>
      </c>
      <c r="W48">
        <v>560.24</v>
      </c>
      <c r="X48">
        <v>18108.169999999998</v>
      </c>
      <c r="Y48">
        <v>8756.32</v>
      </c>
      <c r="Z48">
        <v>-9351.86</v>
      </c>
      <c r="AA48">
        <v>-0.36609999999999998</v>
      </c>
      <c r="AB48">
        <v>57.03</v>
      </c>
      <c r="AC48">
        <v>669.52</v>
      </c>
      <c r="AD48">
        <v>3896.61</v>
      </c>
      <c r="AE48">
        <v>25544.47</v>
      </c>
    </row>
    <row r="49" spans="1:31" x14ac:dyDescent="0.25">
      <c r="A49" t="s">
        <v>210</v>
      </c>
      <c r="B49" s="2">
        <v>45789</v>
      </c>
      <c r="C49" t="s">
        <v>65</v>
      </c>
      <c r="D49" t="s">
        <v>66</v>
      </c>
      <c r="E49">
        <v>2025</v>
      </c>
      <c r="F49" t="s">
        <v>59</v>
      </c>
      <c r="G49" t="s">
        <v>35</v>
      </c>
      <c r="H49" t="s">
        <v>139</v>
      </c>
      <c r="I49" t="s">
        <v>152</v>
      </c>
      <c r="J49" t="s">
        <v>80</v>
      </c>
      <c r="K49" t="s">
        <v>101</v>
      </c>
      <c r="L49" t="s">
        <v>51</v>
      </c>
      <c r="M49" t="s">
        <v>211</v>
      </c>
      <c r="N49" t="s">
        <v>212</v>
      </c>
      <c r="O49" t="s">
        <v>112</v>
      </c>
      <c r="P49" t="s">
        <v>113</v>
      </c>
      <c r="Q49">
        <v>35982.269999999997</v>
      </c>
      <c r="R49">
        <v>39296.019999999997</v>
      </c>
      <c r="S49">
        <v>23995.040000000001</v>
      </c>
      <c r="T49">
        <v>2211.12</v>
      </c>
      <c r="U49">
        <v>1377.96</v>
      </c>
      <c r="V49">
        <v>3494.78</v>
      </c>
      <c r="W49">
        <v>981.93</v>
      </c>
      <c r="X49">
        <v>32060.83</v>
      </c>
      <c r="Y49">
        <v>11987.23</v>
      </c>
      <c r="Z49">
        <v>-20073.599999999999</v>
      </c>
      <c r="AA49">
        <v>-0.55930000000000002</v>
      </c>
      <c r="AB49">
        <v>-3313.76</v>
      </c>
      <c r="AC49">
        <v>1799.11</v>
      </c>
      <c r="AD49">
        <v>1709.16</v>
      </c>
      <c r="AE49">
        <v>35892.31</v>
      </c>
    </row>
    <row r="50" spans="1:31" x14ac:dyDescent="0.25">
      <c r="A50" t="s">
        <v>213</v>
      </c>
      <c r="B50" s="2">
        <v>45906</v>
      </c>
      <c r="C50" t="s">
        <v>46</v>
      </c>
      <c r="D50" t="s">
        <v>33</v>
      </c>
      <c r="E50">
        <v>2025</v>
      </c>
      <c r="F50" t="s">
        <v>47</v>
      </c>
      <c r="G50" t="s">
        <v>35</v>
      </c>
      <c r="H50" t="s">
        <v>214</v>
      </c>
      <c r="I50" t="s">
        <v>215</v>
      </c>
      <c r="J50" t="s">
        <v>80</v>
      </c>
      <c r="K50" t="s">
        <v>39</v>
      </c>
      <c r="L50" t="s">
        <v>81</v>
      </c>
      <c r="M50" t="s">
        <v>186</v>
      </c>
      <c r="N50" t="s">
        <v>187</v>
      </c>
      <c r="O50" t="s">
        <v>173</v>
      </c>
      <c r="P50" t="s">
        <v>174</v>
      </c>
      <c r="Q50">
        <v>22383.14</v>
      </c>
      <c r="R50">
        <v>19779.099999999999</v>
      </c>
      <c r="S50">
        <v>13958.71</v>
      </c>
      <c r="T50">
        <v>2131.7800000000002</v>
      </c>
      <c r="U50">
        <v>1601.55</v>
      </c>
      <c r="V50">
        <v>1967.98</v>
      </c>
      <c r="W50">
        <v>871.55</v>
      </c>
      <c r="X50">
        <v>20531.580000000002</v>
      </c>
      <c r="Y50">
        <v>8424.43</v>
      </c>
      <c r="Z50">
        <v>-12107.15</v>
      </c>
      <c r="AA50">
        <v>-0.53659999999999997</v>
      </c>
      <c r="AB50">
        <v>2604.0300000000002</v>
      </c>
      <c r="AC50">
        <v>2238.31</v>
      </c>
      <c r="AD50">
        <v>2417.38</v>
      </c>
      <c r="AE50">
        <v>22562.2</v>
      </c>
    </row>
    <row r="51" spans="1:31" x14ac:dyDescent="0.25">
      <c r="A51" t="s">
        <v>216</v>
      </c>
      <c r="B51" s="2">
        <v>45881</v>
      </c>
      <c r="C51" t="s">
        <v>117</v>
      </c>
      <c r="D51" t="s">
        <v>33</v>
      </c>
      <c r="E51">
        <v>2025</v>
      </c>
      <c r="F51" t="s">
        <v>67</v>
      </c>
      <c r="G51" t="s">
        <v>35</v>
      </c>
      <c r="H51" t="s">
        <v>217</v>
      </c>
      <c r="I51" t="s">
        <v>218</v>
      </c>
      <c r="J51" t="s">
        <v>100</v>
      </c>
      <c r="K51" t="s">
        <v>39</v>
      </c>
      <c r="L51" t="s">
        <v>40</v>
      </c>
      <c r="M51" t="s">
        <v>189</v>
      </c>
      <c r="N51" t="s">
        <v>190</v>
      </c>
      <c r="O51" t="s">
        <v>104</v>
      </c>
      <c r="P51" t="s">
        <v>105</v>
      </c>
      <c r="Q51">
        <v>6645.64</v>
      </c>
      <c r="R51">
        <v>6358.58</v>
      </c>
      <c r="S51">
        <v>4348</v>
      </c>
      <c r="T51">
        <v>647.53</v>
      </c>
      <c r="U51">
        <v>210.29</v>
      </c>
      <c r="V51">
        <v>754.28</v>
      </c>
      <c r="W51">
        <v>250.23</v>
      </c>
      <c r="X51">
        <v>6210.33</v>
      </c>
      <c r="Y51">
        <v>2297.65</v>
      </c>
      <c r="Z51">
        <v>-3912.69</v>
      </c>
      <c r="AA51">
        <v>-0.49890000000000001</v>
      </c>
      <c r="AB51">
        <v>287.06</v>
      </c>
      <c r="AC51">
        <v>0</v>
      </c>
      <c r="AD51">
        <v>1196.22</v>
      </c>
      <c r="AE51">
        <v>7841.86</v>
      </c>
    </row>
    <row r="52" spans="1:31" x14ac:dyDescent="0.25">
      <c r="A52" t="s">
        <v>219</v>
      </c>
      <c r="B52" s="2">
        <v>45839</v>
      </c>
      <c r="C52" t="s">
        <v>32</v>
      </c>
      <c r="D52" t="s">
        <v>33</v>
      </c>
      <c r="E52">
        <v>2025</v>
      </c>
      <c r="F52" t="s">
        <v>47</v>
      </c>
      <c r="G52" t="s">
        <v>35</v>
      </c>
      <c r="H52" t="s">
        <v>214</v>
      </c>
      <c r="I52" t="s">
        <v>220</v>
      </c>
      <c r="J52" t="s">
        <v>70</v>
      </c>
      <c r="K52" t="s">
        <v>71</v>
      </c>
      <c r="L52" t="s">
        <v>94</v>
      </c>
      <c r="M52" t="s">
        <v>221</v>
      </c>
      <c r="N52" t="s">
        <v>222</v>
      </c>
      <c r="O52" t="s">
        <v>104</v>
      </c>
      <c r="P52" t="s">
        <v>223</v>
      </c>
      <c r="Q52">
        <v>12571.21</v>
      </c>
      <c r="R52">
        <v>14776.86</v>
      </c>
      <c r="S52">
        <v>8565.2099999999991</v>
      </c>
      <c r="T52">
        <v>753.93</v>
      </c>
      <c r="U52">
        <v>1066.73</v>
      </c>
      <c r="V52">
        <v>1377.7</v>
      </c>
      <c r="W52">
        <v>354</v>
      </c>
      <c r="X52">
        <v>12117.57</v>
      </c>
      <c r="Y52">
        <v>4006</v>
      </c>
      <c r="Z52">
        <v>-8111.57</v>
      </c>
      <c r="AA52">
        <v>-0.60640000000000005</v>
      </c>
      <c r="AB52">
        <v>-2205.65</v>
      </c>
      <c r="AC52">
        <v>628.55999999999995</v>
      </c>
      <c r="AD52">
        <v>1433.12</v>
      </c>
      <c r="AE52">
        <v>13375.77</v>
      </c>
    </row>
    <row r="53" spans="1:31" x14ac:dyDescent="0.25">
      <c r="A53" t="s">
        <v>224</v>
      </c>
      <c r="B53" s="2">
        <v>46056</v>
      </c>
      <c r="C53" t="s">
        <v>57</v>
      </c>
      <c r="D53" t="s">
        <v>58</v>
      </c>
      <c r="E53">
        <v>2026</v>
      </c>
      <c r="F53" t="s">
        <v>47</v>
      </c>
      <c r="G53" t="s">
        <v>35</v>
      </c>
      <c r="H53" t="s">
        <v>78</v>
      </c>
      <c r="I53" t="s">
        <v>79</v>
      </c>
      <c r="J53" t="s">
        <v>80</v>
      </c>
      <c r="K53" t="s">
        <v>39</v>
      </c>
      <c r="L53" t="s">
        <v>51</v>
      </c>
      <c r="M53" t="s">
        <v>95</v>
      </c>
      <c r="N53" t="s">
        <v>96</v>
      </c>
      <c r="O53" t="s">
        <v>43</v>
      </c>
      <c r="P53" t="s">
        <v>90</v>
      </c>
      <c r="Q53">
        <v>56317.64</v>
      </c>
      <c r="R53">
        <v>55411.14</v>
      </c>
      <c r="S53">
        <v>31721.97</v>
      </c>
      <c r="T53">
        <v>6138.63</v>
      </c>
      <c r="U53">
        <v>3063.35</v>
      </c>
      <c r="V53">
        <v>3264.64</v>
      </c>
      <c r="W53">
        <v>1454.99</v>
      </c>
      <c r="X53">
        <v>45643.58</v>
      </c>
      <c r="Y53">
        <v>24595.67</v>
      </c>
      <c r="Z53">
        <v>-21047.91</v>
      </c>
      <c r="AA53">
        <v>-0.35589999999999999</v>
      </c>
      <c r="AB53">
        <v>906.5</v>
      </c>
      <c r="AC53">
        <v>0</v>
      </c>
      <c r="AD53">
        <v>2815.88</v>
      </c>
      <c r="AE53">
        <v>59133.52</v>
      </c>
    </row>
    <row r="54" spans="1:31" x14ac:dyDescent="0.25">
      <c r="A54" t="s">
        <v>225</v>
      </c>
      <c r="B54" s="2">
        <v>45927</v>
      </c>
      <c r="C54" t="s">
        <v>46</v>
      </c>
      <c r="D54" t="s">
        <v>33</v>
      </c>
      <c r="E54">
        <v>2025</v>
      </c>
      <c r="F54" t="s">
        <v>67</v>
      </c>
      <c r="G54" t="s">
        <v>35</v>
      </c>
      <c r="H54" t="s">
        <v>118</v>
      </c>
      <c r="I54" t="s">
        <v>119</v>
      </c>
      <c r="J54" t="s">
        <v>80</v>
      </c>
      <c r="K54" t="s">
        <v>71</v>
      </c>
      <c r="L54" t="s">
        <v>51</v>
      </c>
      <c r="M54" t="s">
        <v>120</v>
      </c>
      <c r="N54" t="s">
        <v>121</v>
      </c>
      <c r="O54" t="s">
        <v>43</v>
      </c>
      <c r="P54" t="s">
        <v>122</v>
      </c>
      <c r="Q54">
        <v>42143.85</v>
      </c>
      <c r="R54">
        <v>49237.54</v>
      </c>
      <c r="S54">
        <v>21732.7</v>
      </c>
      <c r="T54">
        <v>3505.1</v>
      </c>
      <c r="U54">
        <v>1287.4000000000001</v>
      </c>
      <c r="V54">
        <v>5046.72</v>
      </c>
      <c r="W54">
        <v>1162.19</v>
      </c>
      <c r="X54">
        <v>32734.11</v>
      </c>
      <c r="Y54">
        <v>20411.150000000001</v>
      </c>
      <c r="Z54">
        <v>-12322.97</v>
      </c>
      <c r="AA54">
        <v>-0.29310000000000003</v>
      </c>
      <c r="AB54">
        <v>-7093.7</v>
      </c>
      <c r="AC54">
        <v>2107.19</v>
      </c>
      <c r="AD54">
        <v>2001.83</v>
      </c>
      <c r="AE54">
        <v>42038.49</v>
      </c>
    </row>
    <row r="55" spans="1:31" x14ac:dyDescent="0.25">
      <c r="A55" t="s">
        <v>226</v>
      </c>
      <c r="B55" s="2">
        <v>45962</v>
      </c>
      <c r="C55" t="s">
        <v>147</v>
      </c>
      <c r="D55" t="s">
        <v>93</v>
      </c>
      <c r="E55">
        <v>2025</v>
      </c>
      <c r="F55" t="s">
        <v>67</v>
      </c>
      <c r="G55" t="s">
        <v>35</v>
      </c>
      <c r="H55" t="s">
        <v>118</v>
      </c>
      <c r="I55" t="s">
        <v>227</v>
      </c>
      <c r="J55" t="s">
        <v>100</v>
      </c>
      <c r="K55" t="s">
        <v>50</v>
      </c>
      <c r="L55" t="s">
        <v>81</v>
      </c>
      <c r="M55" t="s">
        <v>130</v>
      </c>
      <c r="N55" t="s">
        <v>131</v>
      </c>
      <c r="O55" t="s">
        <v>43</v>
      </c>
      <c r="P55" t="s">
        <v>132</v>
      </c>
      <c r="Q55">
        <v>20373.259999999998</v>
      </c>
      <c r="R55">
        <v>21380.76</v>
      </c>
      <c r="S55">
        <v>10100.450000000001</v>
      </c>
      <c r="T55">
        <v>2282.66</v>
      </c>
      <c r="U55">
        <v>1109.5999999999999</v>
      </c>
      <c r="V55">
        <v>1669.61</v>
      </c>
      <c r="W55">
        <v>518.02</v>
      </c>
      <c r="X55">
        <v>15680.36</v>
      </c>
      <c r="Y55">
        <v>10272.81</v>
      </c>
      <c r="Z55">
        <v>-5407.55</v>
      </c>
      <c r="AA55">
        <v>-0.24429999999999999</v>
      </c>
      <c r="AB55">
        <v>-1007.51</v>
      </c>
      <c r="AC55">
        <v>611.20000000000005</v>
      </c>
      <c r="AD55">
        <v>2371.4499999999998</v>
      </c>
      <c r="AE55">
        <v>22133.51</v>
      </c>
    </row>
    <row r="56" spans="1:31" x14ac:dyDescent="0.25">
      <c r="A56" t="s">
        <v>228</v>
      </c>
      <c r="B56" s="2">
        <v>46066</v>
      </c>
      <c r="C56" t="s">
        <v>57</v>
      </c>
      <c r="D56" t="s">
        <v>58</v>
      </c>
      <c r="E56">
        <v>2026</v>
      </c>
      <c r="F56" t="s">
        <v>59</v>
      </c>
      <c r="G56" t="s">
        <v>35</v>
      </c>
      <c r="H56" t="s">
        <v>60</v>
      </c>
      <c r="I56" t="s">
        <v>61</v>
      </c>
      <c r="J56" t="s">
        <v>70</v>
      </c>
      <c r="K56" t="s">
        <v>160</v>
      </c>
      <c r="L56" t="s">
        <v>40</v>
      </c>
      <c r="M56" t="s">
        <v>52</v>
      </c>
      <c r="N56" t="s">
        <v>53</v>
      </c>
      <c r="O56" t="s">
        <v>54</v>
      </c>
      <c r="P56" t="s">
        <v>55</v>
      </c>
      <c r="Q56">
        <v>8740.7199999999993</v>
      </c>
      <c r="R56">
        <v>9791.57</v>
      </c>
      <c r="S56">
        <v>6249.12</v>
      </c>
      <c r="T56">
        <v>1024.26</v>
      </c>
      <c r="U56">
        <v>711.1</v>
      </c>
      <c r="V56">
        <v>634.91999999999996</v>
      </c>
      <c r="W56">
        <v>256.19</v>
      </c>
      <c r="X56">
        <v>8875.59</v>
      </c>
      <c r="Y56">
        <v>2491.6</v>
      </c>
      <c r="Z56">
        <v>-6383.99</v>
      </c>
      <c r="AA56">
        <v>-0.70979999999999999</v>
      </c>
      <c r="AB56">
        <v>-1050.8499999999999</v>
      </c>
      <c r="AC56">
        <v>174.81</v>
      </c>
      <c r="AD56">
        <v>428.3</v>
      </c>
      <c r="AE56">
        <v>8994.2000000000007</v>
      </c>
    </row>
    <row r="57" spans="1:31" x14ac:dyDescent="0.25">
      <c r="A57" t="s">
        <v>229</v>
      </c>
      <c r="B57" s="2">
        <v>46002</v>
      </c>
      <c r="C57" t="s">
        <v>107</v>
      </c>
      <c r="D57" t="s">
        <v>93</v>
      </c>
      <c r="E57">
        <v>2025</v>
      </c>
      <c r="F57" t="s">
        <v>59</v>
      </c>
      <c r="G57" t="s">
        <v>35</v>
      </c>
      <c r="H57" t="s">
        <v>230</v>
      </c>
      <c r="I57" t="s">
        <v>231</v>
      </c>
      <c r="J57" t="s">
        <v>70</v>
      </c>
      <c r="K57" t="s">
        <v>39</v>
      </c>
      <c r="L57" t="s">
        <v>51</v>
      </c>
      <c r="M57" t="s">
        <v>82</v>
      </c>
      <c r="N57" t="s">
        <v>83</v>
      </c>
      <c r="O57" t="s">
        <v>43</v>
      </c>
      <c r="P57" t="s">
        <v>75</v>
      </c>
      <c r="Q57">
        <v>52225.66</v>
      </c>
      <c r="R57">
        <v>58576.01</v>
      </c>
      <c r="S57">
        <v>37461.199999999997</v>
      </c>
      <c r="T57">
        <v>5131.47</v>
      </c>
      <c r="U57">
        <v>4044.63</v>
      </c>
      <c r="V57">
        <v>6111.03</v>
      </c>
      <c r="W57">
        <v>2248.54</v>
      </c>
      <c r="X57">
        <v>54996.87</v>
      </c>
      <c r="Y57">
        <v>14764.46</v>
      </c>
      <c r="Z57">
        <v>-40232.410000000003</v>
      </c>
      <c r="AA57">
        <v>-0.68779999999999997</v>
      </c>
      <c r="AB57">
        <v>-6350.35</v>
      </c>
      <c r="AC57">
        <v>0</v>
      </c>
      <c r="AD57">
        <v>6267.08</v>
      </c>
      <c r="AE57">
        <v>58492.74</v>
      </c>
    </row>
    <row r="58" spans="1:31" x14ac:dyDescent="0.25">
      <c r="A58" t="s">
        <v>232</v>
      </c>
      <c r="B58" s="2">
        <v>46058</v>
      </c>
      <c r="C58" t="s">
        <v>57</v>
      </c>
      <c r="D58" t="s">
        <v>58</v>
      </c>
      <c r="E58">
        <v>2026</v>
      </c>
      <c r="F58" t="s">
        <v>85</v>
      </c>
      <c r="G58" t="s">
        <v>35</v>
      </c>
      <c r="H58" t="s">
        <v>60</v>
      </c>
      <c r="I58" t="s">
        <v>185</v>
      </c>
      <c r="J58" t="s">
        <v>70</v>
      </c>
      <c r="K58" t="s">
        <v>71</v>
      </c>
      <c r="L58" t="s">
        <v>81</v>
      </c>
      <c r="M58" t="s">
        <v>41</v>
      </c>
      <c r="N58" t="s">
        <v>42</v>
      </c>
      <c r="O58" t="s">
        <v>43</v>
      </c>
      <c r="P58" t="s">
        <v>44</v>
      </c>
      <c r="Q58">
        <v>30328</v>
      </c>
      <c r="R58">
        <v>32538.23</v>
      </c>
      <c r="S58">
        <v>19681.27</v>
      </c>
      <c r="T58">
        <v>3725.79</v>
      </c>
      <c r="U58">
        <v>1989.8</v>
      </c>
      <c r="V58">
        <v>2028.01</v>
      </c>
      <c r="W58">
        <v>1179.1099999999999</v>
      </c>
      <c r="X58">
        <v>28603.99</v>
      </c>
      <c r="Y58">
        <v>10646.73</v>
      </c>
      <c r="Z58">
        <v>-17957.259999999998</v>
      </c>
      <c r="AA58">
        <v>-0.58130000000000004</v>
      </c>
      <c r="AB58">
        <v>-2210.23</v>
      </c>
      <c r="AC58">
        <v>909.84</v>
      </c>
      <c r="AD58">
        <v>1470.91</v>
      </c>
      <c r="AE58">
        <v>30889.07</v>
      </c>
    </row>
    <row r="59" spans="1:31" x14ac:dyDescent="0.25">
      <c r="A59" t="s">
        <v>233</v>
      </c>
      <c r="B59" s="2">
        <v>45767</v>
      </c>
      <c r="C59" t="s">
        <v>128</v>
      </c>
      <c r="D59" t="s">
        <v>66</v>
      </c>
      <c r="E59">
        <v>2025</v>
      </c>
      <c r="F59" t="s">
        <v>34</v>
      </c>
      <c r="G59" t="s">
        <v>35</v>
      </c>
      <c r="H59" t="s">
        <v>157</v>
      </c>
      <c r="I59" t="s">
        <v>194</v>
      </c>
      <c r="J59" t="s">
        <v>80</v>
      </c>
      <c r="K59" t="s">
        <v>101</v>
      </c>
      <c r="L59" t="s">
        <v>72</v>
      </c>
      <c r="M59" t="s">
        <v>88</v>
      </c>
      <c r="N59" t="s">
        <v>89</v>
      </c>
      <c r="O59" t="s">
        <v>43</v>
      </c>
      <c r="P59" t="s">
        <v>90</v>
      </c>
      <c r="Q59">
        <v>75603.61</v>
      </c>
      <c r="R59">
        <v>69709.100000000006</v>
      </c>
      <c r="S59">
        <v>52047.97</v>
      </c>
      <c r="T59">
        <v>6728.31</v>
      </c>
      <c r="U59">
        <v>6286.13</v>
      </c>
      <c r="V59">
        <v>7861.9</v>
      </c>
      <c r="W59">
        <v>1881.2</v>
      </c>
      <c r="X59">
        <v>74805.509999999995</v>
      </c>
      <c r="Y59">
        <v>23555.64</v>
      </c>
      <c r="Z59">
        <v>-51249.87</v>
      </c>
      <c r="AA59">
        <v>-0.60519999999999996</v>
      </c>
      <c r="AB59">
        <v>5894.52</v>
      </c>
      <c r="AC59">
        <v>0</v>
      </c>
      <c r="AD59">
        <v>9072.43</v>
      </c>
      <c r="AE59">
        <v>84676.05</v>
      </c>
    </row>
    <row r="60" spans="1:31" x14ac:dyDescent="0.25">
      <c r="A60" t="s">
        <v>234</v>
      </c>
      <c r="B60" s="2">
        <v>45787</v>
      </c>
      <c r="C60" t="s">
        <v>65</v>
      </c>
      <c r="D60" t="s">
        <v>66</v>
      </c>
      <c r="E60">
        <v>2025</v>
      </c>
      <c r="F60" t="s">
        <v>34</v>
      </c>
      <c r="G60" t="s">
        <v>35</v>
      </c>
      <c r="H60" t="s">
        <v>98</v>
      </c>
      <c r="I60" t="s">
        <v>149</v>
      </c>
      <c r="J60" t="s">
        <v>80</v>
      </c>
      <c r="K60" t="s">
        <v>50</v>
      </c>
      <c r="L60" t="s">
        <v>51</v>
      </c>
      <c r="M60" t="s">
        <v>235</v>
      </c>
      <c r="N60" t="s">
        <v>236</v>
      </c>
      <c r="O60" t="s">
        <v>104</v>
      </c>
      <c r="P60" t="s">
        <v>237</v>
      </c>
      <c r="Q60">
        <v>29449.38</v>
      </c>
      <c r="R60">
        <v>27432.21</v>
      </c>
      <c r="S60">
        <v>16060.33</v>
      </c>
      <c r="T60">
        <v>1515.8</v>
      </c>
      <c r="U60">
        <v>2486.39</v>
      </c>
      <c r="V60">
        <v>1455.39</v>
      </c>
      <c r="W60">
        <v>888.73</v>
      </c>
      <c r="X60">
        <v>22406.639999999999</v>
      </c>
      <c r="Y60">
        <v>13389.05</v>
      </c>
      <c r="Z60">
        <v>-9017.59</v>
      </c>
      <c r="AA60">
        <v>-0.27900000000000003</v>
      </c>
      <c r="AB60">
        <v>2017.17</v>
      </c>
      <c r="AC60">
        <v>588.99</v>
      </c>
      <c r="AD60">
        <v>3463.25</v>
      </c>
      <c r="AE60">
        <v>32323.64</v>
      </c>
    </row>
    <row r="61" spans="1:31" x14ac:dyDescent="0.25">
      <c r="A61" t="s">
        <v>238</v>
      </c>
      <c r="B61" s="2">
        <v>45900</v>
      </c>
      <c r="C61" t="s">
        <v>117</v>
      </c>
      <c r="D61" t="s">
        <v>33</v>
      </c>
      <c r="E61">
        <v>2025</v>
      </c>
      <c r="F61" t="s">
        <v>67</v>
      </c>
      <c r="G61" t="s">
        <v>35</v>
      </c>
      <c r="H61" t="s">
        <v>118</v>
      </c>
      <c r="I61" t="s">
        <v>227</v>
      </c>
      <c r="J61" t="s">
        <v>80</v>
      </c>
      <c r="K61" t="s">
        <v>50</v>
      </c>
      <c r="L61" t="s">
        <v>81</v>
      </c>
      <c r="M61" t="s">
        <v>197</v>
      </c>
      <c r="N61" t="s">
        <v>198</v>
      </c>
      <c r="O61" t="s">
        <v>43</v>
      </c>
      <c r="P61" t="s">
        <v>163</v>
      </c>
      <c r="Q61">
        <v>47194.39</v>
      </c>
      <c r="R61">
        <v>50494.66</v>
      </c>
      <c r="S61">
        <v>28251.77</v>
      </c>
      <c r="T61">
        <v>4524.22</v>
      </c>
      <c r="U61">
        <v>3750.87</v>
      </c>
      <c r="V61">
        <v>3414.54</v>
      </c>
      <c r="W61">
        <v>1745.34</v>
      </c>
      <c r="X61">
        <v>41686.74</v>
      </c>
      <c r="Y61">
        <v>18942.61</v>
      </c>
      <c r="Z61">
        <v>-22744.12</v>
      </c>
      <c r="AA61">
        <v>-0.44359999999999999</v>
      </c>
      <c r="AB61">
        <v>-3300.28</v>
      </c>
      <c r="AC61">
        <v>1415.83</v>
      </c>
      <c r="AD61">
        <v>5493.43</v>
      </c>
      <c r="AE61">
        <v>51271.98</v>
      </c>
    </row>
    <row r="62" spans="1:31" x14ac:dyDescent="0.25">
      <c r="A62" t="s">
        <v>239</v>
      </c>
      <c r="B62" s="2">
        <v>46057</v>
      </c>
      <c r="C62" t="s">
        <v>57</v>
      </c>
      <c r="D62" t="s">
        <v>58</v>
      </c>
      <c r="E62">
        <v>2026</v>
      </c>
      <c r="F62" t="s">
        <v>34</v>
      </c>
      <c r="G62" t="s">
        <v>35</v>
      </c>
      <c r="H62" t="s">
        <v>36</v>
      </c>
      <c r="I62" t="s">
        <v>145</v>
      </c>
      <c r="J62" t="s">
        <v>38</v>
      </c>
      <c r="K62" t="s">
        <v>71</v>
      </c>
      <c r="L62" t="s">
        <v>81</v>
      </c>
      <c r="M62" t="s">
        <v>221</v>
      </c>
      <c r="N62" t="s">
        <v>222</v>
      </c>
      <c r="O62" t="s">
        <v>104</v>
      </c>
      <c r="P62" t="s">
        <v>223</v>
      </c>
      <c r="Q62">
        <v>11213.98</v>
      </c>
      <c r="R62">
        <v>12287.31</v>
      </c>
      <c r="S62">
        <v>6182.37</v>
      </c>
      <c r="T62">
        <v>1068.83</v>
      </c>
      <c r="U62">
        <v>627.35</v>
      </c>
      <c r="V62">
        <v>1043.95</v>
      </c>
      <c r="W62">
        <v>479.84</v>
      </c>
      <c r="X62">
        <v>9402.33</v>
      </c>
      <c r="Y62">
        <v>5031.6099999999997</v>
      </c>
      <c r="Z62">
        <v>-4370.72</v>
      </c>
      <c r="AA62">
        <v>-0.39069999999999999</v>
      </c>
      <c r="AB62">
        <v>-1073.33</v>
      </c>
      <c r="AC62">
        <v>560.70000000000005</v>
      </c>
      <c r="AD62">
        <v>532.66</v>
      </c>
      <c r="AE62">
        <v>11185.94</v>
      </c>
    </row>
    <row r="63" spans="1:31" x14ac:dyDescent="0.25">
      <c r="A63" t="s">
        <v>240</v>
      </c>
      <c r="B63" s="2">
        <v>45783</v>
      </c>
      <c r="C63" t="s">
        <v>65</v>
      </c>
      <c r="D63" t="s">
        <v>66</v>
      </c>
      <c r="E63">
        <v>2025</v>
      </c>
      <c r="F63" t="s">
        <v>67</v>
      </c>
      <c r="G63" t="s">
        <v>35</v>
      </c>
      <c r="H63" t="s">
        <v>217</v>
      </c>
      <c r="I63" t="s">
        <v>241</v>
      </c>
      <c r="J63" t="s">
        <v>38</v>
      </c>
      <c r="K63" t="s">
        <v>50</v>
      </c>
      <c r="L63" t="s">
        <v>51</v>
      </c>
      <c r="M63" t="s">
        <v>189</v>
      </c>
      <c r="N63" t="s">
        <v>190</v>
      </c>
      <c r="O63" t="s">
        <v>104</v>
      </c>
      <c r="P63" t="s">
        <v>105</v>
      </c>
      <c r="Q63">
        <v>9618.58</v>
      </c>
      <c r="R63">
        <v>9832.7999999999993</v>
      </c>
      <c r="S63">
        <v>5411.91</v>
      </c>
      <c r="T63">
        <v>751.43</v>
      </c>
      <c r="U63">
        <v>498.55</v>
      </c>
      <c r="V63">
        <v>927.17</v>
      </c>
      <c r="W63">
        <v>297.60000000000002</v>
      </c>
      <c r="X63">
        <v>7886.67</v>
      </c>
      <c r="Y63">
        <v>4206.67</v>
      </c>
      <c r="Z63">
        <v>-3680</v>
      </c>
      <c r="AA63">
        <v>-0.37559999999999999</v>
      </c>
      <c r="AB63">
        <v>-214.22</v>
      </c>
      <c r="AC63">
        <v>288.56</v>
      </c>
      <c r="AD63">
        <v>466.5</v>
      </c>
      <c r="AE63">
        <v>9796.52</v>
      </c>
    </row>
    <row r="64" spans="1:31" x14ac:dyDescent="0.25">
      <c r="A64" t="s">
        <v>242</v>
      </c>
      <c r="B64" s="2">
        <v>45976</v>
      </c>
      <c r="C64" t="s">
        <v>147</v>
      </c>
      <c r="D64" t="s">
        <v>93</v>
      </c>
      <c r="E64">
        <v>2025</v>
      </c>
      <c r="F64" t="s">
        <v>59</v>
      </c>
      <c r="G64" t="s">
        <v>35</v>
      </c>
      <c r="H64" t="s">
        <v>139</v>
      </c>
      <c r="I64" t="s">
        <v>140</v>
      </c>
      <c r="J64" t="s">
        <v>100</v>
      </c>
      <c r="K64" t="s">
        <v>39</v>
      </c>
      <c r="L64" t="s">
        <v>51</v>
      </c>
      <c r="M64" t="s">
        <v>110</v>
      </c>
      <c r="N64" t="s">
        <v>111</v>
      </c>
      <c r="O64" t="s">
        <v>112</v>
      </c>
      <c r="P64" t="s">
        <v>113</v>
      </c>
      <c r="Q64">
        <v>13023.13</v>
      </c>
      <c r="R64">
        <v>11994.9</v>
      </c>
      <c r="S64">
        <v>9221.1200000000008</v>
      </c>
      <c r="T64">
        <v>1115.83</v>
      </c>
      <c r="U64">
        <v>482.29</v>
      </c>
      <c r="V64">
        <v>1085.51</v>
      </c>
      <c r="W64">
        <v>528.13</v>
      </c>
      <c r="X64">
        <v>12432.88</v>
      </c>
      <c r="Y64">
        <v>3802.01</v>
      </c>
      <c r="Z64">
        <v>-8630.86</v>
      </c>
      <c r="AA64">
        <v>-0.59119999999999995</v>
      </c>
      <c r="AB64">
        <v>1028.23</v>
      </c>
      <c r="AC64">
        <v>651.16</v>
      </c>
      <c r="AD64">
        <v>2226.96</v>
      </c>
      <c r="AE64">
        <v>14598.93</v>
      </c>
    </row>
    <row r="65" spans="1:31" x14ac:dyDescent="0.25">
      <c r="A65" t="s">
        <v>243</v>
      </c>
      <c r="B65" s="2">
        <v>45962</v>
      </c>
      <c r="C65" t="s">
        <v>147</v>
      </c>
      <c r="D65" t="s">
        <v>93</v>
      </c>
      <c r="E65">
        <v>2025</v>
      </c>
      <c r="F65" t="s">
        <v>34</v>
      </c>
      <c r="G65" t="s">
        <v>35</v>
      </c>
      <c r="H65" t="s">
        <v>134</v>
      </c>
      <c r="I65" t="s">
        <v>135</v>
      </c>
      <c r="J65" t="s">
        <v>38</v>
      </c>
      <c r="K65" t="s">
        <v>50</v>
      </c>
      <c r="L65" t="s">
        <v>94</v>
      </c>
      <c r="M65" t="s">
        <v>102</v>
      </c>
      <c r="N65" t="s">
        <v>103</v>
      </c>
      <c r="O65" t="s">
        <v>104</v>
      </c>
      <c r="P65" t="s">
        <v>105</v>
      </c>
      <c r="Q65">
        <v>13543.91</v>
      </c>
      <c r="R65">
        <v>15754.52</v>
      </c>
      <c r="S65">
        <v>6629.24</v>
      </c>
      <c r="T65">
        <v>1441.7</v>
      </c>
      <c r="U65">
        <v>1153.1400000000001</v>
      </c>
      <c r="V65">
        <v>737.41</v>
      </c>
      <c r="W65">
        <v>404.67</v>
      </c>
      <c r="X65">
        <v>10366.15</v>
      </c>
      <c r="Y65">
        <v>6914.68</v>
      </c>
      <c r="Z65">
        <v>-3451.48</v>
      </c>
      <c r="AA65">
        <v>-0.26379999999999998</v>
      </c>
      <c r="AB65">
        <v>-2210.61</v>
      </c>
      <c r="AC65">
        <v>1083.51</v>
      </c>
      <c r="AD65">
        <v>623.02</v>
      </c>
      <c r="AE65">
        <v>13083.42</v>
      </c>
    </row>
    <row r="66" spans="1:31" x14ac:dyDescent="0.25">
      <c r="A66" t="s">
        <v>244</v>
      </c>
      <c r="B66" s="2">
        <v>45864</v>
      </c>
      <c r="C66" t="s">
        <v>32</v>
      </c>
      <c r="D66" t="s">
        <v>33</v>
      </c>
      <c r="E66">
        <v>2025</v>
      </c>
      <c r="F66" t="s">
        <v>34</v>
      </c>
      <c r="G66" t="s">
        <v>35</v>
      </c>
      <c r="H66" t="s">
        <v>36</v>
      </c>
      <c r="I66" t="s">
        <v>245</v>
      </c>
      <c r="J66" t="s">
        <v>70</v>
      </c>
      <c r="K66" t="s">
        <v>160</v>
      </c>
      <c r="L66" t="s">
        <v>40</v>
      </c>
      <c r="M66" t="s">
        <v>95</v>
      </c>
      <c r="N66" t="s">
        <v>96</v>
      </c>
      <c r="O66" t="s">
        <v>43</v>
      </c>
      <c r="P66" t="s">
        <v>90</v>
      </c>
      <c r="Q66">
        <v>54316.44</v>
      </c>
      <c r="R66">
        <v>61305.59</v>
      </c>
      <c r="S66">
        <v>26554.32</v>
      </c>
      <c r="T66">
        <v>5306.8</v>
      </c>
      <c r="U66">
        <v>2169.9699999999998</v>
      </c>
      <c r="V66">
        <v>2696.56</v>
      </c>
      <c r="W66">
        <v>689.46</v>
      </c>
      <c r="X66">
        <v>37417.11</v>
      </c>
      <c r="Y66">
        <v>27762.12</v>
      </c>
      <c r="Z66">
        <v>-9654.99</v>
      </c>
      <c r="AA66">
        <v>-0.1671</v>
      </c>
      <c r="AB66">
        <v>-6989.15</v>
      </c>
      <c r="AC66">
        <v>2715.82</v>
      </c>
      <c r="AD66">
        <v>6192.07</v>
      </c>
      <c r="AE66">
        <v>57792.69</v>
      </c>
    </row>
    <row r="67" spans="1:31" x14ac:dyDescent="0.25">
      <c r="A67" t="s">
        <v>246</v>
      </c>
      <c r="B67" s="2">
        <v>45930</v>
      </c>
      <c r="C67" t="s">
        <v>46</v>
      </c>
      <c r="D67" t="s">
        <v>33</v>
      </c>
      <c r="E67">
        <v>2025</v>
      </c>
      <c r="F67" t="s">
        <v>67</v>
      </c>
      <c r="G67" t="s">
        <v>35</v>
      </c>
      <c r="H67" t="s">
        <v>217</v>
      </c>
      <c r="I67" t="s">
        <v>241</v>
      </c>
      <c r="J67" t="s">
        <v>38</v>
      </c>
      <c r="K67" t="s">
        <v>39</v>
      </c>
      <c r="L67" t="s">
        <v>81</v>
      </c>
      <c r="M67" t="s">
        <v>189</v>
      </c>
      <c r="N67" t="s">
        <v>190</v>
      </c>
      <c r="O67" t="s">
        <v>104</v>
      </c>
      <c r="P67" t="s">
        <v>105</v>
      </c>
      <c r="Q67">
        <v>24857.02</v>
      </c>
      <c r="R67">
        <v>26466.73</v>
      </c>
      <c r="S67">
        <v>13321.13</v>
      </c>
      <c r="T67">
        <v>1291.3699999999999</v>
      </c>
      <c r="U67">
        <v>2027.25</v>
      </c>
      <c r="V67">
        <v>1036.58</v>
      </c>
      <c r="W67">
        <v>1009.56</v>
      </c>
      <c r="X67">
        <v>18685.89</v>
      </c>
      <c r="Y67">
        <v>11535.89</v>
      </c>
      <c r="Z67">
        <v>-7150</v>
      </c>
      <c r="AA67">
        <v>-0.25130000000000002</v>
      </c>
      <c r="AB67">
        <v>-1609.71</v>
      </c>
      <c r="AC67">
        <v>745.71</v>
      </c>
      <c r="AD67">
        <v>4340.03</v>
      </c>
      <c r="AE67">
        <v>28451.34</v>
      </c>
    </row>
    <row r="68" spans="1:31" x14ac:dyDescent="0.25">
      <c r="A68" t="s">
        <v>247</v>
      </c>
      <c r="B68" s="2">
        <v>45974</v>
      </c>
      <c r="C68" t="s">
        <v>147</v>
      </c>
      <c r="D68" t="s">
        <v>93</v>
      </c>
      <c r="E68">
        <v>2025</v>
      </c>
      <c r="F68" t="s">
        <v>59</v>
      </c>
      <c r="G68" t="s">
        <v>35</v>
      </c>
      <c r="H68" t="s">
        <v>230</v>
      </c>
      <c r="I68" t="s">
        <v>231</v>
      </c>
      <c r="J68" t="s">
        <v>100</v>
      </c>
      <c r="K68" t="s">
        <v>50</v>
      </c>
      <c r="L68" t="s">
        <v>81</v>
      </c>
      <c r="M68" t="s">
        <v>102</v>
      </c>
      <c r="N68" t="s">
        <v>103</v>
      </c>
      <c r="O68" t="s">
        <v>104</v>
      </c>
      <c r="P68" t="s">
        <v>105</v>
      </c>
      <c r="Q68">
        <v>24761.17</v>
      </c>
      <c r="R68">
        <v>29099.95</v>
      </c>
      <c r="S68">
        <v>16450.97</v>
      </c>
      <c r="T68">
        <v>2065.61</v>
      </c>
      <c r="U68">
        <v>1297.19</v>
      </c>
      <c r="V68">
        <v>2451.52</v>
      </c>
      <c r="W68">
        <v>454.55</v>
      </c>
      <c r="X68">
        <v>22719.84</v>
      </c>
      <c r="Y68">
        <v>8310.2099999999991</v>
      </c>
      <c r="Z68">
        <v>-14409.63</v>
      </c>
      <c r="AA68">
        <v>-0.51959999999999995</v>
      </c>
      <c r="AB68">
        <v>-4338.78</v>
      </c>
      <c r="AC68">
        <v>0</v>
      </c>
      <c r="AD68">
        <v>2971.34</v>
      </c>
      <c r="AE68">
        <v>27732.51</v>
      </c>
    </row>
    <row r="69" spans="1:31" x14ac:dyDescent="0.25">
      <c r="A69" t="s">
        <v>248</v>
      </c>
      <c r="B69" s="2">
        <v>45905</v>
      </c>
      <c r="C69" t="s">
        <v>46</v>
      </c>
      <c r="D69" t="s">
        <v>33</v>
      </c>
      <c r="E69">
        <v>2025</v>
      </c>
      <c r="F69" t="s">
        <v>85</v>
      </c>
      <c r="G69" t="s">
        <v>35</v>
      </c>
      <c r="H69" t="s">
        <v>178</v>
      </c>
      <c r="I69" t="s">
        <v>249</v>
      </c>
      <c r="J69" t="s">
        <v>80</v>
      </c>
      <c r="K69" t="s">
        <v>50</v>
      </c>
      <c r="L69" t="s">
        <v>94</v>
      </c>
      <c r="M69" t="s">
        <v>235</v>
      </c>
      <c r="N69" t="s">
        <v>236</v>
      </c>
      <c r="O69" t="s">
        <v>104</v>
      </c>
      <c r="P69" t="s">
        <v>237</v>
      </c>
      <c r="Q69">
        <v>4924.5200000000004</v>
      </c>
      <c r="R69">
        <v>4912.16</v>
      </c>
      <c r="S69">
        <v>2510.84</v>
      </c>
      <c r="T69">
        <v>623.02</v>
      </c>
      <c r="U69">
        <v>378.54</v>
      </c>
      <c r="V69">
        <v>299.01</v>
      </c>
      <c r="W69">
        <v>150.69</v>
      </c>
      <c r="X69">
        <v>3962.1</v>
      </c>
      <c r="Y69">
        <v>2413.6799999999998</v>
      </c>
      <c r="Z69">
        <v>-1548.42</v>
      </c>
      <c r="AA69">
        <v>-0.29609999999999997</v>
      </c>
      <c r="AB69">
        <v>12.37</v>
      </c>
      <c r="AC69">
        <v>492.45</v>
      </c>
      <c r="AD69">
        <v>797.77</v>
      </c>
      <c r="AE69">
        <v>5229.84</v>
      </c>
    </row>
    <row r="70" spans="1:31" x14ac:dyDescent="0.25">
      <c r="A70" t="s">
        <v>250</v>
      </c>
      <c r="B70" s="2">
        <v>46091</v>
      </c>
      <c r="C70" t="s">
        <v>125</v>
      </c>
      <c r="D70" t="s">
        <v>58</v>
      </c>
      <c r="E70">
        <v>2026</v>
      </c>
      <c r="F70" t="s">
        <v>67</v>
      </c>
      <c r="G70" t="s">
        <v>35</v>
      </c>
      <c r="H70" t="s">
        <v>168</v>
      </c>
      <c r="I70" t="s">
        <v>251</v>
      </c>
      <c r="J70" t="s">
        <v>80</v>
      </c>
      <c r="K70" t="s">
        <v>71</v>
      </c>
      <c r="L70" t="s">
        <v>72</v>
      </c>
      <c r="M70" t="s">
        <v>141</v>
      </c>
      <c r="N70" t="s">
        <v>142</v>
      </c>
      <c r="O70" t="s">
        <v>54</v>
      </c>
      <c r="P70" t="s">
        <v>143</v>
      </c>
      <c r="Q70">
        <v>9748.9599999999991</v>
      </c>
      <c r="R70">
        <v>10356.52</v>
      </c>
      <c r="S70">
        <v>5879.06</v>
      </c>
      <c r="T70">
        <v>667.35</v>
      </c>
      <c r="U70">
        <v>355.59</v>
      </c>
      <c r="V70">
        <v>561.91999999999996</v>
      </c>
      <c r="W70">
        <v>161.1</v>
      </c>
      <c r="X70">
        <v>7625.02</v>
      </c>
      <c r="Y70">
        <v>3869.9</v>
      </c>
      <c r="Z70">
        <v>-3755.13</v>
      </c>
      <c r="AA70">
        <v>-0.36199999999999999</v>
      </c>
      <c r="AB70">
        <v>-607.57000000000005</v>
      </c>
      <c r="AC70">
        <v>487.45</v>
      </c>
      <c r="AD70">
        <v>1111.3800000000001</v>
      </c>
      <c r="AE70">
        <v>10372.89</v>
      </c>
    </row>
    <row r="71" spans="1:31" x14ac:dyDescent="0.25">
      <c r="A71" t="s">
        <v>252</v>
      </c>
      <c r="B71" s="2">
        <v>46008</v>
      </c>
      <c r="C71" t="s">
        <v>107</v>
      </c>
      <c r="D71" t="s">
        <v>93</v>
      </c>
      <c r="E71">
        <v>2025</v>
      </c>
      <c r="F71" t="s">
        <v>34</v>
      </c>
      <c r="G71" t="s">
        <v>35</v>
      </c>
      <c r="H71" t="s">
        <v>36</v>
      </c>
      <c r="I71" t="s">
        <v>145</v>
      </c>
      <c r="J71" t="s">
        <v>80</v>
      </c>
      <c r="K71" t="s">
        <v>160</v>
      </c>
      <c r="L71" t="s">
        <v>40</v>
      </c>
      <c r="M71" t="s">
        <v>130</v>
      </c>
      <c r="N71" t="s">
        <v>131</v>
      </c>
      <c r="O71" t="s">
        <v>43</v>
      </c>
      <c r="P71" t="s">
        <v>132</v>
      </c>
      <c r="Q71">
        <v>25852.33</v>
      </c>
      <c r="R71">
        <v>28630.720000000001</v>
      </c>
      <c r="S71">
        <v>16727.62</v>
      </c>
      <c r="T71">
        <v>1610.9</v>
      </c>
      <c r="U71">
        <v>2017.24</v>
      </c>
      <c r="V71">
        <v>1498.28</v>
      </c>
      <c r="W71">
        <v>461.04</v>
      </c>
      <c r="X71">
        <v>22315.08</v>
      </c>
      <c r="Y71">
        <v>9124.7099999999991</v>
      </c>
      <c r="Z71">
        <v>-13190.37</v>
      </c>
      <c r="AA71">
        <v>-0.47949999999999998</v>
      </c>
      <c r="AB71">
        <v>-2778.39</v>
      </c>
      <c r="AC71">
        <v>1292.6199999999999</v>
      </c>
      <c r="AD71">
        <v>2947.17</v>
      </c>
      <c r="AE71">
        <v>27506.880000000001</v>
      </c>
    </row>
    <row r="72" spans="1:31" x14ac:dyDescent="0.25">
      <c r="A72" t="s">
        <v>253</v>
      </c>
      <c r="B72" s="2">
        <v>46104</v>
      </c>
      <c r="C72" t="s">
        <v>125</v>
      </c>
      <c r="D72" t="s">
        <v>58</v>
      </c>
      <c r="E72">
        <v>2026</v>
      </c>
      <c r="F72" t="s">
        <v>59</v>
      </c>
      <c r="G72" t="s">
        <v>35</v>
      </c>
      <c r="H72" t="s">
        <v>254</v>
      </c>
      <c r="I72" t="s">
        <v>255</v>
      </c>
      <c r="J72" t="s">
        <v>70</v>
      </c>
      <c r="K72" t="s">
        <v>50</v>
      </c>
      <c r="L72" t="s">
        <v>94</v>
      </c>
      <c r="M72" t="s">
        <v>88</v>
      </c>
      <c r="N72" t="s">
        <v>89</v>
      </c>
      <c r="O72" t="s">
        <v>43</v>
      </c>
      <c r="P72" t="s">
        <v>90</v>
      </c>
      <c r="Q72">
        <v>79731.490000000005</v>
      </c>
      <c r="R72">
        <v>89526.89</v>
      </c>
      <c r="S72">
        <v>50809.54</v>
      </c>
      <c r="T72">
        <v>7500.23</v>
      </c>
      <c r="U72">
        <v>2444.1</v>
      </c>
      <c r="V72">
        <v>5794.59</v>
      </c>
      <c r="W72">
        <v>1837.34</v>
      </c>
      <c r="X72">
        <v>68385.789999999994</v>
      </c>
      <c r="Y72">
        <v>28921.95</v>
      </c>
      <c r="Z72">
        <v>-39463.839999999997</v>
      </c>
      <c r="AA72">
        <v>-0.42799999999999999</v>
      </c>
      <c r="AB72">
        <v>-9795.4</v>
      </c>
      <c r="AC72">
        <v>1594.63</v>
      </c>
      <c r="AD72">
        <v>14064.64</v>
      </c>
      <c r="AE72">
        <v>92201.5</v>
      </c>
    </row>
    <row r="73" spans="1:31" x14ac:dyDescent="0.25">
      <c r="A73" t="s">
        <v>256</v>
      </c>
      <c r="B73" s="2">
        <v>45837</v>
      </c>
      <c r="C73" t="s">
        <v>156</v>
      </c>
      <c r="D73" t="s">
        <v>66</v>
      </c>
      <c r="E73">
        <v>2025</v>
      </c>
      <c r="F73" t="s">
        <v>67</v>
      </c>
      <c r="G73" t="s">
        <v>35</v>
      </c>
      <c r="H73" t="s">
        <v>168</v>
      </c>
      <c r="I73" t="s">
        <v>169</v>
      </c>
      <c r="J73" t="s">
        <v>38</v>
      </c>
      <c r="K73" t="s">
        <v>50</v>
      </c>
      <c r="L73" t="s">
        <v>94</v>
      </c>
      <c r="M73" t="s">
        <v>120</v>
      </c>
      <c r="N73" t="s">
        <v>121</v>
      </c>
      <c r="O73" t="s">
        <v>43</v>
      </c>
      <c r="P73" t="s">
        <v>122</v>
      </c>
      <c r="Q73">
        <v>42854.74</v>
      </c>
      <c r="R73">
        <v>45328.42</v>
      </c>
      <c r="S73">
        <v>29052.240000000002</v>
      </c>
      <c r="T73">
        <v>3335.16</v>
      </c>
      <c r="U73">
        <v>2960.02</v>
      </c>
      <c r="V73">
        <v>3653.73</v>
      </c>
      <c r="W73">
        <v>829.07</v>
      </c>
      <c r="X73">
        <v>39830.22</v>
      </c>
      <c r="Y73">
        <v>13802.51</v>
      </c>
      <c r="Z73">
        <v>-26027.71</v>
      </c>
      <c r="AA73">
        <v>-0.5595</v>
      </c>
      <c r="AB73">
        <v>-2473.6799999999998</v>
      </c>
      <c r="AC73">
        <v>3428.38</v>
      </c>
      <c r="AD73">
        <v>7096.75</v>
      </c>
      <c r="AE73">
        <v>46523.11</v>
      </c>
    </row>
    <row r="74" spans="1:31" x14ac:dyDescent="0.25">
      <c r="A74" t="s">
        <v>257</v>
      </c>
      <c r="B74" s="2">
        <v>45915</v>
      </c>
      <c r="C74" t="s">
        <v>46</v>
      </c>
      <c r="D74" t="s">
        <v>33</v>
      </c>
      <c r="E74">
        <v>2025</v>
      </c>
      <c r="F74" t="s">
        <v>47</v>
      </c>
      <c r="G74" t="s">
        <v>35</v>
      </c>
      <c r="H74" t="s">
        <v>206</v>
      </c>
      <c r="I74" t="s">
        <v>207</v>
      </c>
      <c r="J74" t="s">
        <v>38</v>
      </c>
      <c r="K74" t="s">
        <v>71</v>
      </c>
      <c r="L74" t="s">
        <v>51</v>
      </c>
      <c r="M74" t="s">
        <v>189</v>
      </c>
      <c r="N74" t="s">
        <v>190</v>
      </c>
      <c r="O74" t="s">
        <v>104</v>
      </c>
      <c r="P74" t="s">
        <v>105</v>
      </c>
      <c r="Q74">
        <v>24368.23</v>
      </c>
      <c r="R74">
        <v>25966.38</v>
      </c>
      <c r="S74">
        <v>16098.92</v>
      </c>
      <c r="T74">
        <v>1527.61</v>
      </c>
      <c r="U74">
        <v>2004.45</v>
      </c>
      <c r="V74">
        <v>2674.35</v>
      </c>
      <c r="W74">
        <v>268.63</v>
      </c>
      <c r="X74">
        <v>22573.95</v>
      </c>
      <c r="Y74">
        <v>8269.31</v>
      </c>
      <c r="Z74">
        <v>-14304.64</v>
      </c>
      <c r="AA74">
        <v>-0.60770000000000002</v>
      </c>
      <c r="AB74">
        <v>-1598.15</v>
      </c>
      <c r="AC74">
        <v>1949.46</v>
      </c>
      <c r="AD74">
        <v>1120.94</v>
      </c>
      <c r="AE74">
        <v>23539.71</v>
      </c>
    </row>
    <row r="75" spans="1:31" x14ac:dyDescent="0.25">
      <c r="A75" t="s">
        <v>258</v>
      </c>
      <c r="B75" s="2">
        <v>46110</v>
      </c>
      <c r="C75" t="s">
        <v>125</v>
      </c>
      <c r="D75" t="s">
        <v>58</v>
      </c>
      <c r="E75">
        <v>2026</v>
      </c>
      <c r="F75" t="s">
        <v>47</v>
      </c>
      <c r="G75" t="s">
        <v>35</v>
      </c>
      <c r="H75" t="s">
        <v>206</v>
      </c>
      <c r="I75" t="s">
        <v>207</v>
      </c>
      <c r="J75" t="s">
        <v>100</v>
      </c>
      <c r="K75" t="s">
        <v>71</v>
      </c>
      <c r="L75" t="s">
        <v>81</v>
      </c>
      <c r="M75" t="s">
        <v>102</v>
      </c>
      <c r="N75" t="s">
        <v>103</v>
      </c>
      <c r="O75" t="s">
        <v>104</v>
      </c>
      <c r="P75" t="s">
        <v>105</v>
      </c>
      <c r="Q75">
        <v>4746.57</v>
      </c>
      <c r="R75">
        <v>5055.46</v>
      </c>
      <c r="S75">
        <v>3396.1</v>
      </c>
      <c r="T75">
        <v>477.24</v>
      </c>
      <c r="U75">
        <v>198.82</v>
      </c>
      <c r="V75">
        <v>430.61</v>
      </c>
      <c r="W75">
        <v>137.16999999999999</v>
      </c>
      <c r="X75">
        <v>4639.9399999999996</v>
      </c>
      <c r="Y75">
        <v>1350.47</v>
      </c>
      <c r="Z75">
        <v>-3289.47</v>
      </c>
      <c r="AA75">
        <v>-0.69479999999999997</v>
      </c>
      <c r="AB75">
        <v>-308.89999999999998</v>
      </c>
      <c r="AC75">
        <v>237.33</v>
      </c>
      <c r="AD75">
        <v>225.46</v>
      </c>
      <c r="AE75">
        <v>4734.7</v>
      </c>
    </row>
    <row r="76" spans="1:31" x14ac:dyDescent="0.25">
      <c r="A76" t="s">
        <v>259</v>
      </c>
      <c r="B76" s="2">
        <v>45821</v>
      </c>
      <c r="C76" t="s">
        <v>156</v>
      </c>
      <c r="D76" t="s">
        <v>66</v>
      </c>
      <c r="E76">
        <v>2025</v>
      </c>
      <c r="F76" t="s">
        <v>67</v>
      </c>
      <c r="G76" t="s">
        <v>35</v>
      </c>
      <c r="H76" t="s">
        <v>68</v>
      </c>
      <c r="I76" t="s">
        <v>260</v>
      </c>
      <c r="J76" t="s">
        <v>38</v>
      </c>
      <c r="K76" t="s">
        <v>39</v>
      </c>
      <c r="L76" t="s">
        <v>81</v>
      </c>
      <c r="M76" t="s">
        <v>211</v>
      </c>
      <c r="N76" t="s">
        <v>212</v>
      </c>
      <c r="O76" t="s">
        <v>112</v>
      </c>
      <c r="P76" t="s">
        <v>113</v>
      </c>
      <c r="Q76">
        <v>14335.02</v>
      </c>
      <c r="R76">
        <v>16688.68</v>
      </c>
      <c r="S76">
        <v>7453.22</v>
      </c>
      <c r="T76">
        <v>1600.92</v>
      </c>
      <c r="U76">
        <v>1018.61</v>
      </c>
      <c r="V76">
        <v>1116.5</v>
      </c>
      <c r="W76">
        <v>172.41</v>
      </c>
      <c r="X76">
        <v>11361.65</v>
      </c>
      <c r="Y76">
        <v>6881.8</v>
      </c>
      <c r="Z76">
        <v>-4479.84</v>
      </c>
      <c r="AA76">
        <v>-0.26479999999999998</v>
      </c>
      <c r="AB76">
        <v>-2353.66</v>
      </c>
      <c r="AC76">
        <v>0</v>
      </c>
      <c r="AD76">
        <v>2580.3000000000002</v>
      </c>
      <c r="AE76">
        <v>16915.330000000002</v>
      </c>
    </row>
    <row r="77" spans="1:31" x14ac:dyDescent="0.25">
      <c r="A77" t="s">
        <v>261</v>
      </c>
      <c r="B77" s="2">
        <v>46017</v>
      </c>
      <c r="C77" t="s">
        <v>107</v>
      </c>
      <c r="D77" t="s">
        <v>93</v>
      </c>
      <c r="E77">
        <v>2025</v>
      </c>
      <c r="F77" t="s">
        <v>85</v>
      </c>
      <c r="G77" t="s">
        <v>35</v>
      </c>
      <c r="H77" t="s">
        <v>86</v>
      </c>
      <c r="I77" t="s">
        <v>262</v>
      </c>
      <c r="J77" t="s">
        <v>70</v>
      </c>
      <c r="K77" t="s">
        <v>39</v>
      </c>
      <c r="L77" t="s">
        <v>72</v>
      </c>
      <c r="M77" t="s">
        <v>161</v>
      </c>
      <c r="N77" t="s">
        <v>162</v>
      </c>
      <c r="O77" t="s">
        <v>43</v>
      </c>
      <c r="P77" t="s">
        <v>163</v>
      </c>
      <c r="Q77">
        <v>26206</v>
      </c>
      <c r="R77">
        <v>25984.560000000001</v>
      </c>
      <c r="S77">
        <v>17728.580000000002</v>
      </c>
      <c r="T77">
        <v>1839.68</v>
      </c>
      <c r="U77">
        <v>656.9</v>
      </c>
      <c r="V77">
        <v>1381.45</v>
      </c>
      <c r="W77">
        <v>691.81</v>
      </c>
      <c r="X77">
        <v>22298.43</v>
      </c>
      <c r="Y77">
        <v>8477.42</v>
      </c>
      <c r="Z77">
        <v>-13821.01</v>
      </c>
      <c r="AA77">
        <v>-0.55810000000000004</v>
      </c>
      <c r="AB77">
        <v>221.44</v>
      </c>
      <c r="AC77">
        <v>2620.6</v>
      </c>
      <c r="AD77">
        <v>1179.27</v>
      </c>
      <c r="AE77">
        <v>24764.67</v>
      </c>
    </row>
    <row r="78" spans="1:31" x14ac:dyDescent="0.25">
      <c r="A78" t="s">
        <v>263</v>
      </c>
      <c r="B78" s="2">
        <v>45786</v>
      </c>
      <c r="C78" t="s">
        <v>65</v>
      </c>
      <c r="D78" t="s">
        <v>66</v>
      </c>
      <c r="E78">
        <v>2025</v>
      </c>
      <c r="F78" t="s">
        <v>67</v>
      </c>
      <c r="G78" t="s">
        <v>35</v>
      </c>
      <c r="H78" t="s">
        <v>168</v>
      </c>
      <c r="I78" t="s">
        <v>169</v>
      </c>
      <c r="J78" t="s">
        <v>70</v>
      </c>
      <c r="K78" t="s">
        <v>50</v>
      </c>
      <c r="L78" t="s">
        <v>40</v>
      </c>
      <c r="M78" t="s">
        <v>186</v>
      </c>
      <c r="N78" t="s">
        <v>187</v>
      </c>
      <c r="O78" t="s">
        <v>173</v>
      </c>
      <c r="P78" t="s">
        <v>174</v>
      </c>
      <c r="Q78">
        <v>29772.06</v>
      </c>
      <c r="R78">
        <v>28640.06</v>
      </c>
      <c r="S78">
        <v>21084.79</v>
      </c>
      <c r="T78">
        <v>1848.39</v>
      </c>
      <c r="U78">
        <v>1580.95</v>
      </c>
      <c r="V78">
        <v>3438.35</v>
      </c>
      <c r="W78">
        <v>735.09</v>
      </c>
      <c r="X78">
        <v>28687.56</v>
      </c>
      <c r="Y78">
        <v>8687.27</v>
      </c>
      <c r="Z78">
        <v>-20000.29</v>
      </c>
      <c r="AA78">
        <v>-0.63139999999999996</v>
      </c>
      <c r="AB78">
        <v>1132</v>
      </c>
      <c r="AC78">
        <v>1488.6</v>
      </c>
      <c r="AD78">
        <v>3394.01</v>
      </c>
      <c r="AE78">
        <v>31677.47</v>
      </c>
    </row>
    <row r="79" spans="1:31" x14ac:dyDescent="0.25">
      <c r="A79" t="s">
        <v>264</v>
      </c>
      <c r="B79" s="2">
        <v>46004</v>
      </c>
      <c r="C79" t="s">
        <v>107</v>
      </c>
      <c r="D79" t="s">
        <v>93</v>
      </c>
      <c r="E79">
        <v>2025</v>
      </c>
      <c r="F79" t="s">
        <v>47</v>
      </c>
      <c r="G79" t="s">
        <v>35</v>
      </c>
      <c r="H79" t="s">
        <v>48</v>
      </c>
      <c r="I79" t="s">
        <v>265</v>
      </c>
      <c r="J79" t="s">
        <v>100</v>
      </c>
      <c r="K79" t="s">
        <v>50</v>
      </c>
      <c r="L79" t="s">
        <v>94</v>
      </c>
      <c r="M79" t="s">
        <v>102</v>
      </c>
      <c r="N79" t="s">
        <v>103</v>
      </c>
      <c r="O79" t="s">
        <v>104</v>
      </c>
      <c r="P79" t="s">
        <v>105</v>
      </c>
      <c r="Q79">
        <v>18533.939999999999</v>
      </c>
      <c r="R79">
        <v>19330.34</v>
      </c>
      <c r="S79">
        <v>9604.64</v>
      </c>
      <c r="T79">
        <v>1228.73</v>
      </c>
      <c r="U79">
        <v>573.16999999999996</v>
      </c>
      <c r="V79">
        <v>969.19</v>
      </c>
      <c r="W79">
        <v>479.64</v>
      </c>
      <c r="X79">
        <v>12855.38</v>
      </c>
      <c r="Y79">
        <v>8929.2999999999993</v>
      </c>
      <c r="Z79">
        <v>-3926.08</v>
      </c>
      <c r="AA79">
        <v>-0.21240000000000001</v>
      </c>
      <c r="AB79">
        <v>-796.4</v>
      </c>
      <c r="AC79">
        <v>926.7</v>
      </c>
      <c r="AD79">
        <v>880.36</v>
      </c>
      <c r="AE79">
        <v>18487.599999999999</v>
      </c>
    </row>
    <row r="80" spans="1:31" x14ac:dyDescent="0.25">
      <c r="A80" t="s">
        <v>266</v>
      </c>
      <c r="B80" s="2">
        <v>46096</v>
      </c>
      <c r="C80" t="s">
        <v>125</v>
      </c>
      <c r="D80" t="s">
        <v>58</v>
      </c>
      <c r="E80">
        <v>2026</v>
      </c>
      <c r="F80" t="s">
        <v>59</v>
      </c>
      <c r="G80" t="s">
        <v>35</v>
      </c>
      <c r="H80" t="s">
        <v>254</v>
      </c>
      <c r="I80" t="s">
        <v>200</v>
      </c>
      <c r="J80" t="s">
        <v>70</v>
      </c>
      <c r="K80" t="s">
        <v>50</v>
      </c>
      <c r="L80" t="s">
        <v>94</v>
      </c>
      <c r="M80" t="s">
        <v>235</v>
      </c>
      <c r="N80" t="s">
        <v>236</v>
      </c>
      <c r="O80" t="s">
        <v>104</v>
      </c>
      <c r="P80" t="s">
        <v>237</v>
      </c>
      <c r="Q80">
        <v>20907.54</v>
      </c>
      <c r="R80">
        <v>19951.27</v>
      </c>
      <c r="S80">
        <v>12837.63</v>
      </c>
      <c r="T80">
        <v>1422.62</v>
      </c>
      <c r="U80">
        <v>741.25</v>
      </c>
      <c r="V80">
        <v>1926.04</v>
      </c>
      <c r="W80">
        <v>447.58</v>
      </c>
      <c r="X80">
        <v>17375.11</v>
      </c>
      <c r="Y80">
        <v>8069.91</v>
      </c>
      <c r="Z80">
        <v>-9305.19</v>
      </c>
      <c r="AA80">
        <v>-0.41830000000000001</v>
      </c>
      <c r="AB80">
        <v>956.27</v>
      </c>
      <c r="AC80">
        <v>1045.3800000000001</v>
      </c>
      <c r="AD80">
        <v>2383.46</v>
      </c>
      <c r="AE80">
        <v>22245.63</v>
      </c>
    </row>
    <row r="81" spans="1:31" x14ac:dyDescent="0.25">
      <c r="A81" t="s">
        <v>267</v>
      </c>
      <c r="B81" s="2">
        <v>45811</v>
      </c>
      <c r="C81" t="s">
        <v>156</v>
      </c>
      <c r="D81" t="s">
        <v>66</v>
      </c>
      <c r="E81">
        <v>2025</v>
      </c>
      <c r="F81" t="s">
        <v>67</v>
      </c>
      <c r="G81" t="s">
        <v>35</v>
      </c>
      <c r="H81" t="s">
        <v>118</v>
      </c>
      <c r="I81" t="s">
        <v>119</v>
      </c>
      <c r="J81" t="s">
        <v>100</v>
      </c>
      <c r="K81" t="s">
        <v>39</v>
      </c>
      <c r="L81" t="s">
        <v>40</v>
      </c>
      <c r="M81" t="s">
        <v>235</v>
      </c>
      <c r="N81" t="s">
        <v>236</v>
      </c>
      <c r="O81" t="s">
        <v>104</v>
      </c>
      <c r="P81" t="s">
        <v>237</v>
      </c>
      <c r="Q81">
        <v>32439.24</v>
      </c>
      <c r="R81">
        <v>34940.15</v>
      </c>
      <c r="S81">
        <v>21464.86</v>
      </c>
      <c r="T81">
        <v>4094.22</v>
      </c>
      <c r="U81">
        <v>2725.16</v>
      </c>
      <c r="V81">
        <v>3177.19</v>
      </c>
      <c r="W81">
        <v>1174.97</v>
      </c>
      <c r="X81">
        <v>32636.400000000001</v>
      </c>
      <c r="Y81">
        <v>10974.38</v>
      </c>
      <c r="Z81">
        <v>-21662.02</v>
      </c>
      <c r="AA81">
        <v>-0.63600000000000001</v>
      </c>
      <c r="AB81">
        <v>-2500.91</v>
      </c>
      <c r="AC81">
        <v>0</v>
      </c>
      <c r="AD81">
        <v>1621.96</v>
      </c>
      <c r="AE81">
        <v>34061.21</v>
      </c>
    </row>
    <row r="82" spans="1:31" x14ac:dyDescent="0.25">
      <c r="A82" t="s">
        <v>268</v>
      </c>
      <c r="B82" s="2">
        <v>45793</v>
      </c>
      <c r="C82" t="s">
        <v>65</v>
      </c>
      <c r="D82" t="s">
        <v>66</v>
      </c>
      <c r="E82">
        <v>2025</v>
      </c>
      <c r="F82" t="s">
        <v>59</v>
      </c>
      <c r="G82" t="s">
        <v>35</v>
      </c>
      <c r="H82" t="s">
        <v>60</v>
      </c>
      <c r="I82" t="s">
        <v>185</v>
      </c>
      <c r="J82" t="s">
        <v>100</v>
      </c>
      <c r="K82" t="s">
        <v>50</v>
      </c>
      <c r="L82" t="s">
        <v>94</v>
      </c>
      <c r="M82" t="s">
        <v>52</v>
      </c>
      <c r="N82" t="s">
        <v>53</v>
      </c>
      <c r="O82" t="s">
        <v>54</v>
      </c>
      <c r="P82" t="s">
        <v>55</v>
      </c>
      <c r="Q82">
        <v>9533.56</v>
      </c>
      <c r="R82">
        <v>8596.65</v>
      </c>
      <c r="S82">
        <v>5798.49</v>
      </c>
      <c r="T82">
        <v>1149.77</v>
      </c>
      <c r="U82">
        <v>289.47000000000003</v>
      </c>
      <c r="V82">
        <v>1010.19</v>
      </c>
      <c r="W82">
        <v>214.72</v>
      </c>
      <c r="X82">
        <v>8462.64</v>
      </c>
      <c r="Y82">
        <v>3735.08</v>
      </c>
      <c r="Z82">
        <v>-4727.5600000000004</v>
      </c>
      <c r="AA82">
        <v>-0.42880000000000001</v>
      </c>
      <c r="AB82">
        <v>936.91</v>
      </c>
      <c r="AC82">
        <v>190.67</v>
      </c>
      <c r="AD82">
        <v>1681.72</v>
      </c>
      <c r="AE82">
        <v>11024.61</v>
      </c>
    </row>
    <row r="83" spans="1:31" x14ac:dyDescent="0.25">
      <c r="A83" t="s">
        <v>269</v>
      </c>
      <c r="B83" s="2">
        <v>45837</v>
      </c>
      <c r="C83" t="s">
        <v>156</v>
      </c>
      <c r="D83" t="s">
        <v>66</v>
      </c>
      <c r="E83">
        <v>2025</v>
      </c>
      <c r="F83" t="s">
        <v>34</v>
      </c>
      <c r="G83" t="s">
        <v>35</v>
      </c>
      <c r="H83" t="s">
        <v>157</v>
      </c>
      <c r="I83" t="s">
        <v>166</v>
      </c>
      <c r="J83" t="s">
        <v>100</v>
      </c>
      <c r="K83" t="s">
        <v>50</v>
      </c>
      <c r="L83" t="s">
        <v>72</v>
      </c>
      <c r="M83" t="s">
        <v>130</v>
      </c>
      <c r="N83" t="s">
        <v>131</v>
      </c>
      <c r="O83" t="s">
        <v>43</v>
      </c>
      <c r="P83" t="s">
        <v>132</v>
      </c>
      <c r="Q83">
        <v>51716.99</v>
      </c>
      <c r="R83">
        <v>59415.92</v>
      </c>
      <c r="S83">
        <v>32206.57</v>
      </c>
      <c r="T83">
        <v>5136.96</v>
      </c>
      <c r="U83">
        <v>3353.4</v>
      </c>
      <c r="V83">
        <v>3305.07</v>
      </c>
      <c r="W83">
        <v>2209.9699999999998</v>
      </c>
      <c r="X83">
        <v>46211.98</v>
      </c>
      <c r="Y83">
        <v>19510.419999999998</v>
      </c>
      <c r="Z83">
        <v>-26701.56</v>
      </c>
      <c r="AA83">
        <v>-0.48620000000000002</v>
      </c>
      <c r="AB83">
        <v>-7698.92</v>
      </c>
      <c r="AC83">
        <v>5171.7</v>
      </c>
      <c r="AD83">
        <v>8378.15</v>
      </c>
      <c r="AE83">
        <v>54923.45</v>
      </c>
    </row>
    <row r="84" spans="1:31" x14ac:dyDescent="0.25">
      <c r="A84" t="s">
        <v>270</v>
      </c>
      <c r="B84" s="2">
        <v>45831</v>
      </c>
      <c r="C84" t="s">
        <v>156</v>
      </c>
      <c r="D84" t="s">
        <v>66</v>
      </c>
      <c r="E84">
        <v>2025</v>
      </c>
      <c r="F84" t="s">
        <v>47</v>
      </c>
      <c r="G84" t="s">
        <v>35</v>
      </c>
      <c r="H84" t="s">
        <v>206</v>
      </c>
      <c r="I84" t="s">
        <v>207</v>
      </c>
      <c r="J84" t="s">
        <v>70</v>
      </c>
      <c r="K84" t="s">
        <v>39</v>
      </c>
      <c r="L84" t="s">
        <v>72</v>
      </c>
      <c r="M84" t="s">
        <v>197</v>
      </c>
      <c r="N84" t="s">
        <v>198</v>
      </c>
      <c r="O84" t="s">
        <v>43</v>
      </c>
      <c r="P84" t="s">
        <v>163</v>
      </c>
      <c r="Q84">
        <v>57619.72</v>
      </c>
      <c r="R84">
        <v>61830.19</v>
      </c>
      <c r="S84">
        <v>34936.949999999997</v>
      </c>
      <c r="T84">
        <v>6253.31</v>
      </c>
      <c r="U84">
        <v>1746.22</v>
      </c>
      <c r="V84">
        <v>2582.9899999999998</v>
      </c>
      <c r="W84">
        <v>1074.53</v>
      </c>
      <c r="X84">
        <v>46593.99</v>
      </c>
      <c r="Y84">
        <v>22682.77</v>
      </c>
      <c r="Z84">
        <v>-23911.22</v>
      </c>
      <c r="AA84">
        <v>-0.35170000000000001</v>
      </c>
      <c r="AB84">
        <v>-4210.46</v>
      </c>
      <c r="AC84">
        <v>0</v>
      </c>
      <c r="AD84">
        <v>10371.549999999999</v>
      </c>
      <c r="AE84">
        <v>67991.27</v>
      </c>
    </row>
    <row r="85" spans="1:31" x14ac:dyDescent="0.25">
      <c r="A85" t="s">
        <v>271</v>
      </c>
      <c r="B85" s="2">
        <v>45869</v>
      </c>
      <c r="C85" t="s">
        <v>32</v>
      </c>
      <c r="D85" t="s">
        <v>33</v>
      </c>
      <c r="E85">
        <v>2025</v>
      </c>
      <c r="F85" t="s">
        <v>47</v>
      </c>
      <c r="G85" t="s">
        <v>35</v>
      </c>
      <c r="H85" t="s">
        <v>48</v>
      </c>
      <c r="I85" t="s">
        <v>49</v>
      </c>
      <c r="J85" t="s">
        <v>38</v>
      </c>
      <c r="K85" t="s">
        <v>71</v>
      </c>
      <c r="L85" t="s">
        <v>81</v>
      </c>
      <c r="M85" t="s">
        <v>41</v>
      </c>
      <c r="N85" t="s">
        <v>42</v>
      </c>
      <c r="O85" t="s">
        <v>43</v>
      </c>
      <c r="P85" t="s">
        <v>44</v>
      </c>
      <c r="Q85">
        <v>19519.37</v>
      </c>
      <c r="R85">
        <v>21002.43</v>
      </c>
      <c r="S85">
        <v>10926.07</v>
      </c>
      <c r="T85">
        <v>1823.08</v>
      </c>
      <c r="U85">
        <v>1113.83</v>
      </c>
      <c r="V85">
        <v>908.08</v>
      </c>
      <c r="W85">
        <v>470.69</v>
      </c>
      <c r="X85">
        <v>15241.76</v>
      </c>
      <c r="Y85">
        <v>8593.2900000000009</v>
      </c>
      <c r="Z85">
        <v>-6648.46</v>
      </c>
      <c r="AA85">
        <v>-0.31030000000000002</v>
      </c>
      <c r="AB85">
        <v>-1483.06</v>
      </c>
      <c r="AC85">
        <v>390.39</v>
      </c>
      <c r="AD85">
        <v>2295.48</v>
      </c>
      <c r="AE85">
        <v>21424.46</v>
      </c>
    </row>
    <row r="86" spans="1:31" x14ac:dyDescent="0.25">
      <c r="A86" t="s">
        <v>272</v>
      </c>
      <c r="B86" s="2">
        <v>45954</v>
      </c>
      <c r="C86" t="s">
        <v>92</v>
      </c>
      <c r="D86" t="s">
        <v>93</v>
      </c>
      <c r="E86">
        <v>2025</v>
      </c>
      <c r="F86" t="s">
        <v>47</v>
      </c>
      <c r="G86" t="s">
        <v>35</v>
      </c>
      <c r="H86" t="s">
        <v>78</v>
      </c>
      <c r="I86" t="s">
        <v>79</v>
      </c>
      <c r="J86" t="s">
        <v>100</v>
      </c>
      <c r="K86" t="s">
        <v>160</v>
      </c>
      <c r="L86" t="s">
        <v>40</v>
      </c>
      <c r="M86" t="s">
        <v>95</v>
      </c>
      <c r="N86" t="s">
        <v>96</v>
      </c>
      <c r="O86" t="s">
        <v>43</v>
      </c>
      <c r="P86" t="s">
        <v>90</v>
      </c>
      <c r="Q86">
        <v>56644.36</v>
      </c>
      <c r="R86">
        <v>62893.21</v>
      </c>
      <c r="S86">
        <v>34052.480000000003</v>
      </c>
      <c r="T86">
        <v>5294.21</v>
      </c>
      <c r="U86">
        <v>3308.58</v>
      </c>
      <c r="V86">
        <v>4930.59</v>
      </c>
      <c r="W86">
        <v>624.72</v>
      </c>
      <c r="X86">
        <v>48210.58</v>
      </c>
      <c r="Y86">
        <v>22591.88</v>
      </c>
      <c r="Z86">
        <v>-25618.7</v>
      </c>
      <c r="AA86">
        <v>-0.39510000000000001</v>
      </c>
      <c r="AB86">
        <v>-6248.85</v>
      </c>
      <c r="AC86">
        <v>1699.33</v>
      </c>
      <c r="AD86">
        <v>9890.11</v>
      </c>
      <c r="AE86">
        <v>64835.14</v>
      </c>
    </row>
    <row r="87" spans="1:31" x14ac:dyDescent="0.25">
      <c r="A87" t="s">
        <v>273</v>
      </c>
      <c r="B87" s="2">
        <v>46082</v>
      </c>
      <c r="C87" t="s">
        <v>125</v>
      </c>
      <c r="D87" t="s">
        <v>58</v>
      </c>
      <c r="E87">
        <v>2026</v>
      </c>
      <c r="F87" t="s">
        <v>85</v>
      </c>
      <c r="G87" t="s">
        <v>35</v>
      </c>
      <c r="H87" t="s">
        <v>178</v>
      </c>
      <c r="I87" t="s">
        <v>179</v>
      </c>
      <c r="J87" t="s">
        <v>100</v>
      </c>
      <c r="K87" t="s">
        <v>160</v>
      </c>
      <c r="L87" t="s">
        <v>40</v>
      </c>
      <c r="M87" t="s">
        <v>102</v>
      </c>
      <c r="N87" t="s">
        <v>103</v>
      </c>
      <c r="O87" t="s">
        <v>104</v>
      </c>
      <c r="P87" t="s">
        <v>105</v>
      </c>
      <c r="Q87">
        <v>14236.25</v>
      </c>
      <c r="R87">
        <v>16098.35</v>
      </c>
      <c r="S87">
        <v>7639.03</v>
      </c>
      <c r="T87">
        <v>1595.6</v>
      </c>
      <c r="U87">
        <v>730.96</v>
      </c>
      <c r="V87">
        <v>1254.9000000000001</v>
      </c>
      <c r="W87">
        <v>457.54</v>
      </c>
      <c r="X87">
        <v>11678.04</v>
      </c>
      <c r="Y87">
        <v>6597.22</v>
      </c>
      <c r="Z87">
        <v>-5080.82</v>
      </c>
      <c r="AA87">
        <v>-0.32850000000000001</v>
      </c>
      <c r="AB87">
        <v>-1862.09</v>
      </c>
      <c r="AC87">
        <v>427.09</v>
      </c>
      <c r="AD87">
        <v>1657.1</v>
      </c>
      <c r="AE87">
        <v>15466.27</v>
      </c>
    </row>
    <row r="88" spans="1:31" x14ac:dyDescent="0.25">
      <c r="A88" t="s">
        <v>274</v>
      </c>
      <c r="B88" s="2">
        <v>46040</v>
      </c>
      <c r="C88" t="s">
        <v>77</v>
      </c>
      <c r="D88" t="s">
        <v>58</v>
      </c>
      <c r="E88">
        <v>2026</v>
      </c>
      <c r="F88" t="s">
        <v>85</v>
      </c>
      <c r="G88" t="s">
        <v>35</v>
      </c>
      <c r="H88" t="s">
        <v>86</v>
      </c>
      <c r="I88" t="s">
        <v>181</v>
      </c>
      <c r="J88" t="s">
        <v>100</v>
      </c>
      <c r="K88" t="s">
        <v>275</v>
      </c>
      <c r="L88" t="s">
        <v>81</v>
      </c>
      <c r="M88" t="s">
        <v>186</v>
      </c>
      <c r="N88" t="s">
        <v>187</v>
      </c>
      <c r="O88" t="s">
        <v>173</v>
      </c>
      <c r="P88" t="s">
        <v>174</v>
      </c>
      <c r="Q88">
        <v>25906.400000000001</v>
      </c>
      <c r="R88">
        <v>27947.47</v>
      </c>
      <c r="S88">
        <v>13027.36</v>
      </c>
      <c r="T88">
        <v>2646.85</v>
      </c>
      <c r="U88">
        <v>1173.29</v>
      </c>
      <c r="V88">
        <v>1863.28</v>
      </c>
      <c r="W88">
        <v>1037.02</v>
      </c>
      <c r="X88">
        <v>19747.810000000001</v>
      </c>
      <c r="Y88">
        <v>12879.03</v>
      </c>
      <c r="Z88">
        <v>-6868.78</v>
      </c>
      <c r="AA88">
        <v>-0.23669999999999999</v>
      </c>
      <c r="AB88">
        <v>-2041.07</v>
      </c>
      <c r="AC88">
        <v>0</v>
      </c>
      <c r="AD88">
        <v>3108.77</v>
      </c>
      <c r="AE88">
        <v>29015.17</v>
      </c>
    </row>
    <row r="89" spans="1:31" x14ac:dyDescent="0.25">
      <c r="A89" t="s">
        <v>276</v>
      </c>
      <c r="B89" s="2">
        <v>45911</v>
      </c>
      <c r="C89" t="s">
        <v>46</v>
      </c>
      <c r="D89" t="s">
        <v>33</v>
      </c>
      <c r="E89">
        <v>2025</v>
      </c>
      <c r="F89" t="s">
        <v>85</v>
      </c>
      <c r="G89" t="s">
        <v>35</v>
      </c>
      <c r="H89" t="s">
        <v>60</v>
      </c>
      <c r="I89" t="s">
        <v>108</v>
      </c>
      <c r="J89" t="s">
        <v>70</v>
      </c>
      <c r="K89" t="s">
        <v>160</v>
      </c>
      <c r="L89" t="s">
        <v>40</v>
      </c>
      <c r="M89" t="s">
        <v>52</v>
      </c>
      <c r="N89" t="s">
        <v>53</v>
      </c>
      <c r="O89" t="s">
        <v>54</v>
      </c>
      <c r="P89" t="s">
        <v>55</v>
      </c>
      <c r="Q89">
        <v>5377.5</v>
      </c>
      <c r="R89">
        <v>5457.25</v>
      </c>
      <c r="S89">
        <v>3339.92</v>
      </c>
      <c r="T89">
        <v>676.96</v>
      </c>
      <c r="U89">
        <v>222.71</v>
      </c>
      <c r="V89">
        <v>369.65</v>
      </c>
      <c r="W89">
        <v>125.17</v>
      </c>
      <c r="X89">
        <v>4734.41</v>
      </c>
      <c r="Y89">
        <v>2037.58</v>
      </c>
      <c r="Z89">
        <v>-2696.83</v>
      </c>
      <c r="AA89">
        <v>-0.4713</v>
      </c>
      <c r="AB89">
        <v>-79.75</v>
      </c>
      <c r="AC89">
        <v>268.87</v>
      </c>
      <c r="AD89">
        <v>613.03</v>
      </c>
      <c r="AE89">
        <v>5721.66</v>
      </c>
    </row>
    <row r="90" spans="1:31" x14ac:dyDescent="0.25">
      <c r="A90" t="s">
        <v>277</v>
      </c>
      <c r="B90" s="2">
        <v>45951</v>
      </c>
      <c r="C90" t="s">
        <v>92</v>
      </c>
      <c r="D90" t="s">
        <v>93</v>
      </c>
      <c r="E90">
        <v>2025</v>
      </c>
      <c r="F90" t="s">
        <v>67</v>
      </c>
      <c r="G90" t="s">
        <v>35</v>
      </c>
      <c r="H90" t="s">
        <v>168</v>
      </c>
      <c r="I90" t="s">
        <v>278</v>
      </c>
      <c r="J90" t="s">
        <v>70</v>
      </c>
      <c r="K90" t="s">
        <v>39</v>
      </c>
      <c r="L90" t="s">
        <v>51</v>
      </c>
      <c r="M90" t="s">
        <v>95</v>
      </c>
      <c r="N90" t="s">
        <v>96</v>
      </c>
      <c r="O90" t="s">
        <v>43</v>
      </c>
      <c r="P90" t="s">
        <v>90</v>
      </c>
      <c r="Q90">
        <v>24059.47</v>
      </c>
      <c r="R90">
        <v>25006.23</v>
      </c>
      <c r="S90">
        <v>16956.759999999998</v>
      </c>
      <c r="T90">
        <v>1278.7</v>
      </c>
      <c r="U90">
        <v>792.45</v>
      </c>
      <c r="V90">
        <v>1832.75</v>
      </c>
      <c r="W90">
        <v>1026.99</v>
      </c>
      <c r="X90">
        <v>21887.66</v>
      </c>
      <c r="Y90">
        <v>7102.71</v>
      </c>
      <c r="Z90">
        <v>-14784.95</v>
      </c>
      <c r="AA90">
        <v>-0.55989999999999995</v>
      </c>
      <c r="AB90">
        <v>-946.76</v>
      </c>
      <c r="AC90">
        <v>481.19</v>
      </c>
      <c r="AD90">
        <v>2829.39</v>
      </c>
      <c r="AE90">
        <v>26407.67</v>
      </c>
    </row>
    <row r="91" spans="1:31" x14ac:dyDescent="0.25">
      <c r="A91" t="s">
        <v>279</v>
      </c>
      <c r="B91" s="2">
        <v>45953</v>
      </c>
      <c r="C91" t="s">
        <v>92</v>
      </c>
      <c r="D91" t="s">
        <v>93</v>
      </c>
      <c r="E91">
        <v>2025</v>
      </c>
      <c r="F91" t="s">
        <v>34</v>
      </c>
      <c r="G91" t="s">
        <v>35</v>
      </c>
      <c r="H91" t="s">
        <v>134</v>
      </c>
      <c r="I91" t="s">
        <v>176</v>
      </c>
      <c r="J91" t="s">
        <v>100</v>
      </c>
      <c r="K91" t="s">
        <v>160</v>
      </c>
      <c r="L91" t="s">
        <v>51</v>
      </c>
      <c r="M91" t="s">
        <v>73</v>
      </c>
      <c r="N91" t="s">
        <v>74</v>
      </c>
      <c r="O91" t="s">
        <v>43</v>
      </c>
      <c r="P91" t="s">
        <v>75</v>
      </c>
      <c r="Q91">
        <v>44266.95</v>
      </c>
      <c r="R91">
        <v>46658.86</v>
      </c>
      <c r="S91">
        <v>23949.040000000001</v>
      </c>
      <c r="T91">
        <v>4060.98</v>
      </c>
      <c r="U91">
        <v>2092.61</v>
      </c>
      <c r="V91">
        <v>3655.55</v>
      </c>
      <c r="W91">
        <v>637.49</v>
      </c>
      <c r="X91">
        <v>34395.660000000003</v>
      </c>
      <c r="Y91">
        <v>20317.919999999998</v>
      </c>
      <c r="Z91">
        <v>-14077.74</v>
      </c>
      <c r="AA91">
        <v>-0.3029</v>
      </c>
      <c r="AB91">
        <v>-2391.91</v>
      </c>
      <c r="AC91">
        <v>0</v>
      </c>
      <c r="AD91">
        <v>2213.35</v>
      </c>
      <c r="AE91">
        <v>46480.3</v>
      </c>
    </row>
    <row r="92" spans="1:31" x14ac:dyDescent="0.25">
      <c r="A92" t="s">
        <v>280</v>
      </c>
      <c r="B92" s="2">
        <v>45981</v>
      </c>
      <c r="C92" t="s">
        <v>147</v>
      </c>
      <c r="D92" t="s">
        <v>93</v>
      </c>
      <c r="E92">
        <v>2025</v>
      </c>
      <c r="F92" t="s">
        <v>34</v>
      </c>
      <c r="G92" t="s">
        <v>35</v>
      </c>
      <c r="H92" t="s">
        <v>134</v>
      </c>
      <c r="I92" t="s">
        <v>135</v>
      </c>
      <c r="J92" t="s">
        <v>80</v>
      </c>
      <c r="K92" t="s">
        <v>50</v>
      </c>
      <c r="L92" t="s">
        <v>81</v>
      </c>
      <c r="M92" t="s">
        <v>197</v>
      </c>
      <c r="N92" t="s">
        <v>198</v>
      </c>
      <c r="O92" t="s">
        <v>43</v>
      </c>
      <c r="P92" t="s">
        <v>163</v>
      </c>
      <c r="Q92">
        <v>50352.14</v>
      </c>
      <c r="R92">
        <v>54772.45</v>
      </c>
      <c r="S92">
        <v>34297.25</v>
      </c>
      <c r="T92">
        <v>6322.68</v>
      </c>
      <c r="U92">
        <v>3495</v>
      </c>
      <c r="V92">
        <v>4016.79</v>
      </c>
      <c r="W92">
        <v>1592.37</v>
      </c>
      <c r="X92">
        <v>49724.08</v>
      </c>
      <c r="Y92">
        <v>16054.9</v>
      </c>
      <c r="Z92">
        <v>-33669.18</v>
      </c>
      <c r="AA92">
        <v>-0.64890000000000003</v>
      </c>
      <c r="AB92">
        <v>-4420.3</v>
      </c>
      <c r="AC92">
        <v>4028.17</v>
      </c>
      <c r="AD92">
        <v>5558.88</v>
      </c>
      <c r="AE92">
        <v>51882.85</v>
      </c>
    </row>
    <row r="93" spans="1:31" x14ac:dyDescent="0.25">
      <c r="A93" t="s">
        <v>281</v>
      </c>
      <c r="B93" s="2">
        <v>45823</v>
      </c>
      <c r="C93" t="s">
        <v>156</v>
      </c>
      <c r="D93" t="s">
        <v>66</v>
      </c>
      <c r="E93">
        <v>2025</v>
      </c>
      <c r="F93" t="s">
        <v>59</v>
      </c>
      <c r="G93" t="s">
        <v>35</v>
      </c>
      <c r="H93" t="s">
        <v>254</v>
      </c>
      <c r="I93" t="s">
        <v>200</v>
      </c>
      <c r="J93" t="s">
        <v>38</v>
      </c>
      <c r="K93" t="s">
        <v>39</v>
      </c>
      <c r="L93" t="s">
        <v>51</v>
      </c>
      <c r="M93" t="s">
        <v>171</v>
      </c>
      <c r="N93" t="s">
        <v>172</v>
      </c>
      <c r="O93" t="s">
        <v>173</v>
      </c>
      <c r="P93" t="s">
        <v>174</v>
      </c>
      <c r="Q93">
        <v>34679.730000000003</v>
      </c>
      <c r="R93">
        <v>36523.15</v>
      </c>
      <c r="S93">
        <v>19547.490000000002</v>
      </c>
      <c r="T93">
        <v>2175.91</v>
      </c>
      <c r="U93">
        <v>2230.67</v>
      </c>
      <c r="V93">
        <v>2269.75</v>
      </c>
      <c r="W93">
        <v>1398.47</v>
      </c>
      <c r="X93">
        <v>27622.3</v>
      </c>
      <c r="Y93">
        <v>15132.23</v>
      </c>
      <c r="Z93">
        <v>-12490.06</v>
      </c>
      <c r="AA93">
        <v>-0.33910000000000001</v>
      </c>
      <c r="AB93">
        <v>-1843.42</v>
      </c>
      <c r="AC93">
        <v>3467.97</v>
      </c>
      <c r="AD93">
        <v>5618.12</v>
      </c>
      <c r="AE93">
        <v>36829.870000000003</v>
      </c>
    </row>
    <row r="94" spans="1:31" x14ac:dyDescent="0.25">
      <c r="A94" t="s">
        <v>282</v>
      </c>
      <c r="B94" s="2">
        <v>45992</v>
      </c>
      <c r="C94" t="s">
        <v>107</v>
      </c>
      <c r="D94" t="s">
        <v>93</v>
      </c>
      <c r="E94">
        <v>2025</v>
      </c>
      <c r="F94" t="s">
        <v>67</v>
      </c>
      <c r="G94" t="s">
        <v>35</v>
      </c>
      <c r="H94" t="s">
        <v>168</v>
      </c>
      <c r="I94" t="s">
        <v>278</v>
      </c>
      <c r="J94" t="s">
        <v>38</v>
      </c>
      <c r="K94" t="s">
        <v>39</v>
      </c>
      <c r="L94" t="s">
        <v>72</v>
      </c>
      <c r="M94" t="s">
        <v>197</v>
      </c>
      <c r="N94" t="s">
        <v>198</v>
      </c>
      <c r="O94" t="s">
        <v>43</v>
      </c>
      <c r="P94" t="s">
        <v>163</v>
      </c>
      <c r="Q94">
        <v>49818.239999999998</v>
      </c>
      <c r="R94">
        <v>56960.55</v>
      </c>
      <c r="S94">
        <v>27705.27</v>
      </c>
      <c r="T94">
        <v>5953.88</v>
      </c>
      <c r="U94">
        <v>2461.9499999999998</v>
      </c>
      <c r="V94">
        <v>3175.89</v>
      </c>
      <c r="W94">
        <v>1629.93</v>
      </c>
      <c r="X94">
        <v>40926.93</v>
      </c>
      <c r="Y94">
        <v>22112.98</v>
      </c>
      <c r="Z94">
        <v>-18813.95</v>
      </c>
      <c r="AA94">
        <v>-0.3266</v>
      </c>
      <c r="AB94">
        <v>-7142.31</v>
      </c>
      <c r="AC94">
        <v>996.36</v>
      </c>
      <c r="AD94">
        <v>8787.94</v>
      </c>
      <c r="AE94">
        <v>57609.82</v>
      </c>
    </row>
    <row r="95" spans="1:31" x14ac:dyDescent="0.25">
      <c r="A95" t="s">
        <v>283</v>
      </c>
      <c r="B95" s="2">
        <v>45946</v>
      </c>
      <c r="C95" t="s">
        <v>92</v>
      </c>
      <c r="D95" t="s">
        <v>93</v>
      </c>
      <c r="E95">
        <v>2025</v>
      </c>
      <c r="F95" t="s">
        <v>67</v>
      </c>
      <c r="G95" t="s">
        <v>35</v>
      </c>
      <c r="H95" t="s">
        <v>217</v>
      </c>
      <c r="I95" t="s">
        <v>284</v>
      </c>
      <c r="J95" t="s">
        <v>80</v>
      </c>
      <c r="K95" t="s">
        <v>39</v>
      </c>
      <c r="L95" t="s">
        <v>94</v>
      </c>
      <c r="M95" t="s">
        <v>88</v>
      </c>
      <c r="N95" t="s">
        <v>89</v>
      </c>
      <c r="O95" t="s">
        <v>43</v>
      </c>
      <c r="P95" t="s">
        <v>90</v>
      </c>
      <c r="Q95">
        <v>22770.880000000001</v>
      </c>
      <c r="R95">
        <v>24160.69</v>
      </c>
      <c r="S95">
        <v>14581.81</v>
      </c>
      <c r="T95">
        <v>2267.0500000000002</v>
      </c>
      <c r="U95">
        <v>1255.29</v>
      </c>
      <c r="V95">
        <v>1602.68</v>
      </c>
      <c r="W95">
        <v>915.77</v>
      </c>
      <c r="X95">
        <v>20622.61</v>
      </c>
      <c r="Y95">
        <v>8189.07</v>
      </c>
      <c r="Z95">
        <v>-12433.54</v>
      </c>
      <c r="AA95">
        <v>-0.50260000000000005</v>
      </c>
      <c r="AB95">
        <v>-1389.81</v>
      </c>
      <c r="AC95">
        <v>683.13</v>
      </c>
      <c r="AD95">
        <v>2650.53</v>
      </c>
      <c r="AE95">
        <v>24738.29</v>
      </c>
    </row>
    <row r="96" spans="1:31" x14ac:dyDescent="0.25">
      <c r="A96" t="s">
        <v>285</v>
      </c>
      <c r="B96" s="2">
        <v>45864</v>
      </c>
      <c r="C96" t="s">
        <v>32</v>
      </c>
      <c r="D96" t="s">
        <v>33</v>
      </c>
      <c r="E96">
        <v>2025</v>
      </c>
      <c r="F96" t="s">
        <v>34</v>
      </c>
      <c r="G96" t="s">
        <v>35</v>
      </c>
      <c r="H96" t="s">
        <v>98</v>
      </c>
      <c r="I96" t="s">
        <v>99</v>
      </c>
      <c r="J96" t="s">
        <v>100</v>
      </c>
      <c r="K96" t="s">
        <v>39</v>
      </c>
      <c r="L96" t="s">
        <v>72</v>
      </c>
      <c r="M96" t="s">
        <v>211</v>
      </c>
      <c r="N96" t="s">
        <v>212</v>
      </c>
      <c r="O96" t="s">
        <v>112</v>
      </c>
      <c r="P96" t="s">
        <v>113</v>
      </c>
      <c r="Q96">
        <v>25839.56</v>
      </c>
      <c r="R96">
        <v>29040.97</v>
      </c>
      <c r="S96">
        <v>16856.43</v>
      </c>
      <c r="T96">
        <v>3267.2</v>
      </c>
      <c r="U96">
        <v>676.61</v>
      </c>
      <c r="V96">
        <v>1438.29</v>
      </c>
      <c r="W96">
        <v>265.24</v>
      </c>
      <c r="X96">
        <v>22503.77</v>
      </c>
      <c r="Y96">
        <v>8983.14</v>
      </c>
      <c r="Z96">
        <v>-13520.63</v>
      </c>
      <c r="AA96">
        <v>-0.46679999999999999</v>
      </c>
      <c r="AB96">
        <v>-3201.41</v>
      </c>
      <c r="AC96">
        <v>1291.98</v>
      </c>
      <c r="AD96">
        <v>4418.57</v>
      </c>
      <c r="AE96">
        <v>28966.15</v>
      </c>
    </row>
    <row r="97" spans="1:31" x14ac:dyDescent="0.25">
      <c r="A97" t="s">
        <v>286</v>
      </c>
      <c r="B97" s="2">
        <v>46028</v>
      </c>
      <c r="C97" t="s">
        <v>77</v>
      </c>
      <c r="D97" t="s">
        <v>58</v>
      </c>
      <c r="E97">
        <v>2026</v>
      </c>
      <c r="F97" t="s">
        <v>34</v>
      </c>
      <c r="G97" t="s">
        <v>35</v>
      </c>
      <c r="H97" t="s">
        <v>36</v>
      </c>
      <c r="I97" t="s">
        <v>37</v>
      </c>
      <c r="J97" t="s">
        <v>38</v>
      </c>
      <c r="K97" t="s">
        <v>160</v>
      </c>
      <c r="L97" t="s">
        <v>51</v>
      </c>
      <c r="M97" t="s">
        <v>73</v>
      </c>
      <c r="N97" t="s">
        <v>74</v>
      </c>
      <c r="O97" t="s">
        <v>43</v>
      </c>
      <c r="P97" t="s">
        <v>75</v>
      </c>
      <c r="Q97">
        <v>28926.31</v>
      </c>
      <c r="R97">
        <v>29994.42</v>
      </c>
      <c r="S97">
        <v>18536.650000000001</v>
      </c>
      <c r="T97">
        <v>3597.52</v>
      </c>
      <c r="U97">
        <v>1723.92</v>
      </c>
      <c r="V97">
        <v>2501.39</v>
      </c>
      <c r="W97">
        <v>380</v>
      </c>
      <c r="X97">
        <v>26739.48</v>
      </c>
      <c r="Y97">
        <v>10389.66</v>
      </c>
      <c r="Z97">
        <v>-16349.81</v>
      </c>
      <c r="AA97">
        <v>-0.53120000000000001</v>
      </c>
      <c r="AB97">
        <v>-1068.1199999999999</v>
      </c>
      <c r="AC97">
        <v>1446.32</v>
      </c>
      <c r="AD97">
        <v>3297.6</v>
      </c>
      <c r="AE97">
        <v>30777.59</v>
      </c>
    </row>
    <row r="98" spans="1:31" x14ac:dyDescent="0.25">
      <c r="A98" t="s">
        <v>287</v>
      </c>
      <c r="B98" s="2">
        <v>45824</v>
      </c>
      <c r="C98" t="s">
        <v>156</v>
      </c>
      <c r="D98" t="s">
        <v>66</v>
      </c>
      <c r="E98">
        <v>2025</v>
      </c>
      <c r="F98" t="s">
        <v>67</v>
      </c>
      <c r="G98" t="s">
        <v>35</v>
      </c>
      <c r="H98" t="s">
        <v>168</v>
      </c>
      <c r="I98" t="s">
        <v>251</v>
      </c>
      <c r="J98" t="s">
        <v>70</v>
      </c>
      <c r="K98" t="s">
        <v>50</v>
      </c>
      <c r="L98" t="s">
        <v>72</v>
      </c>
      <c r="M98" t="s">
        <v>52</v>
      </c>
      <c r="N98" t="s">
        <v>53</v>
      </c>
      <c r="O98" t="s">
        <v>54</v>
      </c>
      <c r="P98" t="s">
        <v>55</v>
      </c>
      <c r="Q98">
        <v>6402.52</v>
      </c>
      <c r="R98">
        <v>6201.37</v>
      </c>
      <c r="S98">
        <v>4292.3599999999997</v>
      </c>
      <c r="T98">
        <v>415</v>
      </c>
      <c r="U98">
        <v>542</v>
      </c>
      <c r="V98">
        <v>473.54</v>
      </c>
      <c r="W98">
        <v>83.53</v>
      </c>
      <c r="X98">
        <v>5806.43</v>
      </c>
      <c r="Y98">
        <v>2110.16</v>
      </c>
      <c r="Z98">
        <v>-3696.28</v>
      </c>
      <c r="AA98">
        <v>-0.56030000000000002</v>
      </c>
      <c r="AB98">
        <v>201.14</v>
      </c>
      <c r="AC98">
        <v>512.20000000000005</v>
      </c>
      <c r="AD98">
        <v>706.84</v>
      </c>
      <c r="AE98">
        <v>6597.15</v>
      </c>
    </row>
    <row r="99" spans="1:31" x14ac:dyDescent="0.25">
      <c r="A99" t="s">
        <v>288</v>
      </c>
      <c r="B99" s="2">
        <v>45920</v>
      </c>
      <c r="C99" t="s">
        <v>46</v>
      </c>
      <c r="D99" t="s">
        <v>33</v>
      </c>
      <c r="E99">
        <v>2025</v>
      </c>
      <c r="F99" t="s">
        <v>34</v>
      </c>
      <c r="G99" t="s">
        <v>35</v>
      </c>
      <c r="H99" t="s">
        <v>36</v>
      </c>
      <c r="I99" t="s">
        <v>145</v>
      </c>
      <c r="J99" t="s">
        <v>70</v>
      </c>
      <c r="K99" t="s">
        <v>39</v>
      </c>
      <c r="L99" t="s">
        <v>81</v>
      </c>
      <c r="M99" t="s">
        <v>62</v>
      </c>
      <c r="N99" t="s">
        <v>63</v>
      </c>
      <c r="O99" t="s">
        <v>54</v>
      </c>
      <c r="P99" t="s">
        <v>55</v>
      </c>
      <c r="Q99">
        <v>8410.92</v>
      </c>
      <c r="R99">
        <v>7842.61</v>
      </c>
      <c r="S99">
        <v>4765.5</v>
      </c>
      <c r="T99">
        <v>1030.0999999999999</v>
      </c>
      <c r="U99">
        <v>631.21</v>
      </c>
      <c r="V99">
        <v>710.98</v>
      </c>
      <c r="W99">
        <v>159.37</v>
      </c>
      <c r="X99">
        <v>7297.16</v>
      </c>
      <c r="Y99">
        <v>3645.41</v>
      </c>
      <c r="Z99">
        <v>-3651.74</v>
      </c>
      <c r="AA99">
        <v>-0.37540000000000001</v>
      </c>
      <c r="AB99">
        <v>568.30999999999995</v>
      </c>
      <c r="AC99">
        <v>168.22</v>
      </c>
      <c r="AD99">
        <v>1483.69</v>
      </c>
      <c r="AE99">
        <v>9726.39</v>
      </c>
    </row>
    <row r="100" spans="1:31" x14ac:dyDescent="0.25">
      <c r="A100" t="s">
        <v>289</v>
      </c>
      <c r="B100" s="2">
        <v>45847</v>
      </c>
      <c r="C100" t="s">
        <v>32</v>
      </c>
      <c r="D100" t="s">
        <v>33</v>
      </c>
      <c r="E100">
        <v>2025</v>
      </c>
      <c r="F100" t="s">
        <v>67</v>
      </c>
      <c r="G100" t="s">
        <v>35</v>
      </c>
      <c r="H100" t="s">
        <v>68</v>
      </c>
      <c r="I100" t="s">
        <v>69</v>
      </c>
      <c r="J100" t="s">
        <v>100</v>
      </c>
      <c r="K100" t="s">
        <v>71</v>
      </c>
      <c r="L100" t="s">
        <v>40</v>
      </c>
      <c r="M100" t="s">
        <v>82</v>
      </c>
      <c r="N100" t="s">
        <v>83</v>
      </c>
      <c r="O100" t="s">
        <v>43</v>
      </c>
      <c r="P100" t="s">
        <v>75</v>
      </c>
      <c r="Q100">
        <v>31925.24</v>
      </c>
      <c r="R100">
        <v>30347.200000000001</v>
      </c>
      <c r="S100">
        <v>21984.43</v>
      </c>
      <c r="T100">
        <v>2804.04</v>
      </c>
      <c r="U100">
        <v>1909.07</v>
      </c>
      <c r="V100">
        <v>1732.76</v>
      </c>
      <c r="W100">
        <v>668.18</v>
      </c>
      <c r="X100">
        <v>29098.49</v>
      </c>
      <c r="Y100">
        <v>9940.81</v>
      </c>
      <c r="Z100">
        <v>-19157.68</v>
      </c>
      <c r="AA100">
        <v>-0.58320000000000005</v>
      </c>
      <c r="AB100">
        <v>1578.04</v>
      </c>
      <c r="AC100">
        <v>638.5</v>
      </c>
      <c r="AD100">
        <v>1564.34</v>
      </c>
      <c r="AE100">
        <v>32851.07</v>
      </c>
    </row>
    <row r="101" spans="1:31" x14ac:dyDescent="0.25">
      <c r="A101" t="s">
        <v>290</v>
      </c>
      <c r="B101" s="2">
        <v>45758</v>
      </c>
      <c r="C101" t="s">
        <v>128</v>
      </c>
      <c r="D101" t="s">
        <v>66</v>
      </c>
      <c r="E101">
        <v>2025</v>
      </c>
      <c r="F101" t="s">
        <v>47</v>
      </c>
      <c r="G101" t="s">
        <v>35</v>
      </c>
      <c r="H101" t="s">
        <v>48</v>
      </c>
      <c r="I101" t="s">
        <v>49</v>
      </c>
      <c r="J101" t="s">
        <v>80</v>
      </c>
      <c r="K101" t="s">
        <v>50</v>
      </c>
      <c r="L101" t="s">
        <v>94</v>
      </c>
      <c r="M101" t="s">
        <v>73</v>
      </c>
      <c r="N101" t="s">
        <v>74</v>
      </c>
      <c r="O101" t="s">
        <v>43</v>
      </c>
      <c r="P101" t="s">
        <v>75</v>
      </c>
      <c r="Q101">
        <v>34248.01</v>
      </c>
      <c r="R101">
        <v>37082.11</v>
      </c>
      <c r="S101">
        <v>20077.97</v>
      </c>
      <c r="T101">
        <v>2933.8</v>
      </c>
      <c r="U101">
        <v>2469.06</v>
      </c>
      <c r="V101">
        <v>1413.27</v>
      </c>
      <c r="W101">
        <v>751.34</v>
      </c>
      <c r="X101">
        <v>27645.43</v>
      </c>
      <c r="Y101">
        <v>14170.04</v>
      </c>
      <c r="Z101">
        <v>-13475.39</v>
      </c>
      <c r="AA101">
        <v>-0.3624</v>
      </c>
      <c r="AB101">
        <v>-2834.1</v>
      </c>
      <c r="AC101">
        <v>2739.84</v>
      </c>
      <c r="AD101">
        <v>5671.47</v>
      </c>
      <c r="AE101">
        <v>37179.64</v>
      </c>
    </row>
    <row r="102" spans="1:31" x14ac:dyDescent="0.25">
      <c r="A102" t="s">
        <v>291</v>
      </c>
      <c r="B102" s="2">
        <v>45849</v>
      </c>
      <c r="C102" t="s">
        <v>32</v>
      </c>
      <c r="D102" t="s">
        <v>33</v>
      </c>
      <c r="E102">
        <v>2025</v>
      </c>
      <c r="F102" t="s">
        <v>34</v>
      </c>
      <c r="G102" t="s">
        <v>35</v>
      </c>
      <c r="H102" t="s">
        <v>36</v>
      </c>
      <c r="I102" t="s">
        <v>145</v>
      </c>
      <c r="J102" t="s">
        <v>100</v>
      </c>
      <c r="K102" t="s">
        <v>50</v>
      </c>
      <c r="L102" t="s">
        <v>81</v>
      </c>
      <c r="M102" t="s">
        <v>82</v>
      </c>
      <c r="N102" t="s">
        <v>83</v>
      </c>
      <c r="O102" t="s">
        <v>43</v>
      </c>
      <c r="P102" t="s">
        <v>75</v>
      </c>
      <c r="Q102">
        <v>45573.07</v>
      </c>
      <c r="R102">
        <v>45121.29</v>
      </c>
      <c r="S102">
        <v>25632.78</v>
      </c>
      <c r="T102">
        <v>4528.71</v>
      </c>
      <c r="U102">
        <v>2449.86</v>
      </c>
      <c r="V102">
        <v>4855.7700000000004</v>
      </c>
      <c r="W102">
        <v>1523.79</v>
      </c>
      <c r="X102">
        <v>38990.89</v>
      </c>
      <c r="Y102">
        <v>19940.29</v>
      </c>
      <c r="Z102">
        <v>-19050.599999999999</v>
      </c>
      <c r="AA102">
        <v>-0.3543</v>
      </c>
      <c r="AB102">
        <v>451.77</v>
      </c>
      <c r="AC102">
        <v>0</v>
      </c>
      <c r="AD102">
        <v>8203.15</v>
      </c>
      <c r="AE102">
        <v>53776.22</v>
      </c>
    </row>
    <row r="103" spans="1:31" x14ac:dyDescent="0.25">
      <c r="A103" t="s">
        <v>292</v>
      </c>
      <c r="B103" s="2">
        <v>46011</v>
      </c>
      <c r="C103" t="s">
        <v>107</v>
      </c>
      <c r="D103" t="s">
        <v>93</v>
      </c>
      <c r="E103">
        <v>2025</v>
      </c>
      <c r="F103" t="s">
        <v>85</v>
      </c>
      <c r="G103" t="s">
        <v>35</v>
      </c>
      <c r="H103" t="s">
        <v>178</v>
      </c>
      <c r="I103" t="s">
        <v>179</v>
      </c>
      <c r="J103" t="s">
        <v>100</v>
      </c>
      <c r="K103" t="s">
        <v>50</v>
      </c>
      <c r="L103" t="s">
        <v>40</v>
      </c>
      <c r="M103" t="s">
        <v>88</v>
      </c>
      <c r="N103" t="s">
        <v>89</v>
      </c>
      <c r="O103" t="s">
        <v>43</v>
      </c>
      <c r="P103" t="s">
        <v>90</v>
      </c>
      <c r="Q103">
        <v>21055.119999999999</v>
      </c>
      <c r="R103">
        <v>20919.169999999998</v>
      </c>
      <c r="S103">
        <v>11940.5</v>
      </c>
      <c r="T103">
        <v>2729.55</v>
      </c>
      <c r="U103">
        <v>1137.25</v>
      </c>
      <c r="V103">
        <v>1404.07</v>
      </c>
      <c r="W103">
        <v>638.32000000000005</v>
      </c>
      <c r="X103">
        <v>17849.689999999999</v>
      </c>
      <c r="Y103">
        <v>9114.6200000000008</v>
      </c>
      <c r="Z103">
        <v>-8735.07</v>
      </c>
      <c r="AA103">
        <v>-0.35160000000000002</v>
      </c>
      <c r="AB103">
        <v>135.94999999999999</v>
      </c>
      <c r="AC103">
        <v>0</v>
      </c>
      <c r="AD103">
        <v>3789.92</v>
      </c>
      <c r="AE103">
        <v>24845.040000000001</v>
      </c>
    </row>
    <row r="104" spans="1:31" x14ac:dyDescent="0.25">
      <c r="A104" t="s">
        <v>293</v>
      </c>
      <c r="B104" s="2">
        <v>46034</v>
      </c>
      <c r="C104" t="s">
        <v>77</v>
      </c>
      <c r="D104" t="s">
        <v>58</v>
      </c>
      <c r="E104">
        <v>2026</v>
      </c>
      <c r="F104" t="s">
        <v>34</v>
      </c>
      <c r="G104" t="s">
        <v>35</v>
      </c>
      <c r="H104" t="s">
        <v>36</v>
      </c>
      <c r="I104" t="s">
        <v>245</v>
      </c>
      <c r="J104" t="s">
        <v>100</v>
      </c>
      <c r="K104" t="s">
        <v>101</v>
      </c>
      <c r="L104" t="s">
        <v>72</v>
      </c>
      <c r="M104" t="s">
        <v>130</v>
      </c>
      <c r="N104" t="s">
        <v>131</v>
      </c>
      <c r="O104" t="s">
        <v>43</v>
      </c>
      <c r="P104" t="s">
        <v>132</v>
      </c>
      <c r="Q104">
        <v>43027.29</v>
      </c>
      <c r="R104">
        <v>43993.94</v>
      </c>
      <c r="S104">
        <v>24603.279999999999</v>
      </c>
      <c r="T104">
        <v>2563.84</v>
      </c>
      <c r="U104">
        <v>3800.2</v>
      </c>
      <c r="V104">
        <v>1790.03</v>
      </c>
      <c r="W104">
        <v>1540.43</v>
      </c>
      <c r="X104">
        <v>34297.769999999997</v>
      </c>
      <c r="Y104">
        <v>18424.009999999998</v>
      </c>
      <c r="Z104">
        <v>-15873.76</v>
      </c>
      <c r="AA104">
        <v>-0.36980000000000002</v>
      </c>
      <c r="AB104">
        <v>-966.65</v>
      </c>
      <c r="AC104">
        <v>2151.36</v>
      </c>
      <c r="AD104">
        <v>2043.8</v>
      </c>
      <c r="AE104">
        <v>42919.72</v>
      </c>
    </row>
    <row r="105" spans="1:31" x14ac:dyDescent="0.25">
      <c r="A105" t="s">
        <v>294</v>
      </c>
      <c r="B105" s="2">
        <v>46033</v>
      </c>
      <c r="C105" t="s">
        <v>77</v>
      </c>
      <c r="D105" t="s">
        <v>58</v>
      </c>
      <c r="E105">
        <v>2026</v>
      </c>
      <c r="F105" t="s">
        <v>67</v>
      </c>
      <c r="G105" t="s">
        <v>35</v>
      </c>
      <c r="H105" t="s">
        <v>68</v>
      </c>
      <c r="I105" t="s">
        <v>204</v>
      </c>
      <c r="J105" t="s">
        <v>100</v>
      </c>
      <c r="K105" t="s">
        <v>71</v>
      </c>
      <c r="L105" t="s">
        <v>94</v>
      </c>
      <c r="M105" t="s">
        <v>171</v>
      </c>
      <c r="N105" t="s">
        <v>172</v>
      </c>
      <c r="O105" t="s">
        <v>173</v>
      </c>
      <c r="P105" t="s">
        <v>174</v>
      </c>
      <c r="Q105">
        <v>17919.14</v>
      </c>
      <c r="R105">
        <v>16108.1</v>
      </c>
      <c r="S105">
        <v>9107.15</v>
      </c>
      <c r="T105">
        <v>1221.8800000000001</v>
      </c>
      <c r="U105">
        <v>845.94</v>
      </c>
      <c r="V105">
        <v>1262.81</v>
      </c>
      <c r="W105">
        <v>396.39</v>
      </c>
      <c r="X105">
        <v>12834.18</v>
      </c>
      <c r="Y105">
        <v>8811.99</v>
      </c>
      <c r="Z105">
        <v>-4022.18</v>
      </c>
      <c r="AA105">
        <v>-0.20449999999999999</v>
      </c>
      <c r="AB105">
        <v>1811.04</v>
      </c>
      <c r="AC105">
        <v>358.38</v>
      </c>
      <c r="AD105">
        <v>2107.29</v>
      </c>
      <c r="AE105">
        <v>19668.05</v>
      </c>
    </row>
    <row r="106" spans="1:31" x14ac:dyDescent="0.25">
      <c r="A106" t="s">
        <v>295</v>
      </c>
      <c r="B106" s="2">
        <v>46070</v>
      </c>
      <c r="C106" t="s">
        <v>57</v>
      </c>
      <c r="D106" t="s">
        <v>58</v>
      </c>
      <c r="E106">
        <v>2026</v>
      </c>
      <c r="F106" t="s">
        <v>47</v>
      </c>
      <c r="G106" t="s">
        <v>35</v>
      </c>
      <c r="H106" t="s">
        <v>206</v>
      </c>
      <c r="I106" t="s">
        <v>296</v>
      </c>
      <c r="J106" t="s">
        <v>38</v>
      </c>
      <c r="K106" t="s">
        <v>71</v>
      </c>
      <c r="L106" t="s">
        <v>51</v>
      </c>
      <c r="M106" t="s">
        <v>221</v>
      </c>
      <c r="N106" t="s">
        <v>222</v>
      </c>
      <c r="O106" t="s">
        <v>104</v>
      </c>
      <c r="P106" t="s">
        <v>223</v>
      </c>
      <c r="Q106">
        <v>19853.91</v>
      </c>
      <c r="R106">
        <v>19800.560000000001</v>
      </c>
      <c r="S106">
        <v>11917.84</v>
      </c>
      <c r="T106">
        <v>1623.54</v>
      </c>
      <c r="U106">
        <v>1192.8699999999999</v>
      </c>
      <c r="V106">
        <v>1791.54</v>
      </c>
      <c r="W106">
        <v>667.1</v>
      </c>
      <c r="X106">
        <v>17192.89</v>
      </c>
      <c r="Y106">
        <v>7936.07</v>
      </c>
      <c r="Z106">
        <v>-9256.82</v>
      </c>
      <c r="AA106">
        <v>-0.41589999999999999</v>
      </c>
      <c r="AB106">
        <v>53.35</v>
      </c>
      <c r="AC106">
        <v>992.7</v>
      </c>
      <c r="AD106">
        <v>3395.02</v>
      </c>
      <c r="AE106">
        <v>22256.23</v>
      </c>
    </row>
    <row r="107" spans="1:31" x14ac:dyDescent="0.25">
      <c r="A107" t="s">
        <v>297</v>
      </c>
      <c r="B107" s="2">
        <v>45814</v>
      </c>
      <c r="C107" t="s">
        <v>156</v>
      </c>
      <c r="D107" t="s">
        <v>66</v>
      </c>
      <c r="E107">
        <v>2025</v>
      </c>
      <c r="F107" t="s">
        <v>34</v>
      </c>
      <c r="G107" t="s">
        <v>35</v>
      </c>
      <c r="H107" t="s">
        <v>134</v>
      </c>
      <c r="I107" t="s">
        <v>135</v>
      </c>
      <c r="J107" t="s">
        <v>80</v>
      </c>
      <c r="K107" t="s">
        <v>50</v>
      </c>
      <c r="L107" t="s">
        <v>51</v>
      </c>
      <c r="M107" t="s">
        <v>73</v>
      </c>
      <c r="N107" t="s">
        <v>74</v>
      </c>
      <c r="O107" t="s">
        <v>43</v>
      </c>
      <c r="P107" t="s">
        <v>75</v>
      </c>
      <c r="Q107">
        <v>22305.97</v>
      </c>
      <c r="R107">
        <v>26035.46</v>
      </c>
      <c r="S107">
        <v>13774.6</v>
      </c>
      <c r="T107">
        <v>2779.74</v>
      </c>
      <c r="U107">
        <v>1391.57</v>
      </c>
      <c r="V107">
        <v>1747.64</v>
      </c>
      <c r="W107">
        <v>467.99</v>
      </c>
      <c r="X107">
        <v>20161.54</v>
      </c>
      <c r="Y107">
        <v>8531.3700000000008</v>
      </c>
      <c r="Z107">
        <v>-11630.17</v>
      </c>
      <c r="AA107">
        <v>-0.52270000000000005</v>
      </c>
      <c r="AB107">
        <v>-3729.49</v>
      </c>
      <c r="AC107">
        <v>1115.3</v>
      </c>
      <c r="AD107">
        <v>1059.53</v>
      </c>
      <c r="AE107">
        <v>22250.2</v>
      </c>
    </row>
    <row r="108" spans="1:31" x14ac:dyDescent="0.25">
      <c r="A108" t="s">
        <v>298</v>
      </c>
      <c r="B108" s="2">
        <v>46083</v>
      </c>
      <c r="C108" t="s">
        <v>125</v>
      </c>
      <c r="D108" t="s">
        <v>58</v>
      </c>
      <c r="E108">
        <v>2026</v>
      </c>
      <c r="F108" t="s">
        <v>34</v>
      </c>
      <c r="G108" t="s">
        <v>35</v>
      </c>
      <c r="H108" t="s">
        <v>98</v>
      </c>
      <c r="I108" t="s">
        <v>149</v>
      </c>
      <c r="J108" t="s">
        <v>70</v>
      </c>
      <c r="K108" t="s">
        <v>101</v>
      </c>
      <c r="L108" t="s">
        <v>94</v>
      </c>
      <c r="M108" t="s">
        <v>189</v>
      </c>
      <c r="N108" t="s">
        <v>190</v>
      </c>
      <c r="O108" t="s">
        <v>104</v>
      </c>
      <c r="P108" t="s">
        <v>105</v>
      </c>
      <c r="Q108">
        <v>10640.25</v>
      </c>
      <c r="R108">
        <v>9445.82</v>
      </c>
      <c r="S108">
        <v>5452.49</v>
      </c>
      <c r="T108">
        <v>1351.84</v>
      </c>
      <c r="U108">
        <v>646.07000000000005</v>
      </c>
      <c r="V108">
        <v>1247.74</v>
      </c>
      <c r="W108">
        <v>267.47000000000003</v>
      </c>
      <c r="X108">
        <v>8965.6</v>
      </c>
      <c r="Y108">
        <v>5187.76</v>
      </c>
      <c r="Z108">
        <v>-3777.84</v>
      </c>
      <c r="AA108">
        <v>-0.32350000000000001</v>
      </c>
      <c r="AB108">
        <v>1194.44</v>
      </c>
      <c r="AC108">
        <v>212.81</v>
      </c>
      <c r="AD108">
        <v>1251.29</v>
      </c>
      <c r="AE108">
        <v>11678.74</v>
      </c>
    </row>
    <row r="109" spans="1:31" x14ac:dyDescent="0.25">
      <c r="A109" t="s">
        <v>299</v>
      </c>
      <c r="B109" s="2">
        <v>45893</v>
      </c>
      <c r="C109" t="s">
        <v>117</v>
      </c>
      <c r="D109" t="s">
        <v>33</v>
      </c>
      <c r="E109">
        <v>2025</v>
      </c>
      <c r="F109" t="s">
        <v>47</v>
      </c>
      <c r="G109" t="s">
        <v>35</v>
      </c>
      <c r="H109" t="s">
        <v>206</v>
      </c>
      <c r="I109" t="s">
        <v>296</v>
      </c>
      <c r="J109" t="s">
        <v>38</v>
      </c>
      <c r="K109" t="s">
        <v>50</v>
      </c>
      <c r="L109" t="s">
        <v>40</v>
      </c>
      <c r="M109" t="s">
        <v>41</v>
      </c>
      <c r="N109" t="s">
        <v>42</v>
      </c>
      <c r="O109" t="s">
        <v>43</v>
      </c>
      <c r="P109" t="s">
        <v>44</v>
      </c>
      <c r="Q109">
        <v>39370.1</v>
      </c>
      <c r="R109">
        <v>36910.83</v>
      </c>
      <c r="S109">
        <v>20898.490000000002</v>
      </c>
      <c r="T109">
        <v>3494.81</v>
      </c>
      <c r="U109">
        <v>2914.43</v>
      </c>
      <c r="V109">
        <v>3525.98</v>
      </c>
      <c r="W109">
        <v>803.44</v>
      </c>
      <c r="X109">
        <v>31637.15</v>
      </c>
      <c r="Y109">
        <v>18471.61</v>
      </c>
      <c r="Z109">
        <v>-13165.53</v>
      </c>
      <c r="AA109">
        <v>-0.32829999999999998</v>
      </c>
      <c r="AB109">
        <v>2459.2600000000002</v>
      </c>
      <c r="AC109">
        <v>1181.0999999999999</v>
      </c>
      <c r="AD109">
        <v>1909.45</v>
      </c>
      <c r="AE109">
        <v>40098.44</v>
      </c>
    </row>
    <row r="110" spans="1:31" x14ac:dyDescent="0.25">
      <c r="A110" t="s">
        <v>300</v>
      </c>
      <c r="B110" s="2">
        <v>45896</v>
      </c>
      <c r="C110" t="s">
        <v>117</v>
      </c>
      <c r="D110" t="s">
        <v>33</v>
      </c>
      <c r="E110">
        <v>2025</v>
      </c>
      <c r="F110" t="s">
        <v>59</v>
      </c>
      <c r="G110" t="s">
        <v>35</v>
      </c>
      <c r="H110" t="s">
        <v>230</v>
      </c>
      <c r="I110" t="s">
        <v>301</v>
      </c>
      <c r="J110" t="s">
        <v>70</v>
      </c>
      <c r="K110" t="s">
        <v>50</v>
      </c>
      <c r="L110" t="s">
        <v>72</v>
      </c>
      <c r="M110" t="s">
        <v>82</v>
      </c>
      <c r="N110" t="s">
        <v>83</v>
      </c>
      <c r="O110" t="s">
        <v>43</v>
      </c>
      <c r="P110" t="s">
        <v>75</v>
      </c>
      <c r="Q110">
        <v>56539.71</v>
      </c>
      <c r="R110">
        <v>63561.440000000002</v>
      </c>
      <c r="S110">
        <v>35487.300000000003</v>
      </c>
      <c r="T110">
        <v>4212.22</v>
      </c>
      <c r="U110">
        <v>3706.36</v>
      </c>
      <c r="V110">
        <v>4645.49</v>
      </c>
      <c r="W110">
        <v>1408.57</v>
      </c>
      <c r="X110">
        <v>49459.94</v>
      </c>
      <c r="Y110">
        <v>21052.41</v>
      </c>
      <c r="Z110">
        <v>-28407.53</v>
      </c>
      <c r="AA110">
        <v>-0.42580000000000001</v>
      </c>
      <c r="AB110">
        <v>-7021.73</v>
      </c>
      <c r="AC110">
        <v>0</v>
      </c>
      <c r="AD110">
        <v>10177.15</v>
      </c>
      <c r="AE110">
        <v>66716.86</v>
      </c>
    </row>
    <row r="111" spans="1:31" x14ac:dyDescent="0.25">
      <c r="A111" t="s">
        <v>302</v>
      </c>
      <c r="B111" s="2">
        <v>45809</v>
      </c>
      <c r="C111" t="s">
        <v>156</v>
      </c>
      <c r="D111" t="s">
        <v>66</v>
      </c>
      <c r="E111">
        <v>2025</v>
      </c>
      <c r="F111" t="s">
        <v>34</v>
      </c>
      <c r="G111" t="s">
        <v>35</v>
      </c>
      <c r="H111" t="s">
        <v>36</v>
      </c>
      <c r="I111" t="s">
        <v>37</v>
      </c>
      <c r="J111" t="s">
        <v>70</v>
      </c>
      <c r="K111" t="s">
        <v>101</v>
      </c>
      <c r="L111" t="s">
        <v>81</v>
      </c>
      <c r="M111" t="s">
        <v>110</v>
      </c>
      <c r="N111" t="s">
        <v>111</v>
      </c>
      <c r="O111" t="s">
        <v>112</v>
      </c>
      <c r="P111" t="s">
        <v>113</v>
      </c>
      <c r="Q111">
        <v>8240.15</v>
      </c>
      <c r="R111">
        <v>8441.24</v>
      </c>
      <c r="S111">
        <v>3993.23</v>
      </c>
      <c r="T111">
        <v>583.28</v>
      </c>
      <c r="U111">
        <v>613.22</v>
      </c>
      <c r="V111">
        <v>419.99</v>
      </c>
      <c r="W111">
        <v>236.79</v>
      </c>
      <c r="X111">
        <v>5846.51</v>
      </c>
      <c r="Y111">
        <v>4246.92</v>
      </c>
      <c r="Z111">
        <v>-1599.59</v>
      </c>
      <c r="AA111">
        <v>-0.18859999999999999</v>
      </c>
      <c r="AB111">
        <v>-201.09</v>
      </c>
      <c r="AC111">
        <v>164.8</v>
      </c>
      <c r="AD111">
        <v>403.77</v>
      </c>
      <c r="AE111">
        <v>8479.1200000000008</v>
      </c>
    </row>
    <row r="112" spans="1:31" x14ac:dyDescent="0.25">
      <c r="A112" t="s">
        <v>303</v>
      </c>
      <c r="B112" s="2">
        <v>45989</v>
      </c>
      <c r="C112" t="s">
        <v>147</v>
      </c>
      <c r="D112" t="s">
        <v>93</v>
      </c>
      <c r="E112">
        <v>2025</v>
      </c>
      <c r="F112" t="s">
        <v>34</v>
      </c>
      <c r="G112" t="s">
        <v>35</v>
      </c>
      <c r="H112" t="s">
        <v>98</v>
      </c>
      <c r="I112" t="s">
        <v>304</v>
      </c>
      <c r="J112" t="s">
        <v>80</v>
      </c>
      <c r="K112" t="s">
        <v>160</v>
      </c>
      <c r="L112" t="s">
        <v>72</v>
      </c>
      <c r="M112" t="s">
        <v>130</v>
      </c>
      <c r="N112" t="s">
        <v>131</v>
      </c>
      <c r="O112" t="s">
        <v>43</v>
      </c>
      <c r="P112" t="s">
        <v>132</v>
      </c>
      <c r="Q112">
        <v>24981.86</v>
      </c>
      <c r="R112">
        <v>25389.39</v>
      </c>
      <c r="S112">
        <v>17053.759999999998</v>
      </c>
      <c r="T112">
        <v>1445.12</v>
      </c>
      <c r="U112">
        <v>1417.36</v>
      </c>
      <c r="V112">
        <v>1299.1500000000001</v>
      </c>
      <c r="W112">
        <v>533.70000000000005</v>
      </c>
      <c r="X112">
        <v>21749.09</v>
      </c>
      <c r="Y112">
        <v>7928.1</v>
      </c>
      <c r="Z112">
        <v>-13820.99</v>
      </c>
      <c r="AA112">
        <v>-0.52</v>
      </c>
      <c r="AB112">
        <v>-407.53</v>
      </c>
      <c r="AC112">
        <v>1249.0899999999999</v>
      </c>
      <c r="AD112">
        <v>2847.93</v>
      </c>
      <c r="AE112">
        <v>26580.7</v>
      </c>
    </row>
    <row r="113" spans="1:31" x14ac:dyDescent="0.25">
      <c r="A113" t="s">
        <v>305</v>
      </c>
      <c r="B113" s="2">
        <v>45980</v>
      </c>
      <c r="C113" t="s">
        <v>147</v>
      </c>
      <c r="D113" t="s">
        <v>93</v>
      </c>
      <c r="E113">
        <v>2025</v>
      </c>
      <c r="F113" t="s">
        <v>34</v>
      </c>
      <c r="G113" t="s">
        <v>35</v>
      </c>
      <c r="H113" t="s">
        <v>98</v>
      </c>
      <c r="I113" t="s">
        <v>304</v>
      </c>
      <c r="J113" t="s">
        <v>100</v>
      </c>
      <c r="K113" t="s">
        <v>71</v>
      </c>
      <c r="L113" t="s">
        <v>81</v>
      </c>
      <c r="M113" t="s">
        <v>130</v>
      </c>
      <c r="N113" t="s">
        <v>131</v>
      </c>
      <c r="O113" t="s">
        <v>43</v>
      </c>
      <c r="P113" t="s">
        <v>132</v>
      </c>
      <c r="Q113">
        <v>76873.63</v>
      </c>
      <c r="R113">
        <v>74922.73</v>
      </c>
      <c r="S113">
        <v>49595.199999999997</v>
      </c>
      <c r="T113">
        <v>6534.89</v>
      </c>
      <c r="U113">
        <v>3194.38</v>
      </c>
      <c r="V113">
        <v>8246.2099999999991</v>
      </c>
      <c r="W113">
        <v>872.13</v>
      </c>
      <c r="X113">
        <v>68442.8</v>
      </c>
      <c r="Y113">
        <v>27278.43</v>
      </c>
      <c r="Z113">
        <v>-41164.379999999997</v>
      </c>
      <c r="AA113">
        <v>-0.51970000000000005</v>
      </c>
      <c r="AB113">
        <v>1950.89</v>
      </c>
      <c r="AC113">
        <v>6149.89</v>
      </c>
      <c r="AD113">
        <v>8486.85</v>
      </c>
      <c r="AE113">
        <v>79210.58</v>
      </c>
    </row>
    <row r="114" spans="1:31" x14ac:dyDescent="0.25">
      <c r="A114" t="s">
        <v>306</v>
      </c>
      <c r="B114" s="2">
        <v>45950</v>
      </c>
      <c r="C114" t="s">
        <v>92</v>
      </c>
      <c r="D114" t="s">
        <v>93</v>
      </c>
      <c r="E114">
        <v>2025</v>
      </c>
      <c r="F114" t="s">
        <v>67</v>
      </c>
      <c r="G114" t="s">
        <v>35</v>
      </c>
      <c r="H114" t="s">
        <v>118</v>
      </c>
      <c r="I114" t="s">
        <v>227</v>
      </c>
      <c r="J114" t="s">
        <v>100</v>
      </c>
      <c r="K114" t="s">
        <v>39</v>
      </c>
      <c r="L114" t="s">
        <v>94</v>
      </c>
      <c r="M114" t="s">
        <v>189</v>
      </c>
      <c r="N114" t="s">
        <v>190</v>
      </c>
      <c r="O114" t="s">
        <v>104</v>
      </c>
      <c r="P114" t="s">
        <v>105</v>
      </c>
      <c r="Q114">
        <v>10080.92</v>
      </c>
      <c r="R114">
        <v>10420.31</v>
      </c>
      <c r="S114">
        <v>6484.6</v>
      </c>
      <c r="T114">
        <v>537.65</v>
      </c>
      <c r="U114">
        <v>307.58</v>
      </c>
      <c r="V114">
        <v>980.93</v>
      </c>
      <c r="W114">
        <v>126.24</v>
      </c>
      <c r="X114">
        <v>8437.02</v>
      </c>
      <c r="Y114">
        <v>3596.32</v>
      </c>
      <c r="Z114">
        <v>-4840.6899999999996</v>
      </c>
      <c r="AA114">
        <v>-0.45729999999999998</v>
      </c>
      <c r="AB114">
        <v>-339.39</v>
      </c>
      <c r="AC114">
        <v>0</v>
      </c>
      <c r="AD114">
        <v>504.05</v>
      </c>
      <c r="AE114">
        <v>10584.97</v>
      </c>
    </row>
    <row r="115" spans="1:31" x14ac:dyDescent="0.25">
      <c r="A115" t="s">
        <v>307</v>
      </c>
      <c r="B115" s="2">
        <v>45880</v>
      </c>
      <c r="C115" t="s">
        <v>117</v>
      </c>
      <c r="D115" t="s">
        <v>33</v>
      </c>
      <c r="E115">
        <v>2025</v>
      </c>
      <c r="F115" t="s">
        <v>67</v>
      </c>
      <c r="G115" t="s">
        <v>35</v>
      </c>
      <c r="H115" t="s">
        <v>118</v>
      </c>
      <c r="I115" t="s">
        <v>209</v>
      </c>
      <c r="J115" t="s">
        <v>70</v>
      </c>
      <c r="K115" t="s">
        <v>50</v>
      </c>
      <c r="L115" t="s">
        <v>51</v>
      </c>
      <c r="M115" t="s">
        <v>95</v>
      </c>
      <c r="N115" t="s">
        <v>96</v>
      </c>
      <c r="O115" t="s">
        <v>43</v>
      </c>
      <c r="P115" t="s">
        <v>90</v>
      </c>
      <c r="Q115">
        <v>62397.13</v>
      </c>
      <c r="R115">
        <v>58376.18</v>
      </c>
      <c r="S115">
        <v>32557.97</v>
      </c>
      <c r="T115">
        <v>3611.03</v>
      </c>
      <c r="U115">
        <v>4237.99</v>
      </c>
      <c r="V115">
        <v>6311.46</v>
      </c>
      <c r="W115">
        <v>1202.81</v>
      </c>
      <c r="X115">
        <v>47921.25</v>
      </c>
      <c r="Y115">
        <v>29839.17</v>
      </c>
      <c r="Z115">
        <v>-18082.080000000002</v>
      </c>
      <c r="AA115">
        <v>-0.27600000000000002</v>
      </c>
      <c r="AB115">
        <v>4020.95</v>
      </c>
      <c r="AC115">
        <v>0</v>
      </c>
      <c r="AD115">
        <v>3119.86</v>
      </c>
      <c r="AE115">
        <v>65516.99</v>
      </c>
    </row>
    <row r="116" spans="1:31" x14ac:dyDescent="0.25">
      <c r="A116" t="s">
        <v>308</v>
      </c>
      <c r="B116" s="2">
        <v>45967</v>
      </c>
      <c r="C116" t="s">
        <v>147</v>
      </c>
      <c r="D116" t="s">
        <v>93</v>
      </c>
      <c r="E116">
        <v>2025</v>
      </c>
      <c r="F116" t="s">
        <v>85</v>
      </c>
      <c r="G116" t="s">
        <v>35</v>
      </c>
      <c r="H116" t="s">
        <v>86</v>
      </c>
      <c r="I116" t="s">
        <v>181</v>
      </c>
      <c r="J116" t="s">
        <v>100</v>
      </c>
      <c r="K116" t="s">
        <v>39</v>
      </c>
      <c r="L116" t="s">
        <v>51</v>
      </c>
      <c r="M116" t="s">
        <v>130</v>
      </c>
      <c r="N116" t="s">
        <v>131</v>
      </c>
      <c r="O116" t="s">
        <v>43</v>
      </c>
      <c r="P116" t="s">
        <v>132</v>
      </c>
      <c r="Q116">
        <v>27196.86</v>
      </c>
      <c r="R116">
        <v>24498.29</v>
      </c>
      <c r="S116">
        <v>19319.52</v>
      </c>
      <c r="T116">
        <v>2400.41</v>
      </c>
      <c r="U116">
        <v>2263.54</v>
      </c>
      <c r="V116">
        <v>1788.93</v>
      </c>
      <c r="W116">
        <v>391.18</v>
      </c>
      <c r="X116">
        <v>26163.57</v>
      </c>
      <c r="Y116">
        <v>7877.34</v>
      </c>
      <c r="Z116">
        <v>-18286.23</v>
      </c>
      <c r="AA116">
        <v>-0.66020000000000001</v>
      </c>
      <c r="AB116">
        <v>2698.57</v>
      </c>
      <c r="AC116">
        <v>815.91</v>
      </c>
      <c r="AD116">
        <v>1319.05</v>
      </c>
      <c r="AE116">
        <v>27700</v>
      </c>
    </row>
    <row r="117" spans="1:31" x14ac:dyDescent="0.25">
      <c r="A117" t="s">
        <v>309</v>
      </c>
      <c r="B117" s="2">
        <v>46016</v>
      </c>
      <c r="C117" t="s">
        <v>107</v>
      </c>
      <c r="D117" t="s">
        <v>93</v>
      </c>
      <c r="E117">
        <v>2025</v>
      </c>
      <c r="F117" t="s">
        <v>34</v>
      </c>
      <c r="G117" t="s">
        <v>35</v>
      </c>
      <c r="H117" t="s">
        <v>36</v>
      </c>
      <c r="I117" t="s">
        <v>245</v>
      </c>
      <c r="J117" t="s">
        <v>70</v>
      </c>
      <c r="K117" t="s">
        <v>50</v>
      </c>
      <c r="L117" t="s">
        <v>94</v>
      </c>
      <c r="M117" t="s">
        <v>141</v>
      </c>
      <c r="N117" t="s">
        <v>142</v>
      </c>
      <c r="O117" t="s">
        <v>54</v>
      </c>
      <c r="P117" t="s">
        <v>143</v>
      </c>
      <c r="Q117">
        <v>4735.96</v>
      </c>
      <c r="R117">
        <v>4701.8500000000004</v>
      </c>
      <c r="S117">
        <v>2898.51</v>
      </c>
      <c r="T117">
        <v>384.05</v>
      </c>
      <c r="U117">
        <v>168.79</v>
      </c>
      <c r="V117">
        <v>293.17</v>
      </c>
      <c r="W117">
        <v>201.24</v>
      </c>
      <c r="X117">
        <v>3945.75</v>
      </c>
      <c r="Y117">
        <v>1837.45</v>
      </c>
      <c r="Z117">
        <v>-2108.31</v>
      </c>
      <c r="AA117">
        <v>-0.41839999999999999</v>
      </c>
      <c r="AB117">
        <v>34.11</v>
      </c>
      <c r="AC117">
        <v>236.8</v>
      </c>
      <c r="AD117">
        <v>539.9</v>
      </c>
      <c r="AE117">
        <v>5039.0600000000004</v>
      </c>
    </row>
    <row r="118" spans="1:31" x14ac:dyDescent="0.25">
      <c r="A118" t="s">
        <v>310</v>
      </c>
      <c r="B118" s="2">
        <v>45860</v>
      </c>
      <c r="C118" t="s">
        <v>32</v>
      </c>
      <c r="D118" t="s">
        <v>33</v>
      </c>
      <c r="E118">
        <v>2025</v>
      </c>
      <c r="F118" t="s">
        <v>34</v>
      </c>
      <c r="G118" t="s">
        <v>35</v>
      </c>
      <c r="H118" t="s">
        <v>36</v>
      </c>
      <c r="I118" t="s">
        <v>245</v>
      </c>
      <c r="J118" t="s">
        <v>38</v>
      </c>
      <c r="K118" t="s">
        <v>50</v>
      </c>
      <c r="L118" t="s">
        <v>94</v>
      </c>
      <c r="M118" t="s">
        <v>102</v>
      </c>
      <c r="N118" t="s">
        <v>103</v>
      </c>
      <c r="O118" t="s">
        <v>104</v>
      </c>
      <c r="P118" t="s">
        <v>105</v>
      </c>
      <c r="Q118">
        <v>23556.92</v>
      </c>
      <c r="R118">
        <v>26066.03</v>
      </c>
      <c r="S118">
        <v>13911.06</v>
      </c>
      <c r="T118">
        <v>2764.64</v>
      </c>
      <c r="U118">
        <v>1704.39</v>
      </c>
      <c r="V118">
        <v>2405.5300000000002</v>
      </c>
      <c r="W118">
        <v>776.57</v>
      </c>
      <c r="X118">
        <v>21562.19</v>
      </c>
      <c r="Y118">
        <v>9645.86</v>
      </c>
      <c r="Z118">
        <v>-11916.32</v>
      </c>
      <c r="AA118">
        <v>-0.45169999999999999</v>
      </c>
      <c r="AB118">
        <v>-2509.11</v>
      </c>
      <c r="AC118">
        <v>0</v>
      </c>
      <c r="AD118">
        <v>2826.83</v>
      </c>
      <c r="AE118">
        <v>26383.75</v>
      </c>
    </row>
    <row r="119" spans="1:31" x14ac:dyDescent="0.25">
      <c r="A119" t="s">
        <v>311</v>
      </c>
      <c r="B119" s="2">
        <v>45982</v>
      </c>
      <c r="C119" t="s">
        <v>147</v>
      </c>
      <c r="D119" t="s">
        <v>93</v>
      </c>
      <c r="E119">
        <v>2025</v>
      </c>
      <c r="F119" t="s">
        <v>47</v>
      </c>
      <c r="G119" t="s">
        <v>35</v>
      </c>
      <c r="H119" t="s">
        <v>78</v>
      </c>
      <c r="I119" t="s">
        <v>79</v>
      </c>
      <c r="J119" t="s">
        <v>80</v>
      </c>
      <c r="K119" t="s">
        <v>50</v>
      </c>
      <c r="L119" t="s">
        <v>81</v>
      </c>
      <c r="M119" t="s">
        <v>186</v>
      </c>
      <c r="N119" t="s">
        <v>187</v>
      </c>
      <c r="O119" t="s">
        <v>173</v>
      </c>
      <c r="P119" t="s">
        <v>174</v>
      </c>
      <c r="Q119">
        <v>12722.44</v>
      </c>
      <c r="R119">
        <v>13059.82</v>
      </c>
      <c r="S119">
        <v>6566.85</v>
      </c>
      <c r="T119">
        <v>984.6</v>
      </c>
      <c r="U119">
        <v>659.94</v>
      </c>
      <c r="V119">
        <v>1280.58</v>
      </c>
      <c r="W119">
        <v>458.26</v>
      </c>
      <c r="X119">
        <v>9950.2199999999993</v>
      </c>
      <c r="Y119">
        <v>6155.6</v>
      </c>
      <c r="Z119">
        <v>-3794.62</v>
      </c>
      <c r="AA119">
        <v>-0.29899999999999999</v>
      </c>
      <c r="AB119">
        <v>-337.38</v>
      </c>
      <c r="AC119">
        <v>636.12</v>
      </c>
      <c r="AD119">
        <v>604.32000000000005</v>
      </c>
      <c r="AE119">
        <v>12690.64</v>
      </c>
    </row>
    <row r="120" spans="1:31" x14ac:dyDescent="0.25">
      <c r="A120" t="s">
        <v>312</v>
      </c>
      <c r="B120" s="2">
        <v>45770</v>
      </c>
      <c r="C120" t="s">
        <v>128</v>
      </c>
      <c r="D120" t="s">
        <v>66</v>
      </c>
      <c r="E120">
        <v>2025</v>
      </c>
      <c r="F120" t="s">
        <v>34</v>
      </c>
      <c r="G120" t="s">
        <v>35</v>
      </c>
      <c r="H120" t="s">
        <v>36</v>
      </c>
      <c r="I120" t="s">
        <v>37</v>
      </c>
      <c r="J120" t="s">
        <v>80</v>
      </c>
      <c r="K120" t="s">
        <v>71</v>
      </c>
      <c r="L120" t="s">
        <v>40</v>
      </c>
      <c r="M120" t="s">
        <v>171</v>
      </c>
      <c r="N120" t="s">
        <v>172</v>
      </c>
      <c r="O120" t="s">
        <v>173</v>
      </c>
      <c r="P120" t="s">
        <v>174</v>
      </c>
      <c r="Q120">
        <v>35527.040000000001</v>
      </c>
      <c r="R120">
        <v>40658.400000000001</v>
      </c>
      <c r="S120">
        <v>19422.509999999998</v>
      </c>
      <c r="T120">
        <v>2327.6</v>
      </c>
      <c r="U120">
        <v>2919.9</v>
      </c>
      <c r="V120">
        <v>3289.98</v>
      </c>
      <c r="W120">
        <v>741.89</v>
      </c>
      <c r="X120">
        <v>28701.88</v>
      </c>
      <c r="Y120">
        <v>16104.53</v>
      </c>
      <c r="Z120">
        <v>-12597.35</v>
      </c>
      <c r="AA120">
        <v>-0.31630000000000003</v>
      </c>
      <c r="AB120">
        <v>-5131.3599999999997</v>
      </c>
      <c r="AC120">
        <v>1776.35</v>
      </c>
      <c r="AD120">
        <v>6075.12</v>
      </c>
      <c r="AE120">
        <v>39825.81</v>
      </c>
    </row>
    <row r="121" spans="1:31" x14ac:dyDescent="0.25">
      <c r="A121" t="s">
        <v>313</v>
      </c>
      <c r="B121" s="2">
        <v>45966</v>
      </c>
      <c r="C121" t="s">
        <v>147</v>
      </c>
      <c r="D121" t="s">
        <v>93</v>
      </c>
      <c r="E121">
        <v>2025</v>
      </c>
      <c r="F121" t="s">
        <v>59</v>
      </c>
      <c r="G121" t="s">
        <v>35</v>
      </c>
      <c r="H121" t="s">
        <v>254</v>
      </c>
      <c r="I121" t="s">
        <v>314</v>
      </c>
      <c r="J121" t="s">
        <v>80</v>
      </c>
      <c r="K121" t="s">
        <v>39</v>
      </c>
      <c r="L121" t="s">
        <v>40</v>
      </c>
      <c r="M121" t="s">
        <v>102</v>
      </c>
      <c r="N121" t="s">
        <v>103</v>
      </c>
      <c r="O121" t="s">
        <v>104</v>
      </c>
      <c r="P121" t="s">
        <v>105</v>
      </c>
      <c r="Q121">
        <v>19305.099999999999</v>
      </c>
      <c r="R121">
        <v>22537.200000000001</v>
      </c>
      <c r="S121">
        <v>10971.2</v>
      </c>
      <c r="T121">
        <v>1470.17</v>
      </c>
      <c r="U121">
        <v>669.46</v>
      </c>
      <c r="V121">
        <v>1244.18</v>
      </c>
      <c r="W121">
        <v>785.39</v>
      </c>
      <c r="X121">
        <v>15140.4</v>
      </c>
      <c r="Y121">
        <v>8333.9</v>
      </c>
      <c r="Z121">
        <v>-6806.5</v>
      </c>
      <c r="AA121">
        <v>-0.3498</v>
      </c>
      <c r="AB121">
        <v>-3232.1</v>
      </c>
      <c r="AC121">
        <v>1930.51</v>
      </c>
      <c r="AD121">
        <v>2084.9499999999998</v>
      </c>
      <c r="AE121">
        <v>19459.54</v>
      </c>
    </row>
    <row r="122" spans="1:31" x14ac:dyDescent="0.25">
      <c r="A122" t="s">
        <v>315</v>
      </c>
      <c r="B122" s="2">
        <v>45879</v>
      </c>
      <c r="C122" t="s">
        <v>117</v>
      </c>
      <c r="D122" t="s">
        <v>33</v>
      </c>
      <c r="E122">
        <v>2025</v>
      </c>
      <c r="F122" t="s">
        <v>34</v>
      </c>
      <c r="G122" t="s">
        <v>35</v>
      </c>
      <c r="H122" t="s">
        <v>134</v>
      </c>
      <c r="I122" t="s">
        <v>135</v>
      </c>
      <c r="J122" t="s">
        <v>70</v>
      </c>
      <c r="K122" t="s">
        <v>50</v>
      </c>
      <c r="L122" t="s">
        <v>81</v>
      </c>
      <c r="M122" t="s">
        <v>141</v>
      </c>
      <c r="N122" t="s">
        <v>142</v>
      </c>
      <c r="O122" t="s">
        <v>54</v>
      </c>
      <c r="P122" t="s">
        <v>143</v>
      </c>
      <c r="Q122">
        <v>1988.68</v>
      </c>
      <c r="R122">
        <v>1849.6</v>
      </c>
      <c r="S122">
        <v>1041.1099999999999</v>
      </c>
      <c r="T122">
        <v>161.11000000000001</v>
      </c>
      <c r="U122">
        <v>101.72</v>
      </c>
      <c r="V122">
        <v>218.64</v>
      </c>
      <c r="W122">
        <v>55.39</v>
      </c>
      <c r="X122">
        <v>1577.97</v>
      </c>
      <c r="Y122">
        <v>947.57</v>
      </c>
      <c r="Z122">
        <v>-630.4</v>
      </c>
      <c r="AA122">
        <v>-0.31780000000000003</v>
      </c>
      <c r="AB122">
        <v>139.08000000000001</v>
      </c>
      <c r="AC122">
        <v>99.43</v>
      </c>
      <c r="AD122">
        <v>94.46</v>
      </c>
      <c r="AE122">
        <v>1983.71</v>
      </c>
    </row>
    <row r="123" spans="1:31" x14ac:dyDescent="0.25">
      <c r="A123" t="s">
        <v>316</v>
      </c>
      <c r="B123" s="2">
        <v>45933</v>
      </c>
      <c r="C123" t="s">
        <v>92</v>
      </c>
      <c r="D123" t="s">
        <v>93</v>
      </c>
      <c r="E123">
        <v>2025</v>
      </c>
      <c r="F123" t="s">
        <v>67</v>
      </c>
      <c r="G123" t="s">
        <v>35</v>
      </c>
      <c r="H123" t="s">
        <v>317</v>
      </c>
      <c r="I123" t="s">
        <v>209</v>
      </c>
      <c r="J123" t="s">
        <v>38</v>
      </c>
      <c r="K123" t="s">
        <v>39</v>
      </c>
      <c r="L123" t="s">
        <v>40</v>
      </c>
      <c r="M123" t="s">
        <v>41</v>
      </c>
      <c r="N123" t="s">
        <v>42</v>
      </c>
      <c r="O123" t="s">
        <v>43</v>
      </c>
      <c r="P123" t="s">
        <v>44</v>
      </c>
      <c r="Q123">
        <v>38199.47</v>
      </c>
      <c r="R123">
        <v>39325.46</v>
      </c>
      <c r="S123">
        <v>19042.21</v>
      </c>
      <c r="T123">
        <v>2088.9</v>
      </c>
      <c r="U123">
        <v>1784.89</v>
      </c>
      <c r="V123">
        <v>3926.59</v>
      </c>
      <c r="W123">
        <v>1328.15</v>
      </c>
      <c r="X123">
        <v>28170.74</v>
      </c>
      <c r="Y123">
        <v>19157.259999999998</v>
      </c>
      <c r="Z123">
        <v>-9013.48</v>
      </c>
      <c r="AA123">
        <v>-0.22900000000000001</v>
      </c>
      <c r="AB123">
        <v>-1125.99</v>
      </c>
      <c r="AC123">
        <v>3055.96</v>
      </c>
      <c r="AD123">
        <v>4217.22</v>
      </c>
      <c r="AE123">
        <v>39360.730000000003</v>
      </c>
    </row>
    <row r="124" spans="1:31" x14ac:dyDescent="0.25">
      <c r="A124" t="s">
        <v>318</v>
      </c>
      <c r="B124" s="2">
        <v>45920</v>
      </c>
      <c r="C124" t="s">
        <v>46</v>
      </c>
      <c r="D124" t="s">
        <v>33</v>
      </c>
      <c r="E124">
        <v>2025</v>
      </c>
      <c r="F124" t="s">
        <v>59</v>
      </c>
      <c r="G124" t="s">
        <v>35</v>
      </c>
      <c r="H124" t="s">
        <v>139</v>
      </c>
      <c r="I124" t="s">
        <v>200</v>
      </c>
      <c r="J124" t="s">
        <v>70</v>
      </c>
      <c r="K124" t="s">
        <v>50</v>
      </c>
      <c r="L124" t="s">
        <v>72</v>
      </c>
      <c r="M124" t="s">
        <v>130</v>
      </c>
      <c r="N124" t="s">
        <v>131</v>
      </c>
      <c r="O124" t="s">
        <v>43</v>
      </c>
      <c r="P124" t="s">
        <v>132</v>
      </c>
      <c r="Q124">
        <v>54943.21</v>
      </c>
      <c r="R124">
        <v>64805.74</v>
      </c>
      <c r="S124">
        <v>38677.120000000003</v>
      </c>
      <c r="T124">
        <v>5571.53</v>
      </c>
      <c r="U124">
        <v>2877.99</v>
      </c>
      <c r="V124">
        <v>4994.0200000000004</v>
      </c>
      <c r="W124">
        <v>2060.25</v>
      </c>
      <c r="X124">
        <v>54180.9</v>
      </c>
      <c r="Y124">
        <v>16266.09</v>
      </c>
      <c r="Z124">
        <v>-37914.81</v>
      </c>
      <c r="AA124">
        <v>-0.61609999999999998</v>
      </c>
      <c r="AB124">
        <v>-9862.5400000000009</v>
      </c>
      <c r="AC124">
        <v>0</v>
      </c>
      <c r="AD124">
        <v>6593.18</v>
      </c>
      <c r="AE124">
        <v>61536.39</v>
      </c>
    </row>
    <row r="125" spans="1:31" x14ac:dyDescent="0.25">
      <c r="A125" t="s">
        <v>319</v>
      </c>
      <c r="B125" s="2">
        <v>45825</v>
      </c>
      <c r="C125" t="s">
        <v>156</v>
      </c>
      <c r="D125" t="s">
        <v>66</v>
      </c>
      <c r="E125">
        <v>2025</v>
      </c>
      <c r="F125" t="s">
        <v>34</v>
      </c>
      <c r="G125" t="s">
        <v>35</v>
      </c>
      <c r="H125" t="s">
        <v>36</v>
      </c>
      <c r="I125" t="s">
        <v>145</v>
      </c>
      <c r="J125" t="s">
        <v>100</v>
      </c>
      <c r="K125" t="s">
        <v>39</v>
      </c>
      <c r="L125" t="s">
        <v>94</v>
      </c>
      <c r="M125" t="s">
        <v>95</v>
      </c>
      <c r="N125" t="s">
        <v>96</v>
      </c>
      <c r="O125" t="s">
        <v>43</v>
      </c>
      <c r="P125" t="s">
        <v>90</v>
      </c>
      <c r="Q125">
        <v>33298.57</v>
      </c>
      <c r="R125">
        <v>29564.43</v>
      </c>
      <c r="S125">
        <v>16176.64</v>
      </c>
      <c r="T125">
        <v>3880.47</v>
      </c>
      <c r="U125">
        <v>1423.5</v>
      </c>
      <c r="V125">
        <v>2712.05</v>
      </c>
      <c r="W125">
        <v>681.14</v>
      </c>
      <c r="X125">
        <v>24873.8</v>
      </c>
      <c r="Y125">
        <v>17121.919999999998</v>
      </c>
      <c r="Z125">
        <v>-7751.88</v>
      </c>
      <c r="AA125">
        <v>-0.23100000000000001</v>
      </c>
      <c r="AB125">
        <v>3734.13</v>
      </c>
      <c r="AC125">
        <v>3329.86</v>
      </c>
      <c r="AD125">
        <v>3596.25</v>
      </c>
      <c r="AE125">
        <v>33564.959999999999</v>
      </c>
    </row>
    <row r="126" spans="1:31" x14ac:dyDescent="0.25">
      <c r="A126" t="s">
        <v>320</v>
      </c>
      <c r="B126" s="2">
        <v>46049</v>
      </c>
      <c r="C126" t="s">
        <v>77</v>
      </c>
      <c r="D126" t="s">
        <v>58</v>
      </c>
      <c r="E126">
        <v>2026</v>
      </c>
      <c r="F126" t="s">
        <v>47</v>
      </c>
      <c r="G126" t="s">
        <v>35</v>
      </c>
      <c r="H126" t="s">
        <v>214</v>
      </c>
      <c r="I126" t="s">
        <v>321</v>
      </c>
      <c r="J126" t="s">
        <v>38</v>
      </c>
      <c r="K126" t="s">
        <v>50</v>
      </c>
      <c r="L126" t="s">
        <v>94</v>
      </c>
      <c r="M126" t="s">
        <v>52</v>
      </c>
      <c r="N126" t="s">
        <v>53</v>
      </c>
      <c r="O126" t="s">
        <v>54</v>
      </c>
      <c r="P126" t="s">
        <v>55</v>
      </c>
      <c r="Q126">
        <v>9989.02</v>
      </c>
      <c r="R126">
        <v>10681.77</v>
      </c>
      <c r="S126">
        <v>4914.22</v>
      </c>
      <c r="T126">
        <v>1221.79</v>
      </c>
      <c r="U126">
        <v>840.18</v>
      </c>
      <c r="V126">
        <v>1023.05</v>
      </c>
      <c r="W126">
        <v>102.35</v>
      </c>
      <c r="X126">
        <v>8101.58</v>
      </c>
      <c r="Y126">
        <v>5074.8</v>
      </c>
      <c r="Z126">
        <v>-3026.78</v>
      </c>
      <c r="AA126">
        <v>-0.28860000000000002</v>
      </c>
      <c r="AB126">
        <v>-692.75</v>
      </c>
      <c r="AC126">
        <v>0</v>
      </c>
      <c r="AD126">
        <v>499.45</v>
      </c>
      <c r="AE126">
        <v>10488.48</v>
      </c>
    </row>
    <row r="127" spans="1:31" x14ac:dyDescent="0.25">
      <c r="A127" t="s">
        <v>322</v>
      </c>
      <c r="B127" s="2">
        <v>46111</v>
      </c>
      <c r="C127" t="s">
        <v>125</v>
      </c>
      <c r="D127" t="s">
        <v>58</v>
      </c>
      <c r="E127">
        <v>2026</v>
      </c>
      <c r="F127" t="s">
        <v>59</v>
      </c>
      <c r="G127" t="s">
        <v>35</v>
      </c>
      <c r="H127" t="s">
        <v>139</v>
      </c>
      <c r="I127" t="s">
        <v>200</v>
      </c>
      <c r="J127" t="s">
        <v>38</v>
      </c>
      <c r="K127" t="s">
        <v>50</v>
      </c>
      <c r="L127" t="s">
        <v>72</v>
      </c>
      <c r="M127" t="s">
        <v>52</v>
      </c>
      <c r="N127" t="s">
        <v>53</v>
      </c>
      <c r="O127" t="s">
        <v>54</v>
      </c>
      <c r="P127" t="s">
        <v>55</v>
      </c>
      <c r="Q127">
        <v>3084.84</v>
      </c>
      <c r="R127">
        <v>2943.23</v>
      </c>
      <c r="S127">
        <v>2151.6799999999998</v>
      </c>
      <c r="T127">
        <v>215.83</v>
      </c>
      <c r="U127">
        <v>131.65</v>
      </c>
      <c r="V127">
        <v>310.8</v>
      </c>
      <c r="W127">
        <v>79.41</v>
      </c>
      <c r="X127">
        <v>2889.37</v>
      </c>
      <c r="Y127">
        <v>933.16</v>
      </c>
      <c r="Z127">
        <v>-1956.21</v>
      </c>
      <c r="AA127">
        <v>-0.63570000000000004</v>
      </c>
      <c r="AB127">
        <v>141.61000000000001</v>
      </c>
      <c r="AC127">
        <v>154.24</v>
      </c>
      <c r="AD127">
        <v>146.53</v>
      </c>
      <c r="AE127">
        <v>3077.13</v>
      </c>
    </row>
    <row r="128" spans="1:31" x14ac:dyDescent="0.25">
      <c r="A128" t="s">
        <v>323</v>
      </c>
      <c r="B128" s="2">
        <v>46048</v>
      </c>
      <c r="C128" t="s">
        <v>77</v>
      </c>
      <c r="D128" t="s">
        <v>58</v>
      </c>
      <c r="E128">
        <v>2026</v>
      </c>
      <c r="F128" t="s">
        <v>85</v>
      </c>
      <c r="G128" t="s">
        <v>35</v>
      </c>
      <c r="H128" t="s">
        <v>60</v>
      </c>
      <c r="I128" t="s">
        <v>185</v>
      </c>
      <c r="J128" t="s">
        <v>100</v>
      </c>
      <c r="K128" t="s">
        <v>39</v>
      </c>
      <c r="L128" t="s">
        <v>81</v>
      </c>
      <c r="M128" t="s">
        <v>211</v>
      </c>
      <c r="N128" t="s">
        <v>212</v>
      </c>
      <c r="O128" t="s">
        <v>112</v>
      </c>
      <c r="P128" t="s">
        <v>113</v>
      </c>
      <c r="Q128">
        <v>18116.86</v>
      </c>
      <c r="R128">
        <v>16412.560000000001</v>
      </c>
      <c r="S128">
        <v>9725.64</v>
      </c>
      <c r="T128">
        <v>1967.42</v>
      </c>
      <c r="U128">
        <v>1098.6199999999999</v>
      </c>
      <c r="V128">
        <v>910.17</v>
      </c>
      <c r="W128">
        <v>740.52</v>
      </c>
      <c r="X128">
        <v>14442.38</v>
      </c>
      <c r="Y128">
        <v>8391.2199999999993</v>
      </c>
      <c r="Z128">
        <v>-6051.16</v>
      </c>
      <c r="AA128">
        <v>-0.2918</v>
      </c>
      <c r="AB128">
        <v>1704.3</v>
      </c>
      <c r="AC128">
        <v>543.51</v>
      </c>
      <c r="AD128">
        <v>3163.2</v>
      </c>
      <c r="AE128">
        <v>20736.560000000001</v>
      </c>
    </row>
    <row r="129" spans="1:31" x14ac:dyDescent="0.25">
      <c r="A129" t="s">
        <v>324</v>
      </c>
      <c r="B129" s="2">
        <v>45889</v>
      </c>
      <c r="C129" t="s">
        <v>117</v>
      </c>
      <c r="D129" t="s">
        <v>33</v>
      </c>
      <c r="E129">
        <v>2025</v>
      </c>
      <c r="F129" t="s">
        <v>34</v>
      </c>
      <c r="G129" t="s">
        <v>35</v>
      </c>
      <c r="H129" t="s">
        <v>157</v>
      </c>
      <c r="I129" t="s">
        <v>158</v>
      </c>
      <c r="J129" t="s">
        <v>100</v>
      </c>
      <c r="K129" t="s">
        <v>50</v>
      </c>
      <c r="L129" t="s">
        <v>40</v>
      </c>
      <c r="M129" t="s">
        <v>110</v>
      </c>
      <c r="N129" t="s">
        <v>111</v>
      </c>
      <c r="O129" t="s">
        <v>112</v>
      </c>
      <c r="P129" t="s">
        <v>113</v>
      </c>
      <c r="Q129">
        <v>21016.86</v>
      </c>
      <c r="R129">
        <v>24623.38</v>
      </c>
      <c r="S129">
        <v>13157.53</v>
      </c>
      <c r="T129">
        <v>1638.48</v>
      </c>
      <c r="U129">
        <v>681.29</v>
      </c>
      <c r="V129">
        <v>1094.97</v>
      </c>
      <c r="W129">
        <v>375.91</v>
      </c>
      <c r="X129">
        <v>16948.18</v>
      </c>
      <c r="Y129">
        <v>7859.33</v>
      </c>
      <c r="Z129">
        <v>-9088.86</v>
      </c>
      <c r="AA129">
        <v>-0.374</v>
      </c>
      <c r="AB129">
        <v>-3606.53</v>
      </c>
      <c r="AC129">
        <v>420.34</v>
      </c>
      <c r="AD129">
        <v>3707.37</v>
      </c>
      <c r="AE129">
        <v>24303.89</v>
      </c>
    </row>
    <row r="130" spans="1:31" x14ac:dyDescent="0.25">
      <c r="A130" t="s">
        <v>325</v>
      </c>
      <c r="B130" s="2">
        <v>46036</v>
      </c>
      <c r="C130" t="s">
        <v>77</v>
      </c>
      <c r="D130" t="s">
        <v>58</v>
      </c>
      <c r="E130">
        <v>2026</v>
      </c>
      <c r="F130" t="s">
        <v>67</v>
      </c>
      <c r="G130" t="s">
        <v>35</v>
      </c>
      <c r="H130" t="s">
        <v>168</v>
      </c>
      <c r="I130" t="s">
        <v>169</v>
      </c>
      <c r="J130" t="s">
        <v>100</v>
      </c>
      <c r="K130" t="s">
        <v>101</v>
      </c>
      <c r="L130" t="s">
        <v>51</v>
      </c>
      <c r="M130" t="s">
        <v>62</v>
      </c>
      <c r="N130" t="s">
        <v>63</v>
      </c>
      <c r="O130" t="s">
        <v>54</v>
      </c>
      <c r="P130" t="s">
        <v>55</v>
      </c>
      <c r="Q130">
        <v>7960.14</v>
      </c>
      <c r="R130">
        <v>8468.56</v>
      </c>
      <c r="S130">
        <v>4252.91</v>
      </c>
      <c r="T130">
        <v>937.33</v>
      </c>
      <c r="U130">
        <v>420.78</v>
      </c>
      <c r="V130">
        <v>408.17</v>
      </c>
      <c r="W130">
        <v>264.64999999999998</v>
      </c>
      <c r="X130">
        <v>6283.84</v>
      </c>
      <c r="Y130">
        <v>3707.23</v>
      </c>
      <c r="Z130">
        <v>-2576.61</v>
      </c>
      <c r="AA130">
        <v>-0.31459999999999999</v>
      </c>
      <c r="AB130">
        <v>-508.41</v>
      </c>
      <c r="AC130">
        <v>159.19999999999999</v>
      </c>
      <c r="AD130">
        <v>390.05</v>
      </c>
      <c r="AE130">
        <v>8190.99</v>
      </c>
    </row>
    <row r="131" spans="1:31" x14ac:dyDescent="0.25">
      <c r="A131" t="s">
        <v>326</v>
      </c>
      <c r="B131" s="2">
        <v>45891</v>
      </c>
      <c r="C131" t="s">
        <v>117</v>
      </c>
      <c r="D131" t="s">
        <v>33</v>
      </c>
      <c r="E131">
        <v>2025</v>
      </c>
      <c r="F131" t="s">
        <v>67</v>
      </c>
      <c r="G131" t="s">
        <v>35</v>
      </c>
      <c r="H131" t="s">
        <v>168</v>
      </c>
      <c r="I131" t="s">
        <v>278</v>
      </c>
      <c r="J131" t="s">
        <v>100</v>
      </c>
      <c r="K131" t="s">
        <v>50</v>
      </c>
      <c r="L131" t="s">
        <v>72</v>
      </c>
      <c r="M131" t="s">
        <v>52</v>
      </c>
      <c r="N131" t="s">
        <v>53</v>
      </c>
      <c r="O131" t="s">
        <v>54</v>
      </c>
      <c r="P131" t="s">
        <v>55</v>
      </c>
      <c r="Q131">
        <v>10827.69</v>
      </c>
      <c r="R131">
        <v>11143.6</v>
      </c>
      <c r="S131">
        <v>6080.25</v>
      </c>
      <c r="T131">
        <v>1296.8399999999999</v>
      </c>
      <c r="U131">
        <v>654.16</v>
      </c>
      <c r="V131">
        <v>1090.07</v>
      </c>
      <c r="W131">
        <v>394.06</v>
      </c>
      <c r="X131">
        <v>9515.3700000000008</v>
      </c>
      <c r="Y131">
        <v>4747.4399999999996</v>
      </c>
      <c r="Z131">
        <v>-4767.9399999999996</v>
      </c>
      <c r="AA131">
        <v>-0.4194</v>
      </c>
      <c r="AB131">
        <v>-315.92</v>
      </c>
      <c r="AC131">
        <v>0</v>
      </c>
      <c r="AD131">
        <v>541.38</v>
      </c>
      <c r="AE131">
        <v>11369.07</v>
      </c>
    </row>
    <row r="132" spans="1:31" x14ac:dyDescent="0.25">
      <c r="A132" t="s">
        <v>327</v>
      </c>
      <c r="B132" s="2">
        <v>45826</v>
      </c>
      <c r="C132" t="s">
        <v>156</v>
      </c>
      <c r="D132" t="s">
        <v>66</v>
      </c>
      <c r="E132">
        <v>2025</v>
      </c>
      <c r="F132" t="s">
        <v>85</v>
      </c>
      <c r="G132" t="s">
        <v>35</v>
      </c>
      <c r="H132" t="s">
        <v>178</v>
      </c>
      <c r="I132" t="s">
        <v>179</v>
      </c>
      <c r="J132" t="s">
        <v>80</v>
      </c>
      <c r="K132" t="s">
        <v>101</v>
      </c>
      <c r="L132" t="s">
        <v>40</v>
      </c>
      <c r="M132" t="s">
        <v>130</v>
      </c>
      <c r="N132" t="s">
        <v>131</v>
      </c>
      <c r="O132" t="s">
        <v>43</v>
      </c>
      <c r="P132" t="s">
        <v>132</v>
      </c>
      <c r="Q132">
        <v>15211.82</v>
      </c>
      <c r="R132">
        <v>15503.57</v>
      </c>
      <c r="S132">
        <v>10621.09</v>
      </c>
      <c r="T132">
        <v>1416.16</v>
      </c>
      <c r="U132">
        <v>872.52</v>
      </c>
      <c r="V132">
        <v>736.83</v>
      </c>
      <c r="W132">
        <v>501.8</v>
      </c>
      <c r="X132">
        <v>14148.39</v>
      </c>
      <c r="Y132">
        <v>4590.7299999999996</v>
      </c>
      <c r="Z132">
        <v>-9557.66</v>
      </c>
      <c r="AA132">
        <v>-0.60980000000000001</v>
      </c>
      <c r="AB132">
        <v>-291.75</v>
      </c>
      <c r="AC132">
        <v>1216.95</v>
      </c>
      <c r="AD132">
        <v>1679.38</v>
      </c>
      <c r="AE132">
        <v>15674.26</v>
      </c>
    </row>
    <row r="133" spans="1:31" x14ac:dyDescent="0.25">
      <c r="A133" t="s">
        <v>328</v>
      </c>
      <c r="B133" s="2">
        <v>45944</v>
      </c>
      <c r="C133" t="s">
        <v>92</v>
      </c>
      <c r="D133" t="s">
        <v>93</v>
      </c>
      <c r="E133">
        <v>2025</v>
      </c>
      <c r="F133" t="s">
        <v>85</v>
      </c>
      <c r="G133" t="s">
        <v>35</v>
      </c>
      <c r="H133" t="s">
        <v>178</v>
      </c>
      <c r="I133" t="s">
        <v>329</v>
      </c>
      <c r="J133" t="s">
        <v>38</v>
      </c>
      <c r="K133" t="s">
        <v>50</v>
      </c>
      <c r="L133" t="s">
        <v>94</v>
      </c>
      <c r="M133" t="s">
        <v>186</v>
      </c>
      <c r="N133" t="s">
        <v>187</v>
      </c>
      <c r="O133" t="s">
        <v>173</v>
      </c>
      <c r="P133" t="s">
        <v>174</v>
      </c>
      <c r="Q133">
        <v>16080.98</v>
      </c>
      <c r="R133">
        <v>16660.82</v>
      </c>
      <c r="S133">
        <v>9446.3700000000008</v>
      </c>
      <c r="T133">
        <v>1521.67</v>
      </c>
      <c r="U133">
        <v>575.57000000000005</v>
      </c>
      <c r="V133">
        <v>1432.46</v>
      </c>
      <c r="W133">
        <v>365.18</v>
      </c>
      <c r="X133">
        <v>13341.25</v>
      </c>
      <c r="Y133">
        <v>6634.62</v>
      </c>
      <c r="Z133">
        <v>-6706.63</v>
      </c>
      <c r="AA133">
        <v>-0.43169999999999997</v>
      </c>
      <c r="AB133">
        <v>-579.83000000000004</v>
      </c>
      <c r="AC133">
        <v>1286.48</v>
      </c>
      <c r="AD133">
        <v>739.73</v>
      </c>
      <c r="AE133">
        <v>15534.23</v>
      </c>
    </row>
    <row r="134" spans="1:31" x14ac:dyDescent="0.25">
      <c r="A134" t="s">
        <v>330</v>
      </c>
      <c r="B134" s="2">
        <v>45967</v>
      </c>
      <c r="C134" t="s">
        <v>147</v>
      </c>
      <c r="D134" t="s">
        <v>93</v>
      </c>
      <c r="E134">
        <v>2025</v>
      </c>
      <c r="F134" t="s">
        <v>47</v>
      </c>
      <c r="G134" t="s">
        <v>35</v>
      </c>
      <c r="H134" t="s">
        <v>78</v>
      </c>
      <c r="I134" t="s">
        <v>79</v>
      </c>
      <c r="J134" t="s">
        <v>38</v>
      </c>
      <c r="K134" t="s">
        <v>39</v>
      </c>
      <c r="L134" t="s">
        <v>51</v>
      </c>
      <c r="M134" t="s">
        <v>110</v>
      </c>
      <c r="N134" t="s">
        <v>111</v>
      </c>
      <c r="O134" t="s">
        <v>112</v>
      </c>
      <c r="P134" t="s">
        <v>113</v>
      </c>
      <c r="Q134">
        <v>19795.04</v>
      </c>
      <c r="R134">
        <v>17915.29</v>
      </c>
      <c r="S134">
        <v>13693.81</v>
      </c>
      <c r="T134">
        <v>2262.34</v>
      </c>
      <c r="U134">
        <v>1144.9100000000001</v>
      </c>
      <c r="V134">
        <v>2323.35</v>
      </c>
      <c r="W134">
        <v>487.39</v>
      </c>
      <c r="X134">
        <v>19911.8</v>
      </c>
      <c r="Y134">
        <v>6101.23</v>
      </c>
      <c r="Z134">
        <v>-13810.57</v>
      </c>
      <c r="AA134">
        <v>-0.65690000000000004</v>
      </c>
      <c r="AB134">
        <v>1879.75</v>
      </c>
      <c r="AC134">
        <v>1979.5</v>
      </c>
      <c r="AD134">
        <v>3206.8</v>
      </c>
      <c r="AE134">
        <v>21022.34</v>
      </c>
    </row>
    <row r="135" spans="1:31" x14ac:dyDescent="0.25">
      <c r="A135" t="s">
        <v>331</v>
      </c>
      <c r="B135" s="2">
        <v>46016</v>
      </c>
      <c r="C135" t="s">
        <v>107</v>
      </c>
      <c r="D135" t="s">
        <v>93</v>
      </c>
      <c r="E135">
        <v>2025</v>
      </c>
      <c r="F135" t="s">
        <v>47</v>
      </c>
      <c r="G135" t="s">
        <v>35</v>
      </c>
      <c r="H135" t="s">
        <v>78</v>
      </c>
      <c r="I135" t="s">
        <v>115</v>
      </c>
      <c r="J135" t="s">
        <v>100</v>
      </c>
      <c r="K135" t="s">
        <v>101</v>
      </c>
      <c r="L135" t="s">
        <v>51</v>
      </c>
      <c r="M135" t="s">
        <v>110</v>
      </c>
      <c r="N135" t="s">
        <v>111</v>
      </c>
      <c r="O135" t="s">
        <v>112</v>
      </c>
      <c r="P135" t="s">
        <v>113</v>
      </c>
      <c r="Q135">
        <v>21664.32</v>
      </c>
      <c r="R135">
        <v>23739.9</v>
      </c>
      <c r="S135">
        <v>15027.72</v>
      </c>
      <c r="T135">
        <v>1220.8399999999999</v>
      </c>
      <c r="U135">
        <v>1571.69</v>
      </c>
      <c r="V135">
        <v>1191.3900000000001</v>
      </c>
      <c r="W135">
        <v>867.36</v>
      </c>
      <c r="X135">
        <v>19878.990000000002</v>
      </c>
      <c r="Y135">
        <v>6636.61</v>
      </c>
      <c r="Z135">
        <v>-13242.38</v>
      </c>
      <c r="AA135">
        <v>-0.59319999999999995</v>
      </c>
      <c r="AB135">
        <v>-2075.5700000000002</v>
      </c>
      <c r="AC135">
        <v>1733.15</v>
      </c>
      <c r="AD135">
        <v>2391.7399999999998</v>
      </c>
      <c r="AE135">
        <v>22322.92</v>
      </c>
    </row>
    <row r="136" spans="1:31" x14ac:dyDescent="0.25">
      <c r="A136" t="s">
        <v>332</v>
      </c>
      <c r="B136" s="2">
        <v>45958</v>
      </c>
      <c r="C136" t="s">
        <v>92</v>
      </c>
      <c r="D136" t="s">
        <v>93</v>
      </c>
      <c r="E136">
        <v>2025</v>
      </c>
      <c r="F136" t="s">
        <v>34</v>
      </c>
      <c r="G136" t="s">
        <v>35</v>
      </c>
      <c r="H136" t="s">
        <v>98</v>
      </c>
      <c r="I136" t="s">
        <v>149</v>
      </c>
      <c r="J136" t="s">
        <v>100</v>
      </c>
      <c r="K136" t="s">
        <v>71</v>
      </c>
      <c r="L136" t="s">
        <v>72</v>
      </c>
      <c r="M136" t="s">
        <v>62</v>
      </c>
      <c r="N136" t="s">
        <v>63</v>
      </c>
      <c r="O136" t="s">
        <v>54</v>
      </c>
      <c r="P136" t="s">
        <v>55</v>
      </c>
      <c r="Q136">
        <v>4176.51</v>
      </c>
      <c r="R136">
        <v>4713.09</v>
      </c>
      <c r="S136">
        <v>2340.7199999999998</v>
      </c>
      <c r="T136">
        <v>266.88</v>
      </c>
      <c r="U136">
        <v>297.70999999999998</v>
      </c>
      <c r="V136">
        <v>443.04</v>
      </c>
      <c r="W136">
        <v>56.48</v>
      </c>
      <c r="X136">
        <v>3404.83</v>
      </c>
      <c r="Y136">
        <v>1835.79</v>
      </c>
      <c r="Z136">
        <v>-1569.04</v>
      </c>
      <c r="AA136">
        <v>-0.36509999999999998</v>
      </c>
      <c r="AB136">
        <v>-536.58000000000004</v>
      </c>
      <c r="AC136">
        <v>83.53</v>
      </c>
      <c r="AD136">
        <v>204.65</v>
      </c>
      <c r="AE136">
        <v>4297.63</v>
      </c>
    </row>
    <row r="137" spans="1:31" x14ac:dyDescent="0.25">
      <c r="A137" t="s">
        <v>333</v>
      </c>
      <c r="B137" s="2">
        <v>45788</v>
      </c>
      <c r="C137" t="s">
        <v>65</v>
      </c>
      <c r="D137" t="s">
        <v>66</v>
      </c>
      <c r="E137">
        <v>2025</v>
      </c>
      <c r="F137" t="s">
        <v>34</v>
      </c>
      <c r="G137" t="s">
        <v>35</v>
      </c>
      <c r="H137" t="s">
        <v>157</v>
      </c>
      <c r="I137" t="s">
        <v>194</v>
      </c>
      <c r="J137" t="s">
        <v>70</v>
      </c>
      <c r="K137" t="s">
        <v>39</v>
      </c>
      <c r="L137" t="s">
        <v>94</v>
      </c>
      <c r="M137" t="s">
        <v>110</v>
      </c>
      <c r="N137" t="s">
        <v>111</v>
      </c>
      <c r="O137" t="s">
        <v>112</v>
      </c>
      <c r="P137" t="s">
        <v>113</v>
      </c>
      <c r="Q137">
        <v>32331.040000000001</v>
      </c>
      <c r="R137">
        <v>30914.7</v>
      </c>
      <c r="S137">
        <v>15760.34</v>
      </c>
      <c r="T137">
        <v>3528.73</v>
      </c>
      <c r="U137">
        <v>1031.76</v>
      </c>
      <c r="V137">
        <v>2107.7800000000002</v>
      </c>
      <c r="W137">
        <v>327.63</v>
      </c>
      <c r="X137">
        <v>22756.23</v>
      </c>
      <c r="Y137">
        <v>16570.7</v>
      </c>
      <c r="Z137">
        <v>-6185.53</v>
      </c>
      <c r="AA137">
        <v>-0.1918</v>
      </c>
      <c r="AB137">
        <v>1416.34</v>
      </c>
      <c r="AC137">
        <v>1616.55</v>
      </c>
      <c r="AD137">
        <v>1535.72</v>
      </c>
      <c r="AE137">
        <v>32250.22</v>
      </c>
    </row>
    <row r="138" spans="1:31" x14ac:dyDescent="0.25">
      <c r="A138" t="s">
        <v>334</v>
      </c>
      <c r="B138" s="2">
        <v>45895</v>
      </c>
      <c r="C138" t="s">
        <v>117</v>
      </c>
      <c r="D138" t="s">
        <v>33</v>
      </c>
      <c r="E138">
        <v>2025</v>
      </c>
      <c r="F138" t="s">
        <v>47</v>
      </c>
      <c r="G138" t="s">
        <v>35</v>
      </c>
      <c r="H138" t="s">
        <v>78</v>
      </c>
      <c r="I138" t="s">
        <v>183</v>
      </c>
      <c r="J138" t="s">
        <v>70</v>
      </c>
      <c r="K138" t="s">
        <v>50</v>
      </c>
      <c r="L138" t="s">
        <v>51</v>
      </c>
      <c r="M138" t="s">
        <v>211</v>
      </c>
      <c r="N138" t="s">
        <v>212</v>
      </c>
      <c r="O138" t="s">
        <v>112</v>
      </c>
      <c r="P138" t="s">
        <v>113</v>
      </c>
      <c r="Q138">
        <v>23794.79</v>
      </c>
      <c r="R138">
        <v>23511.95</v>
      </c>
      <c r="S138">
        <v>11812.71</v>
      </c>
      <c r="T138">
        <v>2642.47</v>
      </c>
      <c r="U138">
        <v>1226.3800000000001</v>
      </c>
      <c r="V138">
        <v>2397.08</v>
      </c>
      <c r="W138">
        <v>990.49</v>
      </c>
      <c r="X138">
        <v>19069.14</v>
      </c>
      <c r="Y138">
        <v>11982.07</v>
      </c>
      <c r="Z138">
        <v>-7087.07</v>
      </c>
      <c r="AA138">
        <v>-0.2576</v>
      </c>
      <c r="AB138">
        <v>282.83999999999997</v>
      </c>
      <c r="AC138">
        <v>475.9</v>
      </c>
      <c r="AD138">
        <v>4197.3999999999996</v>
      </c>
      <c r="AE138">
        <v>27516.29</v>
      </c>
    </row>
    <row r="139" spans="1:31" x14ac:dyDescent="0.25">
      <c r="A139" t="s">
        <v>335</v>
      </c>
      <c r="B139" s="2">
        <v>45999</v>
      </c>
      <c r="C139" t="s">
        <v>107</v>
      </c>
      <c r="D139" t="s">
        <v>93</v>
      </c>
      <c r="E139">
        <v>2025</v>
      </c>
      <c r="F139" t="s">
        <v>34</v>
      </c>
      <c r="G139" t="s">
        <v>35</v>
      </c>
      <c r="H139" t="s">
        <v>157</v>
      </c>
      <c r="I139" t="s">
        <v>166</v>
      </c>
      <c r="J139" t="s">
        <v>80</v>
      </c>
      <c r="K139" t="s">
        <v>71</v>
      </c>
      <c r="L139" t="s">
        <v>51</v>
      </c>
      <c r="M139" t="s">
        <v>73</v>
      </c>
      <c r="N139" t="s">
        <v>74</v>
      </c>
      <c r="O139" t="s">
        <v>43</v>
      </c>
      <c r="P139" t="s">
        <v>75</v>
      </c>
      <c r="Q139">
        <v>40034.300000000003</v>
      </c>
      <c r="R139">
        <v>45613.84</v>
      </c>
      <c r="S139">
        <v>24468.79</v>
      </c>
      <c r="T139">
        <v>3220.04</v>
      </c>
      <c r="U139">
        <v>3542.72</v>
      </c>
      <c r="V139">
        <v>1955.98</v>
      </c>
      <c r="W139">
        <v>992.42</v>
      </c>
      <c r="X139">
        <v>34179.94</v>
      </c>
      <c r="Y139">
        <v>15565.51</v>
      </c>
      <c r="Z139">
        <v>-18614.43</v>
      </c>
      <c r="AA139">
        <v>-0.39400000000000002</v>
      </c>
      <c r="AB139">
        <v>-5579.54</v>
      </c>
      <c r="AC139">
        <v>0</v>
      </c>
      <c r="AD139">
        <v>7206.17</v>
      </c>
      <c r="AE139">
        <v>47240.47</v>
      </c>
    </row>
    <row r="140" spans="1:31" x14ac:dyDescent="0.25">
      <c r="A140" t="s">
        <v>336</v>
      </c>
      <c r="B140" s="2">
        <v>45901</v>
      </c>
      <c r="C140" t="s">
        <v>46</v>
      </c>
      <c r="D140" t="s">
        <v>33</v>
      </c>
      <c r="E140">
        <v>2025</v>
      </c>
      <c r="F140" t="s">
        <v>85</v>
      </c>
      <c r="G140" t="s">
        <v>35</v>
      </c>
      <c r="H140" t="s">
        <v>178</v>
      </c>
      <c r="I140" t="s">
        <v>329</v>
      </c>
      <c r="J140" t="s">
        <v>70</v>
      </c>
      <c r="K140" t="s">
        <v>160</v>
      </c>
      <c r="L140" t="s">
        <v>51</v>
      </c>
      <c r="M140" t="s">
        <v>52</v>
      </c>
      <c r="N140" t="s">
        <v>53</v>
      </c>
      <c r="O140" t="s">
        <v>54</v>
      </c>
      <c r="P140" t="s">
        <v>55</v>
      </c>
      <c r="Q140">
        <v>8342.7900000000009</v>
      </c>
      <c r="R140">
        <v>9798.94</v>
      </c>
      <c r="S140">
        <v>5248.64</v>
      </c>
      <c r="T140">
        <v>790.35</v>
      </c>
      <c r="U140">
        <v>549.25</v>
      </c>
      <c r="V140">
        <v>689.23</v>
      </c>
      <c r="W140">
        <v>268.87</v>
      </c>
      <c r="X140">
        <v>7546.35</v>
      </c>
      <c r="Y140">
        <v>3094.15</v>
      </c>
      <c r="Z140">
        <v>-4452.2</v>
      </c>
      <c r="AA140">
        <v>-0.52400000000000002</v>
      </c>
      <c r="AB140">
        <v>-1456.15</v>
      </c>
      <c r="AC140">
        <v>250.28</v>
      </c>
      <c r="AD140">
        <v>404.63</v>
      </c>
      <c r="AE140">
        <v>8497.1299999999992</v>
      </c>
    </row>
    <row r="141" spans="1:31" x14ac:dyDescent="0.25">
      <c r="A141" t="s">
        <v>337</v>
      </c>
      <c r="B141" s="2">
        <v>46064</v>
      </c>
      <c r="C141" t="s">
        <v>57</v>
      </c>
      <c r="D141" t="s">
        <v>58</v>
      </c>
      <c r="E141">
        <v>2026</v>
      </c>
      <c r="F141" t="s">
        <v>59</v>
      </c>
      <c r="G141" t="s">
        <v>35</v>
      </c>
      <c r="H141" t="s">
        <v>254</v>
      </c>
      <c r="I141" t="s">
        <v>200</v>
      </c>
      <c r="J141" t="s">
        <v>80</v>
      </c>
      <c r="K141" t="s">
        <v>50</v>
      </c>
      <c r="L141" t="s">
        <v>72</v>
      </c>
      <c r="M141" t="s">
        <v>235</v>
      </c>
      <c r="N141" t="s">
        <v>236</v>
      </c>
      <c r="O141" t="s">
        <v>104</v>
      </c>
      <c r="P141" t="s">
        <v>237</v>
      </c>
      <c r="Q141">
        <v>17417.77</v>
      </c>
      <c r="R141">
        <v>16894.82</v>
      </c>
      <c r="S141">
        <v>11467.28</v>
      </c>
      <c r="T141">
        <v>937.97</v>
      </c>
      <c r="U141">
        <v>1457.66</v>
      </c>
      <c r="V141">
        <v>1884.27</v>
      </c>
      <c r="W141">
        <v>581.29</v>
      </c>
      <c r="X141">
        <v>16328.47</v>
      </c>
      <c r="Y141">
        <v>5950.5</v>
      </c>
      <c r="Z141">
        <v>-10377.969999999999</v>
      </c>
      <c r="AA141">
        <v>-0.53149999999999997</v>
      </c>
      <c r="AB141">
        <v>522.96</v>
      </c>
      <c r="AC141">
        <v>870.89</v>
      </c>
      <c r="AD141">
        <v>2978.44</v>
      </c>
      <c r="AE141">
        <v>19525.32</v>
      </c>
    </row>
    <row r="142" spans="1:31" x14ac:dyDescent="0.25">
      <c r="A142" t="s">
        <v>338</v>
      </c>
      <c r="B142" s="2">
        <v>45874</v>
      </c>
      <c r="C142" t="s">
        <v>117</v>
      </c>
      <c r="D142" t="s">
        <v>33</v>
      </c>
      <c r="E142">
        <v>2025</v>
      </c>
      <c r="F142" t="s">
        <v>34</v>
      </c>
      <c r="G142" t="s">
        <v>35</v>
      </c>
      <c r="H142" t="s">
        <v>134</v>
      </c>
      <c r="I142" t="s">
        <v>176</v>
      </c>
      <c r="J142" t="s">
        <v>100</v>
      </c>
      <c r="K142" t="s">
        <v>71</v>
      </c>
      <c r="L142" t="s">
        <v>72</v>
      </c>
      <c r="M142" t="s">
        <v>88</v>
      </c>
      <c r="N142" t="s">
        <v>89</v>
      </c>
      <c r="O142" t="s">
        <v>43</v>
      </c>
      <c r="P142" t="s">
        <v>90</v>
      </c>
      <c r="Q142">
        <v>37421.26</v>
      </c>
      <c r="R142">
        <v>39367.339999999997</v>
      </c>
      <c r="S142">
        <v>23879.18</v>
      </c>
      <c r="T142">
        <v>2626.4</v>
      </c>
      <c r="U142">
        <v>1471.2</v>
      </c>
      <c r="V142">
        <v>2958.9</v>
      </c>
      <c r="W142">
        <v>1340.23</v>
      </c>
      <c r="X142">
        <v>32275.91</v>
      </c>
      <c r="Y142">
        <v>13542.08</v>
      </c>
      <c r="Z142">
        <v>-18733.830000000002</v>
      </c>
      <c r="AA142">
        <v>-0.49149999999999999</v>
      </c>
      <c r="AB142">
        <v>-1946.09</v>
      </c>
      <c r="AC142">
        <v>1122.6400000000001</v>
      </c>
      <c r="AD142">
        <v>1814.93</v>
      </c>
      <c r="AE142">
        <v>38113.550000000003</v>
      </c>
    </row>
    <row r="143" spans="1:31" x14ac:dyDescent="0.25">
      <c r="A143" t="s">
        <v>339</v>
      </c>
      <c r="B143" s="2">
        <v>45782</v>
      </c>
      <c r="C143" t="s">
        <v>65</v>
      </c>
      <c r="D143" t="s">
        <v>66</v>
      </c>
      <c r="E143">
        <v>2025</v>
      </c>
      <c r="F143" t="s">
        <v>34</v>
      </c>
      <c r="G143" t="s">
        <v>35</v>
      </c>
      <c r="H143" t="s">
        <v>134</v>
      </c>
      <c r="I143" t="s">
        <v>176</v>
      </c>
      <c r="J143" t="s">
        <v>38</v>
      </c>
      <c r="K143" t="s">
        <v>39</v>
      </c>
      <c r="L143" t="s">
        <v>72</v>
      </c>
      <c r="M143" t="s">
        <v>102</v>
      </c>
      <c r="N143" t="s">
        <v>103</v>
      </c>
      <c r="O143" t="s">
        <v>104</v>
      </c>
      <c r="P143" t="s">
        <v>105</v>
      </c>
      <c r="Q143">
        <v>13055.46</v>
      </c>
      <c r="R143">
        <v>12823.66</v>
      </c>
      <c r="S143">
        <v>6783.07</v>
      </c>
      <c r="T143">
        <v>830.93</v>
      </c>
      <c r="U143">
        <v>1130.96</v>
      </c>
      <c r="V143">
        <v>987.25</v>
      </c>
      <c r="W143">
        <v>490.99</v>
      </c>
      <c r="X143">
        <v>10223.200000000001</v>
      </c>
      <c r="Y143">
        <v>6272.39</v>
      </c>
      <c r="Z143">
        <v>-3950.81</v>
      </c>
      <c r="AA143">
        <v>-0.27</v>
      </c>
      <c r="AB143">
        <v>231.8</v>
      </c>
      <c r="AC143">
        <v>652.77</v>
      </c>
      <c r="AD143">
        <v>2232.48</v>
      </c>
      <c r="AE143">
        <v>14635.17</v>
      </c>
    </row>
    <row r="144" spans="1:31" x14ac:dyDescent="0.25">
      <c r="A144" t="s">
        <v>340</v>
      </c>
      <c r="B144" s="2">
        <v>46095</v>
      </c>
      <c r="C144" t="s">
        <v>125</v>
      </c>
      <c r="D144" t="s">
        <v>58</v>
      </c>
      <c r="E144">
        <v>2026</v>
      </c>
      <c r="F144" t="s">
        <v>59</v>
      </c>
      <c r="G144" t="s">
        <v>35</v>
      </c>
      <c r="H144" t="s">
        <v>230</v>
      </c>
      <c r="I144" t="s">
        <v>231</v>
      </c>
      <c r="J144" t="s">
        <v>70</v>
      </c>
      <c r="K144" t="s">
        <v>39</v>
      </c>
      <c r="L144" t="s">
        <v>40</v>
      </c>
      <c r="M144" t="s">
        <v>73</v>
      </c>
      <c r="N144" t="s">
        <v>74</v>
      </c>
      <c r="O144" t="s">
        <v>43</v>
      </c>
      <c r="P144" t="s">
        <v>75</v>
      </c>
      <c r="Q144">
        <v>53915.3</v>
      </c>
      <c r="R144">
        <v>51795.76</v>
      </c>
      <c r="S144">
        <v>31145.43</v>
      </c>
      <c r="T144">
        <v>6540.92</v>
      </c>
      <c r="U144">
        <v>1358.12</v>
      </c>
      <c r="V144">
        <v>2328.13</v>
      </c>
      <c r="W144">
        <v>1679.06</v>
      </c>
      <c r="X144">
        <v>43051.65</v>
      </c>
      <c r="Y144">
        <v>22769.87</v>
      </c>
      <c r="Z144">
        <v>-20281.78</v>
      </c>
      <c r="AA144">
        <v>-0.38940000000000002</v>
      </c>
      <c r="AB144">
        <v>2119.54</v>
      </c>
      <c r="AC144">
        <v>4313.22</v>
      </c>
      <c r="AD144">
        <v>2480.1</v>
      </c>
      <c r="AE144">
        <v>52082.18</v>
      </c>
    </row>
    <row r="145" spans="1:31" x14ac:dyDescent="0.25">
      <c r="A145" t="s">
        <v>341</v>
      </c>
      <c r="B145" s="2">
        <v>46109</v>
      </c>
      <c r="C145" t="s">
        <v>125</v>
      </c>
      <c r="D145" t="s">
        <v>58</v>
      </c>
      <c r="E145">
        <v>2026</v>
      </c>
      <c r="F145" t="s">
        <v>85</v>
      </c>
      <c r="G145" t="s">
        <v>35</v>
      </c>
      <c r="H145" t="s">
        <v>86</v>
      </c>
      <c r="I145" t="s">
        <v>181</v>
      </c>
      <c r="J145" t="s">
        <v>80</v>
      </c>
      <c r="K145" t="s">
        <v>39</v>
      </c>
      <c r="L145" t="s">
        <v>51</v>
      </c>
      <c r="M145" t="s">
        <v>171</v>
      </c>
      <c r="N145" t="s">
        <v>172</v>
      </c>
      <c r="O145" t="s">
        <v>173</v>
      </c>
      <c r="P145" t="s">
        <v>174</v>
      </c>
      <c r="Q145">
        <v>12989.79</v>
      </c>
      <c r="R145">
        <v>13444.06</v>
      </c>
      <c r="S145">
        <v>6252.26</v>
      </c>
      <c r="T145">
        <v>657.45</v>
      </c>
      <c r="U145">
        <v>509.71</v>
      </c>
      <c r="V145">
        <v>557.75</v>
      </c>
      <c r="W145">
        <v>179.01</v>
      </c>
      <c r="X145">
        <v>8156.19</v>
      </c>
      <c r="Y145">
        <v>6737.52</v>
      </c>
      <c r="Z145">
        <v>-1418.67</v>
      </c>
      <c r="AA145">
        <v>-9.5399999999999999E-2</v>
      </c>
      <c r="AB145">
        <v>-454.28</v>
      </c>
      <c r="AC145">
        <v>389.69</v>
      </c>
      <c r="AD145">
        <v>2268.02</v>
      </c>
      <c r="AE145">
        <v>14868.11</v>
      </c>
    </row>
    <row r="146" spans="1:31" x14ac:dyDescent="0.25">
      <c r="A146" t="s">
        <v>342</v>
      </c>
      <c r="B146" s="2">
        <v>45939</v>
      </c>
      <c r="C146" t="s">
        <v>92</v>
      </c>
      <c r="D146" t="s">
        <v>93</v>
      </c>
      <c r="E146">
        <v>2025</v>
      </c>
      <c r="F146" t="s">
        <v>67</v>
      </c>
      <c r="G146" t="s">
        <v>35</v>
      </c>
      <c r="H146" t="s">
        <v>217</v>
      </c>
      <c r="I146" t="s">
        <v>218</v>
      </c>
      <c r="J146" t="s">
        <v>100</v>
      </c>
      <c r="K146" t="s">
        <v>50</v>
      </c>
      <c r="L146" t="s">
        <v>81</v>
      </c>
      <c r="M146" t="s">
        <v>130</v>
      </c>
      <c r="N146" t="s">
        <v>131</v>
      </c>
      <c r="O146" t="s">
        <v>43</v>
      </c>
      <c r="P146" t="s">
        <v>132</v>
      </c>
      <c r="Q146">
        <v>38461.980000000003</v>
      </c>
      <c r="R146">
        <v>37829.93</v>
      </c>
      <c r="S146">
        <v>23145.61</v>
      </c>
      <c r="T146">
        <v>4613.05</v>
      </c>
      <c r="U146">
        <v>2195.4299999999998</v>
      </c>
      <c r="V146">
        <v>3699.3</v>
      </c>
      <c r="W146">
        <v>1721.12</v>
      </c>
      <c r="X146">
        <v>35374.5</v>
      </c>
      <c r="Y146">
        <v>15316.37</v>
      </c>
      <c r="Z146">
        <v>-20058.13</v>
      </c>
      <c r="AA146">
        <v>-0.46560000000000001</v>
      </c>
      <c r="AB146">
        <v>632.04999999999995</v>
      </c>
      <c r="AC146">
        <v>0</v>
      </c>
      <c r="AD146">
        <v>4615.4399999999996</v>
      </c>
      <c r="AE146">
        <v>43077.42</v>
      </c>
    </row>
    <row r="147" spans="1:31" x14ac:dyDescent="0.25">
      <c r="A147" t="s">
        <v>343</v>
      </c>
      <c r="B147" s="2">
        <v>45748</v>
      </c>
      <c r="C147" t="s">
        <v>128</v>
      </c>
      <c r="D147" t="s">
        <v>66</v>
      </c>
      <c r="E147">
        <v>2025</v>
      </c>
      <c r="F147" t="s">
        <v>47</v>
      </c>
      <c r="G147" t="s">
        <v>35</v>
      </c>
      <c r="H147" t="s">
        <v>206</v>
      </c>
      <c r="I147" t="s">
        <v>344</v>
      </c>
      <c r="J147" t="s">
        <v>80</v>
      </c>
      <c r="K147" t="s">
        <v>50</v>
      </c>
      <c r="L147" t="s">
        <v>81</v>
      </c>
      <c r="M147" t="s">
        <v>171</v>
      </c>
      <c r="N147" t="s">
        <v>172</v>
      </c>
      <c r="O147" t="s">
        <v>173</v>
      </c>
      <c r="P147" t="s">
        <v>174</v>
      </c>
      <c r="Q147">
        <v>18080.07</v>
      </c>
      <c r="R147">
        <v>21085.16</v>
      </c>
      <c r="S147">
        <v>11808.72</v>
      </c>
      <c r="T147">
        <v>2152.08</v>
      </c>
      <c r="U147">
        <v>454.47</v>
      </c>
      <c r="V147">
        <v>1761.1</v>
      </c>
      <c r="W147">
        <v>705.77</v>
      </c>
      <c r="X147">
        <v>16882.14</v>
      </c>
      <c r="Y147">
        <v>6271.35</v>
      </c>
      <c r="Z147">
        <v>-10610.78</v>
      </c>
      <c r="AA147">
        <v>-0.49740000000000001</v>
      </c>
      <c r="AB147">
        <v>-3005.09</v>
      </c>
      <c r="AC147">
        <v>0</v>
      </c>
      <c r="AD147">
        <v>3254.41</v>
      </c>
      <c r="AE147">
        <v>21334.48</v>
      </c>
    </row>
    <row r="148" spans="1:31" x14ac:dyDescent="0.25">
      <c r="A148" t="s">
        <v>345</v>
      </c>
      <c r="B148" s="2">
        <v>45893</v>
      </c>
      <c r="C148" t="s">
        <v>117</v>
      </c>
      <c r="D148" t="s">
        <v>33</v>
      </c>
      <c r="E148">
        <v>2025</v>
      </c>
      <c r="F148" t="s">
        <v>59</v>
      </c>
      <c r="G148" t="s">
        <v>35</v>
      </c>
      <c r="H148" t="s">
        <v>230</v>
      </c>
      <c r="I148" t="s">
        <v>231</v>
      </c>
      <c r="J148" t="s">
        <v>70</v>
      </c>
      <c r="K148" t="s">
        <v>39</v>
      </c>
      <c r="L148" t="s">
        <v>81</v>
      </c>
      <c r="M148" t="s">
        <v>41</v>
      </c>
      <c r="N148" t="s">
        <v>42</v>
      </c>
      <c r="O148" t="s">
        <v>43</v>
      </c>
      <c r="P148" t="s">
        <v>44</v>
      </c>
      <c r="Q148">
        <v>49697.78</v>
      </c>
      <c r="R148">
        <v>57157.24</v>
      </c>
      <c r="S148">
        <v>28676.49</v>
      </c>
      <c r="T148">
        <v>3761.45</v>
      </c>
      <c r="U148">
        <v>3664.73</v>
      </c>
      <c r="V148">
        <v>3628.64</v>
      </c>
      <c r="W148">
        <v>1620.81</v>
      </c>
      <c r="X148">
        <v>41352.120000000003</v>
      </c>
      <c r="Y148">
        <v>21021.29</v>
      </c>
      <c r="Z148">
        <v>-20330.830000000002</v>
      </c>
      <c r="AA148">
        <v>-0.3649</v>
      </c>
      <c r="AB148">
        <v>-7459.46</v>
      </c>
      <c r="AC148">
        <v>2484.89</v>
      </c>
      <c r="AD148">
        <v>8498.32</v>
      </c>
      <c r="AE148">
        <v>55711.21</v>
      </c>
    </row>
    <row r="149" spans="1:31" x14ac:dyDescent="0.25">
      <c r="A149" t="s">
        <v>346</v>
      </c>
      <c r="B149" s="2">
        <v>46013</v>
      </c>
      <c r="C149" t="s">
        <v>107</v>
      </c>
      <c r="D149" t="s">
        <v>93</v>
      </c>
      <c r="E149">
        <v>2025</v>
      </c>
      <c r="F149" t="s">
        <v>67</v>
      </c>
      <c r="G149" t="s">
        <v>35</v>
      </c>
      <c r="H149" t="s">
        <v>217</v>
      </c>
      <c r="I149" t="s">
        <v>218</v>
      </c>
      <c r="J149" t="s">
        <v>80</v>
      </c>
      <c r="K149" t="s">
        <v>39</v>
      </c>
      <c r="L149" t="s">
        <v>72</v>
      </c>
      <c r="M149" t="s">
        <v>88</v>
      </c>
      <c r="N149" t="s">
        <v>89</v>
      </c>
      <c r="O149" t="s">
        <v>43</v>
      </c>
      <c r="P149" t="s">
        <v>90</v>
      </c>
      <c r="Q149">
        <v>42783.41</v>
      </c>
      <c r="R149">
        <v>49232.41</v>
      </c>
      <c r="S149">
        <v>21218.28</v>
      </c>
      <c r="T149">
        <v>3966.77</v>
      </c>
      <c r="U149">
        <v>1464.86</v>
      </c>
      <c r="V149">
        <v>1751.4</v>
      </c>
      <c r="W149">
        <v>1059.8</v>
      </c>
      <c r="X149">
        <v>29461.11</v>
      </c>
      <c r="Y149">
        <v>21565.119999999999</v>
      </c>
      <c r="Z149">
        <v>-7895.98</v>
      </c>
      <c r="AA149">
        <v>-0.1681</v>
      </c>
      <c r="AB149">
        <v>-6449</v>
      </c>
      <c r="AC149">
        <v>855.67</v>
      </c>
      <c r="AD149">
        <v>5031.33</v>
      </c>
      <c r="AE149">
        <v>46959.07</v>
      </c>
    </row>
    <row r="150" spans="1:31" x14ac:dyDescent="0.25">
      <c r="A150" t="s">
        <v>347</v>
      </c>
      <c r="B150" s="2">
        <v>46048</v>
      </c>
      <c r="C150" t="s">
        <v>77</v>
      </c>
      <c r="D150" t="s">
        <v>58</v>
      </c>
      <c r="E150">
        <v>2026</v>
      </c>
      <c r="F150" t="s">
        <v>47</v>
      </c>
      <c r="G150" t="s">
        <v>35</v>
      </c>
      <c r="H150" t="s">
        <v>214</v>
      </c>
      <c r="I150" t="s">
        <v>321</v>
      </c>
      <c r="J150" t="s">
        <v>100</v>
      </c>
      <c r="K150" t="s">
        <v>39</v>
      </c>
      <c r="L150" t="s">
        <v>94</v>
      </c>
      <c r="M150" t="s">
        <v>197</v>
      </c>
      <c r="N150" t="s">
        <v>198</v>
      </c>
      <c r="O150" t="s">
        <v>43</v>
      </c>
      <c r="P150" t="s">
        <v>163</v>
      </c>
      <c r="Q150">
        <v>67299.69</v>
      </c>
      <c r="R150">
        <v>67904</v>
      </c>
      <c r="S150">
        <v>43173.56</v>
      </c>
      <c r="T150">
        <v>4847.63</v>
      </c>
      <c r="U150">
        <v>3022.45</v>
      </c>
      <c r="V150">
        <v>6939.86</v>
      </c>
      <c r="W150">
        <v>1724.53</v>
      </c>
      <c r="X150">
        <v>59708.04</v>
      </c>
      <c r="Y150">
        <v>24126.13</v>
      </c>
      <c r="Z150">
        <v>-35581.910000000003</v>
      </c>
      <c r="AA150">
        <v>-0.48699999999999999</v>
      </c>
      <c r="AB150">
        <v>-604.30999999999995</v>
      </c>
      <c r="AC150">
        <v>5383.98</v>
      </c>
      <c r="AD150">
        <v>11144.83</v>
      </c>
      <c r="AE150">
        <v>73060.539999999994</v>
      </c>
    </row>
    <row r="151" spans="1:31" x14ac:dyDescent="0.25">
      <c r="A151" t="s">
        <v>348</v>
      </c>
      <c r="B151" s="2">
        <v>45903</v>
      </c>
      <c r="C151" t="s">
        <v>46</v>
      </c>
      <c r="D151" t="s">
        <v>33</v>
      </c>
      <c r="E151">
        <v>2025</v>
      </c>
      <c r="F151" t="s">
        <v>34</v>
      </c>
      <c r="G151" t="s">
        <v>35</v>
      </c>
      <c r="H151" t="s">
        <v>98</v>
      </c>
      <c r="I151" t="s">
        <v>149</v>
      </c>
      <c r="J151" t="s">
        <v>70</v>
      </c>
      <c r="K151" t="s">
        <v>50</v>
      </c>
      <c r="L151" t="s">
        <v>40</v>
      </c>
      <c r="M151" t="s">
        <v>211</v>
      </c>
      <c r="N151" t="s">
        <v>212</v>
      </c>
      <c r="O151" t="s">
        <v>112</v>
      </c>
      <c r="P151" t="s">
        <v>113</v>
      </c>
      <c r="Q151">
        <v>17735.5</v>
      </c>
      <c r="R151">
        <v>18329.72</v>
      </c>
      <c r="S151">
        <v>9218.0400000000009</v>
      </c>
      <c r="T151">
        <v>1802.98</v>
      </c>
      <c r="U151">
        <v>495.01</v>
      </c>
      <c r="V151">
        <v>1790.44</v>
      </c>
      <c r="W151">
        <v>764.98</v>
      </c>
      <c r="X151">
        <v>14071.45</v>
      </c>
      <c r="Y151">
        <v>8517.4599999999991</v>
      </c>
      <c r="Z151">
        <v>-5553.99</v>
      </c>
      <c r="AA151">
        <v>-0.2883</v>
      </c>
      <c r="AB151">
        <v>-594.22</v>
      </c>
      <c r="AC151">
        <v>532.07000000000005</v>
      </c>
      <c r="AD151">
        <v>2064.41</v>
      </c>
      <c r="AE151">
        <v>19267.849999999999</v>
      </c>
    </row>
    <row r="152" spans="1:31" x14ac:dyDescent="0.25">
      <c r="A152" t="s">
        <v>349</v>
      </c>
      <c r="B152" s="2">
        <v>45873</v>
      </c>
      <c r="C152" t="s">
        <v>117</v>
      </c>
      <c r="D152" t="s">
        <v>33</v>
      </c>
      <c r="E152">
        <v>2025</v>
      </c>
      <c r="F152" t="s">
        <v>34</v>
      </c>
      <c r="G152" t="s">
        <v>35</v>
      </c>
      <c r="H152" t="s">
        <v>98</v>
      </c>
      <c r="I152" t="s">
        <v>304</v>
      </c>
      <c r="J152" t="s">
        <v>38</v>
      </c>
      <c r="K152" t="s">
        <v>39</v>
      </c>
      <c r="L152" t="s">
        <v>40</v>
      </c>
      <c r="M152" t="s">
        <v>171</v>
      </c>
      <c r="N152" t="s">
        <v>172</v>
      </c>
      <c r="O152" t="s">
        <v>173</v>
      </c>
      <c r="P152" t="s">
        <v>174</v>
      </c>
      <c r="Q152">
        <v>17592.29</v>
      </c>
      <c r="R152">
        <v>17877.3</v>
      </c>
      <c r="S152">
        <v>11350.3</v>
      </c>
      <c r="T152">
        <v>1077.43</v>
      </c>
      <c r="U152">
        <v>995.08</v>
      </c>
      <c r="V152">
        <v>742.45</v>
      </c>
      <c r="W152">
        <v>487.15</v>
      </c>
      <c r="X152">
        <v>14652.4</v>
      </c>
      <c r="Y152">
        <v>6242</v>
      </c>
      <c r="Z152">
        <v>-8410.4</v>
      </c>
      <c r="AA152">
        <v>-0.4743</v>
      </c>
      <c r="AB152">
        <v>-285</v>
      </c>
      <c r="AC152">
        <v>1759.23</v>
      </c>
      <c r="AD152">
        <v>1899.97</v>
      </c>
      <c r="AE152">
        <v>17733.03</v>
      </c>
    </row>
    <row r="153" spans="1:31" x14ac:dyDescent="0.25">
      <c r="A153" t="s">
        <v>350</v>
      </c>
      <c r="B153" s="2">
        <v>45902</v>
      </c>
      <c r="C153" t="s">
        <v>46</v>
      </c>
      <c r="D153" t="s">
        <v>33</v>
      </c>
      <c r="E153">
        <v>2025</v>
      </c>
      <c r="F153" t="s">
        <v>47</v>
      </c>
      <c r="G153" t="s">
        <v>35</v>
      </c>
      <c r="H153" t="s">
        <v>206</v>
      </c>
      <c r="I153" t="s">
        <v>207</v>
      </c>
      <c r="J153" t="s">
        <v>100</v>
      </c>
      <c r="K153" t="s">
        <v>101</v>
      </c>
      <c r="L153" t="s">
        <v>51</v>
      </c>
      <c r="M153" t="s">
        <v>186</v>
      </c>
      <c r="N153" t="s">
        <v>187</v>
      </c>
      <c r="O153" t="s">
        <v>173</v>
      </c>
      <c r="P153" t="s">
        <v>174</v>
      </c>
      <c r="Q153">
        <v>17106.93</v>
      </c>
      <c r="R153">
        <v>19341.849999999999</v>
      </c>
      <c r="S153">
        <v>9732.0499999999993</v>
      </c>
      <c r="T153">
        <v>1368.29</v>
      </c>
      <c r="U153">
        <v>954.75</v>
      </c>
      <c r="V153">
        <v>1292.0899999999999</v>
      </c>
      <c r="W153">
        <v>766.73</v>
      </c>
      <c r="X153">
        <v>14113.91</v>
      </c>
      <c r="Y153">
        <v>7374.88</v>
      </c>
      <c r="Z153">
        <v>-6739.03</v>
      </c>
      <c r="AA153">
        <v>-0.39489999999999997</v>
      </c>
      <c r="AB153">
        <v>-2234.92</v>
      </c>
      <c r="AC153">
        <v>855.35</v>
      </c>
      <c r="AD153">
        <v>812.58</v>
      </c>
      <c r="AE153">
        <v>17064.169999999998</v>
      </c>
    </row>
    <row r="154" spans="1:31" x14ac:dyDescent="0.25">
      <c r="A154" t="s">
        <v>351</v>
      </c>
      <c r="B154" s="2">
        <v>45806</v>
      </c>
      <c r="C154" t="s">
        <v>65</v>
      </c>
      <c r="D154" t="s">
        <v>66</v>
      </c>
      <c r="E154">
        <v>2025</v>
      </c>
      <c r="F154" t="s">
        <v>85</v>
      </c>
      <c r="G154" t="s">
        <v>35</v>
      </c>
      <c r="H154" t="s">
        <v>86</v>
      </c>
      <c r="I154" t="s">
        <v>181</v>
      </c>
      <c r="J154" t="s">
        <v>38</v>
      </c>
      <c r="K154" t="s">
        <v>50</v>
      </c>
      <c r="L154" t="s">
        <v>72</v>
      </c>
      <c r="M154" t="s">
        <v>110</v>
      </c>
      <c r="N154" t="s">
        <v>111</v>
      </c>
      <c r="O154" t="s">
        <v>112</v>
      </c>
      <c r="P154" t="s">
        <v>113</v>
      </c>
      <c r="Q154">
        <v>12327.85</v>
      </c>
      <c r="R154">
        <v>12851.93</v>
      </c>
      <c r="S154">
        <v>8171.6</v>
      </c>
      <c r="T154">
        <v>1438.56</v>
      </c>
      <c r="U154">
        <v>661.13</v>
      </c>
      <c r="V154">
        <v>791.28</v>
      </c>
      <c r="W154">
        <v>235.18</v>
      </c>
      <c r="X154">
        <v>11297.74</v>
      </c>
      <c r="Y154">
        <v>4156.26</v>
      </c>
      <c r="Z154">
        <v>-7141.49</v>
      </c>
      <c r="AA154">
        <v>-0.56299999999999994</v>
      </c>
      <c r="AB154">
        <v>-524.07000000000005</v>
      </c>
      <c r="AC154">
        <v>246.56</v>
      </c>
      <c r="AD154">
        <v>604.05999999999995</v>
      </c>
      <c r="AE154">
        <v>12685.36</v>
      </c>
    </row>
    <row r="155" spans="1:31" x14ac:dyDescent="0.25">
      <c r="A155" t="s">
        <v>352</v>
      </c>
      <c r="B155" s="2">
        <v>45768</v>
      </c>
      <c r="C155" t="s">
        <v>128</v>
      </c>
      <c r="D155" t="s">
        <v>66</v>
      </c>
      <c r="E155">
        <v>2025</v>
      </c>
      <c r="F155" t="s">
        <v>85</v>
      </c>
      <c r="G155" t="s">
        <v>35</v>
      </c>
      <c r="H155" t="s">
        <v>60</v>
      </c>
      <c r="I155" t="s">
        <v>108</v>
      </c>
      <c r="J155" t="s">
        <v>80</v>
      </c>
      <c r="K155" t="s">
        <v>39</v>
      </c>
      <c r="L155" t="s">
        <v>81</v>
      </c>
      <c r="M155" t="s">
        <v>88</v>
      </c>
      <c r="N155" t="s">
        <v>89</v>
      </c>
      <c r="O155" t="s">
        <v>43</v>
      </c>
      <c r="P155" t="s">
        <v>90</v>
      </c>
      <c r="Q155">
        <v>31093.75</v>
      </c>
      <c r="R155">
        <v>29296.3</v>
      </c>
      <c r="S155">
        <v>20763.57</v>
      </c>
      <c r="T155">
        <v>3381.95</v>
      </c>
      <c r="U155">
        <v>1384.66</v>
      </c>
      <c r="V155">
        <v>2054.2399999999998</v>
      </c>
      <c r="W155">
        <v>1173.42</v>
      </c>
      <c r="X155">
        <v>28757.84</v>
      </c>
      <c r="Y155">
        <v>10330.18</v>
      </c>
      <c r="Z155">
        <v>-18427.669999999998</v>
      </c>
      <c r="AA155">
        <v>-0.51780000000000004</v>
      </c>
      <c r="AB155">
        <v>1797.45</v>
      </c>
      <c r="AC155">
        <v>932.81</v>
      </c>
      <c r="AD155">
        <v>5428.97</v>
      </c>
      <c r="AE155">
        <v>35589.910000000003</v>
      </c>
    </row>
    <row r="156" spans="1:31" x14ac:dyDescent="0.25">
      <c r="A156" t="s">
        <v>353</v>
      </c>
      <c r="B156" s="2">
        <v>45755</v>
      </c>
      <c r="C156" t="s">
        <v>128</v>
      </c>
      <c r="D156" t="s">
        <v>66</v>
      </c>
      <c r="E156">
        <v>2025</v>
      </c>
      <c r="F156" t="s">
        <v>59</v>
      </c>
      <c r="G156" t="s">
        <v>35</v>
      </c>
      <c r="H156" t="s">
        <v>254</v>
      </c>
      <c r="I156" t="s">
        <v>314</v>
      </c>
      <c r="J156" t="s">
        <v>38</v>
      </c>
      <c r="K156" t="s">
        <v>160</v>
      </c>
      <c r="L156" t="s">
        <v>51</v>
      </c>
      <c r="M156" t="s">
        <v>73</v>
      </c>
      <c r="N156" t="s">
        <v>74</v>
      </c>
      <c r="O156" t="s">
        <v>43</v>
      </c>
      <c r="P156" t="s">
        <v>75</v>
      </c>
      <c r="Q156">
        <v>55578.239999999998</v>
      </c>
      <c r="R156">
        <v>63414.26</v>
      </c>
      <c r="S156">
        <v>28420.3</v>
      </c>
      <c r="T156">
        <v>6293.72</v>
      </c>
      <c r="U156">
        <v>1840.38</v>
      </c>
      <c r="V156">
        <v>5754.4</v>
      </c>
      <c r="W156">
        <v>1092.22</v>
      </c>
      <c r="X156">
        <v>43401.02</v>
      </c>
      <c r="Y156">
        <v>27157.94</v>
      </c>
      <c r="Z156">
        <v>-16243.07</v>
      </c>
      <c r="AA156">
        <v>-0.26919999999999999</v>
      </c>
      <c r="AB156">
        <v>-7836.02</v>
      </c>
      <c r="AC156">
        <v>4446.26</v>
      </c>
      <c r="AD156">
        <v>9203.76</v>
      </c>
      <c r="AE156">
        <v>60335.74</v>
      </c>
    </row>
    <row r="157" spans="1:31" x14ac:dyDescent="0.25">
      <c r="A157" t="s">
        <v>354</v>
      </c>
      <c r="B157" s="2">
        <v>45764</v>
      </c>
      <c r="C157" t="s">
        <v>128</v>
      </c>
      <c r="D157" t="s">
        <v>66</v>
      </c>
      <c r="E157">
        <v>2025</v>
      </c>
      <c r="F157" t="s">
        <v>85</v>
      </c>
      <c r="G157" t="s">
        <v>35</v>
      </c>
      <c r="H157" t="s">
        <v>178</v>
      </c>
      <c r="I157" t="s">
        <v>249</v>
      </c>
      <c r="J157" t="s">
        <v>70</v>
      </c>
      <c r="K157" t="s">
        <v>50</v>
      </c>
      <c r="L157" t="s">
        <v>72</v>
      </c>
      <c r="M157" t="s">
        <v>197</v>
      </c>
      <c r="N157" t="s">
        <v>198</v>
      </c>
      <c r="O157" t="s">
        <v>43</v>
      </c>
      <c r="P157" t="s">
        <v>163</v>
      </c>
      <c r="Q157">
        <v>46283.83</v>
      </c>
      <c r="R157">
        <v>46856.23</v>
      </c>
      <c r="S157">
        <v>28945.040000000001</v>
      </c>
      <c r="T157">
        <v>5716</v>
      </c>
      <c r="U157">
        <v>2246.96</v>
      </c>
      <c r="V157">
        <v>4538.47</v>
      </c>
      <c r="W157">
        <v>1911.79</v>
      </c>
      <c r="X157">
        <v>43358.26</v>
      </c>
      <c r="Y157">
        <v>17338.79</v>
      </c>
      <c r="Z157">
        <v>-26019.47</v>
      </c>
      <c r="AA157">
        <v>-0.51749999999999996</v>
      </c>
      <c r="AB157">
        <v>-572.4</v>
      </c>
      <c r="AC157">
        <v>1388.51</v>
      </c>
      <c r="AD157">
        <v>5387.44</v>
      </c>
      <c r="AE157">
        <v>50282.75</v>
      </c>
    </row>
    <row r="158" spans="1:31" x14ac:dyDescent="0.25">
      <c r="A158" t="s">
        <v>355</v>
      </c>
      <c r="B158" s="2">
        <v>45922</v>
      </c>
      <c r="C158" t="s">
        <v>46</v>
      </c>
      <c r="D158" t="s">
        <v>33</v>
      </c>
      <c r="E158">
        <v>2025</v>
      </c>
      <c r="F158" t="s">
        <v>34</v>
      </c>
      <c r="G158" t="s">
        <v>35</v>
      </c>
      <c r="H158" t="s">
        <v>134</v>
      </c>
      <c r="I158" t="s">
        <v>154</v>
      </c>
      <c r="J158" t="s">
        <v>80</v>
      </c>
      <c r="K158" t="s">
        <v>101</v>
      </c>
      <c r="L158" t="s">
        <v>94</v>
      </c>
      <c r="M158" t="s">
        <v>141</v>
      </c>
      <c r="N158" t="s">
        <v>142</v>
      </c>
      <c r="O158" t="s">
        <v>54</v>
      </c>
      <c r="P158" t="s">
        <v>143</v>
      </c>
      <c r="Q158">
        <v>7966.95</v>
      </c>
      <c r="R158">
        <v>9035.24</v>
      </c>
      <c r="S158">
        <v>5531.78</v>
      </c>
      <c r="T158">
        <v>438.16</v>
      </c>
      <c r="U158">
        <v>656.68</v>
      </c>
      <c r="V158">
        <v>604.41999999999996</v>
      </c>
      <c r="W158">
        <v>222</v>
      </c>
      <c r="X158">
        <v>7453.03</v>
      </c>
      <c r="Y158">
        <v>2435.16</v>
      </c>
      <c r="Z158">
        <v>-5017.87</v>
      </c>
      <c r="AA158">
        <v>-0.56189999999999996</v>
      </c>
      <c r="AB158">
        <v>-1068.29</v>
      </c>
      <c r="AC158">
        <v>398.35</v>
      </c>
      <c r="AD158">
        <v>1362.35</v>
      </c>
      <c r="AE158">
        <v>8930.9500000000007</v>
      </c>
    </row>
    <row r="159" spans="1:31" x14ac:dyDescent="0.25">
      <c r="A159" t="s">
        <v>356</v>
      </c>
      <c r="B159" s="2">
        <v>45955</v>
      </c>
      <c r="C159" t="s">
        <v>92</v>
      </c>
      <c r="D159" t="s">
        <v>93</v>
      </c>
      <c r="E159">
        <v>2025</v>
      </c>
      <c r="F159" t="s">
        <v>34</v>
      </c>
      <c r="G159" t="s">
        <v>35</v>
      </c>
      <c r="H159" t="s">
        <v>157</v>
      </c>
      <c r="I159" t="s">
        <v>158</v>
      </c>
      <c r="J159" t="s">
        <v>100</v>
      </c>
      <c r="K159" t="s">
        <v>71</v>
      </c>
      <c r="L159" t="s">
        <v>40</v>
      </c>
      <c r="M159" t="s">
        <v>52</v>
      </c>
      <c r="N159" t="s">
        <v>53</v>
      </c>
      <c r="O159" t="s">
        <v>54</v>
      </c>
      <c r="P159" t="s">
        <v>55</v>
      </c>
      <c r="Q159">
        <v>6972.23</v>
      </c>
      <c r="R159">
        <v>7850.31</v>
      </c>
      <c r="S159">
        <v>3904.57</v>
      </c>
      <c r="T159">
        <v>757.49</v>
      </c>
      <c r="U159">
        <v>413.85</v>
      </c>
      <c r="V159">
        <v>721.43</v>
      </c>
      <c r="W159">
        <v>311.44</v>
      </c>
      <c r="X159">
        <v>6108.79</v>
      </c>
      <c r="Y159">
        <v>3067.66</v>
      </c>
      <c r="Z159">
        <v>-3041.13</v>
      </c>
      <c r="AA159">
        <v>-0.37719999999999998</v>
      </c>
      <c r="AB159">
        <v>-878.08</v>
      </c>
      <c r="AC159">
        <v>139.44</v>
      </c>
      <c r="AD159">
        <v>1229.9000000000001</v>
      </c>
      <c r="AE159">
        <v>8062.69</v>
      </c>
    </row>
    <row r="160" spans="1:31" x14ac:dyDescent="0.25">
      <c r="A160" t="s">
        <v>357</v>
      </c>
      <c r="B160" s="2">
        <v>46074</v>
      </c>
      <c r="C160" t="s">
        <v>57</v>
      </c>
      <c r="D160" t="s">
        <v>58</v>
      </c>
      <c r="E160">
        <v>2026</v>
      </c>
      <c r="F160" t="s">
        <v>59</v>
      </c>
      <c r="G160" t="s">
        <v>35</v>
      </c>
      <c r="H160" t="s">
        <v>139</v>
      </c>
      <c r="I160" t="s">
        <v>200</v>
      </c>
      <c r="J160" t="s">
        <v>38</v>
      </c>
      <c r="K160" t="s">
        <v>71</v>
      </c>
      <c r="L160" t="s">
        <v>358</v>
      </c>
      <c r="M160" t="s">
        <v>186</v>
      </c>
      <c r="N160" t="s">
        <v>187</v>
      </c>
      <c r="O160" t="s">
        <v>173</v>
      </c>
      <c r="P160" t="s">
        <v>174</v>
      </c>
      <c r="Q160">
        <v>13222.39</v>
      </c>
      <c r="R160">
        <v>14685.81</v>
      </c>
      <c r="S160">
        <v>8436.5400000000009</v>
      </c>
      <c r="T160">
        <v>1471.51</v>
      </c>
      <c r="U160">
        <v>1057.5899999999999</v>
      </c>
      <c r="V160">
        <v>1177.96</v>
      </c>
      <c r="W160">
        <v>173.23</v>
      </c>
      <c r="X160">
        <v>12316.84</v>
      </c>
      <c r="Y160">
        <v>4785.8500000000004</v>
      </c>
      <c r="Z160">
        <v>-7530.99</v>
      </c>
      <c r="AA160">
        <v>-0.55920000000000003</v>
      </c>
      <c r="AB160">
        <v>-1463.41</v>
      </c>
      <c r="AC160">
        <v>396.67</v>
      </c>
      <c r="AD160">
        <v>641.29</v>
      </c>
      <c r="AE160">
        <v>13467.01</v>
      </c>
    </row>
    <row r="161" spans="1:31" x14ac:dyDescent="0.25">
      <c r="A161" t="s">
        <v>359</v>
      </c>
      <c r="B161" s="2">
        <v>46007</v>
      </c>
      <c r="C161" t="s">
        <v>107</v>
      </c>
      <c r="D161" t="s">
        <v>93</v>
      </c>
      <c r="E161">
        <v>2025</v>
      </c>
      <c r="F161" t="s">
        <v>67</v>
      </c>
      <c r="G161" t="s">
        <v>35</v>
      </c>
      <c r="H161" t="s">
        <v>68</v>
      </c>
      <c r="I161" t="s">
        <v>260</v>
      </c>
      <c r="J161" t="s">
        <v>70</v>
      </c>
      <c r="K161" t="s">
        <v>39</v>
      </c>
      <c r="L161" t="s">
        <v>72</v>
      </c>
      <c r="M161" t="s">
        <v>189</v>
      </c>
      <c r="N161" t="s">
        <v>190</v>
      </c>
      <c r="O161" t="s">
        <v>104</v>
      </c>
      <c r="P161" t="s">
        <v>105</v>
      </c>
      <c r="Q161">
        <v>21260.33</v>
      </c>
      <c r="R161">
        <v>24800.91</v>
      </c>
      <c r="S161">
        <v>12871.39</v>
      </c>
      <c r="T161">
        <v>1572.53</v>
      </c>
      <c r="U161">
        <v>637.73</v>
      </c>
      <c r="V161">
        <v>1701.89</v>
      </c>
      <c r="W161">
        <v>803.81</v>
      </c>
      <c r="X161">
        <v>17587.349999999999</v>
      </c>
      <c r="Y161">
        <v>8388.94</v>
      </c>
      <c r="Z161">
        <v>-9198.41</v>
      </c>
      <c r="AA161">
        <v>-0.43369999999999997</v>
      </c>
      <c r="AB161">
        <v>-3540.58</v>
      </c>
      <c r="AC161">
        <v>1063.02</v>
      </c>
      <c r="AD161">
        <v>1009.87</v>
      </c>
      <c r="AE161">
        <v>21207.18</v>
      </c>
    </row>
    <row r="162" spans="1:31" x14ac:dyDescent="0.25">
      <c r="A162" t="s">
        <v>360</v>
      </c>
      <c r="B162" s="2">
        <v>45760</v>
      </c>
      <c r="C162" t="s">
        <v>128</v>
      </c>
      <c r="D162" t="s">
        <v>66</v>
      </c>
      <c r="E162">
        <v>2025</v>
      </c>
      <c r="F162" t="s">
        <v>34</v>
      </c>
      <c r="G162" t="s">
        <v>35</v>
      </c>
      <c r="H162" t="s">
        <v>36</v>
      </c>
      <c r="I162" t="s">
        <v>245</v>
      </c>
      <c r="J162" t="s">
        <v>70</v>
      </c>
      <c r="K162" t="s">
        <v>101</v>
      </c>
      <c r="L162" t="s">
        <v>51</v>
      </c>
      <c r="M162" t="s">
        <v>161</v>
      </c>
      <c r="N162" t="s">
        <v>162</v>
      </c>
      <c r="O162" t="s">
        <v>43</v>
      </c>
      <c r="P162" t="s">
        <v>163</v>
      </c>
      <c r="Q162">
        <v>35772.33</v>
      </c>
      <c r="R162">
        <v>38353.050000000003</v>
      </c>
      <c r="S162">
        <v>25575.63</v>
      </c>
      <c r="T162">
        <v>3515.69</v>
      </c>
      <c r="U162">
        <v>1726.3</v>
      </c>
      <c r="V162">
        <v>3284.81</v>
      </c>
      <c r="W162">
        <v>511.62</v>
      </c>
      <c r="X162">
        <v>34614.04</v>
      </c>
      <c r="Y162">
        <v>10196.709999999999</v>
      </c>
      <c r="Z162">
        <v>-24417.33</v>
      </c>
      <c r="AA162">
        <v>-0.66239999999999999</v>
      </c>
      <c r="AB162">
        <v>-2580.7199999999998</v>
      </c>
      <c r="AC162">
        <v>2861.79</v>
      </c>
      <c r="AD162">
        <v>3949.27</v>
      </c>
      <c r="AE162">
        <v>36859.81</v>
      </c>
    </row>
    <row r="163" spans="1:31" x14ac:dyDescent="0.25">
      <c r="A163" t="s">
        <v>361</v>
      </c>
      <c r="B163" s="2">
        <v>45821</v>
      </c>
      <c r="C163" t="s">
        <v>156</v>
      </c>
      <c r="D163" t="s">
        <v>66</v>
      </c>
      <c r="E163">
        <v>2025</v>
      </c>
      <c r="F163" t="s">
        <v>34</v>
      </c>
      <c r="G163" t="s">
        <v>35</v>
      </c>
      <c r="H163" t="s">
        <v>134</v>
      </c>
      <c r="I163" t="s">
        <v>135</v>
      </c>
      <c r="J163" t="s">
        <v>38</v>
      </c>
      <c r="K163" t="s">
        <v>39</v>
      </c>
      <c r="L163" t="s">
        <v>40</v>
      </c>
      <c r="M163" t="s">
        <v>235</v>
      </c>
      <c r="N163" t="s">
        <v>236</v>
      </c>
      <c r="O163" t="s">
        <v>104</v>
      </c>
      <c r="P163" t="s">
        <v>237</v>
      </c>
      <c r="Q163">
        <v>13943.54</v>
      </c>
      <c r="R163">
        <v>13538.6</v>
      </c>
      <c r="S163">
        <v>7663.27</v>
      </c>
      <c r="T163">
        <v>1325.52</v>
      </c>
      <c r="U163">
        <v>457.31</v>
      </c>
      <c r="V163">
        <v>1580.41</v>
      </c>
      <c r="W163">
        <v>491.13</v>
      </c>
      <c r="X163">
        <v>11517.63</v>
      </c>
      <c r="Y163">
        <v>6280.27</v>
      </c>
      <c r="Z163">
        <v>-5237.3599999999997</v>
      </c>
      <c r="AA163">
        <v>-0.36880000000000002</v>
      </c>
      <c r="AB163">
        <v>404.95</v>
      </c>
      <c r="AC163">
        <v>418.31</v>
      </c>
      <c r="AD163">
        <v>676.26</v>
      </c>
      <c r="AE163">
        <v>14201.5</v>
      </c>
    </row>
    <row r="164" spans="1:31" x14ac:dyDescent="0.25">
      <c r="A164" t="s">
        <v>362</v>
      </c>
      <c r="B164" s="2">
        <v>46037</v>
      </c>
      <c r="C164" t="s">
        <v>77</v>
      </c>
      <c r="D164" t="s">
        <v>58</v>
      </c>
      <c r="E164">
        <v>2026</v>
      </c>
      <c r="F164" t="s">
        <v>59</v>
      </c>
      <c r="G164" t="s">
        <v>35</v>
      </c>
      <c r="H164" t="s">
        <v>230</v>
      </c>
      <c r="I164" t="s">
        <v>363</v>
      </c>
      <c r="J164" t="s">
        <v>70</v>
      </c>
      <c r="K164" t="s">
        <v>50</v>
      </c>
      <c r="L164" t="s">
        <v>94</v>
      </c>
      <c r="M164" t="s">
        <v>186</v>
      </c>
      <c r="N164" t="s">
        <v>187</v>
      </c>
      <c r="O164" t="s">
        <v>173</v>
      </c>
      <c r="P164" t="s">
        <v>174</v>
      </c>
      <c r="Q164">
        <v>8527.99</v>
      </c>
      <c r="R164">
        <v>9507.9</v>
      </c>
      <c r="S164">
        <v>5556.92</v>
      </c>
      <c r="T164">
        <v>831.3</v>
      </c>
      <c r="U164">
        <v>709.72</v>
      </c>
      <c r="V164">
        <v>739.05</v>
      </c>
      <c r="W164">
        <v>224.66</v>
      </c>
      <c r="X164">
        <v>8061.65</v>
      </c>
      <c r="Y164">
        <v>2971.07</v>
      </c>
      <c r="Z164">
        <v>-5090.57</v>
      </c>
      <c r="AA164">
        <v>-0.52149999999999996</v>
      </c>
      <c r="AB164">
        <v>-979.91</v>
      </c>
      <c r="AC164">
        <v>255.84</v>
      </c>
      <c r="AD164">
        <v>1488.99</v>
      </c>
      <c r="AE164">
        <v>9761.14</v>
      </c>
    </row>
    <row r="165" spans="1:31" x14ac:dyDescent="0.25">
      <c r="A165" t="s">
        <v>364</v>
      </c>
      <c r="B165" s="2">
        <v>46067</v>
      </c>
      <c r="C165" t="s">
        <v>57</v>
      </c>
      <c r="D165" t="s">
        <v>58</v>
      </c>
      <c r="E165">
        <v>2026</v>
      </c>
      <c r="F165" t="s">
        <v>47</v>
      </c>
      <c r="G165" t="s">
        <v>35</v>
      </c>
      <c r="H165" t="s">
        <v>206</v>
      </c>
      <c r="I165" t="s">
        <v>344</v>
      </c>
      <c r="J165" t="s">
        <v>80</v>
      </c>
      <c r="K165" t="s">
        <v>50</v>
      </c>
      <c r="L165" t="s">
        <v>94</v>
      </c>
      <c r="M165" t="s">
        <v>73</v>
      </c>
      <c r="N165" t="s">
        <v>74</v>
      </c>
      <c r="O165" t="s">
        <v>43</v>
      </c>
      <c r="P165" t="s">
        <v>75</v>
      </c>
      <c r="Q165">
        <v>40037.32</v>
      </c>
      <c r="R165">
        <v>45945.29</v>
      </c>
      <c r="S165">
        <v>23386.44</v>
      </c>
      <c r="T165">
        <v>4916.3999999999996</v>
      </c>
      <c r="U165">
        <v>1982.88</v>
      </c>
      <c r="V165">
        <v>4689.42</v>
      </c>
      <c r="W165">
        <v>525.5</v>
      </c>
      <c r="X165">
        <v>35500.639999999999</v>
      </c>
      <c r="Y165">
        <v>16650.87</v>
      </c>
      <c r="Z165">
        <v>-18849.759999999998</v>
      </c>
      <c r="AA165">
        <v>-0.4425</v>
      </c>
      <c r="AB165">
        <v>-5907.97</v>
      </c>
      <c r="AC165">
        <v>2001.87</v>
      </c>
      <c r="AD165">
        <v>4564.25</v>
      </c>
      <c r="AE165">
        <v>42599.7</v>
      </c>
    </row>
    <row r="166" spans="1:31" x14ac:dyDescent="0.25">
      <c r="A166" t="s">
        <v>365</v>
      </c>
      <c r="B166" s="2">
        <v>46063</v>
      </c>
      <c r="C166" t="s">
        <v>57</v>
      </c>
      <c r="D166" t="s">
        <v>58</v>
      </c>
      <c r="E166">
        <v>2026</v>
      </c>
      <c r="F166" t="s">
        <v>34</v>
      </c>
      <c r="G166" t="s">
        <v>35</v>
      </c>
      <c r="H166" t="s">
        <v>134</v>
      </c>
      <c r="I166" t="s">
        <v>154</v>
      </c>
      <c r="J166" t="s">
        <v>100</v>
      </c>
      <c r="K166" t="s">
        <v>50</v>
      </c>
      <c r="L166" t="s">
        <v>81</v>
      </c>
      <c r="M166" t="s">
        <v>221</v>
      </c>
      <c r="N166" t="s">
        <v>222</v>
      </c>
      <c r="O166" t="s">
        <v>104</v>
      </c>
      <c r="P166" t="s">
        <v>223</v>
      </c>
      <c r="Q166">
        <v>27027.18</v>
      </c>
      <c r="R166">
        <v>29954.53</v>
      </c>
      <c r="S166">
        <v>19140.25</v>
      </c>
      <c r="T166">
        <v>2870.37</v>
      </c>
      <c r="U166">
        <v>1199.29</v>
      </c>
      <c r="V166">
        <v>1308.9000000000001</v>
      </c>
      <c r="W166">
        <v>1009.84</v>
      </c>
      <c r="X166">
        <v>25528.66</v>
      </c>
      <c r="Y166">
        <v>7886.92</v>
      </c>
      <c r="Z166">
        <v>-17641.740000000002</v>
      </c>
      <c r="AA166">
        <v>-0.65439999999999998</v>
      </c>
      <c r="AB166">
        <v>-2927.35</v>
      </c>
      <c r="AC166">
        <v>1351.36</v>
      </c>
      <c r="AD166">
        <v>1283.79</v>
      </c>
      <c r="AE166">
        <v>26959.61</v>
      </c>
    </row>
    <row r="167" spans="1:31" x14ac:dyDescent="0.25">
      <c r="A167" t="s">
        <v>366</v>
      </c>
      <c r="B167" s="2">
        <v>45848</v>
      </c>
      <c r="C167" t="s">
        <v>32</v>
      </c>
      <c r="D167" t="s">
        <v>33</v>
      </c>
      <c r="E167">
        <v>2025</v>
      </c>
      <c r="F167" t="s">
        <v>67</v>
      </c>
      <c r="G167" t="s">
        <v>35</v>
      </c>
      <c r="H167" t="s">
        <v>217</v>
      </c>
      <c r="I167" t="s">
        <v>284</v>
      </c>
      <c r="J167" t="s">
        <v>70</v>
      </c>
      <c r="K167" t="s">
        <v>101</v>
      </c>
      <c r="L167" t="s">
        <v>40</v>
      </c>
      <c r="M167" t="s">
        <v>235</v>
      </c>
      <c r="N167" t="s">
        <v>236</v>
      </c>
      <c r="O167" t="s">
        <v>104</v>
      </c>
      <c r="P167" t="s">
        <v>237</v>
      </c>
      <c r="Q167">
        <v>17085.259999999998</v>
      </c>
      <c r="R167">
        <v>19437.669999999998</v>
      </c>
      <c r="S167">
        <v>8963.7000000000007</v>
      </c>
      <c r="T167">
        <v>1608.84</v>
      </c>
      <c r="U167">
        <v>888.89</v>
      </c>
      <c r="V167">
        <v>1667.05</v>
      </c>
      <c r="W167">
        <v>392.8</v>
      </c>
      <c r="X167">
        <v>13521.29</v>
      </c>
      <c r="Y167">
        <v>8121.55</v>
      </c>
      <c r="Z167">
        <v>-5399.73</v>
      </c>
      <c r="AA167">
        <v>-0.29110000000000003</v>
      </c>
      <c r="AB167">
        <v>-2352.42</v>
      </c>
      <c r="AC167">
        <v>1366.82</v>
      </c>
      <c r="AD167">
        <v>2829.32</v>
      </c>
      <c r="AE167">
        <v>18547.75</v>
      </c>
    </row>
    <row r="168" spans="1:31" x14ac:dyDescent="0.25">
      <c r="A168" t="s">
        <v>367</v>
      </c>
      <c r="B168" s="2">
        <v>45847</v>
      </c>
      <c r="C168" t="s">
        <v>32</v>
      </c>
      <c r="D168" t="s">
        <v>33</v>
      </c>
      <c r="E168">
        <v>2025</v>
      </c>
      <c r="F168" t="s">
        <v>34</v>
      </c>
      <c r="G168" t="s">
        <v>35</v>
      </c>
      <c r="H168" t="s">
        <v>98</v>
      </c>
      <c r="I168" t="s">
        <v>99</v>
      </c>
      <c r="J168" t="s">
        <v>100</v>
      </c>
      <c r="K168" t="s">
        <v>101</v>
      </c>
      <c r="L168" t="s">
        <v>72</v>
      </c>
      <c r="M168" t="s">
        <v>120</v>
      </c>
      <c r="N168" t="s">
        <v>121</v>
      </c>
      <c r="O168" t="s">
        <v>43</v>
      </c>
      <c r="P168" t="s">
        <v>122</v>
      </c>
      <c r="Q168">
        <v>70266.23</v>
      </c>
      <c r="R168">
        <v>62934.62</v>
      </c>
      <c r="S168">
        <v>45232.24</v>
      </c>
      <c r="T168">
        <v>6144.95</v>
      </c>
      <c r="U168">
        <v>4401.93</v>
      </c>
      <c r="V168">
        <v>3290.38</v>
      </c>
      <c r="W168">
        <v>808.43</v>
      </c>
      <c r="X168">
        <v>59877.919999999998</v>
      </c>
      <c r="Y168">
        <v>25033.99</v>
      </c>
      <c r="Z168">
        <v>-34843.919999999998</v>
      </c>
      <c r="AA168">
        <v>-0.44240000000000002</v>
      </c>
      <c r="AB168">
        <v>7331.61</v>
      </c>
      <c r="AC168">
        <v>3513.31</v>
      </c>
      <c r="AD168">
        <v>12015.53</v>
      </c>
      <c r="AE168">
        <v>78768.44</v>
      </c>
    </row>
    <row r="169" spans="1:31" x14ac:dyDescent="0.25">
      <c r="A169" t="s">
        <v>368</v>
      </c>
      <c r="B169" s="2">
        <v>45801</v>
      </c>
      <c r="C169" t="s">
        <v>65</v>
      </c>
      <c r="D169" t="s">
        <v>66</v>
      </c>
      <c r="E169">
        <v>2025</v>
      </c>
      <c r="F169" t="s">
        <v>67</v>
      </c>
      <c r="G169" t="s">
        <v>35</v>
      </c>
      <c r="H169" t="s">
        <v>118</v>
      </c>
      <c r="I169" t="s">
        <v>227</v>
      </c>
      <c r="J169" t="s">
        <v>80</v>
      </c>
      <c r="K169" t="s">
        <v>39</v>
      </c>
      <c r="L169" t="s">
        <v>81</v>
      </c>
      <c r="M169" t="s">
        <v>110</v>
      </c>
      <c r="N169" t="s">
        <v>111</v>
      </c>
      <c r="O169" t="s">
        <v>112</v>
      </c>
      <c r="P169" t="s">
        <v>113</v>
      </c>
      <c r="Q169">
        <v>35137.379999999997</v>
      </c>
      <c r="R169">
        <v>38398.65</v>
      </c>
      <c r="S169">
        <v>24867.53</v>
      </c>
      <c r="T169">
        <v>1845.2</v>
      </c>
      <c r="U169">
        <v>2559.86</v>
      </c>
      <c r="V169">
        <v>2333.8000000000002</v>
      </c>
      <c r="W169">
        <v>1465.66</v>
      </c>
      <c r="X169">
        <v>33072.050000000003</v>
      </c>
      <c r="Y169">
        <v>10269.85</v>
      </c>
      <c r="Z169">
        <v>-22802.21</v>
      </c>
      <c r="AA169">
        <v>-0.56120000000000003</v>
      </c>
      <c r="AB169">
        <v>-3261.27</v>
      </c>
      <c r="AC169">
        <v>702.75</v>
      </c>
      <c r="AD169">
        <v>6198.23</v>
      </c>
      <c r="AE169">
        <v>40632.86</v>
      </c>
    </row>
    <row r="170" spans="1:31" x14ac:dyDescent="0.25">
      <c r="A170" t="s">
        <v>369</v>
      </c>
      <c r="B170" s="2">
        <v>45975</v>
      </c>
      <c r="C170" t="s">
        <v>147</v>
      </c>
      <c r="D170" t="s">
        <v>93</v>
      </c>
      <c r="E170">
        <v>2025</v>
      </c>
      <c r="F170" t="s">
        <v>59</v>
      </c>
      <c r="G170" t="s">
        <v>35</v>
      </c>
      <c r="H170" t="s">
        <v>230</v>
      </c>
      <c r="I170" t="s">
        <v>301</v>
      </c>
      <c r="J170" t="s">
        <v>80</v>
      </c>
      <c r="K170" t="s">
        <v>50</v>
      </c>
      <c r="L170" t="s">
        <v>72</v>
      </c>
      <c r="M170" t="s">
        <v>171</v>
      </c>
      <c r="N170" t="s">
        <v>172</v>
      </c>
      <c r="O170" t="s">
        <v>173</v>
      </c>
      <c r="P170" t="s">
        <v>174</v>
      </c>
      <c r="Q170">
        <v>30439.87</v>
      </c>
      <c r="R170">
        <v>35700</v>
      </c>
      <c r="S170">
        <v>15528.35</v>
      </c>
      <c r="T170">
        <v>1563.26</v>
      </c>
      <c r="U170">
        <v>2284.8200000000002</v>
      </c>
      <c r="V170">
        <v>3183.17</v>
      </c>
      <c r="W170">
        <v>432.47</v>
      </c>
      <c r="X170">
        <v>22992.080000000002</v>
      </c>
      <c r="Y170">
        <v>14911.51</v>
      </c>
      <c r="Z170">
        <v>-8080.56</v>
      </c>
      <c r="AA170">
        <v>-0.25800000000000001</v>
      </c>
      <c r="AB170">
        <v>-5260.14</v>
      </c>
      <c r="AC170">
        <v>608.79999999999995</v>
      </c>
      <c r="AD170">
        <v>1491.55</v>
      </c>
      <c r="AE170">
        <v>31322.62</v>
      </c>
    </row>
    <row r="171" spans="1:31" x14ac:dyDescent="0.25">
      <c r="A171" t="s">
        <v>370</v>
      </c>
      <c r="B171" s="2">
        <v>45900</v>
      </c>
      <c r="C171" t="s">
        <v>117</v>
      </c>
      <c r="D171" t="s">
        <v>33</v>
      </c>
      <c r="E171">
        <v>2025</v>
      </c>
      <c r="F171" t="s">
        <v>34</v>
      </c>
      <c r="G171" t="s">
        <v>35</v>
      </c>
      <c r="H171" t="s">
        <v>157</v>
      </c>
      <c r="I171" t="s">
        <v>166</v>
      </c>
      <c r="J171" t="s">
        <v>38</v>
      </c>
      <c r="K171" t="s">
        <v>39</v>
      </c>
      <c r="L171" t="s">
        <v>72</v>
      </c>
      <c r="M171" t="s">
        <v>171</v>
      </c>
      <c r="N171" t="s">
        <v>172</v>
      </c>
      <c r="O171" t="s">
        <v>173</v>
      </c>
      <c r="P171" t="s">
        <v>174</v>
      </c>
      <c r="Q171">
        <v>26292.29</v>
      </c>
      <c r="R171">
        <v>27462.68</v>
      </c>
      <c r="S171">
        <v>18168.53</v>
      </c>
      <c r="T171">
        <v>2735.62</v>
      </c>
      <c r="U171">
        <v>1592.07</v>
      </c>
      <c r="V171">
        <v>2797</v>
      </c>
      <c r="W171">
        <v>820.72</v>
      </c>
      <c r="X171">
        <v>26113.93</v>
      </c>
      <c r="Y171">
        <v>8123.76</v>
      </c>
      <c r="Z171">
        <v>-17990.169999999998</v>
      </c>
      <c r="AA171">
        <v>-0.66500000000000004</v>
      </c>
      <c r="AB171">
        <v>-1170.3900000000001</v>
      </c>
      <c r="AC171">
        <v>525.85</v>
      </c>
      <c r="AD171">
        <v>1288.32</v>
      </c>
      <c r="AE171">
        <v>27054.76</v>
      </c>
    </row>
    <row r="172" spans="1:31" x14ac:dyDescent="0.25">
      <c r="A172" t="s">
        <v>371</v>
      </c>
      <c r="B172" s="2">
        <v>45806</v>
      </c>
      <c r="C172" t="s">
        <v>65</v>
      </c>
      <c r="D172" t="s">
        <v>66</v>
      </c>
      <c r="E172">
        <v>2025</v>
      </c>
      <c r="F172" t="s">
        <v>47</v>
      </c>
      <c r="G172" t="s">
        <v>35</v>
      </c>
      <c r="H172" t="s">
        <v>206</v>
      </c>
      <c r="I172" t="s">
        <v>344</v>
      </c>
      <c r="J172" t="s">
        <v>80</v>
      </c>
      <c r="K172" t="s">
        <v>160</v>
      </c>
      <c r="L172" t="s">
        <v>40</v>
      </c>
      <c r="M172" t="s">
        <v>189</v>
      </c>
      <c r="N172" t="s">
        <v>190</v>
      </c>
      <c r="O172" t="s">
        <v>104</v>
      </c>
      <c r="P172" t="s">
        <v>105</v>
      </c>
      <c r="Q172">
        <v>22952.07</v>
      </c>
      <c r="R172">
        <v>20596.11</v>
      </c>
      <c r="S172">
        <v>16292.97</v>
      </c>
      <c r="T172">
        <v>2878.6</v>
      </c>
      <c r="U172">
        <v>1745.21</v>
      </c>
      <c r="V172">
        <v>2738.32</v>
      </c>
      <c r="W172">
        <v>666.92</v>
      </c>
      <c r="X172">
        <v>24322.03</v>
      </c>
      <c r="Y172">
        <v>6659.09</v>
      </c>
      <c r="Z172">
        <v>-17662.939999999999</v>
      </c>
      <c r="AA172">
        <v>-0.81430000000000002</v>
      </c>
      <c r="AB172">
        <v>2355.9499999999998</v>
      </c>
      <c r="AC172">
        <v>2295.21</v>
      </c>
      <c r="AD172">
        <v>1032.8399999999999</v>
      </c>
      <c r="AE172">
        <v>21689.7</v>
      </c>
    </row>
    <row r="173" spans="1:31" x14ac:dyDescent="0.25">
      <c r="A173" t="s">
        <v>372</v>
      </c>
      <c r="B173" s="2">
        <v>45980</v>
      </c>
      <c r="C173" t="s">
        <v>147</v>
      </c>
      <c r="D173" t="s">
        <v>93</v>
      </c>
      <c r="E173">
        <v>2025</v>
      </c>
      <c r="F173" t="s">
        <v>47</v>
      </c>
      <c r="G173" t="s">
        <v>35</v>
      </c>
      <c r="H173" t="s">
        <v>48</v>
      </c>
      <c r="I173" t="s">
        <v>265</v>
      </c>
      <c r="J173" t="s">
        <v>100</v>
      </c>
      <c r="K173" t="s">
        <v>160</v>
      </c>
      <c r="L173" t="s">
        <v>94</v>
      </c>
      <c r="M173" t="s">
        <v>52</v>
      </c>
      <c r="N173" t="s">
        <v>53</v>
      </c>
      <c r="O173" t="s">
        <v>54</v>
      </c>
      <c r="P173" t="s">
        <v>55</v>
      </c>
      <c r="Q173">
        <v>3349.92</v>
      </c>
      <c r="R173">
        <v>3934.47</v>
      </c>
      <c r="S173">
        <v>2031.87</v>
      </c>
      <c r="T173">
        <v>410.41</v>
      </c>
      <c r="U173">
        <v>119.43</v>
      </c>
      <c r="V173">
        <v>306.27</v>
      </c>
      <c r="W173">
        <v>128.44999999999999</v>
      </c>
      <c r="X173">
        <v>2996.44</v>
      </c>
      <c r="Y173">
        <v>1318.05</v>
      </c>
      <c r="Z173">
        <v>-1678.39</v>
      </c>
      <c r="AA173">
        <v>-0.497</v>
      </c>
      <c r="AB173">
        <v>-584.54999999999995</v>
      </c>
      <c r="AC173">
        <v>334.99</v>
      </c>
      <c r="AD173">
        <v>361.79</v>
      </c>
      <c r="AE173">
        <v>3376.72</v>
      </c>
    </row>
    <row r="174" spans="1:31" x14ac:dyDescent="0.25">
      <c r="A174" t="s">
        <v>373</v>
      </c>
      <c r="B174" s="2">
        <v>45935</v>
      </c>
      <c r="C174" t="s">
        <v>92</v>
      </c>
      <c r="D174" t="s">
        <v>93</v>
      </c>
      <c r="E174">
        <v>2025</v>
      </c>
      <c r="F174" t="s">
        <v>67</v>
      </c>
      <c r="G174" t="s">
        <v>35</v>
      </c>
      <c r="H174" t="s">
        <v>217</v>
      </c>
      <c r="I174" t="s">
        <v>284</v>
      </c>
      <c r="J174" t="s">
        <v>100</v>
      </c>
      <c r="K174" t="s">
        <v>50</v>
      </c>
      <c r="L174" t="s">
        <v>94</v>
      </c>
      <c r="M174" t="s">
        <v>120</v>
      </c>
      <c r="N174" t="s">
        <v>121</v>
      </c>
      <c r="O174" t="s">
        <v>43</v>
      </c>
      <c r="P174" t="s">
        <v>122</v>
      </c>
      <c r="Q174">
        <v>20729.89</v>
      </c>
      <c r="R174">
        <v>21026.37</v>
      </c>
      <c r="S174">
        <v>10618.39</v>
      </c>
      <c r="T174">
        <v>2625.12</v>
      </c>
      <c r="U174">
        <v>1231.93</v>
      </c>
      <c r="V174">
        <v>1230.3499999999999</v>
      </c>
      <c r="W174">
        <v>570.51</v>
      </c>
      <c r="X174">
        <v>16276.3</v>
      </c>
      <c r="Y174">
        <v>10111.5</v>
      </c>
      <c r="Z174">
        <v>-6164.8</v>
      </c>
      <c r="AA174">
        <v>-0.29809999999999998</v>
      </c>
      <c r="AB174">
        <v>-296.48</v>
      </c>
      <c r="AC174">
        <v>1036.49</v>
      </c>
      <c r="AD174">
        <v>984.67</v>
      </c>
      <c r="AE174">
        <v>20678.060000000001</v>
      </c>
    </row>
    <row r="175" spans="1:31" x14ac:dyDescent="0.25">
      <c r="A175" t="s">
        <v>374</v>
      </c>
      <c r="B175" s="2">
        <v>46041</v>
      </c>
      <c r="C175" t="s">
        <v>77</v>
      </c>
      <c r="D175" t="s">
        <v>58</v>
      </c>
      <c r="E175">
        <v>2026</v>
      </c>
      <c r="F175" t="s">
        <v>85</v>
      </c>
      <c r="G175" t="s">
        <v>35</v>
      </c>
      <c r="H175" t="s">
        <v>178</v>
      </c>
      <c r="I175" t="s">
        <v>249</v>
      </c>
      <c r="J175" t="s">
        <v>100</v>
      </c>
      <c r="K175" t="s">
        <v>39</v>
      </c>
      <c r="L175" t="s">
        <v>81</v>
      </c>
      <c r="M175" t="s">
        <v>88</v>
      </c>
      <c r="N175" t="s">
        <v>89</v>
      </c>
      <c r="O175" t="s">
        <v>43</v>
      </c>
      <c r="P175" t="s">
        <v>90</v>
      </c>
      <c r="Q175">
        <v>26237.06</v>
      </c>
      <c r="R175">
        <v>24735.13</v>
      </c>
      <c r="S175">
        <v>12908.5</v>
      </c>
      <c r="T175">
        <v>3082.64</v>
      </c>
      <c r="U175">
        <v>2329.2600000000002</v>
      </c>
      <c r="V175">
        <v>2714.26</v>
      </c>
      <c r="W175">
        <v>1046.4000000000001</v>
      </c>
      <c r="X175">
        <v>22081.06</v>
      </c>
      <c r="Y175">
        <v>13328.56</v>
      </c>
      <c r="Z175">
        <v>-8752.51</v>
      </c>
      <c r="AA175">
        <v>-0.28849999999999998</v>
      </c>
      <c r="AB175">
        <v>1501.92</v>
      </c>
      <c r="AC175">
        <v>524.74</v>
      </c>
      <c r="AD175">
        <v>4628.22</v>
      </c>
      <c r="AE175">
        <v>30340.53</v>
      </c>
    </row>
    <row r="176" spans="1:31" x14ac:dyDescent="0.25">
      <c r="A176" t="s">
        <v>375</v>
      </c>
      <c r="B176" s="2">
        <v>46019</v>
      </c>
      <c r="C176" t="s">
        <v>107</v>
      </c>
      <c r="D176" t="s">
        <v>93</v>
      </c>
      <c r="E176">
        <v>2025</v>
      </c>
      <c r="F176" t="s">
        <v>34</v>
      </c>
      <c r="G176" t="s">
        <v>35</v>
      </c>
      <c r="H176" t="s">
        <v>134</v>
      </c>
      <c r="I176" t="s">
        <v>154</v>
      </c>
      <c r="J176" t="s">
        <v>100</v>
      </c>
      <c r="K176" t="s">
        <v>39</v>
      </c>
      <c r="L176" t="s">
        <v>72</v>
      </c>
      <c r="M176" t="s">
        <v>221</v>
      </c>
      <c r="N176" t="s">
        <v>222</v>
      </c>
      <c r="O176" t="s">
        <v>104</v>
      </c>
      <c r="P176" t="s">
        <v>223</v>
      </c>
      <c r="Q176">
        <v>20248.400000000001</v>
      </c>
      <c r="R176">
        <v>18888.29</v>
      </c>
      <c r="S176">
        <v>10758.98</v>
      </c>
      <c r="T176">
        <v>1033.53</v>
      </c>
      <c r="U176">
        <v>524.89</v>
      </c>
      <c r="V176">
        <v>2153.44</v>
      </c>
      <c r="W176">
        <v>721.33</v>
      </c>
      <c r="X176">
        <v>15192.17</v>
      </c>
      <c r="Y176">
        <v>9489.42</v>
      </c>
      <c r="Z176">
        <v>-5702.75</v>
      </c>
      <c r="AA176">
        <v>-0.24610000000000001</v>
      </c>
      <c r="AB176">
        <v>1360.11</v>
      </c>
      <c r="AC176">
        <v>607.45000000000005</v>
      </c>
      <c r="AD176">
        <v>3535.37</v>
      </c>
      <c r="AE176">
        <v>23176.32</v>
      </c>
    </row>
    <row r="177" spans="1:31" x14ac:dyDescent="0.25">
      <c r="A177" t="s">
        <v>376</v>
      </c>
      <c r="B177" s="2">
        <v>46046</v>
      </c>
      <c r="C177" t="s">
        <v>77</v>
      </c>
      <c r="D177" t="s">
        <v>58</v>
      </c>
      <c r="E177">
        <v>2026</v>
      </c>
      <c r="F177" t="s">
        <v>67</v>
      </c>
      <c r="G177" t="s">
        <v>35</v>
      </c>
      <c r="H177" t="s">
        <v>68</v>
      </c>
      <c r="I177" t="s">
        <v>204</v>
      </c>
      <c r="J177" t="s">
        <v>70</v>
      </c>
      <c r="K177" t="s">
        <v>101</v>
      </c>
      <c r="L177" t="s">
        <v>40</v>
      </c>
      <c r="M177" t="s">
        <v>141</v>
      </c>
      <c r="N177" t="s">
        <v>142</v>
      </c>
      <c r="O177" t="s">
        <v>54</v>
      </c>
      <c r="P177" t="s">
        <v>143</v>
      </c>
      <c r="Q177">
        <v>6767.37</v>
      </c>
      <c r="R177">
        <v>6426.37</v>
      </c>
      <c r="S177">
        <v>3992.59</v>
      </c>
      <c r="T177">
        <v>761.38</v>
      </c>
      <c r="U177">
        <v>591.54</v>
      </c>
      <c r="V177">
        <v>684.09</v>
      </c>
      <c r="W177">
        <v>270.24</v>
      </c>
      <c r="X177">
        <v>6299.84</v>
      </c>
      <c r="Y177">
        <v>2774.78</v>
      </c>
      <c r="Z177">
        <v>-3525.05</v>
      </c>
      <c r="AA177">
        <v>-0.4647</v>
      </c>
      <c r="AB177">
        <v>340.99</v>
      </c>
      <c r="AC177">
        <v>338.37</v>
      </c>
      <c r="AD177">
        <v>1157.22</v>
      </c>
      <c r="AE177">
        <v>7586.22</v>
      </c>
    </row>
    <row r="178" spans="1:31" x14ac:dyDescent="0.25">
      <c r="A178" t="s">
        <v>377</v>
      </c>
      <c r="B178" s="2">
        <v>45783</v>
      </c>
      <c r="C178" t="s">
        <v>65</v>
      </c>
      <c r="D178" t="s">
        <v>66</v>
      </c>
      <c r="E178">
        <v>2025</v>
      </c>
      <c r="F178" t="s">
        <v>47</v>
      </c>
      <c r="G178" t="s">
        <v>35</v>
      </c>
      <c r="H178" t="s">
        <v>78</v>
      </c>
      <c r="I178" t="s">
        <v>115</v>
      </c>
      <c r="J178" t="s">
        <v>70</v>
      </c>
      <c r="K178" t="s">
        <v>39</v>
      </c>
      <c r="L178" t="s">
        <v>40</v>
      </c>
      <c r="M178" t="s">
        <v>141</v>
      </c>
      <c r="N178" t="s">
        <v>142</v>
      </c>
      <c r="O178" t="s">
        <v>54</v>
      </c>
      <c r="P178" t="s">
        <v>143</v>
      </c>
      <c r="Q178">
        <v>9278.56</v>
      </c>
      <c r="R178">
        <v>8430.68</v>
      </c>
      <c r="S178">
        <v>5408.37</v>
      </c>
      <c r="T178">
        <v>485.58</v>
      </c>
      <c r="U178">
        <v>521.99</v>
      </c>
      <c r="V178">
        <v>862.86</v>
      </c>
      <c r="W178">
        <v>131.27000000000001</v>
      </c>
      <c r="X178">
        <v>7410.06</v>
      </c>
      <c r="Y178">
        <v>3870.19</v>
      </c>
      <c r="Z178">
        <v>-3539.87</v>
      </c>
      <c r="AA178">
        <v>-0.34760000000000002</v>
      </c>
      <c r="AB178">
        <v>847.88</v>
      </c>
      <c r="AC178">
        <v>185.57</v>
      </c>
      <c r="AD178">
        <v>1091.1600000000001</v>
      </c>
      <c r="AE178">
        <v>10184.15</v>
      </c>
    </row>
    <row r="179" spans="1:31" x14ac:dyDescent="0.25">
      <c r="A179" t="s">
        <v>378</v>
      </c>
      <c r="B179" s="2">
        <v>45902</v>
      </c>
      <c r="C179" t="s">
        <v>46</v>
      </c>
      <c r="D179" t="s">
        <v>33</v>
      </c>
      <c r="E179">
        <v>2025</v>
      </c>
      <c r="F179" t="s">
        <v>85</v>
      </c>
      <c r="G179" t="s">
        <v>35</v>
      </c>
      <c r="H179" t="s">
        <v>86</v>
      </c>
      <c r="I179" t="s">
        <v>181</v>
      </c>
      <c r="J179" t="s">
        <v>80</v>
      </c>
      <c r="K179" t="s">
        <v>101</v>
      </c>
      <c r="L179" t="s">
        <v>51</v>
      </c>
      <c r="M179" t="s">
        <v>95</v>
      </c>
      <c r="N179" t="s">
        <v>96</v>
      </c>
      <c r="O179" t="s">
        <v>43</v>
      </c>
      <c r="P179" t="s">
        <v>90</v>
      </c>
      <c r="Q179">
        <v>17133.66</v>
      </c>
      <c r="R179">
        <v>15374.22</v>
      </c>
      <c r="S179">
        <v>10051.42</v>
      </c>
      <c r="T179">
        <v>1234.3699999999999</v>
      </c>
      <c r="U179">
        <v>1121.0999999999999</v>
      </c>
      <c r="V179">
        <v>2045.68</v>
      </c>
      <c r="W179">
        <v>403.01</v>
      </c>
      <c r="X179">
        <v>14855.58</v>
      </c>
      <c r="Y179">
        <v>7082.24</v>
      </c>
      <c r="Z179">
        <v>-7773.34</v>
      </c>
      <c r="AA179">
        <v>-0.4264</v>
      </c>
      <c r="AB179">
        <v>1759.44</v>
      </c>
      <c r="AC179">
        <v>856.68</v>
      </c>
      <c r="AD179">
        <v>1953.24</v>
      </c>
      <c r="AE179">
        <v>18230.22</v>
      </c>
    </row>
    <row r="180" spans="1:31" x14ac:dyDescent="0.25">
      <c r="A180" t="s">
        <v>379</v>
      </c>
      <c r="B180" s="2">
        <v>45861</v>
      </c>
      <c r="C180" t="s">
        <v>32</v>
      </c>
      <c r="D180" t="s">
        <v>33</v>
      </c>
      <c r="E180">
        <v>2025</v>
      </c>
      <c r="F180" t="s">
        <v>85</v>
      </c>
      <c r="G180" t="s">
        <v>35</v>
      </c>
      <c r="H180" t="s">
        <v>178</v>
      </c>
      <c r="I180" t="s">
        <v>329</v>
      </c>
      <c r="J180" t="s">
        <v>38</v>
      </c>
      <c r="K180" t="s">
        <v>50</v>
      </c>
      <c r="L180" t="s">
        <v>40</v>
      </c>
      <c r="M180" t="s">
        <v>221</v>
      </c>
      <c r="N180" t="s">
        <v>222</v>
      </c>
      <c r="O180" t="s">
        <v>104</v>
      </c>
      <c r="P180" t="s">
        <v>223</v>
      </c>
      <c r="Q180">
        <v>19776.73</v>
      </c>
      <c r="R180">
        <v>23077.39</v>
      </c>
      <c r="S180">
        <v>10196.15</v>
      </c>
      <c r="T180">
        <v>2063.98</v>
      </c>
      <c r="U180">
        <v>783.51</v>
      </c>
      <c r="V180">
        <v>1473.57</v>
      </c>
      <c r="W180">
        <v>695.56</v>
      </c>
      <c r="X180">
        <v>15212.77</v>
      </c>
      <c r="Y180">
        <v>9580.59</v>
      </c>
      <c r="Z180">
        <v>-5632.18</v>
      </c>
      <c r="AA180">
        <v>-0.26769999999999999</v>
      </c>
      <c r="AB180">
        <v>-3300.66</v>
      </c>
      <c r="AC180">
        <v>988.84</v>
      </c>
      <c r="AD180">
        <v>2254.5500000000002</v>
      </c>
      <c r="AE180">
        <v>21042.44</v>
      </c>
    </row>
    <row r="181" spans="1:31" x14ac:dyDescent="0.25">
      <c r="A181" t="s">
        <v>380</v>
      </c>
      <c r="B181" s="2">
        <v>45823</v>
      </c>
      <c r="C181" t="s">
        <v>156</v>
      </c>
      <c r="D181" t="s">
        <v>66</v>
      </c>
      <c r="E181">
        <v>2025</v>
      </c>
      <c r="F181" t="s">
        <v>34</v>
      </c>
      <c r="G181" t="s">
        <v>35</v>
      </c>
      <c r="H181" t="s">
        <v>36</v>
      </c>
      <c r="I181" t="s">
        <v>145</v>
      </c>
      <c r="J181" t="s">
        <v>38</v>
      </c>
      <c r="K181" t="s">
        <v>101</v>
      </c>
      <c r="L181" t="s">
        <v>40</v>
      </c>
      <c r="M181" t="s">
        <v>141</v>
      </c>
      <c r="N181" t="s">
        <v>142</v>
      </c>
      <c r="O181" t="s">
        <v>54</v>
      </c>
      <c r="P181" t="s">
        <v>143</v>
      </c>
      <c r="Q181">
        <v>5226.8500000000004</v>
      </c>
      <c r="R181">
        <v>5890.39</v>
      </c>
      <c r="S181">
        <v>3623.95</v>
      </c>
      <c r="T181">
        <v>489.03</v>
      </c>
      <c r="U181">
        <v>200.14</v>
      </c>
      <c r="V181">
        <v>315.83</v>
      </c>
      <c r="W181">
        <v>106.36</v>
      </c>
      <c r="X181">
        <v>4735.3</v>
      </c>
      <c r="Y181">
        <v>1602.9</v>
      </c>
      <c r="Z181">
        <v>-3132.4</v>
      </c>
      <c r="AA181">
        <v>-0.6008</v>
      </c>
      <c r="AB181">
        <v>-663.54</v>
      </c>
      <c r="AC181">
        <v>261.33999999999997</v>
      </c>
      <c r="AD181">
        <v>248.28</v>
      </c>
      <c r="AE181">
        <v>5213.78</v>
      </c>
    </row>
    <row r="182" spans="1:31" x14ac:dyDescent="0.25">
      <c r="A182" t="s">
        <v>381</v>
      </c>
      <c r="B182" s="2">
        <v>46071</v>
      </c>
      <c r="C182" t="s">
        <v>57</v>
      </c>
      <c r="D182" t="s">
        <v>58</v>
      </c>
      <c r="E182">
        <v>2026</v>
      </c>
      <c r="F182" t="s">
        <v>47</v>
      </c>
      <c r="G182" t="s">
        <v>35</v>
      </c>
      <c r="H182" t="s">
        <v>206</v>
      </c>
      <c r="I182" t="s">
        <v>344</v>
      </c>
      <c r="J182" t="s">
        <v>80</v>
      </c>
      <c r="K182" t="s">
        <v>101</v>
      </c>
      <c r="L182" t="s">
        <v>51</v>
      </c>
      <c r="M182" t="s">
        <v>141</v>
      </c>
      <c r="N182" t="s">
        <v>142</v>
      </c>
      <c r="O182" t="s">
        <v>54</v>
      </c>
      <c r="P182" t="s">
        <v>143</v>
      </c>
      <c r="Q182">
        <v>1864</v>
      </c>
      <c r="R182">
        <v>2073.09</v>
      </c>
      <c r="S182">
        <v>1052.46</v>
      </c>
      <c r="T182">
        <v>216.19</v>
      </c>
      <c r="U182">
        <v>109.08</v>
      </c>
      <c r="V182">
        <v>143.65</v>
      </c>
      <c r="W182">
        <v>21.6</v>
      </c>
      <c r="X182">
        <v>1542.98</v>
      </c>
      <c r="Y182">
        <v>811.54</v>
      </c>
      <c r="Z182">
        <v>-731.44</v>
      </c>
      <c r="AA182">
        <v>-0.33929999999999999</v>
      </c>
      <c r="AB182">
        <v>-209.09</v>
      </c>
      <c r="AC182">
        <v>37.28</v>
      </c>
      <c r="AD182">
        <v>328.81</v>
      </c>
      <c r="AE182">
        <v>2155.5300000000002</v>
      </c>
    </row>
    <row r="183" spans="1:31" x14ac:dyDescent="0.25">
      <c r="A183" t="s">
        <v>382</v>
      </c>
      <c r="B183" s="2">
        <v>46098</v>
      </c>
      <c r="C183" t="s">
        <v>125</v>
      </c>
      <c r="D183" t="s">
        <v>58</v>
      </c>
      <c r="E183">
        <v>2026</v>
      </c>
      <c r="F183" t="s">
        <v>59</v>
      </c>
      <c r="G183" t="s">
        <v>35</v>
      </c>
      <c r="H183" t="s">
        <v>230</v>
      </c>
      <c r="I183" t="s">
        <v>231</v>
      </c>
      <c r="J183" t="s">
        <v>80</v>
      </c>
      <c r="K183" t="s">
        <v>39</v>
      </c>
      <c r="L183" t="s">
        <v>72</v>
      </c>
      <c r="M183" t="s">
        <v>197</v>
      </c>
      <c r="N183" t="s">
        <v>198</v>
      </c>
      <c r="O183" t="s">
        <v>43</v>
      </c>
      <c r="P183" t="s">
        <v>163</v>
      </c>
      <c r="Q183">
        <v>27434.32</v>
      </c>
      <c r="R183">
        <v>26003.279999999999</v>
      </c>
      <c r="S183">
        <v>15171.39</v>
      </c>
      <c r="T183">
        <v>2038.79</v>
      </c>
      <c r="U183">
        <v>1096.74</v>
      </c>
      <c r="V183">
        <v>1100.6099999999999</v>
      </c>
      <c r="W183">
        <v>974.66</v>
      </c>
      <c r="X183">
        <v>20382.189999999999</v>
      </c>
      <c r="Y183">
        <v>12262.93</v>
      </c>
      <c r="Z183">
        <v>-8119.26</v>
      </c>
      <c r="AA183">
        <v>-0.31319999999999998</v>
      </c>
      <c r="AB183">
        <v>1431.04</v>
      </c>
      <c r="AC183">
        <v>2743.43</v>
      </c>
      <c r="AD183">
        <v>1234.54</v>
      </c>
      <c r="AE183">
        <v>25925.43</v>
      </c>
    </row>
    <row r="184" spans="1:31" x14ac:dyDescent="0.25">
      <c r="A184" t="s">
        <v>383</v>
      </c>
      <c r="B184" s="2">
        <v>45986</v>
      </c>
      <c r="C184" t="s">
        <v>147</v>
      </c>
      <c r="D184" t="s">
        <v>93</v>
      </c>
      <c r="E184">
        <v>2025</v>
      </c>
      <c r="F184" t="s">
        <v>67</v>
      </c>
      <c r="G184" t="s">
        <v>35</v>
      </c>
      <c r="H184" t="s">
        <v>168</v>
      </c>
      <c r="I184" t="s">
        <v>278</v>
      </c>
      <c r="J184" t="s">
        <v>100</v>
      </c>
      <c r="K184" t="s">
        <v>50</v>
      </c>
      <c r="L184" t="s">
        <v>81</v>
      </c>
      <c r="M184" t="s">
        <v>171</v>
      </c>
      <c r="N184" t="s">
        <v>172</v>
      </c>
      <c r="O184" t="s">
        <v>173</v>
      </c>
      <c r="P184" t="s">
        <v>174</v>
      </c>
      <c r="Q184">
        <v>25657.24</v>
      </c>
      <c r="R184">
        <v>25433.56</v>
      </c>
      <c r="S184">
        <v>17869.38</v>
      </c>
      <c r="T184">
        <v>2938.66</v>
      </c>
      <c r="U184">
        <v>2283.9</v>
      </c>
      <c r="V184">
        <v>2574.44</v>
      </c>
      <c r="W184">
        <v>609.66</v>
      </c>
      <c r="X184">
        <v>26276.05</v>
      </c>
      <c r="Y184">
        <v>7787.85</v>
      </c>
      <c r="Z184">
        <v>-18488.2</v>
      </c>
      <c r="AA184">
        <v>-0.64280000000000004</v>
      </c>
      <c r="AB184">
        <v>223.67</v>
      </c>
      <c r="AC184">
        <v>1282.8599999999999</v>
      </c>
      <c r="AD184">
        <v>4387.3900000000003</v>
      </c>
      <c r="AE184">
        <v>28761.759999999998</v>
      </c>
    </row>
    <row r="185" spans="1:31" x14ac:dyDescent="0.25">
      <c r="A185" t="s">
        <v>384</v>
      </c>
      <c r="B185" s="2">
        <v>45806</v>
      </c>
      <c r="C185" t="s">
        <v>65</v>
      </c>
      <c r="D185" t="s">
        <v>66</v>
      </c>
      <c r="E185">
        <v>2025</v>
      </c>
      <c r="F185" t="s">
        <v>67</v>
      </c>
      <c r="G185" t="s">
        <v>35</v>
      </c>
      <c r="H185" t="s">
        <v>68</v>
      </c>
      <c r="I185" t="s">
        <v>204</v>
      </c>
      <c r="J185" t="s">
        <v>38</v>
      </c>
      <c r="K185" t="s">
        <v>50</v>
      </c>
      <c r="L185" t="s">
        <v>94</v>
      </c>
      <c r="M185" t="s">
        <v>130</v>
      </c>
      <c r="N185" t="s">
        <v>131</v>
      </c>
      <c r="O185" t="s">
        <v>43</v>
      </c>
      <c r="P185" t="s">
        <v>132</v>
      </c>
      <c r="Q185">
        <v>48663.13</v>
      </c>
      <c r="R185">
        <v>46697.03</v>
      </c>
      <c r="S185">
        <v>30383.94</v>
      </c>
      <c r="T185">
        <v>3587.68</v>
      </c>
      <c r="U185">
        <v>3476.38</v>
      </c>
      <c r="V185">
        <v>4901.37</v>
      </c>
      <c r="W185">
        <v>661.24</v>
      </c>
      <c r="X185">
        <v>43010.6</v>
      </c>
      <c r="Y185">
        <v>18279.189999999999</v>
      </c>
      <c r="Z185">
        <v>-24731.42</v>
      </c>
      <c r="AA185">
        <v>-0.46779999999999999</v>
      </c>
      <c r="AB185">
        <v>1966.1</v>
      </c>
      <c r="AC185">
        <v>1459.89</v>
      </c>
      <c r="AD185">
        <v>5664.39</v>
      </c>
      <c r="AE185">
        <v>52867.62</v>
      </c>
    </row>
    <row r="186" spans="1:31" x14ac:dyDescent="0.25">
      <c r="A186" t="s">
        <v>385</v>
      </c>
      <c r="B186" s="2">
        <v>46039</v>
      </c>
      <c r="C186" t="s">
        <v>77</v>
      </c>
      <c r="D186" t="s">
        <v>58</v>
      </c>
      <c r="E186">
        <v>2026</v>
      </c>
      <c r="F186" t="s">
        <v>85</v>
      </c>
      <c r="G186" t="s">
        <v>35</v>
      </c>
      <c r="H186" t="s">
        <v>60</v>
      </c>
      <c r="I186" t="s">
        <v>185</v>
      </c>
      <c r="J186" t="s">
        <v>38</v>
      </c>
      <c r="K186" t="s">
        <v>50</v>
      </c>
      <c r="L186" t="s">
        <v>51</v>
      </c>
      <c r="M186" t="s">
        <v>197</v>
      </c>
      <c r="N186" t="s">
        <v>198</v>
      </c>
      <c r="O186" t="s">
        <v>43</v>
      </c>
      <c r="P186" t="s">
        <v>163</v>
      </c>
      <c r="Q186">
        <v>71506.75</v>
      </c>
      <c r="R186">
        <v>78564.06</v>
      </c>
      <c r="S186">
        <v>49111.25</v>
      </c>
      <c r="T186">
        <v>5143.18</v>
      </c>
      <c r="U186">
        <v>5538.88</v>
      </c>
      <c r="V186">
        <v>3977.15</v>
      </c>
      <c r="W186">
        <v>1579.37</v>
      </c>
      <c r="X186">
        <v>65349.83</v>
      </c>
      <c r="Y186">
        <v>22395.5</v>
      </c>
      <c r="Z186">
        <v>-42954.33</v>
      </c>
      <c r="AA186">
        <v>-0.52480000000000004</v>
      </c>
      <c r="AB186">
        <v>-7057.31</v>
      </c>
      <c r="AC186">
        <v>2145.1999999999998</v>
      </c>
      <c r="AD186">
        <v>12485.08</v>
      </c>
      <c r="AE186">
        <v>81846.63</v>
      </c>
    </row>
    <row r="187" spans="1:31" x14ac:dyDescent="0.25">
      <c r="A187" t="s">
        <v>386</v>
      </c>
      <c r="B187" s="2">
        <v>45750</v>
      </c>
      <c r="C187" t="s">
        <v>128</v>
      </c>
      <c r="D187" t="s">
        <v>66</v>
      </c>
      <c r="E187">
        <v>2025</v>
      </c>
      <c r="F187" t="s">
        <v>59</v>
      </c>
      <c r="G187" t="s">
        <v>35</v>
      </c>
      <c r="H187" t="s">
        <v>254</v>
      </c>
      <c r="I187" t="s">
        <v>255</v>
      </c>
      <c r="J187" t="s">
        <v>80</v>
      </c>
      <c r="K187" t="s">
        <v>160</v>
      </c>
      <c r="L187" t="s">
        <v>94</v>
      </c>
      <c r="M187" t="s">
        <v>130</v>
      </c>
      <c r="N187" t="s">
        <v>131</v>
      </c>
      <c r="O187" t="s">
        <v>43</v>
      </c>
      <c r="P187" t="s">
        <v>132</v>
      </c>
      <c r="Q187">
        <v>30423.5</v>
      </c>
      <c r="R187">
        <v>33948.42</v>
      </c>
      <c r="S187">
        <v>19965.919999999998</v>
      </c>
      <c r="T187">
        <v>2456.65</v>
      </c>
      <c r="U187">
        <v>810.41</v>
      </c>
      <c r="V187">
        <v>3258.96</v>
      </c>
      <c r="W187">
        <v>316.39</v>
      </c>
      <c r="X187">
        <v>26808.33</v>
      </c>
      <c r="Y187">
        <v>10457.57</v>
      </c>
      <c r="Z187">
        <v>-16350.76</v>
      </c>
      <c r="AA187">
        <v>-0.47939999999999999</v>
      </c>
      <c r="AB187">
        <v>-3524.92</v>
      </c>
      <c r="AC187">
        <v>1521.17</v>
      </c>
      <c r="AD187">
        <v>5202.42</v>
      </c>
      <c r="AE187">
        <v>34104.74</v>
      </c>
    </row>
    <row r="188" spans="1:31" x14ac:dyDescent="0.25">
      <c r="A188" t="s">
        <v>387</v>
      </c>
      <c r="B188" s="2">
        <v>45936</v>
      </c>
      <c r="C188" t="s">
        <v>92</v>
      </c>
      <c r="D188" t="s">
        <v>93</v>
      </c>
      <c r="E188">
        <v>2025</v>
      </c>
      <c r="F188" t="s">
        <v>59</v>
      </c>
      <c r="G188" t="s">
        <v>35</v>
      </c>
      <c r="H188" t="s">
        <v>60</v>
      </c>
      <c r="I188" t="s">
        <v>108</v>
      </c>
      <c r="J188" t="s">
        <v>80</v>
      </c>
      <c r="K188" t="s">
        <v>71</v>
      </c>
      <c r="L188" t="s">
        <v>94</v>
      </c>
      <c r="M188" t="s">
        <v>82</v>
      </c>
      <c r="N188" t="s">
        <v>83</v>
      </c>
      <c r="O188" t="s">
        <v>43</v>
      </c>
      <c r="P188" t="s">
        <v>75</v>
      </c>
      <c r="Q188">
        <v>49555.040000000001</v>
      </c>
      <c r="R188">
        <v>51112.99</v>
      </c>
      <c r="S188">
        <v>32331.14</v>
      </c>
      <c r="T188">
        <v>5897.61</v>
      </c>
      <c r="U188">
        <v>1816.27</v>
      </c>
      <c r="V188">
        <v>5153.74</v>
      </c>
      <c r="W188">
        <v>1454.18</v>
      </c>
      <c r="X188">
        <v>46652.94</v>
      </c>
      <c r="Y188">
        <v>17223.900000000001</v>
      </c>
      <c r="Z188">
        <v>-29429.040000000001</v>
      </c>
      <c r="AA188">
        <v>-0.58309999999999995</v>
      </c>
      <c r="AB188">
        <v>-1557.95</v>
      </c>
      <c r="AC188">
        <v>1486.65</v>
      </c>
      <c r="AD188">
        <v>2403.42</v>
      </c>
      <c r="AE188">
        <v>50471.81</v>
      </c>
    </row>
    <row r="189" spans="1:31" x14ac:dyDescent="0.25">
      <c r="A189" t="s">
        <v>388</v>
      </c>
      <c r="B189" s="2">
        <v>45836</v>
      </c>
      <c r="C189" t="s">
        <v>156</v>
      </c>
      <c r="D189" t="s">
        <v>66</v>
      </c>
      <c r="E189">
        <v>2025</v>
      </c>
      <c r="F189" t="s">
        <v>59</v>
      </c>
      <c r="G189" t="s">
        <v>35</v>
      </c>
      <c r="H189" t="s">
        <v>60</v>
      </c>
      <c r="I189" t="s">
        <v>108</v>
      </c>
      <c r="J189" t="s">
        <v>100</v>
      </c>
      <c r="K189" t="s">
        <v>71</v>
      </c>
      <c r="L189" t="s">
        <v>51</v>
      </c>
      <c r="M189" t="s">
        <v>110</v>
      </c>
      <c r="N189" t="s">
        <v>111</v>
      </c>
      <c r="O189" t="s">
        <v>112</v>
      </c>
      <c r="P189" t="s">
        <v>113</v>
      </c>
      <c r="Q189">
        <v>8964.2199999999993</v>
      </c>
      <c r="R189">
        <v>10403.780000000001</v>
      </c>
      <c r="S189">
        <v>6132.99</v>
      </c>
      <c r="T189">
        <v>1152.3699999999999</v>
      </c>
      <c r="U189">
        <v>590.02</v>
      </c>
      <c r="V189">
        <v>536.07000000000005</v>
      </c>
      <c r="W189">
        <v>140.72999999999999</v>
      </c>
      <c r="X189">
        <v>8552.18</v>
      </c>
      <c r="Y189">
        <v>2831.23</v>
      </c>
      <c r="Z189">
        <v>-5720.95</v>
      </c>
      <c r="AA189">
        <v>-0.62019999999999997</v>
      </c>
      <c r="AB189">
        <v>-1439.56</v>
      </c>
      <c r="AC189">
        <v>179.28</v>
      </c>
      <c r="AD189">
        <v>439.25</v>
      </c>
      <c r="AE189">
        <v>9224.18</v>
      </c>
    </row>
    <row r="190" spans="1:31" x14ac:dyDescent="0.25">
      <c r="A190" t="s">
        <v>389</v>
      </c>
      <c r="B190" s="2">
        <v>45800</v>
      </c>
      <c r="C190" t="s">
        <v>65</v>
      </c>
      <c r="D190" t="s">
        <v>66</v>
      </c>
      <c r="E190">
        <v>2025</v>
      </c>
      <c r="F190" t="s">
        <v>47</v>
      </c>
      <c r="G190" t="s">
        <v>35</v>
      </c>
      <c r="H190" t="s">
        <v>206</v>
      </c>
      <c r="I190" t="s">
        <v>344</v>
      </c>
      <c r="J190" t="s">
        <v>100</v>
      </c>
      <c r="K190" t="s">
        <v>50</v>
      </c>
      <c r="L190" t="s">
        <v>94</v>
      </c>
      <c r="M190" t="s">
        <v>235</v>
      </c>
      <c r="N190" t="s">
        <v>236</v>
      </c>
      <c r="O190" t="s">
        <v>104</v>
      </c>
      <c r="P190" t="s">
        <v>237</v>
      </c>
      <c r="Q190">
        <v>17001.37</v>
      </c>
      <c r="R190">
        <v>16776.22</v>
      </c>
      <c r="S190">
        <v>8503.08</v>
      </c>
      <c r="T190">
        <v>1303.6099999999999</v>
      </c>
      <c r="U190">
        <v>1173.78</v>
      </c>
      <c r="V190">
        <v>778.13</v>
      </c>
      <c r="W190">
        <v>292.24</v>
      </c>
      <c r="X190">
        <v>12050.84</v>
      </c>
      <c r="Y190">
        <v>8498.2999999999993</v>
      </c>
      <c r="Z190">
        <v>-3552.55</v>
      </c>
      <c r="AA190">
        <v>-0.18260000000000001</v>
      </c>
      <c r="AB190">
        <v>225.16</v>
      </c>
      <c r="AC190">
        <v>510.04</v>
      </c>
      <c r="AD190">
        <v>2968.44</v>
      </c>
      <c r="AE190">
        <v>19459.77</v>
      </c>
    </row>
    <row r="191" spans="1:31" x14ac:dyDescent="0.25">
      <c r="A191" t="s">
        <v>390</v>
      </c>
      <c r="B191" s="2">
        <v>45831</v>
      </c>
      <c r="C191" t="s">
        <v>156</v>
      </c>
      <c r="D191" t="s">
        <v>66</v>
      </c>
      <c r="E191">
        <v>2025</v>
      </c>
      <c r="F191" t="s">
        <v>34</v>
      </c>
      <c r="G191" t="s">
        <v>35</v>
      </c>
      <c r="H191" t="s">
        <v>36</v>
      </c>
      <c r="I191" t="s">
        <v>37</v>
      </c>
      <c r="J191" t="s">
        <v>100</v>
      </c>
      <c r="K191" t="s">
        <v>71</v>
      </c>
      <c r="L191" t="s">
        <v>81</v>
      </c>
      <c r="M191" t="s">
        <v>95</v>
      </c>
      <c r="N191" t="s">
        <v>96</v>
      </c>
      <c r="O191" t="s">
        <v>43</v>
      </c>
      <c r="P191" t="s">
        <v>90</v>
      </c>
      <c r="Q191">
        <v>28443.64</v>
      </c>
      <c r="R191">
        <v>28716.86</v>
      </c>
      <c r="S191">
        <v>20345.41</v>
      </c>
      <c r="T191">
        <v>1575.78</v>
      </c>
      <c r="U191">
        <v>1670.08</v>
      </c>
      <c r="V191">
        <v>1545.89</v>
      </c>
      <c r="W191">
        <v>1250.77</v>
      </c>
      <c r="X191">
        <v>26387.94</v>
      </c>
      <c r="Y191">
        <v>8098.23</v>
      </c>
      <c r="Z191">
        <v>-18289.71</v>
      </c>
      <c r="AA191">
        <v>-0.57410000000000005</v>
      </c>
      <c r="AB191">
        <v>-273.22000000000003</v>
      </c>
      <c r="AC191">
        <v>0</v>
      </c>
      <c r="AD191">
        <v>3413.24</v>
      </c>
      <c r="AE191">
        <v>31856.880000000001</v>
      </c>
    </row>
    <row r="192" spans="1:31" x14ac:dyDescent="0.25">
      <c r="A192" t="s">
        <v>391</v>
      </c>
      <c r="B192" s="2">
        <v>45829</v>
      </c>
      <c r="C192" t="s">
        <v>156</v>
      </c>
      <c r="D192" t="s">
        <v>66</v>
      </c>
      <c r="E192">
        <v>2025</v>
      </c>
      <c r="F192" t="s">
        <v>34</v>
      </c>
      <c r="G192" t="s">
        <v>35</v>
      </c>
      <c r="H192" t="s">
        <v>98</v>
      </c>
      <c r="I192" t="s">
        <v>99</v>
      </c>
      <c r="J192" t="s">
        <v>70</v>
      </c>
      <c r="K192" t="s">
        <v>39</v>
      </c>
      <c r="L192" t="s">
        <v>51</v>
      </c>
      <c r="M192" t="s">
        <v>88</v>
      </c>
      <c r="N192" t="s">
        <v>89</v>
      </c>
      <c r="O192" t="s">
        <v>43</v>
      </c>
      <c r="P192" t="s">
        <v>90</v>
      </c>
      <c r="Q192">
        <v>28751.8</v>
      </c>
      <c r="R192">
        <v>27617.84</v>
      </c>
      <c r="S192">
        <v>15784.48</v>
      </c>
      <c r="T192">
        <v>2948.22</v>
      </c>
      <c r="U192">
        <v>2528.86</v>
      </c>
      <c r="V192">
        <v>2538.52</v>
      </c>
      <c r="W192">
        <v>364.98</v>
      </c>
      <c r="X192">
        <v>24165.07</v>
      </c>
      <c r="Y192">
        <v>12967.33</v>
      </c>
      <c r="Z192">
        <v>-11197.74</v>
      </c>
      <c r="AA192">
        <v>-0.3301</v>
      </c>
      <c r="AB192">
        <v>1133.97</v>
      </c>
      <c r="AC192">
        <v>0</v>
      </c>
      <c r="AD192">
        <v>5175.32</v>
      </c>
      <c r="AE192">
        <v>33927.129999999997</v>
      </c>
    </row>
    <row r="193" spans="1:31" x14ac:dyDescent="0.25">
      <c r="A193" t="s">
        <v>392</v>
      </c>
      <c r="B193" s="2">
        <v>45788</v>
      </c>
      <c r="C193" t="s">
        <v>65</v>
      </c>
      <c r="D193" t="s">
        <v>66</v>
      </c>
      <c r="E193">
        <v>2025</v>
      </c>
      <c r="F193" t="s">
        <v>59</v>
      </c>
      <c r="G193" t="s">
        <v>35</v>
      </c>
      <c r="H193" t="s">
        <v>60</v>
      </c>
      <c r="I193" t="s">
        <v>108</v>
      </c>
      <c r="J193" t="s">
        <v>38</v>
      </c>
      <c r="K193" t="s">
        <v>50</v>
      </c>
      <c r="L193" t="s">
        <v>40</v>
      </c>
      <c r="M193" t="s">
        <v>73</v>
      </c>
      <c r="N193" t="s">
        <v>74</v>
      </c>
      <c r="O193" t="s">
        <v>43</v>
      </c>
      <c r="P193" t="s">
        <v>75</v>
      </c>
      <c r="Q193">
        <v>49747.95</v>
      </c>
      <c r="R193">
        <v>52190.48</v>
      </c>
      <c r="S193">
        <v>29259.99</v>
      </c>
      <c r="T193">
        <v>5162.07</v>
      </c>
      <c r="U193">
        <v>3130.7</v>
      </c>
      <c r="V193">
        <v>4082.34</v>
      </c>
      <c r="W193">
        <v>931.95</v>
      </c>
      <c r="X193">
        <v>42567.05</v>
      </c>
      <c r="Y193">
        <v>20487.96</v>
      </c>
      <c r="Z193">
        <v>-22079.09</v>
      </c>
      <c r="AA193">
        <v>-0.42270000000000002</v>
      </c>
      <c r="AB193">
        <v>-2442.52</v>
      </c>
      <c r="AC193">
        <v>0</v>
      </c>
      <c r="AD193">
        <v>2487.4</v>
      </c>
      <c r="AE193">
        <v>52235.35</v>
      </c>
    </row>
    <row r="194" spans="1:31" x14ac:dyDescent="0.25">
      <c r="A194" t="s">
        <v>393</v>
      </c>
      <c r="B194" s="2">
        <v>45830</v>
      </c>
      <c r="C194" t="s">
        <v>156</v>
      </c>
      <c r="D194" t="s">
        <v>66</v>
      </c>
      <c r="E194">
        <v>2025</v>
      </c>
      <c r="F194" t="s">
        <v>59</v>
      </c>
      <c r="G194" t="s">
        <v>35</v>
      </c>
      <c r="H194" t="s">
        <v>230</v>
      </c>
      <c r="I194" t="s">
        <v>231</v>
      </c>
      <c r="J194" t="s">
        <v>70</v>
      </c>
      <c r="K194" t="s">
        <v>50</v>
      </c>
      <c r="L194" t="s">
        <v>51</v>
      </c>
      <c r="M194" t="s">
        <v>171</v>
      </c>
      <c r="N194" t="s">
        <v>172</v>
      </c>
      <c r="O194" t="s">
        <v>173</v>
      </c>
      <c r="P194" t="s">
        <v>174</v>
      </c>
      <c r="Q194">
        <v>8720.69</v>
      </c>
      <c r="R194">
        <v>9309.8700000000008</v>
      </c>
      <c r="S194">
        <v>4967.7700000000004</v>
      </c>
      <c r="T194">
        <v>471.26</v>
      </c>
      <c r="U194">
        <v>573.70000000000005</v>
      </c>
      <c r="V194">
        <v>617.85</v>
      </c>
      <c r="W194">
        <v>372.98</v>
      </c>
      <c r="X194">
        <v>7003.56</v>
      </c>
      <c r="Y194">
        <v>3752.92</v>
      </c>
      <c r="Z194">
        <v>-3250.64</v>
      </c>
      <c r="AA194">
        <v>-0.33250000000000002</v>
      </c>
      <c r="AB194">
        <v>-589.17999999999995</v>
      </c>
      <c r="AC194">
        <v>436.03</v>
      </c>
      <c r="AD194">
        <v>1491.24</v>
      </c>
      <c r="AE194">
        <v>9775.89</v>
      </c>
    </row>
    <row r="195" spans="1:31" x14ac:dyDescent="0.25">
      <c r="A195" t="s">
        <v>394</v>
      </c>
      <c r="B195" s="2">
        <v>45885</v>
      </c>
      <c r="C195" t="s">
        <v>117</v>
      </c>
      <c r="D195" t="s">
        <v>33</v>
      </c>
      <c r="E195">
        <v>2025</v>
      </c>
      <c r="F195" t="s">
        <v>47</v>
      </c>
      <c r="G195" t="s">
        <v>35</v>
      </c>
      <c r="H195" t="s">
        <v>214</v>
      </c>
      <c r="I195" t="s">
        <v>220</v>
      </c>
      <c r="J195" t="s">
        <v>100</v>
      </c>
      <c r="K195" t="s">
        <v>71</v>
      </c>
      <c r="L195" t="s">
        <v>94</v>
      </c>
      <c r="M195" t="s">
        <v>52</v>
      </c>
      <c r="N195" t="s">
        <v>53</v>
      </c>
      <c r="O195" t="s">
        <v>54</v>
      </c>
      <c r="P195" t="s">
        <v>55</v>
      </c>
      <c r="Q195">
        <v>1277.73</v>
      </c>
      <c r="R195">
        <v>1159.9100000000001</v>
      </c>
      <c r="S195">
        <v>842.81</v>
      </c>
      <c r="T195">
        <v>157.37</v>
      </c>
      <c r="U195">
        <v>67.989999999999995</v>
      </c>
      <c r="V195">
        <v>77.55</v>
      </c>
      <c r="W195">
        <v>32.200000000000003</v>
      </c>
      <c r="X195">
        <v>1177.93</v>
      </c>
      <c r="Y195">
        <v>434.92</v>
      </c>
      <c r="Z195">
        <v>-743</v>
      </c>
      <c r="AA195">
        <v>-0.58299999999999996</v>
      </c>
      <c r="AB195">
        <v>117.82</v>
      </c>
      <c r="AC195">
        <v>63.89</v>
      </c>
      <c r="AD195">
        <v>60.69</v>
      </c>
      <c r="AE195">
        <v>1274.54</v>
      </c>
    </row>
    <row r="196" spans="1:31" x14ac:dyDescent="0.25">
      <c r="A196" t="s">
        <v>395</v>
      </c>
      <c r="B196" s="2">
        <v>45995</v>
      </c>
      <c r="C196" t="s">
        <v>107</v>
      </c>
      <c r="D196" t="s">
        <v>93</v>
      </c>
      <c r="E196">
        <v>2025</v>
      </c>
      <c r="F196" t="s">
        <v>47</v>
      </c>
      <c r="G196" t="s">
        <v>35</v>
      </c>
      <c r="H196" t="s">
        <v>206</v>
      </c>
      <c r="I196" t="s">
        <v>344</v>
      </c>
      <c r="J196" t="s">
        <v>80</v>
      </c>
      <c r="K196" t="s">
        <v>50</v>
      </c>
      <c r="L196" t="s">
        <v>72</v>
      </c>
      <c r="M196" t="s">
        <v>189</v>
      </c>
      <c r="N196" t="s">
        <v>190</v>
      </c>
      <c r="O196" t="s">
        <v>104</v>
      </c>
      <c r="P196" t="s">
        <v>105</v>
      </c>
      <c r="Q196">
        <v>6175.63</v>
      </c>
      <c r="R196">
        <v>7060.24</v>
      </c>
      <c r="S196">
        <v>4059.2</v>
      </c>
      <c r="T196">
        <v>315.57</v>
      </c>
      <c r="U196">
        <v>254.09</v>
      </c>
      <c r="V196">
        <v>352.95</v>
      </c>
      <c r="W196">
        <v>120.29</v>
      </c>
      <c r="X196">
        <v>5102.1099999999997</v>
      </c>
      <c r="Y196">
        <v>2116.4299999999998</v>
      </c>
      <c r="Z196">
        <v>-2985.68</v>
      </c>
      <c r="AA196">
        <v>-0.4698</v>
      </c>
      <c r="AB196">
        <v>-884.6</v>
      </c>
      <c r="AC196">
        <v>123.51</v>
      </c>
      <c r="AD196">
        <v>302.61</v>
      </c>
      <c r="AE196">
        <v>6354.73</v>
      </c>
    </row>
    <row r="197" spans="1:31" x14ac:dyDescent="0.25">
      <c r="A197" t="s">
        <v>396</v>
      </c>
      <c r="B197" s="2">
        <v>45808</v>
      </c>
      <c r="C197" t="s">
        <v>65</v>
      </c>
      <c r="D197" t="s">
        <v>66</v>
      </c>
      <c r="E197">
        <v>2025</v>
      </c>
      <c r="F197" t="s">
        <v>67</v>
      </c>
      <c r="G197" t="s">
        <v>35</v>
      </c>
      <c r="H197" t="s">
        <v>68</v>
      </c>
      <c r="I197" t="s">
        <v>204</v>
      </c>
      <c r="J197" t="s">
        <v>80</v>
      </c>
      <c r="K197" t="s">
        <v>39</v>
      </c>
      <c r="L197" t="s">
        <v>40</v>
      </c>
      <c r="M197" t="s">
        <v>171</v>
      </c>
      <c r="N197" t="s">
        <v>172</v>
      </c>
      <c r="O197" t="s">
        <v>173</v>
      </c>
      <c r="P197" t="s">
        <v>174</v>
      </c>
      <c r="Q197">
        <v>20911.95</v>
      </c>
      <c r="R197">
        <v>20807.080000000002</v>
      </c>
      <c r="S197">
        <v>12514.55</v>
      </c>
      <c r="T197">
        <v>1519.55</v>
      </c>
      <c r="U197">
        <v>1592.24</v>
      </c>
      <c r="V197">
        <v>1501.39</v>
      </c>
      <c r="W197">
        <v>585.04</v>
      </c>
      <c r="X197">
        <v>17712.77</v>
      </c>
      <c r="Y197">
        <v>8397.4</v>
      </c>
      <c r="Z197">
        <v>-9315.3700000000008</v>
      </c>
      <c r="AA197">
        <v>-0.38519999999999999</v>
      </c>
      <c r="AB197">
        <v>104.87</v>
      </c>
      <c r="AC197">
        <v>418.24</v>
      </c>
      <c r="AD197">
        <v>3688.87</v>
      </c>
      <c r="AE197">
        <v>24182.57</v>
      </c>
    </row>
    <row r="198" spans="1:31" x14ac:dyDescent="0.25">
      <c r="A198" t="s">
        <v>397</v>
      </c>
      <c r="B198" s="2">
        <v>46011</v>
      </c>
      <c r="C198" t="s">
        <v>107</v>
      </c>
      <c r="D198" t="s">
        <v>93</v>
      </c>
      <c r="E198">
        <v>2025</v>
      </c>
      <c r="F198" t="s">
        <v>59</v>
      </c>
      <c r="G198" t="s">
        <v>35</v>
      </c>
      <c r="H198" t="s">
        <v>230</v>
      </c>
      <c r="I198" t="s">
        <v>231</v>
      </c>
      <c r="J198" t="s">
        <v>80</v>
      </c>
      <c r="K198" t="s">
        <v>50</v>
      </c>
      <c r="L198" t="s">
        <v>51</v>
      </c>
      <c r="M198" t="s">
        <v>161</v>
      </c>
      <c r="N198" t="s">
        <v>162</v>
      </c>
      <c r="O198" t="s">
        <v>43</v>
      </c>
      <c r="P198" t="s">
        <v>163</v>
      </c>
      <c r="Q198">
        <v>29749.79</v>
      </c>
      <c r="R198">
        <v>34170.730000000003</v>
      </c>
      <c r="S198">
        <v>19038.41</v>
      </c>
      <c r="T198">
        <v>3361.46</v>
      </c>
      <c r="U198">
        <v>1622.33</v>
      </c>
      <c r="V198">
        <v>2689.97</v>
      </c>
      <c r="W198">
        <v>556.13</v>
      </c>
      <c r="X198">
        <v>27268.3</v>
      </c>
      <c r="Y198">
        <v>10711.38</v>
      </c>
      <c r="Z198">
        <v>-16556.919999999998</v>
      </c>
      <c r="AA198">
        <v>-0.52310000000000001</v>
      </c>
      <c r="AB198">
        <v>-4420.93</v>
      </c>
      <c r="AC198">
        <v>1487.49</v>
      </c>
      <c r="AD198">
        <v>3391.48</v>
      </c>
      <c r="AE198">
        <v>31653.78</v>
      </c>
    </row>
    <row r="199" spans="1:31" x14ac:dyDescent="0.25">
      <c r="A199" t="s">
        <v>398</v>
      </c>
      <c r="B199" s="2">
        <v>45861</v>
      </c>
      <c r="C199" t="s">
        <v>32</v>
      </c>
      <c r="D199" t="s">
        <v>33</v>
      </c>
      <c r="E199">
        <v>2025</v>
      </c>
      <c r="F199" t="s">
        <v>34</v>
      </c>
      <c r="G199" t="s">
        <v>35</v>
      </c>
      <c r="H199" t="s">
        <v>98</v>
      </c>
      <c r="I199" t="s">
        <v>149</v>
      </c>
      <c r="J199" t="s">
        <v>38</v>
      </c>
      <c r="K199" t="s">
        <v>101</v>
      </c>
      <c r="L199" t="s">
        <v>51</v>
      </c>
      <c r="M199" t="s">
        <v>189</v>
      </c>
      <c r="N199" t="s">
        <v>190</v>
      </c>
      <c r="O199" t="s">
        <v>104</v>
      </c>
      <c r="P199" t="s">
        <v>105</v>
      </c>
      <c r="Q199">
        <v>12539.09</v>
      </c>
      <c r="R199">
        <v>11245.72</v>
      </c>
      <c r="S199">
        <v>7496.66</v>
      </c>
      <c r="T199">
        <v>1556.96</v>
      </c>
      <c r="U199">
        <v>399.38</v>
      </c>
      <c r="V199">
        <v>1268.3900000000001</v>
      </c>
      <c r="W199">
        <v>305.18</v>
      </c>
      <c r="X199">
        <v>11026.57</v>
      </c>
      <c r="Y199">
        <v>5042.43</v>
      </c>
      <c r="Z199">
        <v>-5984.14</v>
      </c>
      <c r="AA199">
        <v>-0.44850000000000001</v>
      </c>
      <c r="AB199">
        <v>1293.3699999999999</v>
      </c>
      <c r="AC199">
        <v>626.95000000000005</v>
      </c>
      <c r="AD199">
        <v>1429.46</v>
      </c>
      <c r="AE199">
        <v>13341.59</v>
      </c>
    </row>
    <row r="200" spans="1:31" x14ac:dyDescent="0.25">
      <c r="A200" t="s">
        <v>399</v>
      </c>
      <c r="B200" s="2">
        <v>45785</v>
      </c>
      <c r="C200" t="s">
        <v>65</v>
      </c>
      <c r="D200" t="s">
        <v>66</v>
      </c>
      <c r="E200">
        <v>2025</v>
      </c>
      <c r="F200" t="s">
        <v>59</v>
      </c>
      <c r="G200" t="s">
        <v>35</v>
      </c>
      <c r="H200" t="s">
        <v>254</v>
      </c>
      <c r="I200" t="s">
        <v>314</v>
      </c>
      <c r="J200" t="s">
        <v>80</v>
      </c>
      <c r="K200" t="s">
        <v>50</v>
      </c>
      <c r="L200" t="s">
        <v>81</v>
      </c>
      <c r="M200" t="s">
        <v>120</v>
      </c>
      <c r="N200" t="s">
        <v>121</v>
      </c>
      <c r="O200" t="s">
        <v>43</v>
      </c>
      <c r="P200" t="s">
        <v>122</v>
      </c>
      <c r="Q200">
        <v>73614.31</v>
      </c>
      <c r="R200">
        <v>79911.3</v>
      </c>
      <c r="S200">
        <v>37285.919999999998</v>
      </c>
      <c r="T200">
        <v>5383.78</v>
      </c>
      <c r="U200">
        <v>3322.76</v>
      </c>
      <c r="V200">
        <v>4416.6000000000004</v>
      </c>
      <c r="W200">
        <v>2063.06</v>
      </c>
      <c r="X200">
        <v>52472.12</v>
      </c>
      <c r="Y200">
        <v>36328.39</v>
      </c>
      <c r="Z200">
        <v>-16143.73</v>
      </c>
      <c r="AA200">
        <v>-0.20610000000000001</v>
      </c>
      <c r="AB200">
        <v>-6296.99</v>
      </c>
      <c r="AC200">
        <v>3680.72</v>
      </c>
      <c r="AD200">
        <v>8392.0300000000007</v>
      </c>
      <c r="AE200">
        <v>78325.62</v>
      </c>
    </row>
    <row r="201" spans="1:31" x14ac:dyDescent="0.25">
      <c r="A201" t="s">
        <v>400</v>
      </c>
      <c r="B201" s="2">
        <v>46066</v>
      </c>
      <c r="C201" t="s">
        <v>57</v>
      </c>
      <c r="D201" t="s">
        <v>58</v>
      </c>
      <c r="E201">
        <v>2026</v>
      </c>
      <c r="F201" t="s">
        <v>59</v>
      </c>
      <c r="G201" t="s">
        <v>35</v>
      </c>
      <c r="H201" t="s">
        <v>60</v>
      </c>
      <c r="I201" t="s">
        <v>61</v>
      </c>
      <c r="J201" t="s">
        <v>80</v>
      </c>
      <c r="K201" t="s">
        <v>50</v>
      </c>
      <c r="L201" t="s">
        <v>81</v>
      </c>
      <c r="M201" t="s">
        <v>211</v>
      </c>
      <c r="N201" t="s">
        <v>212</v>
      </c>
      <c r="O201" t="s">
        <v>112</v>
      </c>
      <c r="P201" t="s">
        <v>113</v>
      </c>
      <c r="Q201">
        <v>21341.59</v>
      </c>
      <c r="R201">
        <v>20518.87</v>
      </c>
      <c r="S201">
        <v>11431.16</v>
      </c>
      <c r="T201">
        <v>1611.05</v>
      </c>
      <c r="U201">
        <v>1786.96</v>
      </c>
      <c r="V201">
        <v>986.22</v>
      </c>
      <c r="W201">
        <v>832.55</v>
      </c>
      <c r="X201">
        <v>16647.93</v>
      </c>
      <c r="Y201">
        <v>9910.44</v>
      </c>
      <c r="Z201">
        <v>-6737.5</v>
      </c>
      <c r="AA201">
        <v>-0.29060000000000002</v>
      </c>
      <c r="AB201">
        <v>822.73</v>
      </c>
      <c r="AC201">
        <v>640.25</v>
      </c>
      <c r="AD201">
        <v>2484.16</v>
      </c>
      <c r="AE201">
        <v>23185.51</v>
      </c>
    </row>
    <row r="202" spans="1:31" x14ac:dyDescent="0.25">
      <c r="A202" t="s">
        <v>401</v>
      </c>
      <c r="B202" s="2">
        <v>46008</v>
      </c>
      <c r="C202" t="s">
        <v>107</v>
      </c>
      <c r="D202" t="s">
        <v>93</v>
      </c>
      <c r="E202">
        <v>2025</v>
      </c>
      <c r="F202" t="s">
        <v>34</v>
      </c>
      <c r="G202" t="s">
        <v>35</v>
      </c>
      <c r="H202" t="s">
        <v>98</v>
      </c>
      <c r="I202" t="s">
        <v>149</v>
      </c>
      <c r="J202" t="s">
        <v>38</v>
      </c>
      <c r="K202" t="s">
        <v>71</v>
      </c>
      <c r="L202" t="s">
        <v>94</v>
      </c>
      <c r="M202" t="s">
        <v>62</v>
      </c>
      <c r="N202" t="s">
        <v>63</v>
      </c>
      <c r="O202" t="s">
        <v>54</v>
      </c>
      <c r="P202" t="s">
        <v>55</v>
      </c>
      <c r="Q202">
        <v>2828.74</v>
      </c>
      <c r="R202">
        <v>2641.41</v>
      </c>
      <c r="S202">
        <v>1828.92</v>
      </c>
      <c r="T202">
        <v>193.39</v>
      </c>
      <c r="U202">
        <v>92.33</v>
      </c>
      <c r="V202">
        <v>150.55000000000001</v>
      </c>
      <c r="W202">
        <v>28.48</v>
      </c>
      <c r="X202">
        <v>2293.6799999999998</v>
      </c>
      <c r="Y202">
        <v>999.82</v>
      </c>
      <c r="Z202">
        <v>-1293.8599999999999</v>
      </c>
      <c r="AA202">
        <v>-0.40799999999999997</v>
      </c>
      <c r="AB202">
        <v>187.33</v>
      </c>
      <c r="AC202">
        <v>141.44</v>
      </c>
      <c r="AD202">
        <v>483.71</v>
      </c>
      <c r="AE202">
        <v>3171.02</v>
      </c>
    </row>
    <row r="203" spans="1:31" x14ac:dyDescent="0.25">
      <c r="A203" t="s">
        <v>402</v>
      </c>
      <c r="B203" s="2">
        <v>45765</v>
      </c>
      <c r="C203" t="s">
        <v>128</v>
      </c>
      <c r="D203" t="s">
        <v>66</v>
      </c>
      <c r="E203">
        <v>2025</v>
      </c>
      <c r="F203" t="s">
        <v>47</v>
      </c>
      <c r="G203" t="s">
        <v>35</v>
      </c>
      <c r="H203" t="s">
        <v>48</v>
      </c>
      <c r="I203" t="s">
        <v>49</v>
      </c>
      <c r="J203" t="s">
        <v>100</v>
      </c>
      <c r="K203" t="s">
        <v>50</v>
      </c>
      <c r="L203" t="s">
        <v>51</v>
      </c>
      <c r="M203" t="s">
        <v>52</v>
      </c>
      <c r="N203" t="s">
        <v>53</v>
      </c>
      <c r="O203" t="s">
        <v>54</v>
      </c>
      <c r="P203" t="s">
        <v>55</v>
      </c>
      <c r="Q203">
        <v>6646.51</v>
      </c>
      <c r="R203">
        <v>7114.37</v>
      </c>
      <c r="S203">
        <v>4118.9399999999996</v>
      </c>
      <c r="T203">
        <v>395.29</v>
      </c>
      <c r="U203">
        <v>257.70999999999998</v>
      </c>
      <c r="V203">
        <v>431.23</v>
      </c>
      <c r="W203">
        <v>105.3</v>
      </c>
      <c r="X203">
        <v>5308.46</v>
      </c>
      <c r="Y203">
        <v>2527.5700000000002</v>
      </c>
      <c r="Z203">
        <v>-2780.89</v>
      </c>
      <c r="AA203">
        <v>-0.38119999999999998</v>
      </c>
      <c r="AB203">
        <v>-467.86</v>
      </c>
      <c r="AC203">
        <v>132.93</v>
      </c>
      <c r="AD203">
        <v>781.63</v>
      </c>
      <c r="AE203">
        <v>7295.21</v>
      </c>
    </row>
    <row r="204" spans="1:31" x14ac:dyDescent="0.25">
      <c r="A204" t="s">
        <v>403</v>
      </c>
      <c r="B204" s="2">
        <v>45865</v>
      </c>
      <c r="C204" t="s">
        <v>32</v>
      </c>
      <c r="D204" t="s">
        <v>33</v>
      </c>
      <c r="E204">
        <v>2025</v>
      </c>
      <c r="F204" t="s">
        <v>47</v>
      </c>
      <c r="G204" t="s">
        <v>35</v>
      </c>
      <c r="H204" t="s">
        <v>78</v>
      </c>
      <c r="I204" t="s">
        <v>183</v>
      </c>
      <c r="J204" t="s">
        <v>80</v>
      </c>
      <c r="K204" t="s">
        <v>101</v>
      </c>
      <c r="L204" t="s">
        <v>94</v>
      </c>
      <c r="M204" t="s">
        <v>82</v>
      </c>
      <c r="N204" t="s">
        <v>83</v>
      </c>
      <c r="O204" t="s">
        <v>43</v>
      </c>
      <c r="P204" t="s">
        <v>75</v>
      </c>
      <c r="Q204">
        <v>50711.35</v>
      </c>
      <c r="R204">
        <v>55308.02</v>
      </c>
      <c r="S204">
        <v>26431.09</v>
      </c>
      <c r="T204">
        <v>4564.4799999999996</v>
      </c>
      <c r="U204">
        <v>2625.7</v>
      </c>
      <c r="V204">
        <v>5560.1</v>
      </c>
      <c r="W204">
        <v>1627.82</v>
      </c>
      <c r="X204">
        <v>40809.18</v>
      </c>
      <c r="Y204">
        <v>24280.26</v>
      </c>
      <c r="Z204">
        <v>-16528.919999999998</v>
      </c>
      <c r="AA204">
        <v>-0.32679999999999998</v>
      </c>
      <c r="AB204">
        <v>-4596.67</v>
      </c>
      <c r="AC204">
        <v>2535.5700000000002</v>
      </c>
      <c r="AD204">
        <v>2408.79</v>
      </c>
      <c r="AE204">
        <v>50584.57</v>
      </c>
    </row>
    <row r="205" spans="1:31" x14ac:dyDescent="0.25">
      <c r="A205" t="s">
        <v>404</v>
      </c>
      <c r="B205" s="2">
        <v>45992</v>
      </c>
      <c r="C205" t="s">
        <v>107</v>
      </c>
      <c r="D205" t="s">
        <v>93</v>
      </c>
      <c r="E205">
        <v>2025</v>
      </c>
      <c r="F205" t="s">
        <v>59</v>
      </c>
      <c r="G205" t="s">
        <v>35</v>
      </c>
      <c r="H205" t="s">
        <v>254</v>
      </c>
      <c r="I205" t="s">
        <v>255</v>
      </c>
      <c r="J205" t="s">
        <v>38</v>
      </c>
      <c r="K205" t="s">
        <v>160</v>
      </c>
      <c r="L205" t="s">
        <v>94</v>
      </c>
      <c r="M205" t="s">
        <v>161</v>
      </c>
      <c r="N205" t="s">
        <v>162</v>
      </c>
      <c r="O205" t="s">
        <v>43</v>
      </c>
      <c r="P205" t="s">
        <v>163</v>
      </c>
      <c r="Q205">
        <v>28253.27</v>
      </c>
      <c r="R205">
        <v>30617.200000000001</v>
      </c>
      <c r="S205">
        <v>18803.03</v>
      </c>
      <c r="T205">
        <v>3563.17</v>
      </c>
      <c r="U205">
        <v>2132.33</v>
      </c>
      <c r="V205">
        <v>2511.91</v>
      </c>
      <c r="W205">
        <v>1130.29</v>
      </c>
      <c r="X205">
        <v>28140.73</v>
      </c>
      <c r="Y205">
        <v>9450.24</v>
      </c>
      <c r="Z205">
        <v>-18690.490000000002</v>
      </c>
      <c r="AA205">
        <v>-0.62170000000000003</v>
      </c>
      <c r="AB205">
        <v>-2363.9299999999998</v>
      </c>
      <c r="AC205">
        <v>1412.66</v>
      </c>
      <c r="AD205">
        <v>3220.87</v>
      </c>
      <c r="AE205">
        <v>30061.48</v>
      </c>
    </row>
    <row r="206" spans="1:31" x14ac:dyDescent="0.25">
      <c r="A206" t="s">
        <v>405</v>
      </c>
      <c r="B206" s="2">
        <v>45776</v>
      </c>
      <c r="C206" t="s">
        <v>128</v>
      </c>
      <c r="D206" t="s">
        <v>66</v>
      </c>
      <c r="E206">
        <v>2025</v>
      </c>
      <c r="F206" t="s">
        <v>34</v>
      </c>
      <c r="G206" t="s">
        <v>35</v>
      </c>
      <c r="H206" t="s">
        <v>134</v>
      </c>
      <c r="I206" t="s">
        <v>135</v>
      </c>
      <c r="J206" t="s">
        <v>38</v>
      </c>
      <c r="K206" t="s">
        <v>160</v>
      </c>
      <c r="L206" t="s">
        <v>72</v>
      </c>
      <c r="M206" t="s">
        <v>62</v>
      </c>
      <c r="N206" t="s">
        <v>63</v>
      </c>
      <c r="O206" t="s">
        <v>54</v>
      </c>
      <c r="P206" t="s">
        <v>55</v>
      </c>
      <c r="Q206">
        <v>6731.64</v>
      </c>
      <c r="R206">
        <v>7582.63</v>
      </c>
      <c r="S206">
        <v>4593.66</v>
      </c>
      <c r="T206">
        <v>597.82000000000005</v>
      </c>
      <c r="U206">
        <v>314.27</v>
      </c>
      <c r="V206">
        <v>695.54</v>
      </c>
      <c r="W206">
        <v>173.64</v>
      </c>
      <c r="X206">
        <v>6374.94</v>
      </c>
      <c r="Y206">
        <v>2137.98</v>
      </c>
      <c r="Z206">
        <v>-4236.96</v>
      </c>
      <c r="AA206">
        <v>-0.54430000000000001</v>
      </c>
      <c r="AB206">
        <v>-850.99</v>
      </c>
      <c r="AC206">
        <v>134.63</v>
      </c>
      <c r="AD206">
        <v>1187.46</v>
      </c>
      <c r="AE206">
        <v>7784.46</v>
      </c>
    </row>
    <row r="207" spans="1:31" x14ac:dyDescent="0.25">
      <c r="A207" t="s">
        <v>406</v>
      </c>
      <c r="B207" s="2">
        <v>46018</v>
      </c>
      <c r="C207" t="s">
        <v>107</v>
      </c>
      <c r="D207" t="s">
        <v>93</v>
      </c>
      <c r="E207">
        <v>2025</v>
      </c>
      <c r="F207" t="s">
        <v>67</v>
      </c>
      <c r="G207" t="s">
        <v>35</v>
      </c>
      <c r="H207" t="s">
        <v>168</v>
      </c>
      <c r="J207" t="s">
        <v>100</v>
      </c>
      <c r="K207" t="s">
        <v>39</v>
      </c>
      <c r="L207" t="s">
        <v>40</v>
      </c>
      <c r="M207" t="s">
        <v>41</v>
      </c>
      <c r="N207" t="s">
        <v>42</v>
      </c>
      <c r="O207" t="s">
        <v>43</v>
      </c>
      <c r="P207" t="s">
        <v>44</v>
      </c>
      <c r="Q207">
        <v>27294.21</v>
      </c>
      <c r="R207">
        <v>24362.7</v>
      </c>
      <c r="S207">
        <v>16240.67</v>
      </c>
      <c r="T207">
        <v>1761.51</v>
      </c>
      <c r="U207">
        <v>2000.67</v>
      </c>
      <c r="V207">
        <v>2943.25</v>
      </c>
      <c r="W207">
        <v>794.14</v>
      </c>
      <c r="X207">
        <v>23740.240000000002</v>
      </c>
      <c r="Y207">
        <v>11053.54</v>
      </c>
      <c r="Z207">
        <v>-12686.7</v>
      </c>
      <c r="AA207">
        <v>-0.46110000000000001</v>
      </c>
      <c r="AB207">
        <v>2931.52</v>
      </c>
      <c r="AC207">
        <v>2729.42</v>
      </c>
      <c r="AD207">
        <v>2947.78</v>
      </c>
      <c r="AE207">
        <v>27512.57</v>
      </c>
    </row>
    <row r="208" spans="1:31" x14ac:dyDescent="0.25">
      <c r="A208" t="s">
        <v>407</v>
      </c>
      <c r="B208" s="2">
        <v>46080</v>
      </c>
      <c r="C208" t="s">
        <v>57</v>
      </c>
      <c r="D208" t="s">
        <v>58</v>
      </c>
      <c r="E208">
        <v>2026</v>
      </c>
      <c r="F208" t="s">
        <v>34</v>
      </c>
      <c r="G208" t="s">
        <v>35</v>
      </c>
      <c r="H208" t="s">
        <v>36</v>
      </c>
      <c r="I208" t="s">
        <v>145</v>
      </c>
      <c r="J208" t="s">
        <v>70</v>
      </c>
      <c r="K208" t="s">
        <v>50</v>
      </c>
      <c r="L208" t="s">
        <v>51</v>
      </c>
      <c r="M208" t="s">
        <v>41</v>
      </c>
      <c r="N208" t="s">
        <v>42</v>
      </c>
      <c r="O208" t="s">
        <v>43</v>
      </c>
      <c r="P208" t="s">
        <v>44</v>
      </c>
      <c r="Q208">
        <v>25282.94</v>
      </c>
      <c r="R208">
        <v>26863.7</v>
      </c>
      <c r="S208">
        <v>16423.599999999999</v>
      </c>
      <c r="T208">
        <v>2021.58</v>
      </c>
      <c r="U208">
        <v>1239.28</v>
      </c>
      <c r="V208">
        <v>1102.98</v>
      </c>
      <c r="W208">
        <v>562.5</v>
      </c>
      <c r="X208">
        <v>21349.94</v>
      </c>
      <c r="Y208">
        <v>8859.34</v>
      </c>
      <c r="Z208">
        <v>-12490.6</v>
      </c>
      <c r="AA208">
        <v>-0.47949999999999998</v>
      </c>
      <c r="AB208">
        <v>-1580.76</v>
      </c>
      <c r="AC208">
        <v>2022.64</v>
      </c>
      <c r="AD208">
        <v>2791.24</v>
      </c>
      <c r="AE208">
        <v>26051.54</v>
      </c>
    </row>
    <row r="209" spans="1:31" x14ac:dyDescent="0.25">
      <c r="A209" t="s">
        <v>408</v>
      </c>
      <c r="B209" s="2">
        <v>45809</v>
      </c>
      <c r="C209" t="s">
        <v>156</v>
      </c>
      <c r="D209" t="s">
        <v>66</v>
      </c>
      <c r="E209">
        <v>2025</v>
      </c>
      <c r="F209" t="s">
        <v>34</v>
      </c>
      <c r="G209" t="s">
        <v>35</v>
      </c>
      <c r="H209" t="s">
        <v>98</v>
      </c>
      <c r="I209" t="s">
        <v>149</v>
      </c>
      <c r="J209" t="s">
        <v>38</v>
      </c>
      <c r="K209" t="s">
        <v>50</v>
      </c>
      <c r="L209" t="s">
        <v>94</v>
      </c>
      <c r="M209" t="s">
        <v>211</v>
      </c>
      <c r="N209" t="s">
        <v>212</v>
      </c>
      <c r="O209" t="s">
        <v>112</v>
      </c>
      <c r="P209" t="s">
        <v>113</v>
      </c>
      <c r="Q209">
        <v>27355.34</v>
      </c>
      <c r="R209">
        <v>30489.93</v>
      </c>
      <c r="S209">
        <v>18065.990000000002</v>
      </c>
      <c r="T209">
        <v>3125.08</v>
      </c>
      <c r="U209">
        <v>1604.95</v>
      </c>
      <c r="V209">
        <v>1401.3</v>
      </c>
      <c r="W209">
        <v>916.14</v>
      </c>
      <c r="X209">
        <v>25113.47</v>
      </c>
      <c r="Y209">
        <v>9289.35</v>
      </c>
      <c r="Z209">
        <v>-15824.12</v>
      </c>
      <c r="AA209">
        <v>-0.51600000000000001</v>
      </c>
      <c r="AB209">
        <v>-3134.59</v>
      </c>
      <c r="AC209">
        <v>1367.77</v>
      </c>
      <c r="AD209">
        <v>4677.76</v>
      </c>
      <c r="AE209">
        <v>30665.33</v>
      </c>
    </row>
    <row r="210" spans="1:31" x14ac:dyDescent="0.25">
      <c r="A210" t="s">
        <v>409</v>
      </c>
      <c r="B210" s="2">
        <v>45818</v>
      </c>
      <c r="C210" t="s">
        <v>156</v>
      </c>
      <c r="D210" t="s">
        <v>66</v>
      </c>
      <c r="E210">
        <v>2025</v>
      </c>
      <c r="F210" t="s">
        <v>34</v>
      </c>
      <c r="G210" t="s">
        <v>35</v>
      </c>
      <c r="H210" t="s">
        <v>36</v>
      </c>
      <c r="I210" t="s">
        <v>245</v>
      </c>
      <c r="J210" t="s">
        <v>80</v>
      </c>
      <c r="K210" t="s">
        <v>50</v>
      </c>
      <c r="L210" t="s">
        <v>51</v>
      </c>
      <c r="M210" t="s">
        <v>211</v>
      </c>
      <c r="N210" t="s">
        <v>212</v>
      </c>
      <c r="O210" t="s">
        <v>112</v>
      </c>
      <c r="P210" t="s">
        <v>113</v>
      </c>
      <c r="Q210">
        <v>28763.31</v>
      </c>
      <c r="R210">
        <v>31854.79</v>
      </c>
      <c r="S210">
        <v>15925.01</v>
      </c>
      <c r="T210">
        <v>2393.04</v>
      </c>
      <c r="U210">
        <v>2051.6999999999998</v>
      </c>
      <c r="V210">
        <v>2039.23</v>
      </c>
      <c r="W210">
        <v>880.09</v>
      </c>
      <c r="X210">
        <v>23289.08</v>
      </c>
      <c r="Y210">
        <v>12838.3</v>
      </c>
      <c r="Z210">
        <v>-10450.780000000001</v>
      </c>
      <c r="AA210">
        <v>-0.33100000000000002</v>
      </c>
      <c r="AB210">
        <v>-3091.49</v>
      </c>
      <c r="AC210">
        <v>575.27</v>
      </c>
      <c r="AD210">
        <v>3382.57</v>
      </c>
      <c r="AE210">
        <v>31570.61</v>
      </c>
    </row>
    <row r="211" spans="1:31" x14ac:dyDescent="0.25">
      <c r="A211" t="s">
        <v>410</v>
      </c>
      <c r="B211" s="2">
        <v>45841</v>
      </c>
      <c r="C211" t="s">
        <v>32</v>
      </c>
      <c r="D211" t="s">
        <v>33</v>
      </c>
      <c r="E211">
        <v>2025</v>
      </c>
      <c r="F211" t="s">
        <v>85</v>
      </c>
      <c r="G211" t="s">
        <v>35</v>
      </c>
      <c r="H211" t="s">
        <v>178</v>
      </c>
      <c r="I211" t="s">
        <v>179</v>
      </c>
      <c r="J211" t="s">
        <v>70</v>
      </c>
      <c r="K211" t="s">
        <v>39</v>
      </c>
      <c r="L211" t="s">
        <v>40</v>
      </c>
      <c r="M211" t="s">
        <v>73</v>
      </c>
      <c r="N211" t="s">
        <v>74</v>
      </c>
      <c r="O211" t="s">
        <v>43</v>
      </c>
      <c r="P211" t="s">
        <v>75</v>
      </c>
      <c r="Q211">
        <v>24677.74</v>
      </c>
      <c r="R211">
        <v>25053.66</v>
      </c>
      <c r="S211">
        <v>17522.169999999998</v>
      </c>
      <c r="T211">
        <v>2084.9499999999998</v>
      </c>
      <c r="U211">
        <v>1498.12</v>
      </c>
      <c r="V211">
        <v>2039.87</v>
      </c>
      <c r="W211">
        <v>796.76</v>
      </c>
      <c r="X211">
        <v>23941.87</v>
      </c>
      <c r="Y211">
        <v>7155.57</v>
      </c>
      <c r="Z211">
        <v>-16786.29</v>
      </c>
      <c r="AA211">
        <v>-0.68189999999999995</v>
      </c>
      <c r="AB211">
        <v>-375.91</v>
      </c>
      <c r="AC211">
        <v>1233.8900000000001</v>
      </c>
      <c r="AD211">
        <v>1172.19</v>
      </c>
      <c r="AE211">
        <v>24616.05</v>
      </c>
    </row>
    <row r="212" spans="1:31" x14ac:dyDescent="0.25">
      <c r="A212" t="s">
        <v>411</v>
      </c>
      <c r="B212" s="2">
        <v>45920</v>
      </c>
      <c r="C212" t="s">
        <v>46</v>
      </c>
      <c r="D212" t="s">
        <v>33</v>
      </c>
      <c r="E212">
        <v>2025</v>
      </c>
      <c r="F212" t="s">
        <v>34</v>
      </c>
      <c r="G212" t="s">
        <v>35</v>
      </c>
      <c r="H212" t="s">
        <v>98</v>
      </c>
      <c r="I212" t="s">
        <v>304</v>
      </c>
      <c r="J212" t="s">
        <v>100</v>
      </c>
      <c r="K212" t="s">
        <v>50</v>
      </c>
      <c r="L212" t="s">
        <v>72</v>
      </c>
      <c r="M212" t="s">
        <v>161</v>
      </c>
      <c r="N212" t="s">
        <v>162</v>
      </c>
      <c r="O212" t="s">
        <v>43</v>
      </c>
      <c r="P212" t="s">
        <v>163</v>
      </c>
      <c r="Q212">
        <v>34917.730000000003</v>
      </c>
      <c r="R212">
        <v>39264.36</v>
      </c>
      <c r="S212">
        <v>23280.560000000001</v>
      </c>
      <c r="T212">
        <v>3871.26</v>
      </c>
      <c r="U212">
        <v>1299.01</v>
      </c>
      <c r="V212">
        <v>1643.61</v>
      </c>
      <c r="W212">
        <v>1203.3800000000001</v>
      </c>
      <c r="X212">
        <v>31297.81</v>
      </c>
      <c r="Y212">
        <v>11637.17</v>
      </c>
      <c r="Z212">
        <v>-19660.64</v>
      </c>
      <c r="AA212">
        <v>-0.51829999999999998</v>
      </c>
      <c r="AB212">
        <v>-4346.63</v>
      </c>
      <c r="AC212">
        <v>1047.53</v>
      </c>
      <c r="AD212">
        <v>4064.42</v>
      </c>
      <c r="AE212">
        <v>37934.620000000003</v>
      </c>
    </row>
    <row r="213" spans="1:31" x14ac:dyDescent="0.25">
      <c r="A213" t="s">
        <v>412</v>
      </c>
      <c r="B213" s="2">
        <v>46004</v>
      </c>
      <c r="C213" t="s">
        <v>107</v>
      </c>
      <c r="D213" t="s">
        <v>93</v>
      </c>
      <c r="E213">
        <v>2025</v>
      </c>
      <c r="F213" t="s">
        <v>67</v>
      </c>
      <c r="G213" t="s">
        <v>35</v>
      </c>
      <c r="H213" t="s">
        <v>68</v>
      </c>
      <c r="I213" t="s">
        <v>204</v>
      </c>
      <c r="J213" t="s">
        <v>80</v>
      </c>
      <c r="K213" t="s">
        <v>71</v>
      </c>
      <c r="L213" t="s">
        <v>51</v>
      </c>
      <c r="M213" t="s">
        <v>186</v>
      </c>
      <c r="N213" t="s">
        <v>187</v>
      </c>
      <c r="O213" t="s">
        <v>173</v>
      </c>
      <c r="P213" t="s">
        <v>174</v>
      </c>
      <c r="Q213">
        <v>17482.77</v>
      </c>
      <c r="R213">
        <v>18882.34</v>
      </c>
      <c r="S213">
        <v>9747.11</v>
      </c>
      <c r="T213">
        <v>2129.9899999999998</v>
      </c>
      <c r="U213">
        <v>1446.31</v>
      </c>
      <c r="V213">
        <v>1154.27</v>
      </c>
      <c r="W213">
        <v>726.12</v>
      </c>
      <c r="X213">
        <v>15203.8</v>
      </c>
      <c r="Y213">
        <v>7735.66</v>
      </c>
      <c r="Z213">
        <v>-7468.14</v>
      </c>
      <c r="AA213">
        <v>-0.4022</v>
      </c>
      <c r="AB213">
        <v>-1399.57</v>
      </c>
      <c r="AC213">
        <v>1748.28</v>
      </c>
      <c r="AD213">
        <v>2832.21</v>
      </c>
      <c r="AE213">
        <v>18566.7</v>
      </c>
    </row>
    <row r="214" spans="1:31" x14ac:dyDescent="0.25">
      <c r="A214" t="s">
        <v>413</v>
      </c>
      <c r="B214" s="2">
        <v>46005</v>
      </c>
      <c r="C214" t="s">
        <v>107</v>
      </c>
      <c r="D214" t="s">
        <v>93</v>
      </c>
      <c r="E214">
        <v>2025</v>
      </c>
      <c r="F214" t="s">
        <v>34</v>
      </c>
      <c r="G214" t="s">
        <v>35</v>
      </c>
      <c r="H214" t="s">
        <v>98</v>
      </c>
      <c r="I214" t="s">
        <v>304</v>
      </c>
      <c r="J214" t="s">
        <v>80</v>
      </c>
      <c r="K214" t="s">
        <v>50</v>
      </c>
      <c r="L214" t="s">
        <v>51</v>
      </c>
      <c r="M214" t="s">
        <v>95</v>
      </c>
      <c r="N214" t="s">
        <v>96</v>
      </c>
      <c r="O214" t="s">
        <v>43</v>
      </c>
      <c r="P214" t="s">
        <v>90</v>
      </c>
      <c r="Q214">
        <v>79192.100000000006</v>
      </c>
      <c r="R214">
        <v>88727.18</v>
      </c>
      <c r="S214">
        <v>50827.24</v>
      </c>
      <c r="T214">
        <v>3995.83</v>
      </c>
      <c r="U214">
        <v>4377.63</v>
      </c>
      <c r="V214">
        <v>6786.21</v>
      </c>
      <c r="W214">
        <v>1634.61</v>
      </c>
      <c r="X214">
        <v>67621.53</v>
      </c>
      <c r="Y214">
        <v>28364.86</v>
      </c>
      <c r="Z214">
        <v>-39256.67</v>
      </c>
      <c r="AA214">
        <v>-0.42870000000000003</v>
      </c>
      <c r="AB214">
        <v>-9535.08</v>
      </c>
      <c r="AC214">
        <v>1583.84</v>
      </c>
      <c r="AD214">
        <v>13969.49</v>
      </c>
      <c r="AE214">
        <v>91577.75</v>
      </c>
    </row>
    <row r="215" spans="1:31" x14ac:dyDescent="0.25">
      <c r="A215" t="s">
        <v>414</v>
      </c>
      <c r="B215" s="2">
        <v>45934</v>
      </c>
      <c r="C215" t="s">
        <v>92</v>
      </c>
      <c r="D215" t="s">
        <v>93</v>
      </c>
      <c r="E215">
        <v>2025</v>
      </c>
      <c r="F215" t="s">
        <v>34</v>
      </c>
      <c r="G215" t="s">
        <v>35</v>
      </c>
      <c r="H215" t="s">
        <v>157</v>
      </c>
      <c r="I215" t="s">
        <v>166</v>
      </c>
      <c r="J215" t="s">
        <v>100</v>
      </c>
      <c r="K215" t="s">
        <v>50</v>
      </c>
      <c r="L215" t="s">
        <v>81</v>
      </c>
      <c r="M215" t="s">
        <v>88</v>
      </c>
      <c r="N215" t="s">
        <v>89</v>
      </c>
      <c r="O215" t="s">
        <v>43</v>
      </c>
      <c r="P215" t="s">
        <v>90</v>
      </c>
      <c r="Q215">
        <v>14247.77</v>
      </c>
      <c r="R215">
        <v>16455.900000000001</v>
      </c>
      <c r="S215">
        <v>9253.61</v>
      </c>
      <c r="T215">
        <v>1064.54</v>
      </c>
      <c r="U215">
        <v>479.04</v>
      </c>
      <c r="V215">
        <v>1153.08</v>
      </c>
      <c r="W215">
        <v>145.13999999999999</v>
      </c>
      <c r="X215">
        <v>12095.42</v>
      </c>
      <c r="Y215">
        <v>4994.16</v>
      </c>
      <c r="Z215">
        <v>-7101.27</v>
      </c>
      <c r="AA215">
        <v>-0.4945</v>
      </c>
      <c r="AB215">
        <v>-2208.13</v>
      </c>
      <c r="AC215">
        <v>1424.78</v>
      </c>
      <c r="AD215">
        <v>1538.76</v>
      </c>
      <c r="AE215">
        <v>14361.75</v>
      </c>
    </row>
    <row r="216" spans="1:31" x14ac:dyDescent="0.25">
      <c r="A216" t="s">
        <v>415</v>
      </c>
      <c r="B216" s="2">
        <v>45872</v>
      </c>
      <c r="C216" t="s">
        <v>117</v>
      </c>
      <c r="D216" t="s">
        <v>33</v>
      </c>
      <c r="E216">
        <v>2025</v>
      </c>
      <c r="F216" t="s">
        <v>34</v>
      </c>
      <c r="G216" t="s">
        <v>35</v>
      </c>
      <c r="H216" t="s">
        <v>98</v>
      </c>
      <c r="I216" t="s">
        <v>99</v>
      </c>
      <c r="J216" t="s">
        <v>80</v>
      </c>
      <c r="K216" t="s">
        <v>71</v>
      </c>
      <c r="L216" t="s">
        <v>51</v>
      </c>
      <c r="M216" t="s">
        <v>73</v>
      </c>
      <c r="N216" t="s">
        <v>74</v>
      </c>
      <c r="O216" t="s">
        <v>43</v>
      </c>
      <c r="P216" t="s">
        <v>75</v>
      </c>
      <c r="Q216">
        <v>50404.03</v>
      </c>
      <c r="R216">
        <v>47816.42</v>
      </c>
      <c r="S216">
        <v>31414.03</v>
      </c>
      <c r="T216">
        <v>6262.93</v>
      </c>
      <c r="U216">
        <v>4304.21</v>
      </c>
      <c r="V216">
        <v>3394.83</v>
      </c>
      <c r="W216">
        <v>1434.94</v>
      </c>
      <c r="X216">
        <v>46810.94</v>
      </c>
      <c r="Y216">
        <v>18990</v>
      </c>
      <c r="Z216">
        <v>-27820.94</v>
      </c>
      <c r="AA216">
        <v>-0.4773</v>
      </c>
      <c r="AB216">
        <v>2587.61</v>
      </c>
      <c r="AC216">
        <v>1008.08</v>
      </c>
      <c r="AD216">
        <v>8891.27</v>
      </c>
      <c r="AE216">
        <v>58287.23</v>
      </c>
    </row>
    <row r="217" spans="1:31" x14ac:dyDescent="0.25">
      <c r="A217" t="s">
        <v>416</v>
      </c>
      <c r="B217" s="2">
        <v>46015</v>
      </c>
      <c r="C217" t="s">
        <v>107</v>
      </c>
      <c r="D217" t="s">
        <v>93</v>
      </c>
      <c r="E217">
        <v>2025</v>
      </c>
      <c r="F217" t="s">
        <v>67</v>
      </c>
      <c r="G217" t="s">
        <v>35</v>
      </c>
      <c r="H217" t="s">
        <v>68</v>
      </c>
      <c r="I217" t="s">
        <v>69</v>
      </c>
      <c r="J217" t="s">
        <v>100</v>
      </c>
      <c r="K217" t="s">
        <v>71</v>
      </c>
      <c r="L217" t="s">
        <v>94</v>
      </c>
      <c r="M217" t="s">
        <v>235</v>
      </c>
      <c r="N217" t="s">
        <v>236</v>
      </c>
      <c r="O217" t="s">
        <v>104</v>
      </c>
      <c r="P217" t="s">
        <v>237</v>
      </c>
      <c r="Q217">
        <v>6369.34</v>
      </c>
      <c r="R217">
        <v>6894.41</v>
      </c>
      <c r="S217">
        <v>4092.99</v>
      </c>
      <c r="T217">
        <v>508.59</v>
      </c>
      <c r="U217">
        <v>549.1</v>
      </c>
      <c r="V217">
        <v>340.05</v>
      </c>
      <c r="W217">
        <v>175.24</v>
      </c>
      <c r="X217">
        <v>5665.97</v>
      </c>
      <c r="Y217">
        <v>2276.36</v>
      </c>
      <c r="Z217">
        <v>-3389.61</v>
      </c>
      <c r="AA217">
        <v>-0.47470000000000001</v>
      </c>
      <c r="AB217">
        <v>-525.05999999999995</v>
      </c>
      <c r="AC217">
        <v>318.47000000000003</v>
      </c>
      <c r="AD217">
        <v>1089.1600000000001</v>
      </c>
      <c r="AE217">
        <v>7140.04</v>
      </c>
    </row>
    <row r="218" spans="1:31" x14ac:dyDescent="0.25">
      <c r="A218" t="s">
        <v>417</v>
      </c>
      <c r="B218" s="2">
        <v>45929</v>
      </c>
      <c r="C218" t="s">
        <v>46</v>
      </c>
      <c r="D218" t="s">
        <v>33</v>
      </c>
      <c r="E218">
        <v>2025</v>
      </c>
      <c r="F218" t="s">
        <v>47</v>
      </c>
      <c r="G218" t="s">
        <v>35</v>
      </c>
      <c r="H218" t="s">
        <v>206</v>
      </c>
      <c r="I218" t="s">
        <v>344</v>
      </c>
      <c r="J218" t="s">
        <v>38</v>
      </c>
      <c r="K218" t="s">
        <v>71</v>
      </c>
      <c r="L218" t="s">
        <v>94</v>
      </c>
      <c r="M218" t="s">
        <v>186</v>
      </c>
      <c r="N218" t="s">
        <v>187</v>
      </c>
      <c r="O218" t="s">
        <v>173</v>
      </c>
      <c r="P218" t="s">
        <v>174</v>
      </c>
      <c r="Q218">
        <v>9860.57</v>
      </c>
      <c r="R218">
        <v>10392.23</v>
      </c>
      <c r="S218">
        <v>5804.9</v>
      </c>
      <c r="T218">
        <v>1241.44</v>
      </c>
      <c r="U218">
        <v>285.36</v>
      </c>
      <c r="V218">
        <v>935.09</v>
      </c>
      <c r="W218">
        <v>107.22</v>
      </c>
      <c r="X218">
        <v>8374.02</v>
      </c>
      <c r="Y218">
        <v>4055.67</v>
      </c>
      <c r="Z218">
        <v>-4318.3500000000004</v>
      </c>
      <c r="AA218">
        <v>-0.39100000000000001</v>
      </c>
      <c r="AB218">
        <v>-531.66</v>
      </c>
      <c r="AC218">
        <v>0</v>
      </c>
      <c r="AD218">
        <v>1183.27</v>
      </c>
      <c r="AE218">
        <v>11043.84</v>
      </c>
    </row>
    <row r="219" spans="1:31" x14ac:dyDescent="0.25">
      <c r="A219" t="s">
        <v>418</v>
      </c>
      <c r="B219" s="2">
        <v>46043</v>
      </c>
      <c r="C219" t="s">
        <v>77</v>
      </c>
      <c r="D219" t="s">
        <v>58</v>
      </c>
      <c r="E219">
        <v>2026</v>
      </c>
      <c r="F219" t="s">
        <v>34</v>
      </c>
      <c r="G219" t="s">
        <v>35</v>
      </c>
      <c r="H219" t="s">
        <v>157</v>
      </c>
      <c r="I219" t="s">
        <v>194</v>
      </c>
      <c r="J219" t="s">
        <v>70</v>
      </c>
      <c r="K219" t="s">
        <v>39</v>
      </c>
      <c r="L219" t="s">
        <v>40</v>
      </c>
      <c r="M219" t="s">
        <v>189</v>
      </c>
      <c r="N219" t="s">
        <v>190</v>
      </c>
      <c r="O219" t="s">
        <v>104</v>
      </c>
      <c r="P219" t="s">
        <v>105</v>
      </c>
      <c r="Q219">
        <v>9333.4599999999991</v>
      </c>
      <c r="R219">
        <v>8989.09</v>
      </c>
      <c r="S219">
        <v>6543.81</v>
      </c>
      <c r="T219">
        <v>902.13</v>
      </c>
      <c r="U219">
        <v>593</v>
      </c>
      <c r="V219">
        <v>638.35</v>
      </c>
      <c r="W219">
        <v>110.32</v>
      </c>
      <c r="X219">
        <v>8787.61</v>
      </c>
      <c r="Y219">
        <v>2789.64</v>
      </c>
      <c r="Z219">
        <v>-5997.97</v>
      </c>
      <c r="AA219">
        <v>-0.57379999999999998</v>
      </c>
      <c r="AB219">
        <v>344.37</v>
      </c>
      <c r="AC219">
        <v>0</v>
      </c>
      <c r="AD219">
        <v>1120.01</v>
      </c>
      <c r="AE219">
        <v>10453.469999999999</v>
      </c>
    </row>
    <row r="220" spans="1:31" x14ac:dyDescent="0.25">
      <c r="A220" t="s">
        <v>419</v>
      </c>
      <c r="B220" s="2">
        <v>45956</v>
      </c>
      <c r="C220" t="s">
        <v>92</v>
      </c>
      <c r="D220" t="s">
        <v>93</v>
      </c>
      <c r="E220">
        <v>2025</v>
      </c>
      <c r="F220" t="s">
        <v>34</v>
      </c>
      <c r="G220" t="s">
        <v>35</v>
      </c>
      <c r="H220" t="s">
        <v>134</v>
      </c>
      <c r="I220" t="s">
        <v>154</v>
      </c>
      <c r="J220" t="s">
        <v>38</v>
      </c>
      <c r="K220" t="s">
        <v>39</v>
      </c>
      <c r="L220" t="s">
        <v>51</v>
      </c>
      <c r="M220" t="s">
        <v>161</v>
      </c>
      <c r="N220" t="s">
        <v>162</v>
      </c>
      <c r="O220" t="s">
        <v>43</v>
      </c>
      <c r="P220" t="s">
        <v>163</v>
      </c>
      <c r="Q220">
        <v>55530.98</v>
      </c>
      <c r="R220">
        <v>60253.120000000003</v>
      </c>
      <c r="S220">
        <v>31658.54</v>
      </c>
      <c r="T220">
        <v>6330.86</v>
      </c>
      <c r="U220">
        <v>4581.1899999999996</v>
      </c>
      <c r="V220">
        <v>2777.53</v>
      </c>
      <c r="W220">
        <v>945.1</v>
      </c>
      <c r="X220">
        <v>46293.21</v>
      </c>
      <c r="Y220">
        <v>23872.44</v>
      </c>
      <c r="Z220">
        <v>-22420.77</v>
      </c>
      <c r="AA220">
        <v>-0.34910000000000002</v>
      </c>
      <c r="AB220">
        <v>-4722.1400000000003</v>
      </c>
      <c r="AC220">
        <v>1110.6199999999999</v>
      </c>
      <c r="AD220">
        <v>9795.66</v>
      </c>
      <c r="AE220">
        <v>64216.02</v>
      </c>
    </row>
    <row r="221" spans="1:31" x14ac:dyDescent="0.25">
      <c r="A221" t="s">
        <v>420</v>
      </c>
      <c r="B221" s="2">
        <v>45970</v>
      </c>
      <c r="C221" t="s">
        <v>147</v>
      </c>
      <c r="D221" t="s">
        <v>93</v>
      </c>
      <c r="E221">
        <v>2025</v>
      </c>
      <c r="F221" t="s">
        <v>85</v>
      </c>
      <c r="G221" t="s">
        <v>35</v>
      </c>
      <c r="H221" t="s">
        <v>60</v>
      </c>
      <c r="I221" t="s">
        <v>108</v>
      </c>
      <c r="J221" t="s">
        <v>80</v>
      </c>
      <c r="K221" t="s">
        <v>50</v>
      </c>
      <c r="L221" t="s">
        <v>72</v>
      </c>
      <c r="M221" t="s">
        <v>161</v>
      </c>
      <c r="N221" t="s">
        <v>162</v>
      </c>
      <c r="O221" t="s">
        <v>43</v>
      </c>
      <c r="P221" t="s">
        <v>163</v>
      </c>
      <c r="Q221">
        <v>37985.67</v>
      </c>
      <c r="R221">
        <v>41054.629999999997</v>
      </c>
      <c r="S221">
        <v>26364.12</v>
      </c>
      <c r="T221">
        <v>2829.33</v>
      </c>
      <c r="U221">
        <v>2312.2600000000002</v>
      </c>
      <c r="V221">
        <v>3918.33</v>
      </c>
      <c r="W221">
        <v>933.22</v>
      </c>
      <c r="X221">
        <v>36357.25</v>
      </c>
      <c r="Y221">
        <v>11621.55</v>
      </c>
      <c r="Z221">
        <v>-24735.7</v>
      </c>
      <c r="AA221">
        <v>-0.58140000000000003</v>
      </c>
      <c r="AB221">
        <v>-3068.96</v>
      </c>
      <c r="AC221">
        <v>0</v>
      </c>
      <c r="AD221">
        <v>4558.28</v>
      </c>
      <c r="AE221">
        <v>42543.95</v>
      </c>
    </row>
    <row r="222" spans="1:31" x14ac:dyDescent="0.25">
      <c r="A222" t="s">
        <v>421</v>
      </c>
      <c r="B222" s="2">
        <v>45797</v>
      </c>
      <c r="C222" t="s">
        <v>65</v>
      </c>
      <c r="D222" t="s">
        <v>66</v>
      </c>
      <c r="E222">
        <v>2025</v>
      </c>
      <c r="F222" t="s">
        <v>47</v>
      </c>
      <c r="G222" t="s">
        <v>35</v>
      </c>
      <c r="H222" t="s">
        <v>48</v>
      </c>
      <c r="I222" t="s">
        <v>265</v>
      </c>
      <c r="J222" t="s">
        <v>80</v>
      </c>
      <c r="K222" t="s">
        <v>39</v>
      </c>
      <c r="L222" t="s">
        <v>81</v>
      </c>
      <c r="M222" t="s">
        <v>141</v>
      </c>
      <c r="N222" t="s">
        <v>142</v>
      </c>
      <c r="O222" t="s">
        <v>54</v>
      </c>
      <c r="P222" t="s">
        <v>143</v>
      </c>
      <c r="Q222">
        <v>1580.36</v>
      </c>
      <c r="R222">
        <v>1464.47</v>
      </c>
      <c r="S222">
        <v>837.19</v>
      </c>
      <c r="T222">
        <v>158.74</v>
      </c>
      <c r="U222">
        <v>62.08</v>
      </c>
      <c r="V222">
        <v>65.81</v>
      </c>
      <c r="W222">
        <v>61.53</v>
      </c>
      <c r="X222">
        <v>1185.3399999999999</v>
      </c>
      <c r="Y222">
        <v>743.17</v>
      </c>
      <c r="Z222">
        <v>-442.17</v>
      </c>
      <c r="AA222">
        <v>-0.25750000000000001</v>
      </c>
      <c r="AB222">
        <v>115.89</v>
      </c>
      <c r="AC222">
        <v>47.41</v>
      </c>
      <c r="AD222">
        <v>183.95</v>
      </c>
      <c r="AE222">
        <v>1716.9</v>
      </c>
    </row>
    <row r="223" spans="1:31" x14ac:dyDescent="0.25">
      <c r="A223" t="s">
        <v>422</v>
      </c>
      <c r="B223" s="2">
        <v>45760</v>
      </c>
      <c r="C223" t="s">
        <v>128</v>
      </c>
      <c r="D223" t="s">
        <v>66</v>
      </c>
      <c r="E223">
        <v>2025</v>
      </c>
      <c r="F223" t="s">
        <v>59</v>
      </c>
      <c r="G223" t="s">
        <v>35</v>
      </c>
      <c r="H223" t="s">
        <v>254</v>
      </c>
      <c r="I223" t="s">
        <v>200</v>
      </c>
      <c r="J223" t="s">
        <v>100</v>
      </c>
      <c r="K223" t="s">
        <v>160</v>
      </c>
      <c r="L223" t="s">
        <v>40</v>
      </c>
      <c r="M223" t="s">
        <v>197</v>
      </c>
      <c r="N223" t="s">
        <v>198</v>
      </c>
      <c r="O223" t="s">
        <v>43</v>
      </c>
      <c r="P223" t="s">
        <v>163</v>
      </c>
      <c r="Q223">
        <v>49430.02</v>
      </c>
      <c r="R223">
        <v>44725.33</v>
      </c>
      <c r="S223">
        <v>29474.59</v>
      </c>
      <c r="T223">
        <v>3667.39</v>
      </c>
      <c r="U223">
        <v>3045.95</v>
      </c>
      <c r="V223">
        <v>5155.7700000000004</v>
      </c>
      <c r="W223">
        <v>731.57</v>
      </c>
      <c r="X223">
        <v>42075.27</v>
      </c>
      <c r="Y223">
        <v>19955.439999999999</v>
      </c>
      <c r="Z223">
        <v>-22119.83</v>
      </c>
      <c r="AA223">
        <v>-0.42059999999999997</v>
      </c>
      <c r="AB223">
        <v>4704.7</v>
      </c>
      <c r="AC223">
        <v>2471.5</v>
      </c>
      <c r="AD223">
        <v>5635.02</v>
      </c>
      <c r="AE223">
        <v>52593.54</v>
      </c>
    </row>
    <row r="224" spans="1:31" x14ac:dyDescent="0.25">
      <c r="A224" t="s">
        <v>423</v>
      </c>
      <c r="B224" s="2">
        <v>45985</v>
      </c>
      <c r="C224" t="s">
        <v>147</v>
      </c>
      <c r="D224" t="s">
        <v>93</v>
      </c>
      <c r="E224">
        <v>2025</v>
      </c>
      <c r="F224" t="s">
        <v>47</v>
      </c>
      <c r="G224" t="s">
        <v>35</v>
      </c>
      <c r="H224" t="s">
        <v>78</v>
      </c>
      <c r="I224" t="s">
        <v>115</v>
      </c>
      <c r="J224" t="s">
        <v>70</v>
      </c>
      <c r="K224" t="s">
        <v>50</v>
      </c>
      <c r="L224" t="s">
        <v>40</v>
      </c>
      <c r="M224" t="s">
        <v>52</v>
      </c>
      <c r="N224" t="s">
        <v>53</v>
      </c>
      <c r="O224" t="s">
        <v>54</v>
      </c>
      <c r="P224" t="s">
        <v>55</v>
      </c>
      <c r="Q224">
        <v>3291.17</v>
      </c>
      <c r="R224">
        <v>3084.55</v>
      </c>
      <c r="S224">
        <v>1853.9</v>
      </c>
      <c r="T224">
        <v>308.64</v>
      </c>
      <c r="U224">
        <v>294.45</v>
      </c>
      <c r="V224">
        <v>306.52999999999997</v>
      </c>
      <c r="W224">
        <v>55.86</v>
      </c>
      <c r="X224">
        <v>2819.38</v>
      </c>
      <c r="Y224">
        <v>1437.27</v>
      </c>
      <c r="Z224">
        <v>-1382.11</v>
      </c>
      <c r="AA224">
        <v>-0.39989999999999998</v>
      </c>
      <c r="AB224">
        <v>206.63</v>
      </c>
      <c r="AC224">
        <v>0</v>
      </c>
      <c r="AD224">
        <v>164.56</v>
      </c>
      <c r="AE224">
        <v>3455.73</v>
      </c>
    </row>
    <row r="225" spans="1:31" x14ac:dyDescent="0.25">
      <c r="A225" t="s">
        <v>424</v>
      </c>
      <c r="B225" s="2">
        <v>45760</v>
      </c>
      <c r="C225" t="s">
        <v>128</v>
      </c>
      <c r="D225" t="s">
        <v>66</v>
      </c>
      <c r="E225">
        <v>2025</v>
      </c>
      <c r="F225" t="s">
        <v>85</v>
      </c>
      <c r="G225" t="s">
        <v>35</v>
      </c>
      <c r="H225" t="s">
        <v>86</v>
      </c>
      <c r="I225" t="s">
        <v>87</v>
      </c>
      <c r="J225" t="s">
        <v>70</v>
      </c>
      <c r="K225" t="s">
        <v>39</v>
      </c>
      <c r="L225" t="s">
        <v>81</v>
      </c>
      <c r="M225" t="s">
        <v>171</v>
      </c>
      <c r="N225" t="s">
        <v>172</v>
      </c>
      <c r="O225" t="s">
        <v>173</v>
      </c>
      <c r="P225" t="s">
        <v>174</v>
      </c>
      <c r="Q225">
        <v>27544.91</v>
      </c>
      <c r="R225">
        <v>29916.85</v>
      </c>
      <c r="S225">
        <v>17572</v>
      </c>
      <c r="T225">
        <v>1635.09</v>
      </c>
      <c r="U225">
        <v>2120.4499999999998</v>
      </c>
      <c r="V225">
        <v>1373.35</v>
      </c>
      <c r="W225">
        <v>948.88</v>
      </c>
      <c r="X225">
        <v>23649.77</v>
      </c>
      <c r="Y225">
        <v>9972.92</v>
      </c>
      <c r="Z225">
        <v>-13676.86</v>
      </c>
      <c r="AA225">
        <v>-0.45700000000000002</v>
      </c>
      <c r="AB225">
        <v>-2371.94</v>
      </c>
      <c r="AC225">
        <v>826.35</v>
      </c>
      <c r="AD225">
        <v>3206.23</v>
      </c>
      <c r="AE225">
        <v>29924.79</v>
      </c>
    </row>
    <row r="226" spans="1:31" x14ac:dyDescent="0.25">
      <c r="A226" t="s">
        <v>425</v>
      </c>
      <c r="B226" s="2">
        <v>46112</v>
      </c>
      <c r="C226" t="s">
        <v>125</v>
      </c>
      <c r="D226" t="s">
        <v>58</v>
      </c>
      <c r="E226">
        <v>2026</v>
      </c>
      <c r="F226" t="s">
        <v>85</v>
      </c>
      <c r="G226" t="s">
        <v>35</v>
      </c>
      <c r="H226" t="s">
        <v>86</v>
      </c>
      <c r="I226" t="s">
        <v>87</v>
      </c>
      <c r="J226" t="s">
        <v>70</v>
      </c>
      <c r="K226" t="s">
        <v>71</v>
      </c>
      <c r="L226" t="s">
        <v>72</v>
      </c>
      <c r="M226" t="s">
        <v>235</v>
      </c>
      <c r="N226" t="s">
        <v>236</v>
      </c>
      <c r="O226" t="s">
        <v>104</v>
      </c>
      <c r="P226" t="s">
        <v>237</v>
      </c>
      <c r="Q226">
        <v>17606.22</v>
      </c>
      <c r="R226">
        <v>18412.560000000001</v>
      </c>
      <c r="S226">
        <v>10023.6</v>
      </c>
      <c r="T226">
        <v>1812.27</v>
      </c>
      <c r="U226">
        <v>601.77</v>
      </c>
      <c r="V226">
        <v>1508.33</v>
      </c>
      <c r="W226">
        <v>290.23</v>
      </c>
      <c r="X226">
        <v>14236.19</v>
      </c>
      <c r="Y226">
        <v>7582.62</v>
      </c>
      <c r="Z226">
        <v>-6653.58</v>
      </c>
      <c r="AA226">
        <v>-0.36730000000000002</v>
      </c>
      <c r="AB226">
        <v>-806.34</v>
      </c>
      <c r="AC226">
        <v>352.12</v>
      </c>
      <c r="AD226">
        <v>862.7</v>
      </c>
      <c r="AE226">
        <v>18116.8</v>
      </c>
    </row>
    <row r="227" spans="1:31" x14ac:dyDescent="0.25">
      <c r="A227" t="s">
        <v>426</v>
      </c>
      <c r="B227" s="2">
        <v>45984</v>
      </c>
      <c r="C227" t="s">
        <v>147</v>
      </c>
      <c r="D227" t="s">
        <v>93</v>
      </c>
      <c r="E227">
        <v>2025</v>
      </c>
      <c r="F227" t="s">
        <v>67</v>
      </c>
      <c r="G227" t="s">
        <v>35</v>
      </c>
      <c r="H227" t="s">
        <v>118</v>
      </c>
      <c r="I227" t="s">
        <v>209</v>
      </c>
      <c r="J227" t="s">
        <v>38</v>
      </c>
      <c r="K227" t="s">
        <v>160</v>
      </c>
      <c r="L227" t="s">
        <v>94</v>
      </c>
      <c r="M227" t="s">
        <v>197</v>
      </c>
      <c r="N227" t="s">
        <v>198</v>
      </c>
      <c r="O227" t="s">
        <v>43</v>
      </c>
      <c r="P227" t="s">
        <v>163</v>
      </c>
      <c r="Q227">
        <v>43744.19</v>
      </c>
      <c r="R227">
        <v>43316.25</v>
      </c>
      <c r="S227">
        <v>21910.77</v>
      </c>
      <c r="T227">
        <v>4135.7</v>
      </c>
      <c r="U227">
        <v>3496.6</v>
      </c>
      <c r="V227">
        <v>4535.1400000000003</v>
      </c>
      <c r="W227">
        <v>705.56</v>
      </c>
      <c r="X227">
        <v>34783.769999999997</v>
      </c>
      <c r="Y227">
        <v>21833.42</v>
      </c>
      <c r="Z227">
        <v>-12950.35</v>
      </c>
      <c r="AA227">
        <v>-0.29680000000000001</v>
      </c>
      <c r="AB227">
        <v>427.94</v>
      </c>
      <c r="AC227">
        <v>2187.21</v>
      </c>
      <c r="AD227">
        <v>2077.85</v>
      </c>
      <c r="AE227">
        <v>43634.83</v>
      </c>
    </row>
    <row r="228" spans="1:31" x14ac:dyDescent="0.25">
      <c r="A228" t="s">
        <v>427</v>
      </c>
      <c r="B228" s="2">
        <v>46001</v>
      </c>
      <c r="C228" t="s">
        <v>107</v>
      </c>
      <c r="D228" t="s">
        <v>93</v>
      </c>
      <c r="E228">
        <v>2025</v>
      </c>
      <c r="F228" t="s">
        <v>67</v>
      </c>
      <c r="G228" t="s">
        <v>35</v>
      </c>
      <c r="H228" t="s">
        <v>118</v>
      </c>
      <c r="I228" t="s">
        <v>227</v>
      </c>
      <c r="J228" t="s">
        <v>70</v>
      </c>
      <c r="K228" t="s">
        <v>50</v>
      </c>
      <c r="L228" t="s">
        <v>81</v>
      </c>
      <c r="M228" t="s">
        <v>189</v>
      </c>
      <c r="N228" t="s">
        <v>190</v>
      </c>
      <c r="O228" t="s">
        <v>104</v>
      </c>
      <c r="P228" t="s">
        <v>105</v>
      </c>
      <c r="Q228">
        <v>30670.04</v>
      </c>
      <c r="R228">
        <v>32761.69</v>
      </c>
      <c r="S228">
        <v>20244.18</v>
      </c>
      <c r="T228">
        <v>1906.57</v>
      </c>
      <c r="U228">
        <v>1680.44</v>
      </c>
      <c r="V228">
        <v>2088.5500000000002</v>
      </c>
      <c r="W228">
        <v>407.36</v>
      </c>
      <c r="X228">
        <v>26327.11</v>
      </c>
      <c r="Y228">
        <v>10425.86</v>
      </c>
      <c r="Z228">
        <v>-15901.25</v>
      </c>
      <c r="AA228">
        <v>-0.45300000000000001</v>
      </c>
      <c r="AB228">
        <v>-2091.66</v>
      </c>
      <c r="AC228">
        <v>920.1</v>
      </c>
      <c r="AD228">
        <v>5354.99</v>
      </c>
      <c r="AE228">
        <v>35104.92</v>
      </c>
    </row>
    <row r="229" spans="1:31" x14ac:dyDescent="0.25">
      <c r="A229" t="s">
        <v>428</v>
      </c>
      <c r="B229" s="2">
        <v>45856</v>
      </c>
      <c r="C229" t="s">
        <v>32</v>
      </c>
      <c r="D229" t="s">
        <v>33</v>
      </c>
      <c r="E229">
        <v>2025</v>
      </c>
      <c r="F229" t="s">
        <v>85</v>
      </c>
      <c r="G229" t="s">
        <v>35</v>
      </c>
      <c r="H229" t="s">
        <v>60</v>
      </c>
      <c r="I229" t="s">
        <v>185</v>
      </c>
      <c r="J229" t="s">
        <v>70</v>
      </c>
      <c r="K229" t="s">
        <v>160</v>
      </c>
      <c r="L229" t="s">
        <v>81</v>
      </c>
      <c r="M229" t="s">
        <v>130</v>
      </c>
      <c r="N229" t="s">
        <v>131</v>
      </c>
      <c r="O229" t="s">
        <v>43</v>
      </c>
      <c r="P229" t="s">
        <v>132</v>
      </c>
      <c r="Q229">
        <v>63621.75</v>
      </c>
      <c r="R229">
        <v>67730.2</v>
      </c>
      <c r="S229">
        <v>42149.53</v>
      </c>
      <c r="T229">
        <v>5791.73</v>
      </c>
      <c r="U229">
        <v>4502.22</v>
      </c>
      <c r="V229">
        <v>7304.65</v>
      </c>
      <c r="W229">
        <v>1473.05</v>
      </c>
      <c r="X229">
        <v>61221.17</v>
      </c>
      <c r="Y229">
        <v>21472.22</v>
      </c>
      <c r="Z229">
        <v>-39748.949999999997</v>
      </c>
      <c r="AA229">
        <v>-0.58720000000000006</v>
      </c>
      <c r="AB229">
        <v>-4108.4399999999996</v>
      </c>
      <c r="AC229">
        <v>3181.09</v>
      </c>
      <c r="AD229">
        <v>7252.88</v>
      </c>
      <c r="AE229">
        <v>67693.55</v>
      </c>
    </row>
    <row r="230" spans="1:31" x14ac:dyDescent="0.25">
      <c r="A230" t="s">
        <v>429</v>
      </c>
      <c r="B230" s="2">
        <v>45918</v>
      </c>
      <c r="C230" t="s">
        <v>46</v>
      </c>
      <c r="D230" t="s">
        <v>33</v>
      </c>
      <c r="E230">
        <v>2025</v>
      </c>
      <c r="F230" t="s">
        <v>59</v>
      </c>
      <c r="G230" t="s">
        <v>35</v>
      </c>
      <c r="H230" t="s">
        <v>254</v>
      </c>
      <c r="I230" t="s">
        <v>255</v>
      </c>
      <c r="J230" t="s">
        <v>80</v>
      </c>
      <c r="K230" t="s">
        <v>39</v>
      </c>
      <c r="L230" t="s">
        <v>72</v>
      </c>
      <c r="M230" t="s">
        <v>186</v>
      </c>
      <c r="N230" t="s">
        <v>187</v>
      </c>
      <c r="O230" t="s">
        <v>173</v>
      </c>
      <c r="P230" t="s">
        <v>174</v>
      </c>
      <c r="Q230">
        <v>34313.94</v>
      </c>
      <c r="R230">
        <v>35356.49</v>
      </c>
      <c r="S230">
        <v>16884.46</v>
      </c>
      <c r="T230">
        <v>1811.53</v>
      </c>
      <c r="U230">
        <v>2087.16</v>
      </c>
      <c r="V230">
        <v>2575.41</v>
      </c>
      <c r="W230">
        <v>1350.99</v>
      </c>
      <c r="X230">
        <v>24709.55</v>
      </c>
      <c r="Y230">
        <v>17429.48</v>
      </c>
      <c r="Z230">
        <v>-7280.07</v>
      </c>
      <c r="AA230">
        <v>-0.2021</v>
      </c>
      <c r="AB230">
        <v>-1042.55</v>
      </c>
      <c r="AC230">
        <v>0</v>
      </c>
      <c r="AD230">
        <v>1715.7</v>
      </c>
      <c r="AE230">
        <v>36029.64</v>
      </c>
    </row>
    <row r="231" spans="1:31" x14ac:dyDescent="0.25">
      <c r="A231" t="s">
        <v>430</v>
      </c>
      <c r="B231" s="2">
        <v>45845</v>
      </c>
      <c r="C231" t="s">
        <v>32</v>
      </c>
      <c r="D231" t="s">
        <v>33</v>
      </c>
      <c r="E231">
        <v>2025</v>
      </c>
      <c r="F231" t="s">
        <v>47</v>
      </c>
      <c r="G231" t="s">
        <v>35</v>
      </c>
      <c r="H231" t="s">
        <v>78</v>
      </c>
      <c r="I231" t="s">
        <v>183</v>
      </c>
      <c r="J231" t="s">
        <v>38</v>
      </c>
      <c r="K231" t="s">
        <v>71</v>
      </c>
      <c r="L231" t="s">
        <v>94</v>
      </c>
      <c r="M231" t="s">
        <v>141</v>
      </c>
      <c r="N231" t="s">
        <v>142</v>
      </c>
      <c r="O231" t="s">
        <v>54</v>
      </c>
      <c r="P231" t="s">
        <v>143</v>
      </c>
      <c r="Q231">
        <v>2897.26</v>
      </c>
      <c r="R231">
        <v>2879.66</v>
      </c>
      <c r="S231">
        <v>1947.96</v>
      </c>
      <c r="T231">
        <v>235.74</v>
      </c>
      <c r="U231">
        <v>213.82</v>
      </c>
      <c r="V231">
        <v>144.97999999999999</v>
      </c>
      <c r="W231">
        <v>107.33</v>
      </c>
      <c r="X231">
        <v>2649.83</v>
      </c>
      <c r="Y231">
        <v>949.3</v>
      </c>
      <c r="Z231">
        <v>-1700.54</v>
      </c>
      <c r="AA231">
        <v>-0.50760000000000005</v>
      </c>
      <c r="AB231">
        <v>17.600000000000001</v>
      </c>
      <c r="AC231">
        <v>57.95</v>
      </c>
      <c r="AD231">
        <v>511.08</v>
      </c>
      <c r="AE231">
        <v>3350.39</v>
      </c>
    </row>
    <row r="232" spans="1:31" x14ac:dyDescent="0.25">
      <c r="A232" t="s">
        <v>431</v>
      </c>
      <c r="B232" s="2">
        <v>46088</v>
      </c>
      <c r="C232" t="s">
        <v>125</v>
      </c>
      <c r="D232" t="s">
        <v>58</v>
      </c>
      <c r="E232">
        <v>2026</v>
      </c>
      <c r="F232" t="s">
        <v>34</v>
      </c>
      <c r="G232" t="s">
        <v>35</v>
      </c>
      <c r="H232" t="s">
        <v>134</v>
      </c>
      <c r="I232" t="s">
        <v>135</v>
      </c>
      <c r="J232" t="s">
        <v>100</v>
      </c>
      <c r="K232" t="s">
        <v>50</v>
      </c>
      <c r="L232" t="s">
        <v>81</v>
      </c>
      <c r="M232" t="s">
        <v>189</v>
      </c>
      <c r="N232" t="s">
        <v>190</v>
      </c>
      <c r="O232" t="s">
        <v>104</v>
      </c>
      <c r="P232" t="s">
        <v>105</v>
      </c>
      <c r="Q232">
        <v>25575.09</v>
      </c>
      <c r="R232">
        <v>28454.16</v>
      </c>
      <c r="S232">
        <v>13714.95</v>
      </c>
      <c r="T232">
        <v>1984.8</v>
      </c>
      <c r="U232">
        <v>689.42</v>
      </c>
      <c r="V232">
        <v>2990.22</v>
      </c>
      <c r="W232">
        <v>853.58</v>
      </c>
      <c r="X232">
        <v>20232.98</v>
      </c>
      <c r="Y232">
        <v>11860.14</v>
      </c>
      <c r="Z232">
        <v>-8372.84</v>
      </c>
      <c r="AA232">
        <v>-0.32479999999999998</v>
      </c>
      <c r="AB232">
        <v>-2879.07</v>
      </c>
      <c r="AC232">
        <v>2557.5100000000002</v>
      </c>
      <c r="AD232">
        <v>2762.11</v>
      </c>
      <c r="AE232">
        <v>25779.69</v>
      </c>
    </row>
    <row r="233" spans="1:31" x14ac:dyDescent="0.25">
      <c r="A233" t="s">
        <v>432</v>
      </c>
      <c r="B233" s="2">
        <v>46020</v>
      </c>
      <c r="C233" t="s">
        <v>107</v>
      </c>
      <c r="D233" t="s">
        <v>93</v>
      </c>
      <c r="E233">
        <v>2025</v>
      </c>
      <c r="F233" t="s">
        <v>34</v>
      </c>
      <c r="G233" t="s">
        <v>35</v>
      </c>
      <c r="H233" t="s">
        <v>134</v>
      </c>
      <c r="I233" t="s">
        <v>135</v>
      </c>
      <c r="J233" t="s">
        <v>38</v>
      </c>
      <c r="K233" t="s">
        <v>71</v>
      </c>
      <c r="L233" t="s">
        <v>81</v>
      </c>
      <c r="M233" t="s">
        <v>41</v>
      </c>
      <c r="N233" t="s">
        <v>42</v>
      </c>
      <c r="O233" t="s">
        <v>43</v>
      </c>
      <c r="P233" t="s">
        <v>44</v>
      </c>
      <c r="Q233">
        <v>40135.99</v>
      </c>
      <c r="R233">
        <v>46312.08</v>
      </c>
      <c r="S233">
        <v>22538.16</v>
      </c>
      <c r="T233">
        <v>3469.74</v>
      </c>
      <c r="U233">
        <v>2772.49</v>
      </c>
      <c r="V233">
        <v>3349.02</v>
      </c>
      <c r="W233">
        <v>888.65</v>
      </c>
      <c r="X233">
        <v>33018.050000000003</v>
      </c>
      <c r="Y233">
        <v>17597.830000000002</v>
      </c>
      <c r="Z233">
        <v>-15420.22</v>
      </c>
      <c r="AA233">
        <v>-0.3357</v>
      </c>
      <c r="AB233">
        <v>-6176.1</v>
      </c>
      <c r="AC233">
        <v>1204.08</v>
      </c>
      <c r="AD233">
        <v>7007.74</v>
      </c>
      <c r="AE233">
        <v>45939.65</v>
      </c>
    </row>
    <row r="234" spans="1:31" x14ac:dyDescent="0.25">
      <c r="A234" t="s">
        <v>433</v>
      </c>
      <c r="B234" s="2">
        <v>45999</v>
      </c>
      <c r="C234" t="s">
        <v>107</v>
      </c>
      <c r="D234" t="s">
        <v>93</v>
      </c>
      <c r="E234">
        <v>2025</v>
      </c>
      <c r="F234" t="s">
        <v>47</v>
      </c>
      <c r="G234" t="s">
        <v>35</v>
      </c>
      <c r="H234" t="s">
        <v>78</v>
      </c>
      <c r="I234" t="s">
        <v>183</v>
      </c>
      <c r="J234" t="s">
        <v>38</v>
      </c>
      <c r="K234" t="s">
        <v>50</v>
      </c>
      <c r="L234" t="s">
        <v>40</v>
      </c>
      <c r="M234" t="s">
        <v>171</v>
      </c>
      <c r="N234" t="s">
        <v>172</v>
      </c>
      <c r="O234" t="s">
        <v>173</v>
      </c>
      <c r="P234" t="s">
        <v>174</v>
      </c>
      <c r="Q234">
        <v>39821.29</v>
      </c>
      <c r="R234">
        <v>37261.57</v>
      </c>
      <c r="S234">
        <v>22674.33</v>
      </c>
      <c r="T234">
        <v>4949.41</v>
      </c>
      <c r="U234">
        <v>1155.52</v>
      </c>
      <c r="V234">
        <v>1887.08</v>
      </c>
      <c r="W234">
        <v>625.1</v>
      </c>
      <c r="X234">
        <v>31291.439999999999</v>
      </c>
      <c r="Y234">
        <v>17146.96</v>
      </c>
      <c r="Z234">
        <v>-14144.47</v>
      </c>
      <c r="AA234">
        <v>-0.35610000000000003</v>
      </c>
      <c r="AB234">
        <v>2559.7199999999998</v>
      </c>
      <c r="AC234">
        <v>1991.06</v>
      </c>
      <c r="AD234">
        <v>1891.51</v>
      </c>
      <c r="AE234">
        <v>39721.74</v>
      </c>
    </row>
    <row r="235" spans="1:31" x14ac:dyDescent="0.25">
      <c r="A235" t="s">
        <v>434</v>
      </c>
      <c r="B235" s="2">
        <v>45889</v>
      </c>
      <c r="C235" t="s">
        <v>117</v>
      </c>
      <c r="D235" t="s">
        <v>33</v>
      </c>
      <c r="E235">
        <v>2025</v>
      </c>
      <c r="F235" t="s">
        <v>67</v>
      </c>
      <c r="G235" t="s">
        <v>35</v>
      </c>
      <c r="H235" t="s">
        <v>217</v>
      </c>
      <c r="I235" t="s">
        <v>218</v>
      </c>
      <c r="J235" t="s">
        <v>70</v>
      </c>
      <c r="K235" t="s">
        <v>50</v>
      </c>
      <c r="L235" t="s">
        <v>40</v>
      </c>
      <c r="M235" t="s">
        <v>62</v>
      </c>
      <c r="N235" t="s">
        <v>63</v>
      </c>
      <c r="O235" t="s">
        <v>54</v>
      </c>
      <c r="P235" t="s">
        <v>55</v>
      </c>
      <c r="Q235">
        <v>8487.4</v>
      </c>
      <c r="R235">
        <v>8940.35</v>
      </c>
      <c r="S235">
        <v>5916.11</v>
      </c>
      <c r="T235">
        <v>979.38</v>
      </c>
      <c r="U235">
        <v>629.83000000000004</v>
      </c>
      <c r="V235">
        <v>377.25</v>
      </c>
      <c r="W235">
        <v>86.92</v>
      </c>
      <c r="X235">
        <v>7989.5</v>
      </c>
      <c r="Y235">
        <v>2571.29</v>
      </c>
      <c r="Z235">
        <v>-5418.21</v>
      </c>
      <c r="AA235">
        <v>-0.55200000000000005</v>
      </c>
      <c r="AB235">
        <v>-452.95</v>
      </c>
      <c r="AC235">
        <v>169.75</v>
      </c>
      <c r="AD235">
        <v>1497.18</v>
      </c>
      <c r="AE235">
        <v>9814.83</v>
      </c>
    </row>
    <row r="236" spans="1:31" x14ac:dyDescent="0.25">
      <c r="A236" t="s">
        <v>435</v>
      </c>
      <c r="B236" s="2">
        <v>46029</v>
      </c>
      <c r="C236" t="s">
        <v>77</v>
      </c>
      <c r="D236" t="s">
        <v>58</v>
      </c>
      <c r="E236">
        <v>2026</v>
      </c>
      <c r="F236" t="s">
        <v>34</v>
      </c>
      <c r="G236" t="s">
        <v>35</v>
      </c>
      <c r="H236" t="s">
        <v>36</v>
      </c>
      <c r="I236" t="s">
        <v>37</v>
      </c>
      <c r="J236" t="s">
        <v>100</v>
      </c>
      <c r="K236" t="s">
        <v>160</v>
      </c>
      <c r="L236" t="s">
        <v>72</v>
      </c>
      <c r="M236" t="s">
        <v>171</v>
      </c>
      <c r="N236" t="s">
        <v>172</v>
      </c>
      <c r="O236" t="s">
        <v>173</v>
      </c>
      <c r="P236" t="s">
        <v>174</v>
      </c>
      <c r="Q236">
        <v>24056.62</v>
      </c>
      <c r="R236">
        <v>22545.46</v>
      </c>
      <c r="S236">
        <v>12613.17</v>
      </c>
      <c r="T236">
        <v>1861.23</v>
      </c>
      <c r="U236">
        <v>1273.73</v>
      </c>
      <c r="V236">
        <v>2561.4499999999998</v>
      </c>
      <c r="W236">
        <v>341.51</v>
      </c>
      <c r="X236">
        <v>18651.09</v>
      </c>
      <c r="Y236">
        <v>11443.45</v>
      </c>
      <c r="Z236">
        <v>-7207.64</v>
      </c>
      <c r="AA236">
        <v>-0.28160000000000002</v>
      </c>
      <c r="AB236">
        <v>1511.17</v>
      </c>
      <c r="AC236">
        <v>1202.83</v>
      </c>
      <c r="AD236">
        <v>2742.45</v>
      </c>
      <c r="AE236">
        <v>25596.25</v>
      </c>
    </row>
    <row r="237" spans="1:31" x14ac:dyDescent="0.25">
      <c r="A237" t="s">
        <v>436</v>
      </c>
      <c r="B237" s="2">
        <v>46041</v>
      </c>
      <c r="C237" t="s">
        <v>77</v>
      </c>
      <c r="D237" t="s">
        <v>58</v>
      </c>
      <c r="E237">
        <v>2026</v>
      </c>
      <c r="F237" t="s">
        <v>34</v>
      </c>
      <c r="G237" t="s">
        <v>35</v>
      </c>
      <c r="H237" t="s">
        <v>157</v>
      </c>
      <c r="I237" t="s">
        <v>194</v>
      </c>
      <c r="J237" t="s">
        <v>100</v>
      </c>
      <c r="K237" t="s">
        <v>39</v>
      </c>
      <c r="L237" t="s">
        <v>94</v>
      </c>
      <c r="M237" t="s">
        <v>110</v>
      </c>
      <c r="N237" t="s">
        <v>111</v>
      </c>
      <c r="O237" t="s">
        <v>112</v>
      </c>
      <c r="P237" t="s">
        <v>113</v>
      </c>
      <c r="Q237">
        <v>12288.98</v>
      </c>
      <c r="R237">
        <v>11617.67</v>
      </c>
      <c r="S237">
        <v>5943.47</v>
      </c>
      <c r="T237">
        <v>1186.05</v>
      </c>
      <c r="U237">
        <v>391.78</v>
      </c>
      <c r="V237">
        <v>1349.84</v>
      </c>
      <c r="W237">
        <v>347.9</v>
      </c>
      <c r="X237">
        <v>9219.0499999999993</v>
      </c>
      <c r="Y237">
        <v>6345.51</v>
      </c>
      <c r="Z237">
        <v>-2873.54</v>
      </c>
      <c r="AA237">
        <v>-0.2198</v>
      </c>
      <c r="AB237">
        <v>671.32</v>
      </c>
      <c r="AC237">
        <v>614.45000000000005</v>
      </c>
      <c r="AD237">
        <v>1400.94</v>
      </c>
      <c r="AE237">
        <v>13075.48</v>
      </c>
    </row>
    <row r="238" spans="1:31" x14ac:dyDescent="0.25">
      <c r="A238" t="s">
        <v>437</v>
      </c>
      <c r="B238" s="2">
        <v>45885</v>
      </c>
      <c r="C238" t="s">
        <v>117</v>
      </c>
      <c r="D238" t="s">
        <v>33</v>
      </c>
      <c r="E238">
        <v>2025</v>
      </c>
      <c r="F238" t="s">
        <v>47</v>
      </c>
      <c r="G238" t="s">
        <v>35</v>
      </c>
      <c r="H238" t="s">
        <v>214</v>
      </c>
      <c r="I238" t="s">
        <v>215</v>
      </c>
      <c r="J238" t="s">
        <v>70</v>
      </c>
      <c r="K238" t="s">
        <v>71</v>
      </c>
      <c r="L238" t="s">
        <v>81</v>
      </c>
      <c r="M238" t="s">
        <v>189</v>
      </c>
      <c r="N238" t="s">
        <v>190</v>
      </c>
      <c r="O238" t="s">
        <v>104</v>
      </c>
      <c r="P238" t="s">
        <v>105</v>
      </c>
      <c r="Q238">
        <v>6517.27</v>
      </c>
      <c r="R238">
        <v>5915.4</v>
      </c>
      <c r="S238">
        <v>4043.44</v>
      </c>
      <c r="T238">
        <v>443.84</v>
      </c>
      <c r="U238">
        <v>542.37</v>
      </c>
      <c r="V238">
        <v>669.19</v>
      </c>
      <c r="W238">
        <v>224.78</v>
      </c>
      <c r="X238">
        <v>5923.62</v>
      </c>
      <c r="Y238">
        <v>2473.83</v>
      </c>
      <c r="Z238">
        <v>-3449.79</v>
      </c>
      <c r="AA238">
        <v>-0.47220000000000001</v>
      </c>
      <c r="AB238">
        <v>601.87</v>
      </c>
      <c r="AC238">
        <v>325.86</v>
      </c>
      <c r="AD238">
        <v>1114.45</v>
      </c>
      <c r="AE238">
        <v>7305.86</v>
      </c>
    </row>
    <row r="239" spans="1:31" x14ac:dyDescent="0.25">
      <c r="A239" t="s">
        <v>438</v>
      </c>
      <c r="B239" s="2">
        <v>45855</v>
      </c>
      <c r="C239" t="s">
        <v>32</v>
      </c>
      <c r="D239" t="s">
        <v>33</v>
      </c>
      <c r="E239">
        <v>2025</v>
      </c>
      <c r="F239" t="s">
        <v>59</v>
      </c>
      <c r="G239" t="s">
        <v>35</v>
      </c>
      <c r="H239" t="s">
        <v>230</v>
      </c>
      <c r="I239" t="s">
        <v>231</v>
      </c>
      <c r="J239" t="s">
        <v>70</v>
      </c>
      <c r="K239" t="s">
        <v>71</v>
      </c>
      <c r="L239" t="s">
        <v>81</v>
      </c>
      <c r="M239" t="s">
        <v>62</v>
      </c>
      <c r="N239" t="s">
        <v>63</v>
      </c>
      <c r="O239" t="s">
        <v>54</v>
      </c>
      <c r="P239" t="s">
        <v>55</v>
      </c>
      <c r="Q239">
        <v>1765.29</v>
      </c>
      <c r="R239">
        <v>1680.59</v>
      </c>
      <c r="S239">
        <v>908.48</v>
      </c>
      <c r="T239">
        <v>104.6</v>
      </c>
      <c r="U239">
        <v>47.26</v>
      </c>
      <c r="V239">
        <v>144.55000000000001</v>
      </c>
      <c r="W239">
        <v>31.14</v>
      </c>
      <c r="X239">
        <v>1236.03</v>
      </c>
      <c r="Y239">
        <v>856.81</v>
      </c>
      <c r="Z239">
        <v>-379.22</v>
      </c>
      <c r="AA239">
        <v>-0.21310000000000001</v>
      </c>
      <c r="AB239">
        <v>84.7</v>
      </c>
      <c r="AC239">
        <v>176.53</v>
      </c>
      <c r="AD239">
        <v>190.65</v>
      </c>
      <c r="AE239">
        <v>1779.41</v>
      </c>
    </row>
    <row r="240" spans="1:31" x14ac:dyDescent="0.25">
      <c r="A240" t="s">
        <v>439</v>
      </c>
      <c r="B240" s="2">
        <v>45996</v>
      </c>
      <c r="C240" t="s">
        <v>107</v>
      </c>
      <c r="D240" t="s">
        <v>93</v>
      </c>
      <c r="E240">
        <v>2025</v>
      </c>
      <c r="F240" t="s">
        <v>34</v>
      </c>
      <c r="G240" t="s">
        <v>35</v>
      </c>
      <c r="H240" t="s">
        <v>157</v>
      </c>
      <c r="I240" t="s">
        <v>194</v>
      </c>
      <c r="J240" t="s">
        <v>80</v>
      </c>
      <c r="K240" t="s">
        <v>71</v>
      </c>
      <c r="L240" t="s">
        <v>51</v>
      </c>
      <c r="M240" t="s">
        <v>189</v>
      </c>
      <c r="N240" t="s">
        <v>190</v>
      </c>
      <c r="O240" t="s">
        <v>104</v>
      </c>
      <c r="P240" t="s">
        <v>105</v>
      </c>
      <c r="Q240">
        <v>19654.61</v>
      </c>
      <c r="R240">
        <v>17601.400000000001</v>
      </c>
      <c r="S240">
        <v>12063.1</v>
      </c>
      <c r="T240">
        <v>1228.08</v>
      </c>
      <c r="U240">
        <v>1557.6</v>
      </c>
      <c r="V240">
        <v>1349.62</v>
      </c>
      <c r="W240">
        <v>824.54</v>
      </c>
      <c r="X240">
        <v>17022.93</v>
      </c>
      <c r="Y240">
        <v>7591.5</v>
      </c>
      <c r="Z240">
        <v>-9431.43</v>
      </c>
      <c r="AA240">
        <v>-0.48110000000000003</v>
      </c>
      <c r="AB240">
        <v>2053.1999999999998</v>
      </c>
      <c r="AC240">
        <v>982.73</v>
      </c>
      <c r="AD240">
        <v>933.59</v>
      </c>
      <c r="AE240">
        <v>19605.47</v>
      </c>
    </row>
    <row r="241" spans="1:31" x14ac:dyDescent="0.25">
      <c r="A241" t="s">
        <v>440</v>
      </c>
      <c r="B241" s="2">
        <v>45819</v>
      </c>
      <c r="C241" t="s">
        <v>156</v>
      </c>
      <c r="D241" t="s">
        <v>66</v>
      </c>
      <c r="E241">
        <v>2025</v>
      </c>
      <c r="F241" t="s">
        <v>34</v>
      </c>
      <c r="G241" t="s">
        <v>35</v>
      </c>
      <c r="H241" t="s">
        <v>157</v>
      </c>
      <c r="I241" t="s">
        <v>158</v>
      </c>
      <c r="J241" t="s">
        <v>70</v>
      </c>
      <c r="K241" t="s">
        <v>71</v>
      </c>
      <c r="L241" t="s">
        <v>81</v>
      </c>
      <c r="M241" t="s">
        <v>88</v>
      </c>
      <c r="N241" t="s">
        <v>89</v>
      </c>
      <c r="O241" t="s">
        <v>43</v>
      </c>
      <c r="P241" t="s">
        <v>90</v>
      </c>
      <c r="Q241">
        <v>21746.95</v>
      </c>
      <c r="R241">
        <v>19636.849999999999</v>
      </c>
      <c r="S241">
        <v>12634.6</v>
      </c>
      <c r="T241">
        <v>2134.13</v>
      </c>
      <c r="U241">
        <v>1868.33</v>
      </c>
      <c r="V241">
        <v>1412.34</v>
      </c>
      <c r="W241">
        <v>407.58</v>
      </c>
      <c r="X241">
        <v>18456.98</v>
      </c>
      <c r="Y241">
        <v>9112.35</v>
      </c>
      <c r="Z241">
        <v>-9344.6299999999992</v>
      </c>
      <c r="AA241">
        <v>-0.38329999999999997</v>
      </c>
      <c r="AB241">
        <v>2110.1</v>
      </c>
      <c r="AC241">
        <v>1087.3499999999999</v>
      </c>
      <c r="AD241">
        <v>3718.73</v>
      </c>
      <c r="AE241">
        <v>24378.33</v>
      </c>
    </row>
    <row r="242" spans="1:31" x14ac:dyDescent="0.25">
      <c r="A242" t="s">
        <v>441</v>
      </c>
      <c r="B242" s="2">
        <v>46020</v>
      </c>
      <c r="C242" t="s">
        <v>107</v>
      </c>
      <c r="D242" t="s">
        <v>93</v>
      </c>
      <c r="E242">
        <v>2025</v>
      </c>
      <c r="F242" t="s">
        <v>85</v>
      </c>
      <c r="G242" t="s">
        <v>35</v>
      </c>
      <c r="H242" t="s">
        <v>178</v>
      </c>
      <c r="I242" t="s">
        <v>329</v>
      </c>
      <c r="J242" t="s">
        <v>70</v>
      </c>
      <c r="K242" t="s">
        <v>101</v>
      </c>
      <c r="L242" t="s">
        <v>51</v>
      </c>
      <c r="M242" t="s">
        <v>221</v>
      </c>
      <c r="N242" t="s">
        <v>222</v>
      </c>
      <c r="O242" t="s">
        <v>104</v>
      </c>
      <c r="P242" t="s">
        <v>223</v>
      </c>
      <c r="Q242">
        <v>7011.08</v>
      </c>
      <c r="R242">
        <v>7533.2</v>
      </c>
      <c r="S242">
        <v>3754.82</v>
      </c>
      <c r="T242">
        <v>732.72</v>
      </c>
      <c r="U242">
        <v>603.74</v>
      </c>
      <c r="V242">
        <v>306.68</v>
      </c>
      <c r="W242">
        <v>148.55000000000001</v>
      </c>
      <c r="X242">
        <v>5546.51</v>
      </c>
      <c r="Y242">
        <v>3256.26</v>
      </c>
      <c r="Z242">
        <v>-2290.25</v>
      </c>
      <c r="AA242">
        <v>-0.28539999999999999</v>
      </c>
      <c r="AB242">
        <v>-522.12</v>
      </c>
      <c r="AC242">
        <v>210.33</v>
      </c>
      <c r="AD242">
        <v>1224.1300000000001</v>
      </c>
      <c r="AE242">
        <v>8024.88</v>
      </c>
    </row>
    <row r="243" spans="1:31" x14ac:dyDescent="0.25">
      <c r="A243" t="s">
        <v>442</v>
      </c>
      <c r="B243" s="2">
        <v>45797</v>
      </c>
      <c r="C243" t="s">
        <v>65</v>
      </c>
      <c r="D243" t="s">
        <v>66</v>
      </c>
      <c r="E243">
        <v>2025</v>
      </c>
      <c r="F243" t="s">
        <v>59</v>
      </c>
      <c r="G243" t="s">
        <v>35</v>
      </c>
      <c r="H243" t="s">
        <v>60</v>
      </c>
      <c r="I243" t="s">
        <v>61</v>
      </c>
      <c r="J243" t="s">
        <v>100</v>
      </c>
      <c r="K243" t="s">
        <v>39</v>
      </c>
      <c r="L243" t="s">
        <v>81</v>
      </c>
      <c r="M243" t="s">
        <v>171</v>
      </c>
      <c r="N243" t="s">
        <v>172</v>
      </c>
      <c r="O243" t="s">
        <v>173</v>
      </c>
      <c r="P243" t="s">
        <v>174</v>
      </c>
      <c r="Q243">
        <v>12065.44</v>
      </c>
      <c r="R243">
        <v>12631.29</v>
      </c>
      <c r="S243">
        <v>5875.84</v>
      </c>
      <c r="T243">
        <v>1478.98</v>
      </c>
      <c r="U243">
        <v>424.2</v>
      </c>
      <c r="V243">
        <v>695.06</v>
      </c>
      <c r="W243">
        <v>339.52</v>
      </c>
      <c r="X243">
        <v>8813.59</v>
      </c>
      <c r="Y243">
        <v>6189.61</v>
      </c>
      <c r="Z243">
        <v>-2623.99</v>
      </c>
      <c r="AA243">
        <v>-0.218</v>
      </c>
      <c r="AB243">
        <v>-565.85</v>
      </c>
      <c r="AC243">
        <v>603.27</v>
      </c>
      <c r="AD243">
        <v>573.11</v>
      </c>
      <c r="AE243">
        <v>12035.28</v>
      </c>
    </row>
    <row r="244" spans="1:31" x14ac:dyDescent="0.25">
      <c r="A244" t="s">
        <v>443</v>
      </c>
      <c r="B244" s="2">
        <v>45883</v>
      </c>
      <c r="C244" t="s">
        <v>117</v>
      </c>
      <c r="D244" t="s">
        <v>33</v>
      </c>
      <c r="E244">
        <v>2025</v>
      </c>
      <c r="F244" t="s">
        <v>67</v>
      </c>
      <c r="G244" t="s">
        <v>35</v>
      </c>
      <c r="H244" t="s">
        <v>217</v>
      </c>
      <c r="I244" t="s">
        <v>241</v>
      </c>
      <c r="J244" t="s">
        <v>80</v>
      </c>
      <c r="K244" t="s">
        <v>50</v>
      </c>
      <c r="L244" t="s">
        <v>40</v>
      </c>
      <c r="M244" t="s">
        <v>141</v>
      </c>
      <c r="N244" t="s">
        <v>142</v>
      </c>
      <c r="O244" t="s">
        <v>54</v>
      </c>
      <c r="P244" t="s">
        <v>143</v>
      </c>
      <c r="Q244">
        <v>1637.46</v>
      </c>
      <c r="R244">
        <v>1627.45</v>
      </c>
      <c r="S244">
        <v>910.4</v>
      </c>
      <c r="T244">
        <v>119.3</v>
      </c>
      <c r="U244">
        <v>50.66</v>
      </c>
      <c r="V244">
        <v>106.74</v>
      </c>
      <c r="W244">
        <v>18.84</v>
      </c>
      <c r="X244">
        <v>1205.94</v>
      </c>
      <c r="Y244">
        <v>727.06</v>
      </c>
      <c r="Z244">
        <v>-478.88</v>
      </c>
      <c r="AA244">
        <v>-0.2838</v>
      </c>
      <c r="AB244">
        <v>10.01</v>
      </c>
      <c r="AC244">
        <v>131</v>
      </c>
      <c r="AD244">
        <v>180.78</v>
      </c>
      <c r="AE244">
        <v>1687.24</v>
      </c>
    </row>
    <row r="245" spans="1:31" x14ac:dyDescent="0.25">
      <c r="A245" t="s">
        <v>444</v>
      </c>
      <c r="B245" s="2">
        <v>45845</v>
      </c>
      <c r="C245" t="s">
        <v>32</v>
      </c>
      <c r="D245" t="s">
        <v>33</v>
      </c>
      <c r="E245">
        <v>2025</v>
      </c>
      <c r="F245" t="s">
        <v>34</v>
      </c>
      <c r="G245" t="s">
        <v>35</v>
      </c>
      <c r="H245" t="s">
        <v>98</v>
      </c>
      <c r="I245" t="s">
        <v>149</v>
      </c>
      <c r="J245" t="s">
        <v>80</v>
      </c>
      <c r="K245" t="s">
        <v>50</v>
      </c>
      <c r="L245" t="s">
        <v>40</v>
      </c>
      <c r="M245" t="s">
        <v>235</v>
      </c>
      <c r="N245" t="s">
        <v>236</v>
      </c>
      <c r="O245" t="s">
        <v>104</v>
      </c>
      <c r="P245" t="s">
        <v>237</v>
      </c>
      <c r="Q245">
        <v>9051.4599999999991</v>
      </c>
      <c r="R245">
        <v>9324.2999999999993</v>
      </c>
      <c r="S245">
        <v>5287</v>
      </c>
      <c r="T245">
        <v>633.24</v>
      </c>
      <c r="U245">
        <v>548.39</v>
      </c>
      <c r="V245">
        <v>560.74</v>
      </c>
      <c r="W245">
        <v>376.14</v>
      </c>
      <c r="X245">
        <v>7405.51</v>
      </c>
      <c r="Y245">
        <v>3764.46</v>
      </c>
      <c r="Z245">
        <v>-3641.06</v>
      </c>
      <c r="AA245">
        <v>-0.34789999999999999</v>
      </c>
      <c r="AB245">
        <v>-272.83999999999997</v>
      </c>
      <c r="AC245">
        <v>181.03</v>
      </c>
      <c r="AD245">
        <v>1596.68</v>
      </c>
      <c r="AE245">
        <v>10467.11</v>
      </c>
    </row>
    <row r="246" spans="1:31" x14ac:dyDescent="0.25">
      <c r="A246" t="s">
        <v>445</v>
      </c>
      <c r="B246" s="2">
        <v>46070</v>
      </c>
      <c r="C246" t="s">
        <v>57</v>
      </c>
      <c r="D246" t="s">
        <v>58</v>
      </c>
      <c r="E246">
        <v>2026</v>
      </c>
      <c r="F246" t="s">
        <v>34</v>
      </c>
      <c r="G246" t="s">
        <v>35</v>
      </c>
      <c r="H246" t="s">
        <v>36</v>
      </c>
      <c r="I246" t="s">
        <v>145</v>
      </c>
      <c r="J246" t="s">
        <v>38</v>
      </c>
      <c r="K246" t="s">
        <v>160</v>
      </c>
      <c r="L246" t="s">
        <v>72</v>
      </c>
      <c r="M246" t="s">
        <v>130</v>
      </c>
      <c r="N246" t="s">
        <v>131</v>
      </c>
      <c r="O246" t="s">
        <v>43</v>
      </c>
      <c r="P246" t="s">
        <v>132</v>
      </c>
      <c r="Q246">
        <v>50012.66</v>
      </c>
      <c r="R246">
        <v>54080.08</v>
      </c>
      <c r="S246">
        <v>33673.68</v>
      </c>
      <c r="T246">
        <v>6288.62</v>
      </c>
      <c r="U246">
        <v>2551.34</v>
      </c>
      <c r="V246">
        <v>5134.49</v>
      </c>
      <c r="W246">
        <v>965.62</v>
      </c>
      <c r="X246">
        <v>48613.74</v>
      </c>
      <c r="Y246">
        <v>16338.97</v>
      </c>
      <c r="Z246">
        <v>-32274.77</v>
      </c>
      <c r="AA246">
        <v>-0.68289999999999995</v>
      </c>
      <c r="AB246">
        <v>-4067.43</v>
      </c>
      <c r="AC246">
        <v>5001.2700000000004</v>
      </c>
      <c r="AD246">
        <v>2250.5700000000002</v>
      </c>
      <c r="AE246">
        <v>47261.96</v>
      </c>
    </row>
    <row r="247" spans="1:31" x14ac:dyDescent="0.25">
      <c r="A247" t="s">
        <v>446</v>
      </c>
      <c r="B247" s="2">
        <v>46063</v>
      </c>
      <c r="C247" t="s">
        <v>57</v>
      </c>
      <c r="D247" t="s">
        <v>58</v>
      </c>
      <c r="E247">
        <v>2026</v>
      </c>
      <c r="F247" t="s">
        <v>59</v>
      </c>
      <c r="G247" t="s">
        <v>35</v>
      </c>
      <c r="H247" t="s">
        <v>230</v>
      </c>
      <c r="I247" t="s">
        <v>231</v>
      </c>
      <c r="J247" t="s">
        <v>100</v>
      </c>
      <c r="K247" t="s">
        <v>50</v>
      </c>
      <c r="L247" t="s">
        <v>94</v>
      </c>
      <c r="M247" t="s">
        <v>62</v>
      </c>
      <c r="N247" t="s">
        <v>63</v>
      </c>
      <c r="O247" t="s">
        <v>54</v>
      </c>
      <c r="P247" t="s">
        <v>55</v>
      </c>
      <c r="Q247">
        <v>2936.36</v>
      </c>
      <c r="R247">
        <v>2780.15</v>
      </c>
      <c r="S247">
        <v>1625.96</v>
      </c>
      <c r="T247">
        <v>275.19</v>
      </c>
      <c r="U247">
        <v>153.04</v>
      </c>
      <c r="V247">
        <v>155.09</v>
      </c>
      <c r="W247">
        <v>46.93</v>
      </c>
      <c r="X247">
        <v>2256.1999999999998</v>
      </c>
      <c r="Y247">
        <v>1310.4000000000001</v>
      </c>
      <c r="Z247">
        <v>-945.8</v>
      </c>
      <c r="AA247">
        <v>-0.28139999999999998</v>
      </c>
      <c r="AB247">
        <v>156.21</v>
      </c>
      <c r="AC247">
        <v>88.09</v>
      </c>
      <c r="AD247">
        <v>512.69000000000005</v>
      </c>
      <c r="AE247">
        <v>3360.96</v>
      </c>
    </row>
    <row r="248" spans="1:31" x14ac:dyDescent="0.25">
      <c r="A248" t="s">
        <v>447</v>
      </c>
      <c r="B248" s="2">
        <v>45953</v>
      </c>
      <c r="C248" t="s">
        <v>92</v>
      </c>
      <c r="D248" t="s">
        <v>93</v>
      </c>
      <c r="E248">
        <v>2025</v>
      </c>
      <c r="F248" t="s">
        <v>34</v>
      </c>
      <c r="G248" t="s">
        <v>35</v>
      </c>
      <c r="H248" t="s">
        <v>157</v>
      </c>
      <c r="I248" t="s">
        <v>194</v>
      </c>
      <c r="J248" t="s">
        <v>100</v>
      </c>
      <c r="K248" t="s">
        <v>50</v>
      </c>
      <c r="L248" t="s">
        <v>94</v>
      </c>
      <c r="M248" t="s">
        <v>235</v>
      </c>
      <c r="N248" t="s">
        <v>236</v>
      </c>
      <c r="O248" t="s">
        <v>104</v>
      </c>
      <c r="P248" t="s">
        <v>237</v>
      </c>
      <c r="Q248">
        <v>8249.7199999999993</v>
      </c>
      <c r="R248">
        <v>7449.84</v>
      </c>
      <c r="S248">
        <v>4425.1400000000003</v>
      </c>
      <c r="T248">
        <v>960.37</v>
      </c>
      <c r="U248">
        <v>714.73</v>
      </c>
      <c r="V248">
        <v>531.02</v>
      </c>
      <c r="W248">
        <v>158.87</v>
      </c>
      <c r="X248">
        <v>6790.12</v>
      </c>
      <c r="Y248">
        <v>3824.58</v>
      </c>
      <c r="Z248">
        <v>-2965.54</v>
      </c>
      <c r="AA248">
        <v>-0.32750000000000001</v>
      </c>
      <c r="AB248">
        <v>799.87</v>
      </c>
      <c r="AC248">
        <v>164.99</v>
      </c>
      <c r="AD248">
        <v>970.17</v>
      </c>
      <c r="AE248">
        <v>9054.89</v>
      </c>
    </row>
    <row r="249" spans="1:31" x14ac:dyDescent="0.25">
      <c r="A249" t="s">
        <v>448</v>
      </c>
      <c r="B249" s="2">
        <v>45868</v>
      </c>
      <c r="C249" t="s">
        <v>32</v>
      </c>
      <c r="D249" t="s">
        <v>33</v>
      </c>
      <c r="E249">
        <v>2025</v>
      </c>
      <c r="F249" t="s">
        <v>67</v>
      </c>
      <c r="G249" t="s">
        <v>35</v>
      </c>
      <c r="H249" t="s">
        <v>68</v>
      </c>
      <c r="I249" t="s">
        <v>260</v>
      </c>
      <c r="J249" t="s">
        <v>70</v>
      </c>
      <c r="K249" t="s">
        <v>101</v>
      </c>
      <c r="L249" t="s">
        <v>51</v>
      </c>
      <c r="M249" t="s">
        <v>120</v>
      </c>
      <c r="N249" t="s">
        <v>121</v>
      </c>
      <c r="O249" t="s">
        <v>43</v>
      </c>
      <c r="P249" t="s">
        <v>122</v>
      </c>
      <c r="Q249">
        <v>69329.279999999999</v>
      </c>
      <c r="R249">
        <v>80701.14</v>
      </c>
      <c r="S249">
        <v>46283.38</v>
      </c>
      <c r="T249">
        <v>5206.3900000000003</v>
      </c>
      <c r="U249">
        <v>2850.25</v>
      </c>
      <c r="V249">
        <v>6642.94</v>
      </c>
      <c r="W249">
        <v>1576.82</v>
      </c>
      <c r="X249">
        <v>62559.78</v>
      </c>
      <c r="Y249">
        <v>23045.9</v>
      </c>
      <c r="Z249">
        <v>-39513.879999999997</v>
      </c>
      <c r="AA249">
        <v>-0.57140000000000002</v>
      </c>
      <c r="AB249">
        <v>-11371.86</v>
      </c>
      <c r="AC249">
        <v>3466.46</v>
      </c>
      <c r="AD249">
        <v>3293.14</v>
      </c>
      <c r="AE249">
        <v>69155.960000000006</v>
      </c>
    </row>
    <row r="250" spans="1:31" x14ac:dyDescent="0.25">
      <c r="A250" t="s">
        <v>449</v>
      </c>
      <c r="B250" s="2">
        <v>46062</v>
      </c>
      <c r="C250" t="s">
        <v>57</v>
      </c>
      <c r="D250" t="s">
        <v>58</v>
      </c>
      <c r="E250">
        <v>2026</v>
      </c>
      <c r="F250" t="s">
        <v>67</v>
      </c>
      <c r="G250" t="s">
        <v>35</v>
      </c>
      <c r="H250" t="s">
        <v>217</v>
      </c>
      <c r="I250" t="s">
        <v>241</v>
      </c>
      <c r="J250" t="s">
        <v>38</v>
      </c>
      <c r="K250" t="s">
        <v>160</v>
      </c>
      <c r="L250" t="s">
        <v>72</v>
      </c>
      <c r="M250" t="s">
        <v>102</v>
      </c>
      <c r="N250" t="s">
        <v>103</v>
      </c>
      <c r="O250" t="s">
        <v>104</v>
      </c>
      <c r="P250" t="s">
        <v>105</v>
      </c>
      <c r="Q250">
        <v>12246.34</v>
      </c>
      <c r="R250">
        <v>11591.58</v>
      </c>
      <c r="S250">
        <v>6811.57</v>
      </c>
      <c r="T250">
        <v>866.44</v>
      </c>
      <c r="U250">
        <v>375.88</v>
      </c>
      <c r="V250">
        <v>577.95000000000005</v>
      </c>
      <c r="W250">
        <v>205.29</v>
      </c>
      <c r="X250">
        <v>8837.14</v>
      </c>
      <c r="Y250">
        <v>5434.76</v>
      </c>
      <c r="Z250">
        <v>-3402.37</v>
      </c>
      <c r="AA250">
        <v>-0.2354</v>
      </c>
      <c r="AB250">
        <v>654.76</v>
      </c>
      <c r="AC250">
        <v>0</v>
      </c>
      <c r="AD250">
        <v>2204.34</v>
      </c>
      <c r="AE250">
        <v>14450.68</v>
      </c>
    </row>
    <row r="251" spans="1:31" x14ac:dyDescent="0.25">
      <c r="A251" t="s">
        <v>450</v>
      </c>
      <c r="B251" s="2">
        <v>45848</v>
      </c>
      <c r="C251" t="s">
        <v>32</v>
      </c>
      <c r="D251" t="s">
        <v>33</v>
      </c>
      <c r="E251">
        <v>2025</v>
      </c>
      <c r="F251" t="s">
        <v>59</v>
      </c>
      <c r="G251" t="s">
        <v>35</v>
      </c>
      <c r="H251" t="s">
        <v>60</v>
      </c>
      <c r="I251" t="s">
        <v>185</v>
      </c>
      <c r="J251" t="s">
        <v>100</v>
      </c>
      <c r="K251" t="s">
        <v>39</v>
      </c>
      <c r="L251" t="s">
        <v>72</v>
      </c>
      <c r="M251" t="s">
        <v>110</v>
      </c>
      <c r="N251" t="s">
        <v>111</v>
      </c>
      <c r="O251" t="s">
        <v>112</v>
      </c>
      <c r="P251" t="s">
        <v>113</v>
      </c>
      <c r="Q251">
        <v>24981.11</v>
      </c>
      <c r="R251">
        <v>27182.98</v>
      </c>
      <c r="S251">
        <v>15305</v>
      </c>
      <c r="T251">
        <v>1681.23</v>
      </c>
      <c r="U251">
        <v>963.23</v>
      </c>
      <c r="V251">
        <v>1591.58</v>
      </c>
      <c r="W251">
        <v>1046.1600000000001</v>
      </c>
      <c r="X251">
        <v>20587.2</v>
      </c>
      <c r="Y251">
        <v>9676.11</v>
      </c>
      <c r="Z251">
        <v>-10911.09</v>
      </c>
      <c r="AA251">
        <v>-0.3896</v>
      </c>
      <c r="AB251">
        <v>-2201.88</v>
      </c>
      <c r="AC251">
        <v>1249.06</v>
      </c>
      <c r="AD251">
        <v>4271.7700000000004</v>
      </c>
      <c r="AE251">
        <v>28003.82</v>
      </c>
    </row>
    <row r="252" spans="1:31" x14ac:dyDescent="0.25">
      <c r="A252" t="s">
        <v>451</v>
      </c>
      <c r="B252" s="2">
        <v>46066</v>
      </c>
      <c r="C252" t="s">
        <v>57</v>
      </c>
      <c r="D252" t="s">
        <v>58</v>
      </c>
      <c r="E252">
        <v>2026</v>
      </c>
      <c r="F252" t="s">
        <v>47</v>
      </c>
      <c r="G252" t="s">
        <v>35</v>
      </c>
      <c r="H252" t="s">
        <v>48</v>
      </c>
      <c r="I252" t="s">
        <v>126</v>
      </c>
      <c r="J252" t="s">
        <v>80</v>
      </c>
      <c r="K252" t="s">
        <v>71</v>
      </c>
      <c r="L252" t="s">
        <v>81</v>
      </c>
      <c r="M252" t="s">
        <v>41</v>
      </c>
      <c r="N252" t="s">
        <v>42</v>
      </c>
      <c r="O252" t="s">
        <v>43</v>
      </c>
      <c r="P252" t="s">
        <v>44</v>
      </c>
      <c r="Q252">
        <v>43967.06</v>
      </c>
      <c r="R252">
        <v>47152.54</v>
      </c>
      <c r="S252">
        <v>23845.919999999998</v>
      </c>
      <c r="T252">
        <v>5315.04</v>
      </c>
      <c r="U252">
        <v>3658.93</v>
      </c>
      <c r="V252">
        <v>2804.35</v>
      </c>
      <c r="W252">
        <v>793.6</v>
      </c>
      <c r="X252">
        <v>36417.839999999997</v>
      </c>
      <c r="Y252">
        <v>20121.14</v>
      </c>
      <c r="Z252">
        <v>-16296.7</v>
      </c>
      <c r="AA252">
        <v>-0.3639</v>
      </c>
      <c r="AB252">
        <v>-3185.47</v>
      </c>
      <c r="AC252">
        <v>1319.01</v>
      </c>
      <c r="AD252">
        <v>2132.4</v>
      </c>
      <c r="AE252">
        <v>44780.45</v>
      </c>
    </row>
    <row r="253" spans="1:31" x14ac:dyDescent="0.25">
      <c r="A253" t="s">
        <v>452</v>
      </c>
      <c r="B253" s="2">
        <v>45986</v>
      </c>
      <c r="C253" t="s">
        <v>147</v>
      </c>
      <c r="D253" t="s">
        <v>93</v>
      </c>
      <c r="E253">
        <v>2025</v>
      </c>
      <c r="F253" t="s">
        <v>34</v>
      </c>
      <c r="G253" t="s">
        <v>35</v>
      </c>
      <c r="H253" t="s">
        <v>134</v>
      </c>
      <c r="I253" t="s">
        <v>176</v>
      </c>
      <c r="J253" t="s">
        <v>38</v>
      </c>
      <c r="K253" t="s">
        <v>71</v>
      </c>
      <c r="L253" t="s">
        <v>40</v>
      </c>
      <c r="M253" t="s">
        <v>110</v>
      </c>
      <c r="N253" t="s">
        <v>111</v>
      </c>
      <c r="O253" t="s">
        <v>112</v>
      </c>
      <c r="P253" t="s">
        <v>113</v>
      </c>
      <c r="Q253">
        <v>13644.07</v>
      </c>
      <c r="R253">
        <v>13482.28</v>
      </c>
      <c r="S253">
        <v>8747.2800000000007</v>
      </c>
      <c r="T253">
        <v>977.62</v>
      </c>
      <c r="U253">
        <v>413.14</v>
      </c>
      <c r="V253">
        <v>1629.19</v>
      </c>
      <c r="W253">
        <v>211.03</v>
      </c>
      <c r="X253">
        <v>11978.27</v>
      </c>
      <c r="Y253">
        <v>4896.79</v>
      </c>
      <c r="Z253">
        <v>-7081.48</v>
      </c>
      <c r="AA253">
        <v>-0.48870000000000002</v>
      </c>
      <c r="AB253">
        <v>161.79</v>
      </c>
      <c r="AC253">
        <v>1364.41</v>
      </c>
      <c r="AD253">
        <v>2210.34</v>
      </c>
      <c r="AE253">
        <v>14490</v>
      </c>
    </row>
    <row r="254" spans="1:31" x14ac:dyDescent="0.25">
      <c r="A254" t="s">
        <v>453</v>
      </c>
      <c r="B254" s="2">
        <v>45906</v>
      </c>
      <c r="C254" t="s">
        <v>46</v>
      </c>
      <c r="D254" t="s">
        <v>33</v>
      </c>
      <c r="E254">
        <v>2025</v>
      </c>
      <c r="F254" t="s">
        <v>34</v>
      </c>
      <c r="G254" t="s">
        <v>35</v>
      </c>
      <c r="H254" t="s">
        <v>98</v>
      </c>
      <c r="I254" t="s">
        <v>99</v>
      </c>
      <c r="J254" t="s">
        <v>80</v>
      </c>
      <c r="K254" t="s">
        <v>39</v>
      </c>
      <c r="L254" t="s">
        <v>81</v>
      </c>
      <c r="M254" t="s">
        <v>73</v>
      </c>
      <c r="N254" t="s">
        <v>74</v>
      </c>
      <c r="O254" t="s">
        <v>43</v>
      </c>
      <c r="P254" t="s">
        <v>75</v>
      </c>
      <c r="Q254">
        <v>39101.279999999999</v>
      </c>
      <c r="R254">
        <v>41667.56</v>
      </c>
      <c r="S254">
        <v>25012.61</v>
      </c>
      <c r="T254">
        <v>3521.34</v>
      </c>
      <c r="U254">
        <v>2616.5</v>
      </c>
      <c r="V254">
        <v>1637.66</v>
      </c>
      <c r="W254">
        <v>978.97</v>
      </c>
      <c r="X254">
        <v>33767.08</v>
      </c>
      <c r="Y254">
        <v>14088.67</v>
      </c>
      <c r="Z254">
        <v>-19678.41</v>
      </c>
      <c r="AA254">
        <v>-0.48909999999999998</v>
      </c>
      <c r="AB254">
        <v>-2566.2800000000002</v>
      </c>
      <c r="AC254">
        <v>782.03</v>
      </c>
      <c r="AD254">
        <v>1915.96</v>
      </c>
      <c r="AE254">
        <v>40235.22</v>
      </c>
    </row>
    <row r="255" spans="1:31" x14ac:dyDescent="0.25">
      <c r="A255" t="s">
        <v>454</v>
      </c>
      <c r="B255" s="2">
        <v>46088</v>
      </c>
      <c r="C255" t="s">
        <v>125</v>
      </c>
      <c r="D255" t="s">
        <v>58</v>
      </c>
      <c r="E255">
        <v>2026</v>
      </c>
      <c r="F255" t="s">
        <v>34</v>
      </c>
      <c r="G255" t="s">
        <v>35</v>
      </c>
      <c r="H255" t="s">
        <v>157</v>
      </c>
      <c r="I255" t="s">
        <v>166</v>
      </c>
      <c r="J255" t="s">
        <v>100</v>
      </c>
      <c r="K255" t="s">
        <v>50</v>
      </c>
      <c r="L255" t="s">
        <v>94</v>
      </c>
      <c r="M255" t="s">
        <v>82</v>
      </c>
      <c r="N255" t="s">
        <v>83</v>
      </c>
      <c r="O255" t="s">
        <v>43</v>
      </c>
      <c r="P255" t="s">
        <v>75</v>
      </c>
      <c r="Q255">
        <v>35664.199999999997</v>
      </c>
      <c r="R255">
        <v>38361.410000000003</v>
      </c>
      <c r="S255">
        <v>23803.02</v>
      </c>
      <c r="T255">
        <v>4041.36</v>
      </c>
      <c r="U255">
        <v>2288.23</v>
      </c>
      <c r="V255">
        <v>2886.34</v>
      </c>
      <c r="W255">
        <v>432.79</v>
      </c>
      <c r="X255">
        <v>33451.75</v>
      </c>
      <c r="Y255">
        <v>11861.18</v>
      </c>
      <c r="Z255">
        <v>-21590.58</v>
      </c>
      <c r="AA255">
        <v>-0.58830000000000005</v>
      </c>
      <c r="AB255">
        <v>-2697.21</v>
      </c>
      <c r="AC255">
        <v>713.28</v>
      </c>
      <c r="AD255">
        <v>1747.55</v>
      </c>
      <c r="AE255">
        <v>36698.46</v>
      </c>
    </row>
    <row r="256" spans="1:31" x14ac:dyDescent="0.25">
      <c r="A256" t="s">
        <v>455</v>
      </c>
      <c r="B256" s="2">
        <v>46078</v>
      </c>
      <c r="C256" t="s">
        <v>57</v>
      </c>
      <c r="D256" t="s">
        <v>58</v>
      </c>
      <c r="E256">
        <v>2026</v>
      </c>
      <c r="F256" t="s">
        <v>34</v>
      </c>
      <c r="G256" t="s">
        <v>35</v>
      </c>
      <c r="H256" t="s">
        <v>134</v>
      </c>
      <c r="I256" t="s">
        <v>154</v>
      </c>
      <c r="J256" t="s">
        <v>100</v>
      </c>
      <c r="K256" t="s">
        <v>160</v>
      </c>
      <c r="L256" t="s">
        <v>40</v>
      </c>
      <c r="M256" t="s">
        <v>130</v>
      </c>
      <c r="N256" t="s">
        <v>131</v>
      </c>
      <c r="O256" t="s">
        <v>43</v>
      </c>
      <c r="P256" t="s">
        <v>132</v>
      </c>
      <c r="Q256">
        <v>54847.33</v>
      </c>
      <c r="R256">
        <v>55325.52</v>
      </c>
      <c r="S256">
        <v>29958.79</v>
      </c>
      <c r="T256">
        <v>6114.74</v>
      </c>
      <c r="U256">
        <v>2177.86</v>
      </c>
      <c r="V256">
        <v>5231.8</v>
      </c>
      <c r="W256">
        <v>996.39</v>
      </c>
      <c r="X256">
        <v>44479.57</v>
      </c>
      <c r="Y256">
        <v>24888.54</v>
      </c>
      <c r="Z256">
        <v>-19591.03</v>
      </c>
      <c r="AA256">
        <v>-0.31859999999999999</v>
      </c>
      <c r="AB256">
        <v>-478.2</v>
      </c>
      <c r="AC256">
        <v>2742.37</v>
      </c>
      <c r="AD256">
        <v>9378.89</v>
      </c>
      <c r="AE256">
        <v>61483.85</v>
      </c>
    </row>
    <row r="257" spans="1:31" x14ac:dyDescent="0.25">
      <c r="A257" t="s">
        <v>456</v>
      </c>
      <c r="B257" s="2">
        <v>45789</v>
      </c>
      <c r="C257" t="s">
        <v>65</v>
      </c>
      <c r="D257" t="s">
        <v>66</v>
      </c>
      <c r="E257">
        <v>2025</v>
      </c>
      <c r="F257" t="s">
        <v>47</v>
      </c>
      <c r="G257" t="s">
        <v>35</v>
      </c>
      <c r="H257" t="s">
        <v>48</v>
      </c>
      <c r="I257" t="s">
        <v>49</v>
      </c>
      <c r="J257" t="s">
        <v>100</v>
      </c>
      <c r="K257" t="s">
        <v>50</v>
      </c>
      <c r="L257" t="s">
        <v>40</v>
      </c>
      <c r="M257" t="s">
        <v>221</v>
      </c>
      <c r="N257" t="s">
        <v>222</v>
      </c>
      <c r="O257" t="s">
        <v>104</v>
      </c>
      <c r="P257" t="s">
        <v>223</v>
      </c>
      <c r="Q257">
        <v>10258.23</v>
      </c>
      <c r="R257">
        <v>9591.81</v>
      </c>
      <c r="S257">
        <v>6386.71</v>
      </c>
      <c r="T257">
        <v>850.51</v>
      </c>
      <c r="U257">
        <v>340.73</v>
      </c>
      <c r="V257">
        <v>433.18</v>
      </c>
      <c r="W257">
        <v>326.17</v>
      </c>
      <c r="X257">
        <v>8337.2900000000009</v>
      </c>
      <c r="Y257">
        <v>3871.52</v>
      </c>
      <c r="Z257">
        <v>-4465.78</v>
      </c>
      <c r="AA257">
        <v>-0.40100000000000002</v>
      </c>
      <c r="AB257">
        <v>666.42</v>
      </c>
      <c r="AC257">
        <v>820.66</v>
      </c>
      <c r="AD257">
        <v>1698.76</v>
      </c>
      <c r="AE257">
        <v>11136.33</v>
      </c>
    </row>
    <row r="258" spans="1:31" x14ac:dyDescent="0.25">
      <c r="A258" t="s">
        <v>457</v>
      </c>
      <c r="B258" s="2">
        <v>45786</v>
      </c>
      <c r="C258" t="s">
        <v>65</v>
      </c>
      <c r="D258" t="s">
        <v>66</v>
      </c>
      <c r="E258">
        <v>2025</v>
      </c>
      <c r="F258" t="s">
        <v>34</v>
      </c>
      <c r="G258" t="s">
        <v>35</v>
      </c>
      <c r="H258" t="s">
        <v>98</v>
      </c>
      <c r="I258" t="s">
        <v>149</v>
      </c>
      <c r="J258" t="s">
        <v>38</v>
      </c>
      <c r="K258" t="s">
        <v>71</v>
      </c>
      <c r="L258" t="s">
        <v>51</v>
      </c>
      <c r="M258" t="s">
        <v>73</v>
      </c>
      <c r="N258" t="s">
        <v>74</v>
      </c>
      <c r="O258" t="s">
        <v>43</v>
      </c>
      <c r="P258" t="s">
        <v>75</v>
      </c>
      <c r="Q258">
        <v>65395.4</v>
      </c>
      <c r="R258">
        <v>58537.06</v>
      </c>
      <c r="S258">
        <v>45364.28</v>
      </c>
      <c r="T258">
        <v>6287.8</v>
      </c>
      <c r="U258">
        <v>4031.94</v>
      </c>
      <c r="V258">
        <v>5233.09</v>
      </c>
      <c r="W258">
        <v>812.79</v>
      </c>
      <c r="X258">
        <v>61729.9</v>
      </c>
      <c r="Y258">
        <v>20031.12</v>
      </c>
      <c r="Z258">
        <v>-41698.78</v>
      </c>
      <c r="AA258">
        <v>-0.54039999999999999</v>
      </c>
      <c r="AB258">
        <v>6858.34</v>
      </c>
      <c r="AC258">
        <v>0</v>
      </c>
      <c r="AD258">
        <v>11771.17</v>
      </c>
      <c r="AE258">
        <v>77166.58</v>
      </c>
    </row>
    <row r="259" spans="1:31" x14ac:dyDescent="0.25">
      <c r="A259" t="s">
        <v>458</v>
      </c>
      <c r="B259" s="2">
        <v>45909</v>
      </c>
      <c r="C259" t="s">
        <v>46</v>
      </c>
      <c r="D259" t="s">
        <v>33</v>
      </c>
      <c r="E259">
        <v>2025</v>
      </c>
      <c r="F259" t="s">
        <v>85</v>
      </c>
      <c r="G259" t="s">
        <v>35</v>
      </c>
      <c r="H259" t="s">
        <v>178</v>
      </c>
      <c r="I259" t="s">
        <v>249</v>
      </c>
      <c r="J259" t="s">
        <v>38</v>
      </c>
      <c r="K259" t="s">
        <v>160</v>
      </c>
      <c r="L259" t="s">
        <v>81</v>
      </c>
      <c r="M259" t="s">
        <v>211</v>
      </c>
      <c r="N259" t="s">
        <v>212</v>
      </c>
      <c r="O259" t="s">
        <v>112</v>
      </c>
      <c r="P259" t="s">
        <v>113</v>
      </c>
      <c r="Q259">
        <v>19929.03</v>
      </c>
      <c r="R259">
        <v>22544.9</v>
      </c>
      <c r="S259">
        <v>12505</v>
      </c>
      <c r="T259">
        <v>1923.06</v>
      </c>
      <c r="U259">
        <v>826.78</v>
      </c>
      <c r="V259">
        <v>2003</v>
      </c>
      <c r="W259">
        <v>256.25</v>
      </c>
      <c r="X259">
        <v>17514.099999999999</v>
      </c>
      <c r="Y259">
        <v>7424.03</v>
      </c>
      <c r="Z259">
        <v>-10090.07</v>
      </c>
      <c r="AA259">
        <v>-0.4914</v>
      </c>
      <c r="AB259">
        <v>-2615.87</v>
      </c>
      <c r="AC259">
        <v>1594.32</v>
      </c>
      <c r="AD259">
        <v>2200.17</v>
      </c>
      <c r="AE259">
        <v>20534.87</v>
      </c>
    </row>
    <row r="260" spans="1:31" x14ac:dyDescent="0.25">
      <c r="A260" t="s">
        <v>459</v>
      </c>
      <c r="B260" s="2">
        <v>45990</v>
      </c>
      <c r="C260" t="s">
        <v>147</v>
      </c>
      <c r="D260" t="s">
        <v>93</v>
      </c>
      <c r="E260">
        <v>2025</v>
      </c>
      <c r="F260" t="s">
        <v>34</v>
      </c>
      <c r="G260" t="s">
        <v>35</v>
      </c>
      <c r="H260" t="s">
        <v>36</v>
      </c>
      <c r="I260" t="s">
        <v>245</v>
      </c>
      <c r="J260" t="s">
        <v>100</v>
      </c>
      <c r="K260" t="s">
        <v>39</v>
      </c>
      <c r="L260" t="s">
        <v>94</v>
      </c>
      <c r="M260" t="s">
        <v>189</v>
      </c>
      <c r="N260" t="s">
        <v>190</v>
      </c>
      <c r="O260" t="s">
        <v>104</v>
      </c>
      <c r="P260" t="s">
        <v>105</v>
      </c>
      <c r="Q260">
        <v>20046.55</v>
      </c>
      <c r="R260">
        <v>18400.36</v>
      </c>
      <c r="S260">
        <v>13535.92</v>
      </c>
      <c r="T260">
        <v>2484.58</v>
      </c>
      <c r="U260">
        <v>1101.43</v>
      </c>
      <c r="V260">
        <v>1602.07</v>
      </c>
      <c r="W260">
        <v>423.77</v>
      </c>
      <c r="X260">
        <v>19147.759999999998</v>
      </c>
      <c r="Y260">
        <v>6510.63</v>
      </c>
      <c r="Z260">
        <v>-12637.13</v>
      </c>
      <c r="AA260">
        <v>-0.58069999999999999</v>
      </c>
      <c r="AB260">
        <v>1646.2</v>
      </c>
      <c r="AC260">
        <v>1603.72</v>
      </c>
      <c r="AD260">
        <v>3319.71</v>
      </c>
      <c r="AE260">
        <v>21762.54</v>
      </c>
    </row>
    <row r="261" spans="1:31" x14ac:dyDescent="0.25">
      <c r="A261" t="s">
        <v>460</v>
      </c>
      <c r="B261" s="2">
        <v>46003</v>
      </c>
      <c r="C261" t="s">
        <v>107</v>
      </c>
      <c r="D261" t="s">
        <v>93</v>
      </c>
      <c r="E261">
        <v>2025</v>
      </c>
      <c r="F261" t="s">
        <v>34</v>
      </c>
      <c r="G261" t="s">
        <v>35</v>
      </c>
      <c r="H261" t="s">
        <v>36</v>
      </c>
      <c r="I261" t="s">
        <v>37</v>
      </c>
      <c r="J261" t="s">
        <v>80</v>
      </c>
      <c r="K261" t="s">
        <v>50</v>
      </c>
      <c r="L261" t="s">
        <v>51</v>
      </c>
      <c r="M261" t="s">
        <v>130</v>
      </c>
      <c r="N261" t="s">
        <v>131</v>
      </c>
      <c r="O261" t="s">
        <v>43</v>
      </c>
      <c r="P261" t="s">
        <v>132</v>
      </c>
      <c r="Q261">
        <v>36958.879999999997</v>
      </c>
      <c r="R261">
        <v>33544.980000000003</v>
      </c>
      <c r="S261">
        <v>24971.87</v>
      </c>
      <c r="T261">
        <v>4492.4399999999996</v>
      </c>
      <c r="U261">
        <v>2902.54</v>
      </c>
      <c r="V261">
        <v>4135.8100000000004</v>
      </c>
      <c r="W261">
        <v>1085.07</v>
      </c>
      <c r="X261">
        <v>37587.74</v>
      </c>
      <c r="Y261">
        <v>11987.01</v>
      </c>
      <c r="Z261">
        <v>-25600.73</v>
      </c>
      <c r="AA261">
        <v>-0.67220000000000002</v>
      </c>
      <c r="AB261">
        <v>3413.91</v>
      </c>
      <c r="AC261">
        <v>2956.71</v>
      </c>
      <c r="AD261">
        <v>4080.26</v>
      </c>
      <c r="AE261">
        <v>38082.43</v>
      </c>
    </row>
    <row r="262" spans="1:31" x14ac:dyDescent="0.25">
      <c r="A262" t="s">
        <v>461</v>
      </c>
      <c r="B262" s="2">
        <v>46072</v>
      </c>
      <c r="C262" t="s">
        <v>57</v>
      </c>
      <c r="D262" t="s">
        <v>58</v>
      </c>
      <c r="E262">
        <v>2026</v>
      </c>
      <c r="F262" t="s">
        <v>47</v>
      </c>
      <c r="G262" t="s">
        <v>35</v>
      </c>
      <c r="H262" t="s">
        <v>214</v>
      </c>
      <c r="I262" t="s">
        <v>215</v>
      </c>
      <c r="J262" t="s">
        <v>80</v>
      </c>
      <c r="K262" t="s">
        <v>50</v>
      </c>
      <c r="L262" t="s">
        <v>51</v>
      </c>
      <c r="M262" t="s">
        <v>161</v>
      </c>
      <c r="N262" t="s">
        <v>162</v>
      </c>
      <c r="O262" t="s">
        <v>43</v>
      </c>
      <c r="P262" t="s">
        <v>163</v>
      </c>
      <c r="Q262">
        <v>65465.04</v>
      </c>
      <c r="R262">
        <v>68054.94</v>
      </c>
      <c r="S262">
        <v>45149.17</v>
      </c>
      <c r="T262">
        <v>8487.25</v>
      </c>
      <c r="U262">
        <v>4116.21</v>
      </c>
      <c r="V262">
        <v>6873.69</v>
      </c>
      <c r="W262">
        <v>1403.76</v>
      </c>
      <c r="X262">
        <v>66030.080000000002</v>
      </c>
      <c r="Y262">
        <v>20315.87</v>
      </c>
      <c r="Z262">
        <v>-45714.22</v>
      </c>
      <c r="AA262">
        <v>-0.63619999999999999</v>
      </c>
      <c r="AB262">
        <v>-2589.9</v>
      </c>
      <c r="AC262">
        <v>1309.3</v>
      </c>
      <c r="AD262">
        <v>7698.69</v>
      </c>
      <c r="AE262">
        <v>71854.429999999993</v>
      </c>
    </row>
    <row r="263" spans="1:31" x14ac:dyDescent="0.25">
      <c r="A263" t="s">
        <v>462</v>
      </c>
      <c r="B263" s="2">
        <v>46087</v>
      </c>
      <c r="C263" t="s">
        <v>125</v>
      </c>
      <c r="D263" t="s">
        <v>58</v>
      </c>
      <c r="E263">
        <v>2026</v>
      </c>
      <c r="F263" t="s">
        <v>34</v>
      </c>
      <c r="G263" t="s">
        <v>35</v>
      </c>
      <c r="H263" t="s">
        <v>98</v>
      </c>
      <c r="I263" t="s">
        <v>149</v>
      </c>
      <c r="J263" t="s">
        <v>80</v>
      </c>
      <c r="K263" t="s">
        <v>39</v>
      </c>
      <c r="L263" t="s">
        <v>51</v>
      </c>
      <c r="M263" t="s">
        <v>110</v>
      </c>
      <c r="N263" t="s">
        <v>111</v>
      </c>
      <c r="O263" t="s">
        <v>112</v>
      </c>
      <c r="P263" t="s">
        <v>113</v>
      </c>
      <c r="Q263">
        <v>24168.59</v>
      </c>
      <c r="R263">
        <v>26348.2</v>
      </c>
      <c r="S263">
        <v>15971.41</v>
      </c>
      <c r="T263">
        <v>2896.09</v>
      </c>
      <c r="U263">
        <v>1389.63</v>
      </c>
      <c r="V263">
        <v>2378.67</v>
      </c>
      <c r="W263">
        <v>765.44</v>
      </c>
      <c r="X263">
        <v>23401.25</v>
      </c>
      <c r="Y263">
        <v>8197.18</v>
      </c>
      <c r="Z263">
        <v>-15204.07</v>
      </c>
      <c r="AA263">
        <v>-0.61140000000000005</v>
      </c>
      <c r="AB263">
        <v>-2179.61</v>
      </c>
      <c r="AC263">
        <v>483.37</v>
      </c>
      <c r="AD263">
        <v>1184.26</v>
      </c>
      <c r="AE263">
        <v>24869.48</v>
      </c>
    </row>
    <row r="264" spans="1:31" x14ac:dyDescent="0.25">
      <c r="A264" t="s">
        <v>463</v>
      </c>
      <c r="B264" s="2">
        <v>45833</v>
      </c>
      <c r="C264" t="s">
        <v>156</v>
      </c>
      <c r="D264" t="s">
        <v>66</v>
      </c>
      <c r="E264">
        <v>2025</v>
      </c>
      <c r="F264" t="s">
        <v>47</v>
      </c>
      <c r="G264" t="s">
        <v>35</v>
      </c>
      <c r="H264" t="s">
        <v>206</v>
      </c>
      <c r="I264" t="s">
        <v>344</v>
      </c>
      <c r="J264" t="s">
        <v>80</v>
      </c>
      <c r="K264" t="s">
        <v>71</v>
      </c>
      <c r="L264" t="s">
        <v>51</v>
      </c>
      <c r="M264" t="s">
        <v>141</v>
      </c>
      <c r="N264" t="s">
        <v>142</v>
      </c>
      <c r="O264" t="s">
        <v>54</v>
      </c>
      <c r="P264" t="s">
        <v>143</v>
      </c>
      <c r="Q264">
        <v>2894.29</v>
      </c>
      <c r="R264">
        <v>2640.79</v>
      </c>
      <c r="S264">
        <v>1721.63</v>
      </c>
      <c r="T264">
        <v>280.3</v>
      </c>
      <c r="U264">
        <v>174.21</v>
      </c>
      <c r="V264">
        <v>135.69</v>
      </c>
      <c r="W264">
        <v>34.72</v>
      </c>
      <c r="X264">
        <v>2346.5500000000002</v>
      </c>
      <c r="Y264">
        <v>1172.6600000000001</v>
      </c>
      <c r="Z264">
        <v>-1173.8900000000001</v>
      </c>
      <c r="AA264">
        <v>-0.36209999999999998</v>
      </c>
      <c r="AB264">
        <v>253.5</v>
      </c>
      <c r="AC264">
        <v>0</v>
      </c>
      <c r="AD264">
        <v>347.31</v>
      </c>
      <c r="AE264">
        <v>3241.6</v>
      </c>
    </row>
    <row r="265" spans="1:31" x14ac:dyDescent="0.25">
      <c r="A265" t="s">
        <v>464</v>
      </c>
      <c r="B265" s="2">
        <v>46014</v>
      </c>
      <c r="C265" t="s">
        <v>107</v>
      </c>
      <c r="D265" t="s">
        <v>93</v>
      </c>
      <c r="E265">
        <v>2025</v>
      </c>
      <c r="F265" t="s">
        <v>34</v>
      </c>
      <c r="G265" t="s">
        <v>35</v>
      </c>
      <c r="H265" t="s">
        <v>36</v>
      </c>
      <c r="I265" t="s">
        <v>37</v>
      </c>
      <c r="J265" t="s">
        <v>100</v>
      </c>
      <c r="K265" t="s">
        <v>39</v>
      </c>
      <c r="L265" t="s">
        <v>51</v>
      </c>
      <c r="M265" t="s">
        <v>197</v>
      </c>
      <c r="N265" t="s">
        <v>198</v>
      </c>
      <c r="O265" t="s">
        <v>43</v>
      </c>
      <c r="P265" t="s">
        <v>163</v>
      </c>
      <c r="Q265">
        <v>27907.77</v>
      </c>
      <c r="R265">
        <v>29696.42</v>
      </c>
      <c r="S265">
        <v>19409.98</v>
      </c>
      <c r="T265">
        <v>3203.64</v>
      </c>
      <c r="U265">
        <v>1755.5</v>
      </c>
      <c r="V265">
        <v>2746.62</v>
      </c>
      <c r="W265">
        <v>635.42999999999995</v>
      </c>
      <c r="X265">
        <v>27751.16</v>
      </c>
      <c r="Y265">
        <v>8497.7900000000009</v>
      </c>
      <c r="Z265">
        <v>-19253.37</v>
      </c>
      <c r="AA265">
        <v>-0.64839999999999998</v>
      </c>
      <c r="AB265">
        <v>-1788.65</v>
      </c>
      <c r="AC265">
        <v>1395.39</v>
      </c>
      <c r="AD265">
        <v>3181.49</v>
      </c>
      <c r="AE265">
        <v>29693.87</v>
      </c>
    </row>
    <row r="266" spans="1:31" x14ac:dyDescent="0.25">
      <c r="A266" t="s">
        <v>465</v>
      </c>
      <c r="B266" s="2">
        <v>45901</v>
      </c>
      <c r="C266" t="s">
        <v>46</v>
      </c>
      <c r="D266" t="s">
        <v>33</v>
      </c>
      <c r="E266">
        <v>2025</v>
      </c>
      <c r="F266" t="s">
        <v>34</v>
      </c>
      <c r="G266" t="s">
        <v>35</v>
      </c>
      <c r="H266" t="s">
        <v>134</v>
      </c>
      <c r="I266" t="s">
        <v>154</v>
      </c>
      <c r="J266" t="s">
        <v>70</v>
      </c>
      <c r="K266" t="s">
        <v>160</v>
      </c>
      <c r="L266" t="s">
        <v>81</v>
      </c>
      <c r="M266" t="s">
        <v>171</v>
      </c>
      <c r="N266" t="s">
        <v>172</v>
      </c>
      <c r="O266" t="s">
        <v>173</v>
      </c>
      <c r="P266" t="s">
        <v>174</v>
      </c>
      <c r="Q266">
        <v>10396.42</v>
      </c>
      <c r="R266">
        <v>11338.67</v>
      </c>
      <c r="S266">
        <v>5817.05</v>
      </c>
      <c r="T266">
        <v>1081.78</v>
      </c>
      <c r="U266">
        <v>527.47</v>
      </c>
      <c r="V266">
        <v>1044.8399999999999</v>
      </c>
      <c r="W266">
        <v>269.23</v>
      </c>
      <c r="X266">
        <v>8740.3799999999992</v>
      </c>
      <c r="Y266">
        <v>4579.37</v>
      </c>
      <c r="Z266">
        <v>-4161.01</v>
      </c>
      <c r="AA266">
        <v>-0.34970000000000001</v>
      </c>
      <c r="AB266">
        <v>-942.25</v>
      </c>
      <c r="AC266">
        <v>311.89</v>
      </c>
      <c r="AD266">
        <v>1815.22</v>
      </c>
      <c r="AE266">
        <v>11899.75</v>
      </c>
    </row>
    <row r="267" spans="1:31" x14ac:dyDescent="0.25">
      <c r="A267" t="s">
        <v>466</v>
      </c>
      <c r="B267" s="2">
        <v>45962</v>
      </c>
      <c r="C267" t="s">
        <v>147</v>
      </c>
      <c r="D267" t="s">
        <v>93</v>
      </c>
      <c r="E267">
        <v>2025</v>
      </c>
      <c r="F267" t="s">
        <v>34</v>
      </c>
      <c r="G267" t="s">
        <v>35</v>
      </c>
      <c r="H267" t="s">
        <v>157</v>
      </c>
      <c r="I267" t="s">
        <v>166</v>
      </c>
      <c r="J267" t="s">
        <v>70</v>
      </c>
      <c r="K267" t="s">
        <v>50</v>
      </c>
      <c r="L267" t="s">
        <v>94</v>
      </c>
      <c r="M267" t="s">
        <v>41</v>
      </c>
      <c r="N267" t="s">
        <v>42</v>
      </c>
      <c r="O267" t="s">
        <v>43</v>
      </c>
      <c r="P267" t="s">
        <v>44</v>
      </c>
      <c r="Q267">
        <v>18357.12</v>
      </c>
      <c r="R267">
        <v>16490.77</v>
      </c>
      <c r="S267">
        <v>11011.2</v>
      </c>
      <c r="T267">
        <v>1074.02</v>
      </c>
      <c r="U267">
        <v>595.12</v>
      </c>
      <c r="V267">
        <v>2116.2800000000002</v>
      </c>
      <c r="W267">
        <v>744.25</v>
      </c>
      <c r="X267">
        <v>15540.87</v>
      </c>
      <c r="Y267">
        <v>7345.92</v>
      </c>
      <c r="Z267">
        <v>-8194.9500000000007</v>
      </c>
      <c r="AA267">
        <v>-0.39</v>
      </c>
      <c r="AB267">
        <v>1866.34</v>
      </c>
      <c r="AC267">
        <v>550.71</v>
      </c>
      <c r="AD267">
        <v>3205.15</v>
      </c>
      <c r="AE267">
        <v>21011.55</v>
      </c>
    </row>
    <row r="268" spans="1:31" x14ac:dyDescent="0.25">
      <c r="A268" t="s">
        <v>467</v>
      </c>
      <c r="B268" s="2">
        <v>46105</v>
      </c>
      <c r="C268" t="s">
        <v>125</v>
      </c>
      <c r="D268" t="s">
        <v>58</v>
      </c>
      <c r="E268">
        <v>2026</v>
      </c>
      <c r="F268" t="s">
        <v>47</v>
      </c>
      <c r="G268" t="s">
        <v>35</v>
      </c>
      <c r="H268" t="s">
        <v>206</v>
      </c>
      <c r="I268" t="s">
        <v>344</v>
      </c>
      <c r="J268" t="s">
        <v>38</v>
      </c>
      <c r="K268" t="s">
        <v>101</v>
      </c>
      <c r="L268" t="s">
        <v>40</v>
      </c>
      <c r="M268" t="s">
        <v>197</v>
      </c>
      <c r="N268" t="s">
        <v>198</v>
      </c>
      <c r="O268" t="s">
        <v>43</v>
      </c>
      <c r="P268" t="s">
        <v>163</v>
      </c>
      <c r="Q268">
        <v>39362.67</v>
      </c>
      <c r="R268">
        <v>43265.39</v>
      </c>
      <c r="S268">
        <v>20172.79</v>
      </c>
      <c r="T268">
        <v>2590.5</v>
      </c>
      <c r="U268">
        <v>1445.94</v>
      </c>
      <c r="V268">
        <v>2401.0300000000002</v>
      </c>
      <c r="W268">
        <v>1117.27</v>
      </c>
      <c r="X268">
        <v>27727.53</v>
      </c>
      <c r="Y268">
        <v>19189.88</v>
      </c>
      <c r="Z268">
        <v>-8537.65</v>
      </c>
      <c r="AA268">
        <v>-0.18379999999999999</v>
      </c>
      <c r="AB268">
        <v>-3902.72</v>
      </c>
      <c r="AC268">
        <v>0</v>
      </c>
      <c r="AD268">
        <v>7085.28</v>
      </c>
      <c r="AE268">
        <v>46447.95</v>
      </c>
    </row>
    <row r="269" spans="1:31" x14ac:dyDescent="0.25">
      <c r="A269" t="s">
        <v>468</v>
      </c>
      <c r="B269" s="2">
        <v>45908</v>
      </c>
      <c r="C269" t="s">
        <v>46</v>
      </c>
      <c r="D269" t="s">
        <v>33</v>
      </c>
      <c r="E269">
        <v>2025</v>
      </c>
      <c r="F269" t="s">
        <v>59</v>
      </c>
      <c r="G269" t="s">
        <v>35</v>
      </c>
      <c r="H269" t="s">
        <v>254</v>
      </c>
      <c r="I269" t="s">
        <v>200</v>
      </c>
      <c r="J269" t="s">
        <v>38</v>
      </c>
      <c r="K269" t="s">
        <v>71</v>
      </c>
      <c r="L269" t="s">
        <v>51</v>
      </c>
      <c r="M269" t="s">
        <v>211</v>
      </c>
      <c r="N269" t="s">
        <v>212</v>
      </c>
      <c r="O269" t="s">
        <v>112</v>
      </c>
      <c r="P269" t="s">
        <v>113</v>
      </c>
      <c r="Q269">
        <v>22311.1</v>
      </c>
      <c r="R269">
        <v>25469.77</v>
      </c>
      <c r="S269">
        <v>13798.87</v>
      </c>
      <c r="T269">
        <v>1732.2</v>
      </c>
      <c r="U269">
        <v>1722.32</v>
      </c>
      <c r="V269">
        <v>1856.78</v>
      </c>
      <c r="W269">
        <v>285.02</v>
      </c>
      <c r="X269">
        <v>19395.2</v>
      </c>
      <c r="Y269">
        <v>8512.23</v>
      </c>
      <c r="Z269">
        <v>-10882.97</v>
      </c>
      <c r="AA269">
        <v>-0.43509999999999999</v>
      </c>
      <c r="AB269">
        <v>-3158.67</v>
      </c>
      <c r="AC269">
        <v>1115.56</v>
      </c>
      <c r="AD269">
        <v>3815.2</v>
      </c>
      <c r="AE269">
        <v>25010.75</v>
      </c>
    </row>
    <row r="270" spans="1:31" x14ac:dyDescent="0.25">
      <c r="A270" t="s">
        <v>469</v>
      </c>
      <c r="B270" s="2">
        <v>45893</v>
      </c>
      <c r="C270" t="s">
        <v>117</v>
      </c>
      <c r="D270" t="s">
        <v>33</v>
      </c>
      <c r="E270">
        <v>2025</v>
      </c>
      <c r="F270" t="s">
        <v>59</v>
      </c>
      <c r="G270" t="s">
        <v>35</v>
      </c>
      <c r="H270" t="s">
        <v>254</v>
      </c>
      <c r="I270" t="s">
        <v>255</v>
      </c>
      <c r="J270" t="s">
        <v>70</v>
      </c>
      <c r="K270" t="s">
        <v>71</v>
      </c>
      <c r="L270" t="s">
        <v>72</v>
      </c>
      <c r="M270" t="s">
        <v>110</v>
      </c>
      <c r="N270" t="s">
        <v>111</v>
      </c>
      <c r="O270" t="s">
        <v>112</v>
      </c>
      <c r="P270" t="s">
        <v>113</v>
      </c>
      <c r="Q270">
        <v>12839.9</v>
      </c>
      <c r="R270">
        <v>14207.86</v>
      </c>
      <c r="S270">
        <v>7970.88</v>
      </c>
      <c r="T270">
        <v>1492.96</v>
      </c>
      <c r="U270">
        <v>387.92</v>
      </c>
      <c r="V270">
        <v>1003.4</v>
      </c>
      <c r="W270">
        <v>411.56</v>
      </c>
      <c r="X270">
        <v>11266.72</v>
      </c>
      <c r="Y270">
        <v>4869.0200000000004</v>
      </c>
      <c r="Z270">
        <v>-6397.7</v>
      </c>
      <c r="AA270">
        <v>-0.45900000000000002</v>
      </c>
      <c r="AB270">
        <v>-1367.96</v>
      </c>
      <c r="AC270">
        <v>1027.19</v>
      </c>
      <c r="AD270">
        <v>2126.29</v>
      </c>
      <c r="AE270">
        <v>13939</v>
      </c>
    </row>
    <row r="271" spans="1:31" x14ac:dyDescent="0.25">
      <c r="A271" t="s">
        <v>470</v>
      </c>
      <c r="B271" s="2">
        <v>45928</v>
      </c>
      <c r="C271" t="s">
        <v>46</v>
      </c>
      <c r="D271" t="s">
        <v>33</v>
      </c>
      <c r="E271">
        <v>2025</v>
      </c>
      <c r="F271" t="s">
        <v>59</v>
      </c>
      <c r="G271" t="s">
        <v>35</v>
      </c>
      <c r="H271" t="s">
        <v>254</v>
      </c>
      <c r="I271" t="s">
        <v>314</v>
      </c>
      <c r="J271" t="s">
        <v>70</v>
      </c>
      <c r="K271" t="s">
        <v>71</v>
      </c>
      <c r="L271" t="s">
        <v>40</v>
      </c>
      <c r="M271" t="s">
        <v>189</v>
      </c>
      <c r="N271" t="s">
        <v>190</v>
      </c>
      <c r="O271" t="s">
        <v>104</v>
      </c>
      <c r="P271" t="s">
        <v>105</v>
      </c>
      <c r="Q271">
        <v>15640.43</v>
      </c>
      <c r="R271">
        <v>17525.189999999999</v>
      </c>
      <c r="S271">
        <v>9269.84</v>
      </c>
      <c r="T271">
        <v>1310.86</v>
      </c>
      <c r="U271">
        <v>1403.2</v>
      </c>
      <c r="V271">
        <v>638.75</v>
      </c>
      <c r="W271">
        <v>646.38</v>
      </c>
      <c r="X271">
        <v>13269.03</v>
      </c>
      <c r="Y271">
        <v>6370.59</v>
      </c>
      <c r="Z271">
        <v>-6898.44</v>
      </c>
      <c r="AA271">
        <v>-0.37380000000000002</v>
      </c>
      <c r="AB271">
        <v>-1884.75</v>
      </c>
      <c r="AC271">
        <v>0</v>
      </c>
      <c r="AD271">
        <v>2815.28</v>
      </c>
      <c r="AE271">
        <v>18455.71</v>
      </c>
    </row>
    <row r="272" spans="1:31" x14ac:dyDescent="0.25">
      <c r="A272" t="s">
        <v>471</v>
      </c>
      <c r="B272" s="2">
        <v>46097</v>
      </c>
      <c r="C272" t="s">
        <v>125</v>
      </c>
      <c r="D272" t="s">
        <v>58</v>
      </c>
      <c r="E272">
        <v>2026</v>
      </c>
      <c r="F272" t="s">
        <v>59</v>
      </c>
      <c r="G272" t="s">
        <v>35</v>
      </c>
      <c r="H272" t="s">
        <v>254</v>
      </c>
      <c r="I272" t="s">
        <v>200</v>
      </c>
      <c r="J272" t="s">
        <v>80</v>
      </c>
      <c r="K272" t="s">
        <v>50</v>
      </c>
      <c r="L272" t="s">
        <v>81</v>
      </c>
      <c r="M272" t="s">
        <v>82</v>
      </c>
      <c r="N272" t="s">
        <v>83</v>
      </c>
      <c r="O272" t="s">
        <v>43</v>
      </c>
      <c r="P272" t="s">
        <v>75</v>
      </c>
      <c r="Q272">
        <v>42899.51</v>
      </c>
      <c r="R272">
        <v>45607.040000000001</v>
      </c>
      <c r="S272">
        <v>20840</v>
      </c>
      <c r="T272">
        <v>2544.66</v>
      </c>
      <c r="U272">
        <v>1426.89</v>
      </c>
      <c r="V272">
        <v>2365.59</v>
      </c>
      <c r="W272">
        <v>1118.67</v>
      </c>
      <c r="X272">
        <v>28295.82</v>
      </c>
      <c r="Y272">
        <v>22059.51</v>
      </c>
      <c r="Z272">
        <v>-6236.31</v>
      </c>
      <c r="AA272">
        <v>-0.12970000000000001</v>
      </c>
      <c r="AB272">
        <v>-2707.53</v>
      </c>
      <c r="AC272">
        <v>2144.98</v>
      </c>
      <c r="AD272">
        <v>7335.82</v>
      </c>
      <c r="AE272">
        <v>48090.36</v>
      </c>
    </row>
    <row r="273" spans="1:31" x14ac:dyDescent="0.25">
      <c r="A273" t="s">
        <v>472</v>
      </c>
      <c r="B273" s="2">
        <v>46111</v>
      </c>
      <c r="C273" t="s">
        <v>125</v>
      </c>
      <c r="D273" t="s">
        <v>58</v>
      </c>
      <c r="E273">
        <v>2026</v>
      </c>
      <c r="F273" t="s">
        <v>59</v>
      </c>
      <c r="G273" t="s">
        <v>35</v>
      </c>
      <c r="H273" t="s">
        <v>230</v>
      </c>
      <c r="I273" t="s">
        <v>363</v>
      </c>
      <c r="J273" t="s">
        <v>38</v>
      </c>
      <c r="K273" t="s">
        <v>50</v>
      </c>
      <c r="L273" t="s">
        <v>72</v>
      </c>
      <c r="M273" t="s">
        <v>130</v>
      </c>
      <c r="N273" t="s">
        <v>131</v>
      </c>
      <c r="O273" t="s">
        <v>43</v>
      </c>
      <c r="P273" t="s">
        <v>132</v>
      </c>
      <c r="Q273">
        <v>32952.76</v>
      </c>
      <c r="R273">
        <v>31155.26</v>
      </c>
      <c r="S273">
        <v>23214.91</v>
      </c>
      <c r="T273">
        <v>2876.42</v>
      </c>
      <c r="U273">
        <v>1777.81</v>
      </c>
      <c r="V273">
        <v>1356.51</v>
      </c>
      <c r="W273">
        <v>614.87</v>
      </c>
      <c r="X273">
        <v>29840.52</v>
      </c>
      <c r="Y273">
        <v>9737.84</v>
      </c>
      <c r="Z273">
        <v>-20102.68</v>
      </c>
      <c r="AA273">
        <v>-0.63149999999999995</v>
      </c>
      <c r="AB273">
        <v>1797.5</v>
      </c>
      <c r="AC273">
        <v>2636.22</v>
      </c>
      <c r="AD273">
        <v>1515.83</v>
      </c>
      <c r="AE273">
        <v>31832.36</v>
      </c>
    </row>
    <row r="274" spans="1:31" x14ac:dyDescent="0.25">
      <c r="A274" t="s">
        <v>473</v>
      </c>
      <c r="B274" s="2">
        <v>45971</v>
      </c>
      <c r="C274" t="s">
        <v>147</v>
      </c>
      <c r="D274" t="s">
        <v>93</v>
      </c>
      <c r="E274">
        <v>2025</v>
      </c>
      <c r="F274" t="s">
        <v>47</v>
      </c>
      <c r="G274" t="s">
        <v>35</v>
      </c>
      <c r="H274" t="s">
        <v>206</v>
      </c>
      <c r="I274" t="s">
        <v>344</v>
      </c>
      <c r="J274" t="s">
        <v>80</v>
      </c>
      <c r="K274" t="s">
        <v>50</v>
      </c>
      <c r="L274" t="s">
        <v>81</v>
      </c>
      <c r="M274" t="s">
        <v>110</v>
      </c>
      <c r="N274" t="s">
        <v>111</v>
      </c>
      <c r="O274" t="s">
        <v>112</v>
      </c>
      <c r="P274" t="s">
        <v>113</v>
      </c>
      <c r="Q274">
        <v>26389.52</v>
      </c>
      <c r="R274">
        <v>25018.1</v>
      </c>
      <c r="S274">
        <v>16888.38</v>
      </c>
      <c r="T274">
        <v>1488.59</v>
      </c>
      <c r="U274">
        <v>1417.62</v>
      </c>
      <c r="V274">
        <v>1400.47</v>
      </c>
      <c r="W274">
        <v>434.27</v>
      </c>
      <c r="X274">
        <v>21629.34</v>
      </c>
      <c r="Y274">
        <v>9501.14</v>
      </c>
      <c r="Z274">
        <v>-12128.19</v>
      </c>
      <c r="AA274">
        <v>-0.41870000000000002</v>
      </c>
      <c r="AB274">
        <v>1371.42</v>
      </c>
      <c r="AC274">
        <v>527.79</v>
      </c>
      <c r="AD274">
        <v>3103.41</v>
      </c>
      <c r="AE274">
        <v>28965.14</v>
      </c>
    </row>
    <row r="275" spans="1:31" x14ac:dyDescent="0.25">
      <c r="A275" t="s">
        <v>474</v>
      </c>
      <c r="B275" s="2">
        <v>45753</v>
      </c>
      <c r="C275" t="s">
        <v>128</v>
      </c>
      <c r="D275" t="s">
        <v>66</v>
      </c>
      <c r="E275">
        <v>2025</v>
      </c>
      <c r="F275" t="s">
        <v>47</v>
      </c>
      <c r="G275" t="s">
        <v>35</v>
      </c>
      <c r="H275" t="s">
        <v>48</v>
      </c>
      <c r="I275" t="s">
        <v>49</v>
      </c>
      <c r="J275" t="s">
        <v>80</v>
      </c>
      <c r="K275" t="s">
        <v>101</v>
      </c>
      <c r="L275" t="s">
        <v>40</v>
      </c>
      <c r="M275" t="s">
        <v>95</v>
      </c>
      <c r="N275" t="s">
        <v>96</v>
      </c>
      <c r="O275" t="s">
        <v>43</v>
      </c>
      <c r="P275" t="s">
        <v>90</v>
      </c>
      <c r="Q275">
        <v>30401.16</v>
      </c>
      <c r="R275">
        <v>26988.41</v>
      </c>
      <c r="S275">
        <v>18629.52</v>
      </c>
      <c r="T275">
        <v>2785.84</v>
      </c>
      <c r="U275">
        <v>2725.4</v>
      </c>
      <c r="V275">
        <v>1706.94</v>
      </c>
      <c r="W275">
        <v>578.64</v>
      </c>
      <c r="X275">
        <v>26426.35</v>
      </c>
      <c r="Y275">
        <v>11771.64</v>
      </c>
      <c r="Z275">
        <v>-14654.71</v>
      </c>
      <c r="AA275">
        <v>-0.40849999999999997</v>
      </c>
      <c r="AB275">
        <v>3412.75</v>
      </c>
      <c r="AC275">
        <v>0</v>
      </c>
      <c r="AD275">
        <v>5472.21</v>
      </c>
      <c r="AE275">
        <v>35873.370000000003</v>
      </c>
    </row>
    <row r="276" spans="1:31" x14ac:dyDescent="0.25">
      <c r="A276" t="s">
        <v>475</v>
      </c>
      <c r="B276" s="2">
        <v>46074</v>
      </c>
      <c r="C276" t="s">
        <v>57</v>
      </c>
      <c r="D276" t="s">
        <v>58</v>
      </c>
      <c r="E276">
        <v>2026</v>
      </c>
      <c r="F276" t="s">
        <v>59</v>
      </c>
      <c r="G276" t="s">
        <v>35</v>
      </c>
      <c r="H276" t="s">
        <v>254</v>
      </c>
      <c r="I276" t="s">
        <v>200</v>
      </c>
      <c r="J276" t="s">
        <v>38</v>
      </c>
      <c r="K276" t="s">
        <v>39</v>
      </c>
      <c r="L276" t="s">
        <v>72</v>
      </c>
      <c r="M276" t="s">
        <v>82</v>
      </c>
      <c r="N276" t="s">
        <v>83</v>
      </c>
      <c r="O276" t="s">
        <v>43</v>
      </c>
      <c r="P276" t="s">
        <v>75</v>
      </c>
      <c r="Q276">
        <v>36999.550000000003</v>
      </c>
      <c r="R276">
        <v>37602.04</v>
      </c>
      <c r="S276">
        <v>21769.64</v>
      </c>
      <c r="T276">
        <v>4623.25</v>
      </c>
      <c r="U276">
        <v>3291.56</v>
      </c>
      <c r="V276">
        <v>3837.55</v>
      </c>
      <c r="W276">
        <v>1349.99</v>
      </c>
      <c r="X276">
        <v>34871.980000000003</v>
      </c>
      <c r="Y276">
        <v>15229.91</v>
      </c>
      <c r="Z276">
        <v>-19642.07</v>
      </c>
      <c r="AA276">
        <v>-0.53220000000000001</v>
      </c>
      <c r="AB276">
        <v>-602.48</v>
      </c>
      <c r="AC276">
        <v>1849.98</v>
      </c>
      <c r="AD276">
        <v>1757.48</v>
      </c>
      <c r="AE276">
        <v>36907.050000000003</v>
      </c>
    </row>
    <row r="277" spans="1:31" x14ac:dyDescent="0.25">
      <c r="A277" t="s">
        <v>476</v>
      </c>
      <c r="B277" s="2">
        <v>46026</v>
      </c>
      <c r="C277" t="s">
        <v>77</v>
      </c>
      <c r="D277" t="s">
        <v>58</v>
      </c>
      <c r="E277">
        <v>2026</v>
      </c>
      <c r="F277" t="s">
        <v>85</v>
      </c>
      <c r="G277" t="s">
        <v>35</v>
      </c>
      <c r="H277" t="s">
        <v>60</v>
      </c>
      <c r="I277" t="s">
        <v>61</v>
      </c>
      <c r="J277" t="s">
        <v>70</v>
      </c>
      <c r="K277" t="s">
        <v>50</v>
      </c>
      <c r="L277" t="s">
        <v>81</v>
      </c>
      <c r="M277" t="s">
        <v>221</v>
      </c>
      <c r="N277" t="s">
        <v>222</v>
      </c>
      <c r="O277" t="s">
        <v>104</v>
      </c>
      <c r="P277" t="s">
        <v>223</v>
      </c>
      <c r="Q277">
        <v>14137</v>
      </c>
      <c r="R277">
        <v>12458.32</v>
      </c>
      <c r="S277">
        <v>9060.4699999999993</v>
      </c>
      <c r="T277">
        <v>1432.72</v>
      </c>
      <c r="U277">
        <v>730.9</v>
      </c>
      <c r="V277">
        <v>1119.25</v>
      </c>
      <c r="W277">
        <v>346.93</v>
      </c>
      <c r="X277">
        <v>12690.27</v>
      </c>
      <c r="Y277">
        <v>5076.54</v>
      </c>
      <c r="Z277">
        <v>-7613.73</v>
      </c>
      <c r="AA277">
        <v>-0.48089999999999999</v>
      </c>
      <c r="AB277">
        <v>1678.68</v>
      </c>
      <c r="AC277">
        <v>0</v>
      </c>
      <c r="AD277">
        <v>1696.44</v>
      </c>
      <c r="AE277">
        <v>15833.44</v>
      </c>
    </row>
    <row r="278" spans="1:31" x14ac:dyDescent="0.25">
      <c r="A278" t="s">
        <v>477</v>
      </c>
      <c r="B278" s="2">
        <v>46049</v>
      </c>
      <c r="C278" t="s">
        <v>77</v>
      </c>
      <c r="D278" t="s">
        <v>58</v>
      </c>
      <c r="E278">
        <v>2026</v>
      </c>
      <c r="F278" t="s">
        <v>85</v>
      </c>
      <c r="G278" t="s">
        <v>35</v>
      </c>
      <c r="H278" t="s">
        <v>60</v>
      </c>
      <c r="I278" t="s">
        <v>185</v>
      </c>
      <c r="J278" t="s">
        <v>38</v>
      </c>
      <c r="K278" t="s">
        <v>39</v>
      </c>
      <c r="L278" t="s">
        <v>81</v>
      </c>
      <c r="M278" t="s">
        <v>189</v>
      </c>
      <c r="N278" t="s">
        <v>190</v>
      </c>
      <c r="O278" t="s">
        <v>104</v>
      </c>
      <c r="P278" t="s">
        <v>105</v>
      </c>
      <c r="Q278">
        <v>6946.11</v>
      </c>
      <c r="R278">
        <v>7399.4</v>
      </c>
      <c r="S278">
        <v>3680.52</v>
      </c>
      <c r="T278">
        <v>673.88</v>
      </c>
      <c r="U278">
        <v>224.38</v>
      </c>
      <c r="V278">
        <v>462.33</v>
      </c>
      <c r="W278">
        <v>259.49</v>
      </c>
      <c r="X278">
        <v>5300.6</v>
      </c>
      <c r="Y278">
        <v>3265.59</v>
      </c>
      <c r="Z278">
        <v>-2035.01</v>
      </c>
      <c r="AA278">
        <v>-0.25600000000000001</v>
      </c>
      <c r="AB278">
        <v>-453.29</v>
      </c>
      <c r="AC278">
        <v>208.38</v>
      </c>
      <c r="AD278">
        <v>1212.79</v>
      </c>
      <c r="AE278">
        <v>7950.52</v>
      </c>
    </row>
    <row r="279" spans="1:31" x14ac:dyDescent="0.25">
      <c r="A279" t="s">
        <v>478</v>
      </c>
      <c r="B279" s="2">
        <v>45950</v>
      </c>
      <c r="C279" t="s">
        <v>92</v>
      </c>
      <c r="D279" t="s">
        <v>93</v>
      </c>
      <c r="E279">
        <v>2025</v>
      </c>
      <c r="F279" t="s">
        <v>34</v>
      </c>
      <c r="G279" t="s">
        <v>35</v>
      </c>
      <c r="H279" t="s">
        <v>36</v>
      </c>
      <c r="I279" t="s">
        <v>145</v>
      </c>
      <c r="J279" t="s">
        <v>100</v>
      </c>
      <c r="K279" t="s">
        <v>71</v>
      </c>
      <c r="L279" t="s">
        <v>81</v>
      </c>
      <c r="M279" t="s">
        <v>102</v>
      </c>
      <c r="N279" t="s">
        <v>103</v>
      </c>
      <c r="O279" t="s">
        <v>104</v>
      </c>
      <c r="P279" t="s">
        <v>105</v>
      </c>
      <c r="Q279">
        <v>18356.2</v>
      </c>
      <c r="R279">
        <v>20226.79</v>
      </c>
      <c r="S279">
        <v>11508.35</v>
      </c>
      <c r="T279">
        <v>942.3</v>
      </c>
      <c r="U279">
        <v>691.3</v>
      </c>
      <c r="V279">
        <v>1924.42</v>
      </c>
      <c r="W279">
        <v>358.73</v>
      </c>
      <c r="X279">
        <v>15425.1</v>
      </c>
      <c r="Y279">
        <v>6847.85</v>
      </c>
      <c r="Z279">
        <v>-8577.25</v>
      </c>
      <c r="AA279">
        <v>-0.43919999999999998</v>
      </c>
      <c r="AB279">
        <v>-1870.59</v>
      </c>
      <c r="AC279">
        <v>917.81</v>
      </c>
      <c r="AD279">
        <v>2092.61</v>
      </c>
      <c r="AE279">
        <v>19531</v>
      </c>
    </row>
    <row r="280" spans="1:31" x14ac:dyDescent="0.25">
      <c r="A280" t="s">
        <v>479</v>
      </c>
      <c r="B280" s="2">
        <v>45775</v>
      </c>
      <c r="C280" t="s">
        <v>128</v>
      </c>
      <c r="D280" t="s">
        <v>66</v>
      </c>
      <c r="E280">
        <v>2025</v>
      </c>
      <c r="F280" t="s">
        <v>34</v>
      </c>
      <c r="G280" t="s">
        <v>35</v>
      </c>
      <c r="H280" t="s">
        <v>98</v>
      </c>
      <c r="I280" t="s">
        <v>304</v>
      </c>
      <c r="J280" t="s">
        <v>80</v>
      </c>
      <c r="K280" t="s">
        <v>160</v>
      </c>
      <c r="L280" t="s">
        <v>51</v>
      </c>
      <c r="M280" t="s">
        <v>73</v>
      </c>
      <c r="N280" t="s">
        <v>74</v>
      </c>
      <c r="O280" t="s">
        <v>43</v>
      </c>
      <c r="P280" t="s">
        <v>75</v>
      </c>
      <c r="Q280">
        <v>49911.63</v>
      </c>
      <c r="R280">
        <v>54040.74</v>
      </c>
      <c r="S280">
        <v>31367.79</v>
      </c>
      <c r="T280">
        <v>4765.7700000000004</v>
      </c>
      <c r="U280">
        <v>1439.78</v>
      </c>
      <c r="V280">
        <v>4523.2</v>
      </c>
      <c r="W280">
        <v>1842.35</v>
      </c>
      <c r="X280">
        <v>43938.89</v>
      </c>
      <c r="Y280">
        <v>18543.849999999999</v>
      </c>
      <c r="Z280">
        <v>-25395.040000000001</v>
      </c>
      <c r="AA280">
        <v>-0.53839999999999999</v>
      </c>
      <c r="AB280">
        <v>-4129.1099999999997</v>
      </c>
      <c r="AC280">
        <v>4991.16</v>
      </c>
      <c r="AD280">
        <v>2246.02</v>
      </c>
      <c r="AE280">
        <v>47166.49</v>
      </c>
    </row>
    <row r="281" spans="1:31" x14ac:dyDescent="0.25">
      <c r="A281" t="s">
        <v>480</v>
      </c>
      <c r="B281" s="2">
        <v>45961</v>
      </c>
      <c r="C281" t="s">
        <v>92</v>
      </c>
      <c r="D281" t="s">
        <v>93</v>
      </c>
      <c r="E281">
        <v>2025</v>
      </c>
      <c r="F281" t="s">
        <v>85</v>
      </c>
      <c r="G281" t="s">
        <v>35</v>
      </c>
      <c r="H281" t="s">
        <v>86</v>
      </c>
      <c r="I281" t="s">
        <v>181</v>
      </c>
      <c r="J281" t="s">
        <v>80</v>
      </c>
      <c r="K281" t="s">
        <v>50</v>
      </c>
      <c r="L281" t="s">
        <v>51</v>
      </c>
      <c r="M281" t="s">
        <v>221</v>
      </c>
      <c r="N281" t="s">
        <v>222</v>
      </c>
      <c r="O281" t="s">
        <v>104</v>
      </c>
      <c r="P281" t="s">
        <v>223</v>
      </c>
      <c r="Q281">
        <v>23300.41</v>
      </c>
      <c r="R281">
        <v>27065.74</v>
      </c>
      <c r="S281">
        <v>13140.62</v>
      </c>
      <c r="T281">
        <v>1619.48</v>
      </c>
      <c r="U281">
        <v>1575.89</v>
      </c>
      <c r="V281">
        <v>1302.6099999999999</v>
      </c>
      <c r="W281">
        <v>489.9</v>
      </c>
      <c r="X281">
        <v>18128.5</v>
      </c>
      <c r="Y281">
        <v>10159.790000000001</v>
      </c>
      <c r="Z281">
        <v>-7968.7</v>
      </c>
      <c r="AA281">
        <v>-0.33239999999999997</v>
      </c>
      <c r="AB281">
        <v>-3765.33</v>
      </c>
      <c r="AC281">
        <v>466.01</v>
      </c>
      <c r="AD281">
        <v>1141.72</v>
      </c>
      <c r="AE281">
        <v>23976.12</v>
      </c>
    </row>
    <row r="282" spans="1:31" x14ac:dyDescent="0.25">
      <c r="A282" t="s">
        <v>481</v>
      </c>
      <c r="B282" s="2">
        <v>46050</v>
      </c>
      <c r="C282" t="s">
        <v>77</v>
      </c>
      <c r="D282" t="s">
        <v>58</v>
      </c>
      <c r="E282">
        <v>2026</v>
      </c>
      <c r="F282" t="s">
        <v>59</v>
      </c>
      <c r="G282" t="s">
        <v>35</v>
      </c>
      <c r="H282" t="s">
        <v>230</v>
      </c>
      <c r="I282" t="s">
        <v>363</v>
      </c>
      <c r="J282" t="s">
        <v>100</v>
      </c>
      <c r="K282" t="s">
        <v>50</v>
      </c>
      <c r="L282" t="s">
        <v>51</v>
      </c>
      <c r="M282" t="s">
        <v>197</v>
      </c>
      <c r="N282" t="s">
        <v>198</v>
      </c>
      <c r="O282" t="s">
        <v>43</v>
      </c>
      <c r="P282" t="s">
        <v>163</v>
      </c>
      <c r="Q282">
        <v>40137.730000000003</v>
      </c>
      <c r="R282">
        <v>40287.08</v>
      </c>
      <c r="S282">
        <v>21151.84</v>
      </c>
      <c r="T282">
        <v>3654.7</v>
      </c>
      <c r="U282">
        <v>1343.92</v>
      </c>
      <c r="V282">
        <v>3020.09</v>
      </c>
      <c r="W282">
        <v>847.13</v>
      </c>
      <c r="X282">
        <v>30017.69</v>
      </c>
      <c r="Y282">
        <v>18985.900000000001</v>
      </c>
      <c r="Z282">
        <v>-11031.79</v>
      </c>
      <c r="AA282">
        <v>-0.28449999999999998</v>
      </c>
      <c r="AB282">
        <v>-149.35</v>
      </c>
      <c r="AC282">
        <v>3211.02</v>
      </c>
      <c r="AD282">
        <v>1846.34</v>
      </c>
      <c r="AE282">
        <v>38773.050000000003</v>
      </c>
    </row>
    <row r="283" spans="1:31" x14ac:dyDescent="0.25">
      <c r="A283" t="s">
        <v>482</v>
      </c>
      <c r="B283" s="2">
        <v>45775</v>
      </c>
      <c r="C283" t="s">
        <v>128</v>
      </c>
      <c r="D283" t="s">
        <v>66</v>
      </c>
      <c r="E283">
        <v>2025</v>
      </c>
      <c r="F283" t="s">
        <v>67</v>
      </c>
      <c r="G283" t="s">
        <v>35</v>
      </c>
      <c r="H283" t="s">
        <v>168</v>
      </c>
      <c r="I283" t="s">
        <v>251</v>
      </c>
      <c r="J283" t="s">
        <v>100</v>
      </c>
      <c r="K283" t="s">
        <v>101</v>
      </c>
      <c r="L283" t="s">
        <v>51</v>
      </c>
      <c r="M283" t="s">
        <v>197</v>
      </c>
      <c r="N283" t="s">
        <v>198</v>
      </c>
      <c r="O283" t="s">
        <v>43</v>
      </c>
      <c r="P283" t="s">
        <v>163</v>
      </c>
      <c r="Q283">
        <v>20981.08</v>
      </c>
      <c r="R283">
        <v>19122.21</v>
      </c>
      <c r="S283">
        <v>10718.46</v>
      </c>
      <c r="T283">
        <v>2012.25</v>
      </c>
      <c r="U283">
        <v>607.58000000000004</v>
      </c>
      <c r="V283">
        <v>891.16</v>
      </c>
      <c r="W283">
        <v>734.43</v>
      </c>
      <c r="X283">
        <v>14963.89</v>
      </c>
      <c r="Y283">
        <v>10262.620000000001</v>
      </c>
      <c r="Z283">
        <v>-4701.2700000000004</v>
      </c>
      <c r="AA283">
        <v>-0.22</v>
      </c>
      <c r="AB283">
        <v>1858.87</v>
      </c>
      <c r="AC283">
        <v>629.42999999999995</v>
      </c>
      <c r="AD283">
        <v>1017.58</v>
      </c>
      <c r="AE283">
        <v>21369.23</v>
      </c>
    </row>
    <row r="284" spans="1:31" x14ac:dyDescent="0.25">
      <c r="A284" t="s">
        <v>483</v>
      </c>
      <c r="B284" s="2">
        <v>45782</v>
      </c>
      <c r="C284" t="s">
        <v>65</v>
      </c>
      <c r="D284" t="s">
        <v>66</v>
      </c>
      <c r="E284">
        <v>2025</v>
      </c>
      <c r="F284" t="s">
        <v>85</v>
      </c>
      <c r="G284" t="s">
        <v>35</v>
      </c>
      <c r="H284" t="s">
        <v>86</v>
      </c>
      <c r="I284" t="s">
        <v>181</v>
      </c>
      <c r="J284" t="s">
        <v>80</v>
      </c>
      <c r="K284" t="s">
        <v>71</v>
      </c>
      <c r="L284" t="s">
        <v>51</v>
      </c>
      <c r="M284" t="s">
        <v>73</v>
      </c>
      <c r="N284" t="s">
        <v>74</v>
      </c>
      <c r="O284" t="s">
        <v>43</v>
      </c>
      <c r="P284" t="s">
        <v>75</v>
      </c>
      <c r="Q284">
        <v>66335.929999999993</v>
      </c>
      <c r="R284">
        <v>74498.460000000006</v>
      </c>
      <c r="S284">
        <v>38681.919999999998</v>
      </c>
      <c r="T284">
        <v>7296.21</v>
      </c>
      <c r="U284">
        <v>5595.28</v>
      </c>
      <c r="V284">
        <v>5689.62</v>
      </c>
      <c r="W284">
        <v>1083.0999999999999</v>
      </c>
      <c r="X284">
        <v>58346.13</v>
      </c>
      <c r="Y284">
        <v>27654.02</v>
      </c>
      <c r="Z284">
        <v>-30692.11</v>
      </c>
      <c r="AA284">
        <v>-0.4496</v>
      </c>
      <c r="AB284">
        <v>-8162.53</v>
      </c>
      <c r="AC284">
        <v>1326.72</v>
      </c>
      <c r="AD284">
        <v>3250.46</v>
      </c>
      <c r="AE284">
        <v>68259.679999999993</v>
      </c>
    </row>
    <row r="285" spans="1:31" x14ac:dyDescent="0.25">
      <c r="A285" t="s">
        <v>484</v>
      </c>
      <c r="B285" s="2">
        <v>45781</v>
      </c>
      <c r="C285" t="s">
        <v>65</v>
      </c>
      <c r="D285" t="s">
        <v>66</v>
      </c>
      <c r="E285">
        <v>2025</v>
      </c>
      <c r="F285" t="s">
        <v>67</v>
      </c>
      <c r="G285" t="s">
        <v>35</v>
      </c>
      <c r="H285" t="s">
        <v>168</v>
      </c>
      <c r="I285" t="s">
        <v>251</v>
      </c>
      <c r="J285" t="s">
        <v>80</v>
      </c>
      <c r="K285" t="s">
        <v>101</v>
      </c>
      <c r="L285" t="s">
        <v>94</v>
      </c>
      <c r="M285" t="s">
        <v>171</v>
      </c>
      <c r="N285" t="s">
        <v>172</v>
      </c>
      <c r="O285" t="s">
        <v>173</v>
      </c>
      <c r="P285" t="s">
        <v>174</v>
      </c>
      <c r="Q285">
        <v>14164.85</v>
      </c>
      <c r="R285">
        <v>15748.5</v>
      </c>
      <c r="S285">
        <v>9229.48</v>
      </c>
      <c r="T285">
        <v>1364.33</v>
      </c>
      <c r="U285">
        <v>367.57</v>
      </c>
      <c r="V285">
        <v>974.97</v>
      </c>
      <c r="W285">
        <v>441.51</v>
      </c>
      <c r="X285">
        <v>12377.86</v>
      </c>
      <c r="Y285">
        <v>4935.38</v>
      </c>
      <c r="Z285">
        <v>-7442.48</v>
      </c>
      <c r="AA285">
        <v>-0.45900000000000002</v>
      </c>
      <c r="AB285">
        <v>-1583.65</v>
      </c>
      <c r="AC285">
        <v>424.95</v>
      </c>
      <c r="AD285">
        <v>2473.1799999999998</v>
      </c>
      <c r="AE285">
        <v>16213.09</v>
      </c>
    </row>
    <row r="286" spans="1:31" x14ac:dyDescent="0.25">
      <c r="A286" t="s">
        <v>485</v>
      </c>
      <c r="B286" s="2">
        <v>45856</v>
      </c>
      <c r="C286" t="s">
        <v>32</v>
      </c>
      <c r="D286" t="s">
        <v>33</v>
      </c>
      <c r="E286">
        <v>2025</v>
      </c>
      <c r="F286" t="s">
        <v>34</v>
      </c>
      <c r="G286" t="s">
        <v>35</v>
      </c>
      <c r="H286" t="s">
        <v>134</v>
      </c>
      <c r="I286" t="s">
        <v>176</v>
      </c>
      <c r="J286" t="s">
        <v>38</v>
      </c>
      <c r="K286" t="s">
        <v>50</v>
      </c>
      <c r="L286" t="s">
        <v>94</v>
      </c>
      <c r="M286" t="s">
        <v>95</v>
      </c>
      <c r="N286" t="s">
        <v>96</v>
      </c>
      <c r="O286" t="s">
        <v>43</v>
      </c>
      <c r="P286" t="s">
        <v>90</v>
      </c>
      <c r="Q286">
        <v>58788.19</v>
      </c>
      <c r="R286">
        <v>65978.89</v>
      </c>
      <c r="S286">
        <v>40717.839999999997</v>
      </c>
      <c r="T286">
        <v>6777.47</v>
      </c>
      <c r="U286">
        <v>1542.1</v>
      </c>
      <c r="V286">
        <v>5812.59</v>
      </c>
      <c r="W286">
        <v>1016.68</v>
      </c>
      <c r="X286">
        <v>55866.68</v>
      </c>
      <c r="Y286">
        <v>18070.349999999999</v>
      </c>
      <c r="Z286">
        <v>-37796.33</v>
      </c>
      <c r="AA286">
        <v>-0.54490000000000005</v>
      </c>
      <c r="AB286">
        <v>-7190.7</v>
      </c>
      <c r="AC286">
        <v>0</v>
      </c>
      <c r="AD286">
        <v>10581.87</v>
      </c>
      <c r="AE286">
        <v>69370.06</v>
      </c>
    </row>
    <row r="287" spans="1:31" x14ac:dyDescent="0.25">
      <c r="A287" t="s">
        <v>486</v>
      </c>
      <c r="B287" s="2">
        <v>45938</v>
      </c>
      <c r="C287" t="s">
        <v>92</v>
      </c>
      <c r="D287" t="s">
        <v>93</v>
      </c>
      <c r="E287">
        <v>2025</v>
      </c>
      <c r="F287" t="s">
        <v>47</v>
      </c>
      <c r="G287" t="s">
        <v>35</v>
      </c>
      <c r="H287" t="s">
        <v>214</v>
      </c>
      <c r="I287" t="s">
        <v>220</v>
      </c>
      <c r="J287" t="s">
        <v>80</v>
      </c>
      <c r="K287" t="s">
        <v>50</v>
      </c>
      <c r="L287" t="s">
        <v>81</v>
      </c>
      <c r="M287" t="s">
        <v>52</v>
      </c>
      <c r="N287" t="s">
        <v>53</v>
      </c>
      <c r="O287" t="s">
        <v>54</v>
      </c>
      <c r="P287" t="s">
        <v>55</v>
      </c>
      <c r="Q287">
        <v>8296.4</v>
      </c>
      <c r="R287">
        <v>8980.59</v>
      </c>
      <c r="S287">
        <v>4458.29</v>
      </c>
      <c r="T287">
        <v>917.94</v>
      </c>
      <c r="U287">
        <v>617.26</v>
      </c>
      <c r="V287">
        <v>539.33000000000004</v>
      </c>
      <c r="W287">
        <v>202.22</v>
      </c>
      <c r="X287">
        <v>6735.03</v>
      </c>
      <c r="Y287">
        <v>3838.12</v>
      </c>
      <c r="Z287">
        <v>-2896.91</v>
      </c>
      <c r="AA287">
        <v>-0.30199999999999999</v>
      </c>
      <c r="AB287">
        <v>-684.19</v>
      </c>
      <c r="AC287">
        <v>165.93</v>
      </c>
      <c r="AD287">
        <v>1463.49</v>
      </c>
      <c r="AE287">
        <v>9593.9599999999991</v>
      </c>
    </row>
    <row r="288" spans="1:31" x14ac:dyDescent="0.25">
      <c r="A288" t="s">
        <v>487</v>
      </c>
      <c r="B288" s="2">
        <v>46088</v>
      </c>
      <c r="C288" t="s">
        <v>125</v>
      </c>
      <c r="D288" t="s">
        <v>58</v>
      </c>
      <c r="E288">
        <v>2026</v>
      </c>
      <c r="F288" t="s">
        <v>85</v>
      </c>
      <c r="G288" t="s">
        <v>35</v>
      </c>
      <c r="H288" t="s">
        <v>178</v>
      </c>
      <c r="I288" t="s">
        <v>249</v>
      </c>
      <c r="J288" t="s">
        <v>70</v>
      </c>
      <c r="K288" t="s">
        <v>160</v>
      </c>
      <c r="L288" t="s">
        <v>94</v>
      </c>
      <c r="M288" t="s">
        <v>120</v>
      </c>
      <c r="N288" t="s">
        <v>121</v>
      </c>
      <c r="O288" t="s">
        <v>43</v>
      </c>
      <c r="P288" t="s">
        <v>122</v>
      </c>
      <c r="Q288">
        <v>26174.55</v>
      </c>
      <c r="R288">
        <v>24466.34</v>
      </c>
      <c r="S288">
        <v>18627.13</v>
      </c>
      <c r="T288">
        <v>2205.33</v>
      </c>
      <c r="U288">
        <v>1729.65</v>
      </c>
      <c r="V288">
        <v>2567.4299999999998</v>
      </c>
      <c r="W288">
        <v>597.91999999999996</v>
      </c>
      <c r="X288">
        <v>25727.46</v>
      </c>
      <c r="Y288">
        <v>7547.42</v>
      </c>
      <c r="Z288">
        <v>-18180.04</v>
      </c>
      <c r="AA288">
        <v>-0.66149999999999998</v>
      </c>
      <c r="AB288">
        <v>1708.22</v>
      </c>
      <c r="AC288">
        <v>0</v>
      </c>
      <c r="AD288">
        <v>1308.73</v>
      </c>
      <c r="AE288">
        <v>27483.279999999999</v>
      </c>
    </row>
    <row r="289" spans="1:31" x14ac:dyDescent="0.25">
      <c r="A289" t="s">
        <v>488</v>
      </c>
      <c r="B289" s="2">
        <v>46087</v>
      </c>
      <c r="C289" t="s">
        <v>125</v>
      </c>
      <c r="D289" t="s">
        <v>58</v>
      </c>
      <c r="E289">
        <v>2026</v>
      </c>
      <c r="F289" t="s">
        <v>34</v>
      </c>
      <c r="G289" t="s">
        <v>35</v>
      </c>
      <c r="H289" t="s">
        <v>36</v>
      </c>
      <c r="I289" t="s">
        <v>245</v>
      </c>
      <c r="J289" t="s">
        <v>70</v>
      </c>
      <c r="K289" t="s">
        <v>50</v>
      </c>
      <c r="L289" t="s">
        <v>94</v>
      </c>
      <c r="M289" t="s">
        <v>211</v>
      </c>
      <c r="N289" t="s">
        <v>212</v>
      </c>
      <c r="O289" t="s">
        <v>112</v>
      </c>
      <c r="P289" t="s">
        <v>113</v>
      </c>
      <c r="Q289">
        <v>24069.84</v>
      </c>
      <c r="R289">
        <v>26706.89</v>
      </c>
      <c r="S289">
        <v>12380.53</v>
      </c>
      <c r="T289">
        <v>2469.98</v>
      </c>
      <c r="U289">
        <v>1605.51</v>
      </c>
      <c r="V289">
        <v>1012.03</v>
      </c>
      <c r="W289">
        <v>904.52</v>
      </c>
      <c r="X289">
        <v>18372.57</v>
      </c>
      <c r="Y289">
        <v>11689.31</v>
      </c>
      <c r="Z289">
        <v>-6683.26</v>
      </c>
      <c r="AA289">
        <v>-0.26950000000000002</v>
      </c>
      <c r="AB289">
        <v>-2637.05</v>
      </c>
      <c r="AC289">
        <v>1925.59</v>
      </c>
      <c r="AD289">
        <v>2657.31</v>
      </c>
      <c r="AE289">
        <v>24801.57</v>
      </c>
    </row>
    <row r="290" spans="1:31" x14ac:dyDescent="0.25">
      <c r="A290" t="s">
        <v>489</v>
      </c>
      <c r="B290" s="2">
        <v>45926</v>
      </c>
      <c r="C290" t="s">
        <v>46</v>
      </c>
      <c r="D290" t="s">
        <v>33</v>
      </c>
      <c r="E290">
        <v>2025</v>
      </c>
      <c r="F290" t="s">
        <v>47</v>
      </c>
      <c r="G290" t="s">
        <v>35</v>
      </c>
      <c r="H290" t="s">
        <v>78</v>
      </c>
      <c r="I290" t="s">
        <v>183</v>
      </c>
      <c r="J290" t="s">
        <v>100</v>
      </c>
      <c r="K290" t="s">
        <v>39</v>
      </c>
      <c r="L290" t="s">
        <v>81</v>
      </c>
      <c r="M290" t="s">
        <v>189</v>
      </c>
      <c r="N290" t="s">
        <v>190</v>
      </c>
      <c r="O290" t="s">
        <v>104</v>
      </c>
      <c r="P290" t="s">
        <v>105</v>
      </c>
      <c r="Q290">
        <v>30575.4</v>
      </c>
      <c r="R290">
        <v>29416.89</v>
      </c>
      <c r="S290">
        <v>21367.21</v>
      </c>
      <c r="T290">
        <v>1767.28</v>
      </c>
      <c r="U290">
        <v>2460.29</v>
      </c>
      <c r="V290">
        <v>2025.71</v>
      </c>
      <c r="W290">
        <v>363.3</v>
      </c>
      <c r="X290">
        <v>27983.78</v>
      </c>
      <c r="Y290">
        <v>9208.2000000000007</v>
      </c>
      <c r="Z290">
        <v>-18775.580000000002</v>
      </c>
      <c r="AA290">
        <v>-0.61560000000000004</v>
      </c>
      <c r="AB290">
        <v>1158.52</v>
      </c>
      <c r="AC290">
        <v>1528.77</v>
      </c>
      <c r="AD290">
        <v>1452.33</v>
      </c>
      <c r="AE290">
        <v>30498.959999999999</v>
      </c>
    </row>
    <row r="291" spans="1:31" x14ac:dyDescent="0.25">
      <c r="A291" t="s">
        <v>490</v>
      </c>
      <c r="B291" s="2">
        <v>45862</v>
      </c>
      <c r="C291" t="s">
        <v>32</v>
      </c>
      <c r="D291" t="s">
        <v>33</v>
      </c>
      <c r="E291">
        <v>2025</v>
      </c>
      <c r="F291" t="s">
        <v>47</v>
      </c>
      <c r="G291" t="s">
        <v>35</v>
      </c>
      <c r="H291" t="s">
        <v>78</v>
      </c>
      <c r="I291" t="s">
        <v>183</v>
      </c>
      <c r="J291" t="s">
        <v>70</v>
      </c>
      <c r="K291" t="s">
        <v>71</v>
      </c>
      <c r="L291" t="s">
        <v>51</v>
      </c>
      <c r="M291" t="s">
        <v>171</v>
      </c>
      <c r="N291" t="s">
        <v>172</v>
      </c>
      <c r="O291" t="s">
        <v>173</v>
      </c>
      <c r="P291" t="s">
        <v>174</v>
      </c>
      <c r="Q291">
        <v>18595.759999999998</v>
      </c>
      <c r="R291">
        <v>20558.5</v>
      </c>
      <c r="S291">
        <v>12549.67</v>
      </c>
      <c r="T291">
        <v>2336.7399999999998</v>
      </c>
      <c r="U291">
        <v>843.13</v>
      </c>
      <c r="V291">
        <v>2021</v>
      </c>
      <c r="W291">
        <v>271.67</v>
      </c>
      <c r="X291">
        <v>18022.2</v>
      </c>
      <c r="Y291">
        <v>6046.09</v>
      </c>
      <c r="Z291">
        <v>-11976.11</v>
      </c>
      <c r="AA291">
        <v>-0.57450000000000001</v>
      </c>
      <c r="AB291">
        <v>-1962.74</v>
      </c>
      <c r="AC291">
        <v>929.79</v>
      </c>
      <c r="AD291">
        <v>3179.87</v>
      </c>
      <c r="AE291">
        <v>20845.849999999999</v>
      </c>
    </row>
    <row r="292" spans="1:31" x14ac:dyDescent="0.25">
      <c r="A292" t="s">
        <v>491</v>
      </c>
      <c r="B292" s="2">
        <v>46059</v>
      </c>
      <c r="C292" t="s">
        <v>57</v>
      </c>
      <c r="D292" t="s">
        <v>58</v>
      </c>
      <c r="E292">
        <v>2026</v>
      </c>
      <c r="F292" t="s">
        <v>34</v>
      </c>
      <c r="G292" t="s">
        <v>35</v>
      </c>
      <c r="H292" t="s">
        <v>36</v>
      </c>
      <c r="I292" t="s">
        <v>37</v>
      </c>
      <c r="J292" t="s">
        <v>70</v>
      </c>
      <c r="K292" t="s">
        <v>50</v>
      </c>
      <c r="L292" t="s">
        <v>51</v>
      </c>
      <c r="M292" t="s">
        <v>82</v>
      </c>
      <c r="N292" t="s">
        <v>83</v>
      </c>
      <c r="O292" t="s">
        <v>43</v>
      </c>
      <c r="P292" t="s">
        <v>75</v>
      </c>
      <c r="Q292">
        <v>50815.839999999997</v>
      </c>
      <c r="R292">
        <v>50562.73</v>
      </c>
      <c r="S292">
        <v>26443.89</v>
      </c>
      <c r="T292">
        <v>5941.15</v>
      </c>
      <c r="U292">
        <v>3083.46</v>
      </c>
      <c r="V292">
        <v>2801.76</v>
      </c>
      <c r="W292">
        <v>1789.4</v>
      </c>
      <c r="X292">
        <v>40059.67</v>
      </c>
      <c r="Y292">
        <v>24371.94</v>
      </c>
      <c r="Z292">
        <v>-15687.73</v>
      </c>
      <c r="AA292">
        <v>-0.2697</v>
      </c>
      <c r="AB292">
        <v>253.11</v>
      </c>
      <c r="AC292">
        <v>1524.48</v>
      </c>
      <c r="AD292">
        <v>8872.4500000000007</v>
      </c>
      <c r="AE292">
        <v>58163.81</v>
      </c>
    </row>
    <row r="293" spans="1:31" x14ac:dyDescent="0.25">
      <c r="A293" t="s">
        <v>492</v>
      </c>
      <c r="B293" s="2">
        <v>45974</v>
      </c>
      <c r="C293" t="s">
        <v>147</v>
      </c>
      <c r="D293" t="s">
        <v>93</v>
      </c>
      <c r="E293">
        <v>2025</v>
      </c>
      <c r="F293" t="s">
        <v>34</v>
      </c>
      <c r="G293" t="s">
        <v>35</v>
      </c>
      <c r="H293" t="s">
        <v>134</v>
      </c>
      <c r="I293" t="s">
        <v>154</v>
      </c>
      <c r="J293" t="s">
        <v>38</v>
      </c>
      <c r="K293" t="s">
        <v>160</v>
      </c>
      <c r="L293" t="s">
        <v>51</v>
      </c>
      <c r="M293" t="s">
        <v>95</v>
      </c>
      <c r="N293" t="s">
        <v>96</v>
      </c>
      <c r="O293" t="s">
        <v>43</v>
      </c>
      <c r="P293" t="s">
        <v>90</v>
      </c>
      <c r="Q293">
        <v>46974.12</v>
      </c>
      <c r="R293">
        <v>54332.97</v>
      </c>
      <c r="S293">
        <v>24148.39</v>
      </c>
      <c r="T293">
        <v>3492.03</v>
      </c>
      <c r="U293">
        <v>1599.52</v>
      </c>
      <c r="V293">
        <v>4178.8500000000004</v>
      </c>
      <c r="W293">
        <v>973.33</v>
      </c>
      <c r="X293">
        <v>34392.11</v>
      </c>
      <c r="Y293">
        <v>22825.73</v>
      </c>
      <c r="Z293">
        <v>-11566.38</v>
      </c>
      <c r="AA293">
        <v>-0.23930000000000001</v>
      </c>
      <c r="AB293">
        <v>-7358.85</v>
      </c>
      <c r="AC293">
        <v>939.48</v>
      </c>
      <c r="AD293">
        <v>2301.73</v>
      </c>
      <c r="AE293">
        <v>48336.37</v>
      </c>
    </row>
    <row r="294" spans="1:31" x14ac:dyDescent="0.25">
      <c r="A294" t="s">
        <v>493</v>
      </c>
      <c r="B294" s="2">
        <v>45774</v>
      </c>
      <c r="C294" t="s">
        <v>128</v>
      </c>
      <c r="D294" t="s">
        <v>66</v>
      </c>
      <c r="E294">
        <v>2025</v>
      </c>
      <c r="F294" t="s">
        <v>34</v>
      </c>
      <c r="G294" t="s">
        <v>35</v>
      </c>
      <c r="H294" t="s">
        <v>134</v>
      </c>
      <c r="I294" t="s">
        <v>154</v>
      </c>
      <c r="J294" t="s">
        <v>38</v>
      </c>
      <c r="K294" t="s">
        <v>39</v>
      </c>
      <c r="L294" t="s">
        <v>81</v>
      </c>
      <c r="M294" t="s">
        <v>62</v>
      </c>
      <c r="N294" t="s">
        <v>63</v>
      </c>
      <c r="O294" t="s">
        <v>54</v>
      </c>
      <c r="P294" t="s">
        <v>55</v>
      </c>
      <c r="Q294">
        <v>2982.98</v>
      </c>
      <c r="R294">
        <v>3146.42</v>
      </c>
      <c r="S294">
        <v>2144.5100000000002</v>
      </c>
      <c r="T294">
        <v>366.67</v>
      </c>
      <c r="U294">
        <v>117.53</v>
      </c>
      <c r="V294">
        <v>132.72</v>
      </c>
      <c r="W294">
        <v>56.52</v>
      </c>
      <c r="X294">
        <v>2817.95</v>
      </c>
      <c r="Y294">
        <v>838.48</v>
      </c>
      <c r="Z294">
        <v>-1979.47</v>
      </c>
      <c r="AA294">
        <v>-0.65149999999999997</v>
      </c>
      <c r="AB294">
        <v>-163.43</v>
      </c>
      <c r="AC294">
        <v>89.49</v>
      </c>
      <c r="AD294">
        <v>144.66999999999999</v>
      </c>
      <c r="AE294">
        <v>3038.17</v>
      </c>
    </row>
    <row r="295" spans="1:31" x14ac:dyDescent="0.25">
      <c r="A295" t="s">
        <v>494</v>
      </c>
      <c r="B295" s="2">
        <v>45829</v>
      </c>
      <c r="C295" t="s">
        <v>156</v>
      </c>
      <c r="D295" t="s">
        <v>66</v>
      </c>
      <c r="E295">
        <v>2025</v>
      </c>
      <c r="F295" t="s">
        <v>67</v>
      </c>
      <c r="G295" t="s">
        <v>35</v>
      </c>
      <c r="H295" t="s">
        <v>168</v>
      </c>
      <c r="I295" t="s">
        <v>278</v>
      </c>
      <c r="J295" t="s">
        <v>70</v>
      </c>
      <c r="K295" t="s">
        <v>50</v>
      </c>
      <c r="L295" t="s">
        <v>94</v>
      </c>
      <c r="M295" t="s">
        <v>197</v>
      </c>
      <c r="N295" t="s">
        <v>198</v>
      </c>
      <c r="O295" t="s">
        <v>43</v>
      </c>
      <c r="P295" t="s">
        <v>163</v>
      </c>
      <c r="Q295">
        <v>20716.61</v>
      </c>
      <c r="R295">
        <v>21176.560000000001</v>
      </c>
      <c r="S295">
        <v>12187.67</v>
      </c>
      <c r="T295">
        <v>2476.34</v>
      </c>
      <c r="U295">
        <v>1231.69</v>
      </c>
      <c r="V295">
        <v>1604.26</v>
      </c>
      <c r="W295">
        <v>504.96</v>
      </c>
      <c r="X295">
        <v>18004.919999999998</v>
      </c>
      <c r="Y295">
        <v>8528.9500000000007</v>
      </c>
      <c r="Z295">
        <v>-9475.9699999999993</v>
      </c>
      <c r="AA295">
        <v>-0.42130000000000001</v>
      </c>
      <c r="AB295">
        <v>-459.95</v>
      </c>
      <c r="AC295">
        <v>1657.33</v>
      </c>
      <c r="AD295">
        <v>3430.67</v>
      </c>
      <c r="AE295">
        <v>22489.95</v>
      </c>
    </row>
    <row r="296" spans="1:31" x14ac:dyDescent="0.25">
      <c r="A296" t="s">
        <v>495</v>
      </c>
      <c r="B296" s="2">
        <v>46053</v>
      </c>
      <c r="C296" t="s">
        <v>77</v>
      </c>
      <c r="D296" t="s">
        <v>58</v>
      </c>
      <c r="E296">
        <v>2026</v>
      </c>
      <c r="F296" t="s">
        <v>34</v>
      </c>
      <c r="G296" t="s">
        <v>35</v>
      </c>
      <c r="H296" t="s">
        <v>98</v>
      </c>
      <c r="I296" t="s">
        <v>149</v>
      </c>
      <c r="J296" t="s">
        <v>80</v>
      </c>
      <c r="K296" t="s">
        <v>50</v>
      </c>
      <c r="L296" t="s">
        <v>40</v>
      </c>
      <c r="M296" t="s">
        <v>211</v>
      </c>
      <c r="N296" t="s">
        <v>212</v>
      </c>
      <c r="O296" t="s">
        <v>112</v>
      </c>
      <c r="P296" t="s">
        <v>113</v>
      </c>
      <c r="Q296">
        <v>18174.7</v>
      </c>
      <c r="R296">
        <v>19243.650000000001</v>
      </c>
      <c r="S296">
        <v>13067.18</v>
      </c>
      <c r="T296">
        <v>1541.6</v>
      </c>
      <c r="U296">
        <v>1542.03</v>
      </c>
      <c r="V296">
        <v>1228.6300000000001</v>
      </c>
      <c r="W296">
        <v>216.56</v>
      </c>
      <c r="X296">
        <v>17596.009999999998</v>
      </c>
      <c r="Y296">
        <v>5107.5200000000004</v>
      </c>
      <c r="Z296">
        <v>-12488.48</v>
      </c>
      <c r="AA296">
        <v>-0.626</v>
      </c>
      <c r="AB296">
        <v>-1068.95</v>
      </c>
      <c r="AC296">
        <v>363.49</v>
      </c>
      <c r="AD296">
        <v>2137.35</v>
      </c>
      <c r="AE296">
        <v>19948.55</v>
      </c>
    </row>
    <row r="297" spans="1:31" x14ac:dyDescent="0.25">
      <c r="A297" t="s">
        <v>496</v>
      </c>
      <c r="B297" s="2">
        <v>45932</v>
      </c>
      <c r="C297" t="s">
        <v>92</v>
      </c>
      <c r="D297" t="s">
        <v>93</v>
      </c>
      <c r="E297">
        <v>2025</v>
      </c>
      <c r="F297" t="s">
        <v>59</v>
      </c>
      <c r="G297" t="s">
        <v>35</v>
      </c>
      <c r="H297" t="s">
        <v>139</v>
      </c>
      <c r="I297" t="s">
        <v>140</v>
      </c>
      <c r="J297" t="s">
        <v>38</v>
      </c>
      <c r="K297" t="s">
        <v>50</v>
      </c>
      <c r="L297" t="s">
        <v>40</v>
      </c>
      <c r="M297" t="s">
        <v>197</v>
      </c>
      <c r="N297" t="s">
        <v>198</v>
      </c>
      <c r="O297" t="s">
        <v>43</v>
      </c>
      <c r="P297" t="s">
        <v>163</v>
      </c>
      <c r="Q297">
        <v>66904.11</v>
      </c>
      <c r="R297">
        <v>73382.8</v>
      </c>
      <c r="S297">
        <v>35836.65</v>
      </c>
      <c r="T297">
        <v>7121.61</v>
      </c>
      <c r="U297">
        <v>3010.73</v>
      </c>
      <c r="V297">
        <v>3972.36</v>
      </c>
      <c r="W297">
        <v>839.99</v>
      </c>
      <c r="X297">
        <v>50781.34</v>
      </c>
      <c r="Y297">
        <v>31067.46</v>
      </c>
      <c r="Z297">
        <v>-19713.87</v>
      </c>
      <c r="AA297">
        <v>-0.26290000000000002</v>
      </c>
      <c r="AB297">
        <v>-6478.68</v>
      </c>
      <c r="AC297">
        <v>3345.21</v>
      </c>
      <c r="AD297">
        <v>11440.6</v>
      </c>
      <c r="AE297">
        <v>74999.509999999995</v>
      </c>
    </row>
    <row r="298" spans="1:31" x14ac:dyDescent="0.25">
      <c r="A298" t="s">
        <v>497</v>
      </c>
      <c r="B298" s="2">
        <v>45853</v>
      </c>
      <c r="C298" t="s">
        <v>32</v>
      </c>
      <c r="D298" t="s">
        <v>33</v>
      </c>
      <c r="E298">
        <v>2025</v>
      </c>
      <c r="F298" t="s">
        <v>59</v>
      </c>
      <c r="G298" t="s">
        <v>35</v>
      </c>
      <c r="H298" t="s">
        <v>60</v>
      </c>
      <c r="I298" t="s">
        <v>185</v>
      </c>
      <c r="J298" t="s">
        <v>100</v>
      </c>
      <c r="K298" t="s">
        <v>50</v>
      </c>
      <c r="L298" t="s">
        <v>40</v>
      </c>
      <c r="M298" t="s">
        <v>52</v>
      </c>
      <c r="N298" t="s">
        <v>53</v>
      </c>
      <c r="O298" t="s">
        <v>54</v>
      </c>
      <c r="P298" t="s">
        <v>55</v>
      </c>
      <c r="Q298">
        <v>3758.12</v>
      </c>
      <c r="R298">
        <v>3398.66</v>
      </c>
      <c r="S298">
        <v>2211.7600000000002</v>
      </c>
      <c r="T298">
        <v>410.11</v>
      </c>
      <c r="U298">
        <v>261.64999999999998</v>
      </c>
      <c r="V298">
        <v>395.38</v>
      </c>
      <c r="W298">
        <v>153</v>
      </c>
      <c r="X298">
        <v>3431.9</v>
      </c>
      <c r="Y298">
        <v>1546.36</v>
      </c>
      <c r="Z298">
        <v>-1885.54</v>
      </c>
      <c r="AA298">
        <v>-0.4476</v>
      </c>
      <c r="AB298">
        <v>359.47</v>
      </c>
      <c r="AC298">
        <v>187.91</v>
      </c>
      <c r="AD298">
        <v>642.64</v>
      </c>
      <c r="AE298">
        <v>4212.8599999999997</v>
      </c>
    </row>
    <row r="299" spans="1:31" x14ac:dyDescent="0.25">
      <c r="A299" t="s">
        <v>498</v>
      </c>
      <c r="B299" s="2">
        <v>46033</v>
      </c>
      <c r="C299" t="s">
        <v>77</v>
      </c>
      <c r="D299" t="s">
        <v>58</v>
      </c>
      <c r="E299">
        <v>2026</v>
      </c>
      <c r="F299" t="s">
        <v>34</v>
      </c>
      <c r="G299" t="s">
        <v>35</v>
      </c>
      <c r="H299" t="s">
        <v>157</v>
      </c>
      <c r="I299" t="s">
        <v>166</v>
      </c>
      <c r="J299" t="s">
        <v>70</v>
      </c>
      <c r="K299" t="s">
        <v>101</v>
      </c>
      <c r="L299" t="s">
        <v>40</v>
      </c>
      <c r="M299" t="s">
        <v>161</v>
      </c>
      <c r="N299" t="s">
        <v>162</v>
      </c>
      <c r="O299" t="s">
        <v>43</v>
      </c>
      <c r="P299" t="s">
        <v>163</v>
      </c>
      <c r="Q299">
        <v>48073.53</v>
      </c>
      <c r="R299">
        <v>50069.47</v>
      </c>
      <c r="S299">
        <v>34522.21</v>
      </c>
      <c r="T299">
        <v>5701.64</v>
      </c>
      <c r="U299">
        <v>1506.09</v>
      </c>
      <c r="V299">
        <v>4639.5600000000004</v>
      </c>
      <c r="W299">
        <v>1062.2</v>
      </c>
      <c r="X299">
        <v>47431.7</v>
      </c>
      <c r="Y299">
        <v>13551.32</v>
      </c>
      <c r="Z299">
        <v>-33880.370000000003</v>
      </c>
      <c r="AA299">
        <v>-0.62929999999999997</v>
      </c>
      <c r="AB299">
        <v>-1995.94</v>
      </c>
      <c r="AC299">
        <v>0</v>
      </c>
      <c r="AD299">
        <v>5768.82</v>
      </c>
      <c r="AE299">
        <v>53842.35</v>
      </c>
    </row>
    <row r="300" spans="1:31" x14ac:dyDescent="0.25">
      <c r="A300" t="s">
        <v>499</v>
      </c>
      <c r="B300" s="2">
        <v>45931</v>
      </c>
      <c r="C300" t="s">
        <v>92</v>
      </c>
      <c r="D300" t="s">
        <v>93</v>
      </c>
      <c r="E300">
        <v>2025</v>
      </c>
      <c r="F300" t="s">
        <v>34</v>
      </c>
      <c r="G300" t="s">
        <v>35</v>
      </c>
      <c r="H300" t="s">
        <v>134</v>
      </c>
      <c r="I300" t="s">
        <v>154</v>
      </c>
      <c r="J300" t="s">
        <v>100</v>
      </c>
      <c r="K300" t="s">
        <v>160</v>
      </c>
      <c r="L300" t="s">
        <v>94</v>
      </c>
      <c r="M300" t="s">
        <v>130</v>
      </c>
      <c r="N300" t="s">
        <v>131</v>
      </c>
      <c r="O300" t="s">
        <v>43</v>
      </c>
      <c r="P300" t="s">
        <v>132</v>
      </c>
      <c r="Q300">
        <v>22918.78</v>
      </c>
      <c r="R300">
        <v>21455.13</v>
      </c>
      <c r="S300">
        <v>14056.82</v>
      </c>
      <c r="T300">
        <v>1680.15</v>
      </c>
      <c r="U300">
        <v>1194.77</v>
      </c>
      <c r="V300">
        <v>1607.74</v>
      </c>
      <c r="W300">
        <v>931.8</v>
      </c>
      <c r="X300">
        <v>19471.28</v>
      </c>
      <c r="Y300">
        <v>8861.9599999999991</v>
      </c>
      <c r="Z300">
        <v>-10609.32</v>
      </c>
      <c r="AA300">
        <v>-0.44929999999999998</v>
      </c>
      <c r="AB300">
        <v>1463.66</v>
      </c>
      <c r="AC300">
        <v>1833.5</v>
      </c>
      <c r="AD300">
        <v>2530.23</v>
      </c>
      <c r="AE300">
        <v>23615.51</v>
      </c>
    </row>
    <row r="301" spans="1:31" x14ac:dyDescent="0.25">
      <c r="A301" t="s">
        <v>500</v>
      </c>
      <c r="B301" s="2">
        <v>45789</v>
      </c>
      <c r="C301" t="s">
        <v>65</v>
      </c>
      <c r="D301" t="s">
        <v>66</v>
      </c>
      <c r="E301">
        <v>2025</v>
      </c>
      <c r="F301" t="s">
        <v>59</v>
      </c>
      <c r="G301" t="s">
        <v>35</v>
      </c>
      <c r="H301" t="s">
        <v>139</v>
      </c>
      <c r="I301" t="s">
        <v>140</v>
      </c>
      <c r="J301" t="s">
        <v>38</v>
      </c>
      <c r="K301" t="s">
        <v>71</v>
      </c>
      <c r="L301" t="s">
        <v>40</v>
      </c>
      <c r="M301" t="s">
        <v>130</v>
      </c>
      <c r="N301" t="s">
        <v>131</v>
      </c>
      <c r="O301" t="s">
        <v>43</v>
      </c>
      <c r="P301" t="s">
        <v>132</v>
      </c>
      <c r="Q301">
        <v>37850.300000000003</v>
      </c>
      <c r="R301">
        <v>42895.54</v>
      </c>
      <c r="S301">
        <v>26487.41</v>
      </c>
      <c r="T301">
        <v>4066.43</v>
      </c>
      <c r="U301">
        <v>1644.01</v>
      </c>
      <c r="V301">
        <v>2502</v>
      </c>
      <c r="W301">
        <v>406</v>
      </c>
      <c r="X301">
        <v>35105.86</v>
      </c>
      <c r="Y301">
        <v>11362.89</v>
      </c>
      <c r="Z301">
        <v>-23742.959999999999</v>
      </c>
      <c r="AA301">
        <v>-0.62890000000000001</v>
      </c>
      <c r="AB301">
        <v>-5045.24</v>
      </c>
      <c r="AC301">
        <v>1892.52</v>
      </c>
      <c r="AD301">
        <v>1797.89</v>
      </c>
      <c r="AE301">
        <v>37755.68</v>
      </c>
    </row>
    <row r="302" spans="1:31" x14ac:dyDescent="0.25">
      <c r="A302" t="s">
        <v>501</v>
      </c>
      <c r="B302" s="2">
        <v>46088</v>
      </c>
      <c r="C302" t="s">
        <v>125</v>
      </c>
      <c r="D302" t="s">
        <v>58</v>
      </c>
      <c r="E302">
        <v>2026</v>
      </c>
      <c r="F302" t="s">
        <v>67</v>
      </c>
      <c r="G302" t="s">
        <v>35</v>
      </c>
      <c r="H302" t="s">
        <v>168</v>
      </c>
      <c r="I302" t="s">
        <v>169</v>
      </c>
      <c r="J302" t="s">
        <v>70</v>
      </c>
      <c r="K302" t="s">
        <v>101</v>
      </c>
      <c r="L302" t="s">
        <v>81</v>
      </c>
      <c r="M302" t="s">
        <v>171</v>
      </c>
      <c r="N302" t="s">
        <v>172</v>
      </c>
      <c r="O302" t="s">
        <v>173</v>
      </c>
      <c r="P302" t="s">
        <v>174</v>
      </c>
      <c r="Q302">
        <v>14803.36</v>
      </c>
      <c r="R302">
        <v>13085.71</v>
      </c>
      <c r="S302">
        <v>8923.8700000000008</v>
      </c>
      <c r="T302">
        <v>1651.39</v>
      </c>
      <c r="U302">
        <v>1269.56</v>
      </c>
      <c r="V302">
        <v>1668.87</v>
      </c>
      <c r="W302">
        <v>572.70000000000005</v>
      </c>
      <c r="X302">
        <v>14086.39</v>
      </c>
      <c r="Y302">
        <v>5879.49</v>
      </c>
      <c r="Z302">
        <v>-8206.9</v>
      </c>
      <c r="AA302">
        <v>-0.57389999999999997</v>
      </c>
      <c r="AB302">
        <v>1717.65</v>
      </c>
      <c r="AC302">
        <v>1184.27</v>
      </c>
      <c r="AD302">
        <v>680.95</v>
      </c>
      <c r="AE302">
        <v>14300.04</v>
      </c>
    </row>
    <row r="303" spans="1:31" x14ac:dyDescent="0.25">
      <c r="A303" t="s">
        <v>502</v>
      </c>
      <c r="B303" s="2">
        <v>46074</v>
      </c>
      <c r="C303" t="s">
        <v>57</v>
      </c>
      <c r="D303" t="s">
        <v>58</v>
      </c>
      <c r="E303">
        <v>2026</v>
      </c>
      <c r="F303" t="s">
        <v>67</v>
      </c>
      <c r="G303" t="s">
        <v>35</v>
      </c>
      <c r="H303" t="s">
        <v>68</v>
      </c>
      <c r="I303" t="s">
        <v>204</v>
      </c>
      <c r="J303" t="s">
        <v>80</v>
      </c>
      <c r="K303" t="s">
        <v>101</v>
      </c>
      <c r="L303" t="s">
        <v>51</v>
      </c>
      <c r="M303" t="s">
        <v>73</v>
      </c>
      <c r="N303" t="s">
        <v>74</v>
      </c>
      <c r="O303" t="s">
        <v>43</v>
      </c>
      <c r="P303" t="s">
        <v>75</v>
      </c>
      <c r="Q303">
        <v>24224.38</v>
      </c>
      <c r="R303">
        <v>24975.42</v>
      </c>
      <c r="S303">
        <v>16258.09</v>
      </c>
      <c r="T303">
        <v>2644.27</v>
      </c>
      <c r="U303">
        <v>1622.06</v>
      </c>
      <c r="V303">
        <v>1270.8599999999999</v>
      </c>
      <c r="W303">
        <v>706.06</v>
      </c>
      <c r="X303">
        <v>22501.33</v>
      </c>
      <c r="Y303">
        <v>7966.29</v>
      </c>
      <c r="Z303">
        <v>-14535.04</v>
      </c>
      <c r="AA303">
        <v>-0.53569999999999995</v>
      </c>
      <c r="AB303">
        <v>-751.04</v>
      </c>
      <c r="AC303">
        <v>0</v>
      </c>
      <c r="AD303">
        <v>2906.93</v>
      </c>
      <c r="AE303">
        <v>27131.3</v>
      </c>
    </row>
    <row r="304" spans="1:31" x14ac:dyDescent="0.25">
      <c r="A304" t="s">
        <v>503</v>
      </c>
      <c r="B304" s="2">
        <v>45792</v>
      </c>
      <c r="C304" t="s">
        <v>65</v>
      </c>
      <c r="D304" t="s">
        <v>66</v>
      </c>
      <c r="E304">
        <v>2025</v>
      </c>
      <c r="F304" t="s">
        <v>59</v>
      </c>
      <c r="G304" t="s">
        <v>35</v>
      </c>
      <c r="H304" t="s">
        <v>139</v>
      </c>
      <c r="I304" t="s">
        <v>140</v>
      </c>
      <c r="J304" t="s">
        <v>80</v>
      </c>
      <c r="K304" t="s">
        <v>160</v>
      </c>
      <c r="L304" t="s">
        <v>72</v>
      </c>
      <c r="M304" t="s">
        <v>82</v>
      </c>
      <c r="N304" t="s">
        <v>83</v>
      </c>
      <c r="O304" t="s">
        <v>43</v>
      </c>
      <c r="P304" t="s">
        <v>75</v>
      </c>
      <c r="Q304">
        <v>17171.18</v>
      </c>
      <c r="R304">
        <v>17131.09</v>
      </c>
      <c r="S304">
        <v>12148.05</v>
      </c>
      <c r="T304">
        <v>1052.52</v>
      </c>
      <c r="U304">
        <v>1281.46</v>
      </c>
      <c r="V304">
        <v>836.14</v>
      </c>
      <c r="W304">
        <v>761.44</v>
      </c>
      <c r="X304">
        <v>16079.61</v>
      </c>
      <c r="Y304">
        <v>5023.13</v>
      </c>
      <c r="Z304">
        <v>-11056.48</v>
      </c>
      <c r="AA304">
        <v>-0.56259999999999999</v>
      </c>
      <c r="AB304">
        <v>40.090000000000003</v>
      </c>
      <c r="AC304">
        <v>515.14</v>
      </c>
      <c r="AD304">
        <v>2998.09</v>
      </c>
      <c r="AE304">
        <v>19654.13</v>
      </c>
    </row>
    <row r="305" spans="1:31" x14ac:dyDescent="0.25">
      <c r="A305" t="s">
        <v>504</v>
      </c>
      <c r="B305" s="2">
        <v>45901</v>
      </c>
      <c r="C305" t="s">
        <v>46</v>
      </c>
      <c r="D305" t="s">
        <v>33</v>
      </c>
      <c r="E305">
        <v>2025</v>
      </c>
      <c r="F305" t="s">
        <v>34</v>
      </c>
      <c r="G305" t="s">
        <v>35</v>
      </c>
      <c r="H305" t="s">
        <v>36</v>
      </c>
      <c r="I305" t="s">
        <v>37</v>
      </c>
      <c r="J305" t="s">
        <v>80</v>
      </c>
      <c r="K305" t="s">
        <v>50</v>
      </c>
      <c r="L305" t="s">
        <v>94</v>
      </c>
      <c r="M305" t="s">
        <v>62</v>
      </c>
      <c r="N305" t="s">
        <v>63</v>
      </c>
      <c r="O305" t="s">
        <v>54</v>
      </c>
      <c r="P305" t="s">
        <v>55</v>
      </c>
      <c r="Q305">
        <v>10718.53</v>
      </c>
      <c r="R305">
        <v>11443.42</v>
      </c>
      <c r="S305">
        <v>7224.12</v>
      </c>
      <c r="T305">
        <v>595.12</v>
      </c>
      <c r="U305">
        <v>501.21</v>
      </c>
      <c r="V305">
        <v>697.74</v>
      </c>
      <c r="W305">
        <v>345.65</v>
      </c>
      <c r="X305">
        <v>9363.84</v>
      </c>
      <c r="Y305">
        <v>3494.41</v>
      </c>
      <c r="Z305">
        <v>-5869.43</v>
      </c>
      <c r="AA305">
        <v>-0.53769999999999996</v>
      </c>
      <c r="AB305">
        <v>-724.89</v>
      </c>
      <c r="AC305">
        <v>321.56</v>
      </c>
      <c r="AD305">
        <v>519.85</v>
      </c>
      <c r="AE305">
        <v>10916.82</v>
      </c>
    </row>
    <row r="306" spans="1:31" x14ac:dyDescent="0.25">
      <c r="A306" t="s">
        <v>505</v>
      </c>
      <c r="B306" s="2">
        <v>45973</v>
      </c>
      <c r="C306" t="s">
        <v>147</v>
      </c>
      <c r="D306" t="s">
        <v>93</v>
      </c>
      <c r="E306">
        <v>2025</v>
      </c>
      <c r="F306" t="s">
        <v>34</v>
      </c>
      <c r="G306" t="s">
        <v>35</v>
      </c>
      <c r="H306" t="s">
        <v>98</v>
      </c>
      <c r="I306" t="s">
        <v>304</v>
      </c>
      <c r="J306" t="s">
        <v>38</v>
      </c>
      <c r="K306" t="s">
        <v>50</v>
      </c>
      <c r="L306" t="s">
        <v>40</v>
      </c>
      <c r="M306" t="s">
        <v>41</v>
      </c>
      <c r="N306" t="s">
        <v>42</v>
      </c>
      <c r="O306" t="s">
        <v>43</v>
      </c>
      <c r="P306" t="s">
        <v>44</v>
      </c>
      <c r="Q306">
        <v>27118.6</v>
      </c>
      <c r="R306">
        <v>29093.88</v>
      </c>
      <c r="S306">
        <v>16928.16</v>
      </c>
      <c r="T306">
        <v>2866.07</v>
      </c>
      <c r="U306">
        <v>1316.95</v>
      </c>
      <c r="V306">
        <v>2872.4</v>
      </c>
      <c r="W306">
        <v>464.9</v>
      </c>
      <c r="X306">
        <v>24448.47</v>
      </c>
      <c r="Y306">
        <v>10190.44</v>
      </c>
      <c r="Z306">
        <v>-14258.03</v>
      </c>
      <c r="AA306">
        <v>-0.45929999999999999</v>
      </c>
      <c r="AB306">
        <v>-1975.28</v>
      </c>
      <c r="AC306">
        <v>813.56</v>
      </c>
      <c r="AD306">
        <v>4734.91</v>
      </c>
      <c r="AE306">
        <v>31039.95</v>
      </c>
    </row>
    <row r="307" spans="1:31" x14ac:dyDescent="0.25">
      <c r="A307" t="s">
        <v>506</v>
      </c>
      <c r="B307" s="2">
        <v>45877</v>
      </c>
      <c r="C307" t="s">
        <v>117</v>
      </c>
      <c r="D307" t="s">
        <v>33</v>
      </c>
      <c r="E307">
        <v>2025</v>
      </c>
      <c r="F307" t="s">
        <v>47</v>
      </c>
      <c r="G307" t="s">
        <v>35</v>
      </c>
      <c r="H307" t="s">
        <v>48</v>
      </c>
      <c r="I307" t="s">
        <v>265</v>
      </c>
      <c r="J307" t="s">
        <v>80</v>
      </c>
      <c r="K307" t="s">
        <v>50</v>
      </c>
      <c r="L307" t="s">
        <v>72</v>
      </c>
      <c r="M307" t="s">
        <v>82</v>
      </c>
      <c r="N307" t="s">
        <v>83</v>
      </c>
      <c r="O307" t="s">
        <v>43</v>
      </c>
      <c r="P307" t="s">
        <v>75</v>
      </c>
      <c r="Q307">
        <v>68884.3</v>
      </c>
      <c r="R307">
        <v>68065.83</v>
      </c>
      <c r="S307">
        <v>34503.949999999997</v>
      </c>
      <c r="T307">
        <v>4558.21</v>
      </c>
      <c r="U307">
        <v>4164.53</v>
      </c>
      <c r="V307">
        <v>3896.41</v>
      </c>
      <c r="W307">
        <v>2000.34</v>
      </c>
      <c r="X307">
        <v>49123.43</v>
      </c>
      <c r="Y307">
        <v>34380.36</v>
      </c>
      <c r="Z307">
        <v>-14743.07</v>
      </c>
      <c r="AA307">
        <v>-0.18509999999999999</v>
      </c>
      <c r="AB307">
        <v>818.47</v>
      </c>
      <c r="AC307">
        <v>1377.69</v>
      </c>
      <c r="AD307">
        <v>12151.19</v>
      </c>
      <c r="AE307">
        <v>79657.81</v>
      </c>
    </row>
    <row r="308" spans="1:31" x14ac:dyDescent="0.25">
      <c r="A308" t="s">
        <v>507</v>
      </c>
      <c r="B308" s="2">
        <v>46099</v>
      </c>
      <c r="C308" t="s">
        <v>125</v>
      </c>
      <c r="D308" t="s">
        <v>58</v>
      </c>
      <c r="E308">
        <v>2026</v>
      </c>
      <c r="F308" t="s">
        <v>67</v>
      </c>
      <c r="G308" t="s">
        <v>35</v>
      </c>
      <c r="H308" t="s">
        <v>68</v>
      </c>
      <c r="I308" t="s">
        <v>69</v>
      </c>
      <c r="J308" t="s">
        <v>38</v>
      </c>
      <c r="K308" t="s">
        <v>160</v>
      </c>
      <c r="L308" t="s">
        <v>81</v>
      </c>
      <c r="M308" t="s">
        <v>120</v>
      </c>
      <c r="N308" t="s">
        <v>121</v>
      </c>
      <c r="O308" t="s">
        <v>43</v>
      </c>
      <c r="P308" t="s">
        <v>122</v>
      </c>
      <c r="Q308">
        <v>55373.279999999999</v>
      </c>
      <c r="R308">
        <v>61047.37</v>
      </c>
      <c r="S308">
        <v>33844.29</v>
      </c>
      <c r="T308">
        <v>6686.78</v>
      </c>
      <c r="U308">
        <v>3378.3</v>
      </c>
      <c r="V308">
        <v>4582.96</v>
      </c>
      <c r="W308">
        <v>932.54</v>
      </c>
      <c r="X308">
        <v>49424.87</v>
      </c>
      <c r="Y308">
        <v>21528.99</v>
      </c>
      <c r="Z308">
        <v>-27895.88</v>
      </c>
      <c r="AA308">
        <v>-0.4269</v>
      </c>
      <c r="AB308">
        <v>-5674.09</v>
      </c>
      <c r="AC308">
        <v>0</v>
      </c>
      <c r="AD308">
        <v>9967.19</v>
      </c>
      <c r="AE308">
        <v>65340.47</v>
      </c>
    </row>
    <row r="309" spans="1:31" x14ac:dyDescent="0.25">
      <c r="A309" t="s">
        <v>508</v>
      </c>
      <c r="B309" s="2">
        <v>45829</v>
      </c>
      <c r="C309" t="s">
        <v>156</v>
      </c>
      <c r="D309" t="s">
        <v>66</v>
      </c>
      <c r="E309">
        <v>2025</v>
      </c>
      <c r="F309" t="s">
        <v>47</v>
      </c>
      <c r="G309" t="s">
        <v>35</v>
      </c>
      <c r="H309" t="s">
        <v>48</v>
      </c>
      <c r="I309" t="s">
        <v>49</v>
      </c>
      <c r="J309" t="s">
        <v>80</v>
      </c>
      <c r="K309" t="s">
        <v>50</v>
      </c>
      <c r="L309" t="s">
        <v>40</v>
      </c>
      <c r="M309" t="s">
        <v>95</v>
      </c>
      <c r="N309" t="s">
        <v>96</v>
      </c>
      <c r="O309" t="s">
        <v>43</v>
      </c>
      <c r="P309" t="s">
        <v>90</v>
      </c>
      <c r="Q309">
        <v>49828.71</v>
      </c>
      <c r="R309">
        <v>44664.14</v>
      </c>
      <c r="S309">
        <v>27673.39</v>
      </c>
      <c r="T309">
        <v>4481.3900000000003</v>
      </c>
      <c r="U309">
        <v>1947.19</v>
      </c>
      <c r="V309">
        <v>5471.69</v>
      </c>
      <c r="W309">
        <v>650.21</v>
      </c>
      <c r="X309">
        <v>40223.870000000003</v>
      </c>
      <c r="Y309">
        <v>22155.31</v>
      </c>
      <c r="Z309">
        <v>-18068.560000000001</v>
      </c>
      <c r="AA309">
        <v>-0.31680000000000003</v>
      </c>
      <c r="AB309">
        <v>5164.57</v>
      </c>
      <c r="AC309">
        <v>1494.86</v>
      </c>
      <c r="AD309">
        <v>8700.09</v>
      </c>
      <c r="AE309">
        <v>57033.94</v>
      </c>
    </row>
    <row r="310" spans="1:31" x14ac:dyDescent="0.25">
      <c r="A310" t="s">
        <v>509</v>
      </c>
      <c r="B310" s="2">
        <v>45921</v>
      </c>
      <c r="C310" t="s">
        <v>46</v>
      </c>
      <c r="D310" t="s">
        <v>33</v>
      </c>
      <c r="E310">
        <v>2025</v>
      </c>
      <c r="F310" t="s">
        <v>85</v>
      </c>
      <c r="G310" t="s">
        <v>35</v>
      </c>
      <c r="H310" t="s">
        <v>178</v>
      </c>
      <c r="I310" t="s">
        <v>329</v>
      </c>
      <c r="J310" t="s">
        <v>70</v>
      </c>
      <c r="K310" t="s">
        <v>50</v>
      </c>
      <c r="L310" t="s">
        <v>40</v>
      </c>
      <c r="M310" t="s">
        <v>41</v>
      </c>
      <c r="N310" t="s">
        <v>42</v>
      </c>
      <c r="O310" t="s">
        <v>43</v>
      </c>
      <c r="P310" t="s">
        <v>44</v>
      </c>
      <c r="Q310">
        <v>54015.91</v>
      </c>
      <c r="R310">
        <v>60689.14</v>
      </c>
      <c r="S310">
        <v>30359.31</v>
      </c>
      <c r="T310">
        <v>4574.91</v>
      </c>
      <c r="U310">
        <v>4329.41</v>
      </c>
      <c r="V310">
        <v>3730.36</v>
      </c>
      <c r="W310">
        <v>2041.14</v>
      </c>
      <c r="X310">
        <v>45035.12</v>
      </c>
      <c r="Y310">
        <v>23656.6</v>
      </c>
      <c r="Z310">
        <v>-21378.52</v>
      </c>
      <c r="AA310">
        <v>-0.37269999999999998</v>
      </c>
      <c r="AB310">
        <v>-6673.23</v>
      </c>
      <c r="AC310">
        <v>5401.59</v>
      </c>
      <c r="AD310">
        <v>8750.58</v>
      </c>
      <c r="AE310">
        <v>57364.9</v>
      </c>
    </row>
    <row r="311" spans="1:31" x14ac:dyDescent="0.25">
      <c r="A311" t="s">
        <v>510</v>
      </c>
      <c r="B311" s="2">
        <v>46049</v>
      </c>
      <c r="C311" t="s">
        <v>77</v>
      </c>
      <c r="D311" t="s">
        <v>58</v>
      </c>
      <c r="E311">
        <v>2026</v>
      </c>
      <c r="F311" t="s">
        <v>67</v>
      </c>
      <c r="G311" t="s">
        <v>35</v>
      </c>
      <c r="H311" t="s">
        <v>118</v>
      </c>
      <c r="I311" t="s">
        <v>119</v>
      </c>
      <c r="J311" t="s">
        <v>100</v>
      </c>
      <c r="K311" t="s">
        <v>101</v>
      </c>
      <c r="L311" t="s">
        <v>94</v>
      </c>
      <c r="M311" t="s">
        <v>52</v>
      </c>
      <c r="N311" t="s">
        <v>53</v>
      </c>
      <c r="O311" t="s">
        <v>54</v>
      </c>
      <c r="P311" t="s">
        <v>55</v>
      </c>
      <c r="Q311">
        <v>1657.99</v>
      </c>
      <c r="R311">
        <v>1749.22</v>
      </c>
      <c r="S311">
        <v>980.55</v>
      </c>
      <c r="T311">
        <v>165.03</v>
      </c>
      <c r="U311">
        <v>93.21</v>
      </c>
      <c r="V311">
        <v>154.09</v>
      </c>
      <c r="W311">
        <v>29.3</v>
      </c>
      <c r="X311">
        <v>1422.17</v>
      </c>
      <c r="Y311">
        <v>677.44</v>
      </c>
      <c r="Z311">
        <v>-744.73</v>
      </c>
      <c r="AA311">
        <v>-0.40110000000000001</v>
      </c>
      <c r="AB311">
        <v>-91.23</v>
      </c>
      <c r="AC311">
        <v>0</v>
      </c>
      <c r="AD311">
        <v>198.96</v>
      </c>
      <c r="AE311">
        <v>1856.95</v>
      </c>
    </row>
    <row r="312" spans="1:31" x14ac:dyDescent="0.25">
      <c r="A312" t="s">
        <v>511</v>
      </c>
      <c r="B312" s="2">
        <v>45908</v>
      </c>
      <c r="C312" t="s">
        <v>46</v>
      </c>
      <c r="D312" t="s">
        <v>33</v>
      </c>
      <c r="E312">
        <v>2025</v>
      </c>
      <c r="F312" t="s">
        <v>34</v>
      </c>
      <c r="G312" t="s">
        <v>35</v>
      </c>
      <c r="H312" t="s">
        <v>98</v>
      </c>
      <c r="I312" t="s">
        <v>149</v>
      </c>
      <c r="J312" t="s">
        <v>70</v>
      </c>
      <c r="K312" t="s">
        <v>160</v>
      </c>
      <c r="L312" t="s">
        <v>81</v>
      </c>
      <c r="M312" t="s">
        <v>221</v>
      </c>
      <c r="N312" t="s">
        <v>222</v>
      </c>
      <c r="O312" t="s">
        <v>104</v>
      </c>
      <c r="P312" t="s">
        <v>223</v>
      </c>
      <c r="Q312">
        <v>23560.28</v>
      </c>
      <c r="R312">
        <v>22851.13</v>
      </c>
      <c r="S312">
        <v>16749.11</v>
      </c>
      <c r="T312">
        <v>2187.59</v>
      </c>
      <c r="U312">
        <v>1535.87</v>
      </c>
      <c r="V312">
        <v>2225.36</v>
      </c>
      <c r="W312">
        <v>785.4</v>
      </c>
      <c r="X312">
        <v>23483.32</v>
      </c>
      <c r="Y312">
        <v>6811.17</v>
      </c>
      <c r="Z312">
        <v>-16672.150000000001</v>
      </c>
      <c r="AA312">
        <v>-0.65139999999999998</v>
      </c>
      <c r="AB312">
        <v>709.15</v>
      </c>
      <c r="AC312">
        <v>706.81</v>
      </c>
      <c r="AD312">
        <v>2742.42</v>
      </c>
      <c r="AE312">
        <v>25595.89</v>
      </c>
    </row>
    <row r="313" spans="1:31" x14ac:dyDescent="0.25">
      <c r="A313" t="s">
        <v>512</v>
      </c>
      <c r="B313" s="2">
        <v>45813</v>
      </c>
      <c r="C313" t="s">
        <v>156</v>
      </c>
      <c r="D313" t="s">
        <v>66</v>
      </c>
      <c r="E313">
        <v>2025</v>
      </c>
      <c r="F313" t="s">
        <v>59</v>
      </c>
      <c r="G313" t="s">
        <v>35</v>
      </c>
      <c r="H313" t="s">
        <v>139</v>
      </c>
      <c r="I313" t="s">
        <v>152</v>
      </c>
      <c r="J313" t="s">
        <v>80</v>
      </c>
      <c r="K313" t="s">
        <v>39</v>
      </c>
      <c r="L313" t="s">
        <v>72</v>
      </c>
      <c r="M313" t="s">
        <v>73</v>
      </c>
      <c r="N313" t="s">
        <v>74</v>
      </c>
      <c r="O313" t="s">
        <v>43</v>
      </c>
      <c r="P313" t="s">
        <v>75</v>
      </c>
      <c r="Q313">
        <v>29906.5</v>
      </c>
      <c r="R313">
        <v>31703.14</v>
      </c>
      <c r="S313">
        <v>19603.71</v>
      </c>
      <c r="T313">
        <v>3336.96</v>
      </c>
      <c r="U313">
        <v>2643.78</v>
      </c>
      <c r="V313">
        <v>2568.52</v>
      </c>
      <c r="W313">
        <v>656.67</v>
      </c>
      <c r="X313">
        <v>28809.65</v>
      </c>
      <c r="Y313">
        <v>10302.780000000001</v>
      </c>
      <c r="Z313">
        <v>-18506.87</v>
      </c>
      <c r="AA313">
        <v>-0.62039999999999995</v>
      </c>
      <c r="AB313">
        <v>-1796.65</v>
      </c>
      <c r="AC313">
        <v>1495.32</v>
      </c>
      <c r="AD313">
        <v>1420.56</v>
      </c>
      <c r="AE313">
        <v>29831.73</v>
      </c>
    </row>
    <row r="314" spans="1:31" x14ac:dyDescent="0.25">
      <c r="A314" t="s">
        <v>513</v>
      </c>
      <c r="B314" s="2">
        <v>45939</v>
      </c>
      <c r="C314" t="s">
        <v>92</v>
      </c>
      <c r="D314" t="s">
        <v>93</v>
      </c>
      <c r="E314">
        <v>2025</v>
      </c>
      <c r="F314" t="s">
        <v>59</v>
      </c>
      <c r="G314" t="s">
        <v>35</v>
      </c>
      <c r="H314" t="s">
        <v>230</v>
      </c>
      <c r="I314" t="s">
        <v>363</v>
      </c>
      <c r="J314" t="s">
        <v>100</v>
      </c>
      <c r="K314" t="s">
        <v>39</v>
      </c>
      <c r="L314" t="s">
        <v>51</v>
      </c>
      <c r="M314" t="s">
        <v>141</v>
      </c>
      <c r="N314" t="s">
        <v>142</v>
      </c>
      <c r="O314" t="s">
        <v>54</v>
      </c>
      <c r="P314" t="s">
        <v>143</v>
      </c>
      <c r="Q314">
        <v>6178.28</v>
      </c>
      <c r="R314">
        <v>6067.07</v>
      </c>
      <c r="S314">
        <v>4255.08</v>
      </c>
      <c r="T314">
        <v>352.48</v>
      </c>
      <c r="U314">
        <v>466.41</v>
      </c>
      <c r="V314">
        <v>666.04</v>
      </c>
      <c r="W314">
        <v>101.1</v>
      </c>
      <c r="X314">
        <v>5841.1</v>
      </c>
      <c r="Y314">
        <v>1923.2</v>
      </c>
      <c r="Z314">
        <v>-3917.9</v>
      </c>
      <c r="AA314">
        <v>-0.62260000000000004</v>
      </c>
      <c r="AB314">
        <v>111.2</v>
      </c>
      <c r="AC314">
        <v>185.35</v>
      </c>
      <c r="AD314">
        <v>299.64999999999998</v>
      </c>
      <c r="AE314">
        <v>6292.57</v>
      </c>
    </row>
    <row r="315" spans="1:31" x14ac:dyDescent="0.25">
      <c r="A315" t="s">
        <v>514</v>
      </c>
      <c r="B315" s="2">
        <v>45770</v>
      </c>
      <c r="C315" t="s">
        <v>128</v>
      </c>
      <c r="D315" t="s">
        <v>66</v>
      </c>
      <c r="E315">
        <v>2025</v>
      </c>
      <c r="F315" t="s">
        <v>34</v>
      </c>
      <c r="G315" t="s">
        <v>35</v>
      </c>
      <c r="H315" t="s">
        <v>98</v>
      </c>
      <c r="I315" t="s">
        <v>149</v>
      </c>
      <c r="J315" t="s">
        <v>70</v>
      </c>
      <c r="K315" t="s">
        <v>50</v>
      </c>
      <c r="L315" t="s">
        <v>94</v>
      </c>
      <c r="M315" t="s">
        <v>141</v>
      </c>
      <c r="N315" t="s">
        <v>142</v>
      </c>
      <c r="O315" t="s">
        <v>54</v>
      </c>
      <c r="P315" t="s">
        <v>143</v>
      </c>
      <c r="Q315">
        <v>4030.8</v>
      </c>
      <c r="R315">
        <v>4584.55</v>
      </c>
      <c r="S315">
        <v>2579.96</v>
      </c>
      <c r="T315">
        <v>341.94</v>
      </c>
      <c r="U315">
        <v>350.49</v>
      </c>
      <c r="V315">
        <v>393.16</v>
      </c>
      <c r="W315">
        <v>171.53</v>
      </c>
      <c r="X315">
        <v>3837.09</v>
      </c>
      <c r="Y315">
        <v>1450.84</v>
      </c>
      <c r="Z315">
        <v>-2386.25</v>
      </c>
      <c r="AA315">
        <v>-0.54490000000000005</v>
      </c>
      <c r="AB315">
        <v>-553.75</v>
      </c>
      <c r="AC315">
        <v>120.92</v>
      </c>
      <c r="AD315">
        <v>469.19</v>
      </c>
      <c r="AE315">
        <v>4379.0600000000004</v>
      </c>
    </row>
    <row r="316" spans="1:31" x14ac:dyDescent="0.25">
      <c r="A316" t="s">
        <v>515</v>
      </c>
      <c r="B316" s="2">
        <v>45916</v>
      </c>
      <c r="C316" t="s">
        <v>46</v>
      </c>
      <c r="D316" t="s">
        <v>33</v>
      </c>
      <c r="E316">
        <v>2025</v>
      </c>
      <c r="F316" t="s">
        <v>34</v>
      </c>
      <c r="G316" t="s">
        <v>35</v>
      </c>
      <c r="H316" t="s">
        <v>98</v>
      </c>
      <c r="I316" t="s">
        <v>99</v>
      </c>
      <c r="J316" t="s">
        <v>70</v>
      </c>
      <c r="K316" t="s">
        <v>50</v>
      </c>
      <c r="L316" t="s">
        <v>51</v>
      </c>
      <c r="M316" t="s">
        <v>82</v>
      </c>
      <c r="N316" t="s">
        <v>83</v>
      </c>
      <c r="O316" t="s">
        <v>43</v>
      </c>
      <c r="P316" t="s">
        <v>75</v>
      </c>
      <c r="Q316">
        <v>49441.19</v>
      </c>
      <c r="R316">
        <v>45974.21</v>
      </c>
      <c r="S316">
        <v>28237.69</v>
      </c>
      <c r="T316">
        <v>4913.25</v>
      </c>
      <c r="U316">
        <v>4352.72</v>
      </c>
      <c r="V316">
        <v>4855.6400000000003</v>
      </c>
      <c r="W316">
        <v>2090.92</v>
      </c>
      <c r="X316">
        <v>44450.22</v>
      </c>
      <c r="Y316">
        <v>21203.5</v>
      </c>
      <c r="Z316">
        <v>-23246.720000000001</v>
      </c>
      <c r="AA316">
        <v>-0.44190000000000002</v>
      </c>
      <c r="AB316">
        <v>3466.98</v>
      </c>
      <c r="AC316">
        <v>2472.06</v>
      </c>
      <c r="AD316">
        <v>5636.3</v>
      </c>
      <c r="AE316">
        <v>52605.43</v>
      </c>
    </row>
    <row r="317" spans="1:31" x14ac:dyDescent="0.25">
      <c r="A317" t="s">
        <v>516</v>
      </c>
      <c r="B317" s="2">
        <v>45872</v>
      </c>
      <c r="C317" t="s">
        <v>117</v>
      </c>
      <c r="D317" t="s">
        <v>33</v>
      </c>
      <c r="E317">
        <v>2025</v>
      </c>
      <c r="F317" t="s">
        <v>34</v>
      </c>
      <c r="G317" t="s">
        <v>35</v>
      </c>
      <c r="H317" t="s">
        <v>36</v>
      </c>
      <c r="I317" t="s">
        <v>145</v>
      </c>
      <c r="J317" t="s">
        <v>70</v>
      </c>
      <c r="K317" t="s">
        <v>50</v>
      </c>
      <c r="L317" t="s">
        <v>40</v>
      </c>
      <c r="M317" t="s">
        <v>141</v>
      </c>
      <c r="N317" t="s">
        <v>142</v>
      </c>
      <c r="O317" t="s">
        <v>54</v>
      </c>
      <c r="P317" t="s">
        <v>143</v>
      </c>
      <c r="Q317">
        <v>2812.53</v>
      </c>
      <c r="R317">
        <v>3089.29</v>
      </c>
      <c r="S317">
        <v>1898.89</v>
      </c>
      <c r="T317">
        <v>198.56</v>
      </c>
      <c r="U317">
        <v>211.89</v>
      </c>
      <c r="V317">
        <v>199.25</v>
      </c>
      <c r="W317">
        <v>78</v>
      </c>
      <c r="X317">
        <v>2586.59</v>
      </c>
      <c r="Y317">
        <v>913.63</v>
      </c>
      <c r="Z317">
        <v>-1672.96</v>
      </c>
      <c r="AA317">
        <v>-0.54790000000000005</v>
      </c>
      <c r="AB317">
        <v>-276.76</v>
      </c>
      <c r="AC317">
        <v>225</v>
      </c>
      <c r="AD317">
        <v>465.75</v>
      </c>
      <c r="AE317">
        <v>3053.28</v>
      </c>
    </row>
    <row r="318" spans="1:31" x14ac:dyDescent="0.25">
      <c r="A318" t="s">
        <v>517</v>
      </c>
      <c r="B318" s="2">
        <v>46089</v>
      </c>
      <c r="C318" t="s">
        <v>125</v>
      </c>
      <c r="D318" t="s">
        <v>58</v>
      </c>
      <c r="E318">
        <v>2026</v>
      </c>
      <c r="F318" t="s">
        <v>67</v>
      </c>
      <c r="G318" t="s">
        <v>35</v>
      </c>
      <c r="H318" t="s">
        <v>68</v>
      </c>
      <c r="I318" t="s">
        <v>204</v>
      </c>
      <c r="J318" t="s">
        <v>70</v>
      </c>
      <c r="K318" t="s">
        <v>160</v>
      </c>
      <c r="L318" t="s">
        <v>94</v>
      </c>
      <c r="M318" t="s">
        <v>82</v>
      </c>
      <c r="N318" t="s">
        <v>83</v>
      </c>
      <c r="O318" t="s">
        <v>43</v>
      </c>
      <c r="P318" t="s">
        <v>75</v>
      </c>
      <c r="Q318">
        <v>65172.18</v>
      </c>
      <c r="R318">
        <v>74214.62</v>
      </c>
      <c r="S318">
        <v>36225.26</v>
      </c>
      <c r="T318">
        <v>7701.85</v>
      </c>
      <c r="U318">
        <v>1802.71</v>
      </c>
      <c r="V318">
        <v>2865.81</v>
      </c>
      <c r="W318">
        <v>2073.9899999999998</v>
      </c>
      <c r="X318">
        <v>50669.62</v>
      </c>
      <c r="Y318">
        <v>28946.92</v>
      </c>
      <c r="Z318">
        <v>-21722.7</v>
      </c>
      <c r="AA318">
        <v>-0.29759999999999998</v>
      </c>
      <c r="AB318">
        <v>-9042.44</v>
      </c>
      <c r="AC318">
        <v>0</v>
      </c>
      <c r="AD318">
        <v>7820.66</v>
      </c>
      <c r="AE318">
        <v>72992.850000000006</v>
      </c>
    </row>
    <row r="319" spans="1:31" x14ac:dyDescent="0.25">
      <c r="A319" t="s">
        <v>518</v>
      </c>
      <c r="B319" s="2">
        <v>45867</v>
      </c>
      <c r="C319" t="s">
        <v>32</v>
      </c>
      <c r="D319" t="s">
        <v>33</v>
      </c>
      <c r="E319">
        <v>2025</v>
      </c>
      <c r="F319" t="s">
        <v>85</v>
      </c>
      <c r="G319" t="s">
        <v>35</v>
      </c>
      <c r="H319" t="s">
        <v>178</v>
      </c>
      <c r="I319" t="s">
        <v>329</v>
      </c>
      <c r="J319" t="s">
        <v>80</v>
      </c>
      <c r="K319" t="s">
        <v>50</v>
      </c>
      <c r="L319" t="s">
        <v>94</v>
      </c>
      <c r="M319" t="s">
        <v>120</v>
      </c>
      <c r="N319" t="s">
        <v>121</v>
      </c>
      <c r="O319" t="s">
        <v>43</v>
      </c>
      <c r="P319" t="s">
        <v>122</v>
      </c>
      <c r="Q319">
        <v>17510.830000000002</v>
      </c>
      <c r="R319">
        <v>19808.98</v>
      </c>
      <c r="S319">
        <v>9413.06</v>
      </c>
      <c r="T319">
        <v>1148.6500000000001</v>
      </c>
      <c r="U319">
        <v>1012.46</v>
      </c>
      <c r="V319">
        <v>1777.34</v>
      </c>
      <c r="W319">
        <v>213.07</v>
      </c>
      <c r="X319">
        <v>13564.6</v>
      </c>
      <c r="Y319">
        <v>8097.76</v>
      </c>
      <c r="Z319">
        <v>-5466.83</v>
      </c>
      <c r="AA319">
        <v>-0.313</v>
      </c>
      <c r="AB319">
        <v>-2298.15</v>
      </c>
      <c r="AC319">
        <v>875.54</v>
      </c>
      <c r="AD319">
        <v>831.76</v>
      </c>
      <c r="AE319">
        <v>17467.05</v>
      </c>
    </row>
    <row r="320" spans="1:31" x14ac:dyDescent="0.25">
      <c r="A320" t="s">
        <v>519</v>
      </c>
      <c r="B320" s="2">
        <v>45973</v>
      </c>
      <c r="C320" t="s">
        <v>147</v>
      </c>
      <c r="D320" t="s">
        <v>93</v>
      </c>
      <c r="E320">
        <v>2025</v>
      </c>
      <c r="F320" t="s">
        <v>67</v>
      </c>
      <c r="G320" t="s">
        <v>35</v>
      </c>
      <c r="H320" t="s">
        <v>118</v>
      </c>
      <c r="I320" t="s">
        <v>209</v>
      </c>
      <c r="J320" t="s">
        <v>70</v>
      </c>
      <c r="K320" t="s">
        <v>50</v>
      </c>
      <c r="L320" t="s">
        <v>94</v>
      </c>
      <c r="M320" t="s">
        <v>73</v>
      </c>
      <c r="N320" t="s">
        <v>74</v>
      </c>
      <c r="O320" t="s">
        <v>43</v>
      </c>
      <c r="P320" t="s">
        <v>75</v>
      </c>
      <c r="Q320">
        <v>30425.03</v>
      </c>
      <c r="R320">
        <v>27138.42</v>
      </c>
      <c r="S320">
        <v>17883.189999999999</v>
      </c>
      <c r="T320">
        <v>2927.16</v>
      </c>
      <c r="U320">
        <v>1889.67</v>
      </c>
      <c r="V320">
        <v>2026.13</v>
      </c>
      <c r="W320">
        <v>640.25</v>
      </c>
      <c r="X320">
        <v>25366.400000000001</v>
      </c>
      <c r="Y320">
        <v>12541.84</v>
      </c>
      <c r="Z320">
        <v>-12824.56</v>
      </c>
      <c r="AA320">
        <v>-0.37640000000000001</v>
      </c>
      <c r="AB320">
        <v>3286.61</v>
      </c>
      <c r="AC320">
        <v>0</v>
      </c>
      <c r="AD320">
        <v>3651</v>
      </c>
      <c r="AE320">
        <v>34076.03</v>
      </c>
    </row>
    <row r="321" spans="1:31" x14ac:dyDescent="0.25">
      <c r="A321" t="s">
        <v>520</v>
      </c>
      <c r="B321" s="2">
        <v>46090</v>
      </c>
      <c r="C321" t="s">
        <v>125</v>
      </c>
      <c r="D321" t="s">
        <v>58</v>
      </c>
      <c r="E321">
        <v>2026</v>
      </c>
      <c r="F321" t="s">
        <v>34</v>
      </c>
      <c r="G321" t="s">
        <v>35</v>
      </c>
      <c r="H321" t="s">
        <v>36</v>
      </c>
      <c r="I321" t="s">
        <v>245</v>
      </c>
      <c r="J321" t="s">
        <v>100</v>
      </c>
      <c r="K321" t="s">
        <v>39</v>
      </c>
      <c r="L321" t="s">
        <v>94</v>
      </c>
      <c r="M321" t="s">
        <v>186</v>
      </c>
      <c r="N321" t="s">
        <v>521</v>
      </c>
      <c r="O321" t="s">
        <v>173</v>
      </c>
      <c r="P321" t="s">
        <v>174</v>
      </c>
      <c r="Q321">
        <v>15871.81</v>
      </c>
      <c r="R321">
        <v>18005.849999999999</v>
      </c>
      <c r="S321">
        <v>10228.459999999999</v>
      </c>
      <c r="T321">
        <v>1161.8699999999999</v>
      </c>
      <c r="U321">
        <v>604.64</v>
      </c>
      <c r="V321">
        <v>971.62</v>
      </c>
      <c r="W321">
        <v>253.02</v>
      </c>
      <c r="X321">
        <v>13219.62</v>
      </c>
      <c r="Y321">
        <v>5643.35</v>
      </c>
      <c r="Z321">
        <v>-7576.26</v>
      </c>
      <c r="AA321">
        <v>-0.42620000000000002</v>
      </c>
      <c r="AB321">
        <v>-2134.04</v>
      </c>
      <c r="AC321">
        <v>0</v>
      </c>
      <c r="AD321">
        <v>1904.62</v>
      </c>
      <c r="AE321">
        <v>17776.43</v>
      </c>
    </row>
    <row r="322" spans="1:31" x14ac:dyDescent="0.25">
      <c r="A322" t="s">
        <v>522</v>
      </c>
      <c r="B322" s="2">
        <v>45765</v>
      </c>
      <c r="C322" t="s">
        <v>128</v>
      </c>
      <c r="D322" t="s">
        <v>66</v>
      </c>
      <c r="E322">
        <v>2025</v>
      </c>
      <c r="F322" t="s">
        <v>85</v>
      </c>
      <c r="G322" t="s">
        <v>35</v>
      </c>
      <c r="H322" t="s">
        <v>86</v>
      </c>
      <c r="I322" t="s">
        <v>87</v>
      </c>
      <c r="J322" t="s">
        <v>100</v>
      </c>
      <c r="K322" t="s">
        <v>50</v>
      </c>
      <c r="L322" t="s">
        <v>51</v>
      </c>
      <c r="M322" t="s">
        <v>88</v>
      </c>
      <c r="N322" t="s">
        <v>89</v>
      </c>
      <c r="O322" t="s">
        <v>43</v>
      </c>
      <c r="P322" t="s">
        <v>90</v>
      </c>
      <c r="Q322">
        <v>63011.02</v>
      </c>
      <c r="R322">
        <v>65180.03</v>
      </c>
      <c r="S322">
        <v>31751.200000000001</v>
      </c>
      <c r="T322">
        <v>3231.35</v>
      </c>
      <c r="U322">
        <v>5522.26</v>
      </c>
      <c r="V322">
        <v>4420.78</v>
      </c>
      <c r="W322">
        <v>1960.43</v>
      </c>
      <c r="X322">
        <v>46886.02</v>
      </c>
      <c r="Y322">
        <v>31259.82</v>
      </c>
      <c r="Z322">
        <v>-15626.19</v>
      </c>
      <c r="AA322">
        <v>-0.2102</v>
      </c>
      <c r="AB322">
        <v>-2169.0100000000002</v>
      </c>
      <c r="AC322">
        <v>0</v>
      </c>
      <c r="AD322">
        <v>11341.98</v>
      </c>
      <c r="AE322">
        <v>74353.009999999995</v>
      </c>
    </row>
    <row r="323" spans="1:31" x14ac:dyDescent="0.25">
      <c r="A323" t="s">
        <v>523</v>
      </c>
      <c r="B323" s="2">
        <v>46029</v>
      </c>
      <c r="C323" t="s">
        <v>77</v>
      </c>
      <c r="D323" t="s">
        <v>58</v>
      </c>
      <c r="E323">
        <v>2026</v>
      </c>
      <c r="F323" t="s">
        <v>85</v>
      </c>
      <c r="G323" t="s">
        <v>35</v>
      </c>
      <c r="H323" t="s">
        <v>60</v>
      </c>
      <c r="I323" t="s">
        <v>185</v>
      </c>
      <c r="J323" t="s">
        <v>38</v>
      </c>
      <c r="K323" t="s">
        <v>71</v>
      </c>
      <c r="L323" t="s">
        <v>81</v>
      </c>
      <c r="M323" t="s">
        <v>189</v>
      </c>
      <c r="N323" t="s">
        <v>190</v>
      </c>
      <c r="O323" t="s">
        <v>104</v>
      </c>
      <c r="P323" t="s">
        <v>105</v>
      </c>
      <c r="Q323">
        <v>25687.45</v>
      </c>
      <c r="R323">
        <v>27409.83</v>
      </c>
      <c r="S323">
        <v>13139.36</v>
      </c>
      <c r="T323">
        <v>1920.79</v>
      </c>
      <c r="U323">
        <v>979.12</v>
      </c>
      <c r="V323">
        <v>2895.13</v>
      </c>
      <c r="W323">
        <v>940.52</v>
      </c>
      <c r="X323">
        <v>19874.919999999998</v>
      </c>
      <c r="Y323">
        <v>12548.08</v>
      </c>
      <c r="Z323">
        <v>-7326.84</v>
      </c>
      <c r="AA323">
        <v>-0.2681</v>
      </c>
      <c r="AB323">
        <v>-1722.38</v>
      </c>
      <c r="AC323">
        <v>1284.3699999999999</v>
      </c>
      <c r="AD323">
        <v>2928.37</v>
      </c>
      <c r="AE323">
        <v>27331.439999999999</v>
      </c>
    </row>
    <row r="324" spans="1:31" x14ac:dyDescent="0.25">
      <c r="A324" t="s">
        <v>524</v>
      </c>
      <c r="B324" s="2">
        <v>45987</v>
      </c>
      <c r="C324" t="s">
        <v>147</v>
      </c>
      <c r="D324" t="s">
        <v>93</v>
      </c>
      <c r="E324">
        <v>2025</v>
      </c>
      <c r="F324" t="s">
        <v>59</v>
      </c>
      <c r="G324" t="s">
        <v>35</v>
      </c>
      <c r="H324" t="s">
        <v>230</v>
      </c>
      <c r="I324" t="s">
        <v>231</v>
      </c>
      <c r="J324" t="s">
        <v>38</v>
      </c>
      <c r="K324" t="s">
        <v>50</v>
      </c>
      <c r="L324" t="s">
        <v>40</v>
      </c>
      <c r="M324" t="s">
        <v>110</v>
      </c>
      <c r="N324" t="s">
        <v>111</v>
      </c>
      <c r="O324" t="s">
        <v>112</v>
      </c>
      <c r="P324" t="s">
        <v>113</v>
      </c>
      <c r="Q324">
        <v>30504.23</v>
      </c>
      <c r="R324">
        <v>29154.7</v>
      </c>
      <c r="S324">
        <v>17883.990000000002</v>
      </c>
      <c r="T324">
        <v>3592.84</v>
      </c>
      <c r="U324">
        <v>1171.07</v>
      </c>
      <c r="V324">
        <v>3543.61</v>
      </c>
      <c r="W324">
        <v>670.03</v>
      </c>
      <c r="X324">
        <v>26861.54</v>
      </c>
      <c r="Y324">
        <v>12620.24</v>
      </c>
      <c r="Z324">
        <v>-14241.3</v>
      </c>
      <c r="AA324">
        <v>-0.43959999999999999</v>
      </c>
      <c r="AB324">
        <v>1349.53</v>
      </c>
      <c r="AC324">
        <v>3050.42</v>
      </c>
      <c r="AD324">
        <v>4941.6899999999996</v>
      </c>
      <c r="AE324">
        <v>32395.49</v>
      </c>
    </row>
    <row r="325" spans="1:31" x14ac:dyDescent="0.25">
      <c r="A325" t="s">
        <v>525</v>
      </c>
      <c r="B325" s="2">
        <v>45906</v>
      </c>
      <c r="C325" t="s">
        <v>46</v>
      </c>
      <c r="D325" t="s">
        <v>33</v>
      </c>
      <c r="E325">
        <v>2025</v>
      </c>
      <c r="F325" t="s">
        <v>59</v>
      </c>
      <c r="G325" t="s">
        <v>35</v>
      </c>
      <c r="H325" t="s">
        <v>254</v>
      </c>
      <c r="I325" t="s">
        <v>200</v>
      </c>
      <c r="J325" t="s">
        <v>80</v>
      </c>
      <c r="K325" t="s">
        <v>50</v>
      </c>
      <c r="L325" t="s">
        <v>94</v>
      </c>
      <c r="M325" t="s">
        <v>62</v>
      </c>
      <c r="N325" t="s">
        <v>63</v>
      </c>
      <c r="O325" t="s">
        <v>54</v>
      </c>
      <c r="P325" t="s">
        <v>55</v>
      </c>
      <c r="Q325">
        <v>7007.87</v>
      </c>
      <c r="R325">
        <v>6982.58</v>
      </c>
      <c r="S325">
        <v>4759.01</v>
      </c>
      <c r="T325">
        <v>425.35</v>
      </c>
      <c r="U325">
        <v>601.28</v>
      </c>
      <c r="V325">
        <v>701.58</v>
      </c>
      <c r="W325">
        <v>300.95999999999998</v>
      </c>
      <c r="X325">
        <v>6788.19</v>
      </c>
      <c r="Y325">
        <v>2248.85</v>
      </c>
      <c r="Z325">
        <v>-4539.34</v>
      </c>
      <c r="AA325">
        <v>-0.60880000000000001</v>
      </c>
      <c r="AB325">
        <v>25.29</v>
      </c>
      <c r="AC325">
        <v>350.39</v>
      </c>
      <c r="AD325">
        <v>798.9</v>
      </c>
      <c r="AE325">
        <v>7456.37</v>
      </c>
    </row>
    <row r="326" spans="1:31" x14ac:dyDescent="0.25">
      <c r="A326" t="s">
        <v>526</v>
      </c>
      <c r="B326" s="2">
        <v>45789</v>
      </c>
      <c r="C326" t="s">
        <v>65</v>
      </c>
      <c r="D326" t="s">
        <v>66</v>
      </c>
      <c r="E326">
        <v>2025</v>
      </c>
      <c r="F326" t="s">
        <v>67</v>
      </c>
      <c r="G326" t="s">
        <v>35</v>
      </c>
      <c r="H326" t="s">
        <v>168</v>
      </c>
      <c r="I326" t="s">
        <v>169</v>
      </c>
      <c r="J326" t="s">
        <v>70</v>
      </c>
      <c r="K326" t="s">
        <v>71</v>
      </c>
      <c r="L326" t="s">
        <v>81</v>
      </c>
      <c r="M326" t="s">
        <v>41</v>
      </c>
      <c r="N326" t="s">
        <v>42</v>
      </c>
      <c r="O326" t="s">
        <v>43</v>
      </c>
      <c r="P326" t="s">
        <v>44</v>
      </c>
      <c r="Q326">
        <v>33946.44</v>
      </c>
      <c r="R326">
        <v>37394.17</v>
      </c>
      <c r="S326">
        <v>16814.04</v>
      </c>
      <c r="T326">
        <v>2748.91</v>
      </c>
      <c r="U326">
        <v>1472.59</v>
      </c>
      <c r="V326">
        <v>2184.77</v>
      </c>
      <c r="W326">
        <v>1507.33</v>
      </c>
      <c r="X326">
        <v>24727.63</v>
      </c>
      <c r="Y326">
        <v>17132.41</v>
      </c>
      <c r="Z326">
        <v>-7595.22</v>
      </c>
      <c r="AA326">
        <v>-0.1996</v>
      </c>
      <c r="AB326">
        <v>-3447.73</v>
      </c>
      <c r="AC326">
        <v>1697.32</v>
      </c>
      <c r="AD326">
        <v>5804.84</v>
      </c>
      <c r="AE326">
        <v>38053.96</v>
      </c>
    </row>
    <row r="327" spans="1:31" x14ac:dyDescent="0.25">
      <c r="A327" t="s">
        <v>527</v>
      </c>
      <c r="B327" s="2">
        <v>46028</v>
      </c>
      <c r="C327" t="s">
        <v>77</v>
      </c>
      <c r="D327" t="s">
        <v>58</v>
      </c>
      <c r="E327">
        <v>2026</v>
      </c>
      <c r="F327" t="s">
        <v>67</v>
      </c>
      <c r="G327" t="s">
        <v>35</v>
      </c>
      <c r="H327" t="s">
        <v>68</v>
      </c>
      <c r="I327" t="s">
        <v>69</v>
      </c>
      <c r="J327" t="s">
        <v>70</v>
      </c>
      <c r="K327" t="s">
        <v>39</v>
      </c>
      <c r="L327" t="s">
        <v>81</v>
      </c>
      <c r="M327" t="s">
        <v>120</v>
      </c>
      <c r="N327" t="s">
        <v>121</v>
      </c>
      <c r="O327" t="s">
        <v>43</v>
      </c>
      <c r="P327" t="s">
        <v>122</v>
      </c>
      <c r="Q327">
        <v>56811.15</v>
      </c>
      <c r="R327">
        <v>61133.120000000003</v>
      </c>
      <c r="S327">
        <v>31005.1</v>
      </c>
      <c r="T327">
        <v>5535.93</v>
      </c>
      <c r="U327">
        <v>3226.86</v>
      </c>
      <c r="V327">
        <v>2878.48</v>
      </c>
      <c r="W327">
        <v>1050.3800000000001</v>
      </c>
      <c r="X327">
        <v>43696.76</v>
      </c>
      <c r="Y327">
        <v>25806.05</v>
      </c>
      <c r="Z327">
        <v>-17890.71</v>
      </c>
      <c r="AA327">
        <v>-0.27229999999999999</v>
      </c>
      <c r="AB327">
        <v>-4321.97</v>
      </c>
      <c r="AC327">
        <v>1136.22</v>
      </c>
      <c r="AD327">
        <v>10021.49</v>
      </c>
      <c r="AE327">
        <v>65696.42</v>
      </c>
    </row>
    <row r="328" spans="1:31" x14ac:dyDescent="0.25">
      <c r="A328" t="s">
        <v>528</v>
      </c>
      <c r="B328" s="2">
        <v>45863</v>
      </c>
      <c r="C328" t="s">
        <v>32</v>
      </c>
      <c r="D328" t="s">
        <v>33</v>
      </c>
      <c r="E328">
        <v>2025</v>
      </c>
      <c r="F328" t="s">
        <v>47</v>
      </c>
      <c r="G328" t="s">
        <v>35</v>
      </c>
      <c r="H328" t="s">
        <v>48</v>
      </c>
      <c r="I328" t="s">
        <v>49</v>
      </c>
      <c r="J328" t="s">
        <v>70</v>
      </c>
      <c r="K328" t="s">
        <v>39</v>
      </c>
      <c r="L328" t="s">
        <v>94</v>
      </c>
      <c r="M328" t="s">
        <v>171</v>
      </c>
      <c r="N328" t="s">
        <v>172</v>
      </c>
      <c r="O328" t="s">
        <v>173</v>
      </c>
      <c r="P328" t="s">
        <v>174</v>
      </c>
      <c r="Q328">
        <v>42790.13</v>
      </c>
      <c r="R328">
        <v>45065.06</v>
      </c>
      <c r="S328">
        <v>27461.39</v>
      </c>
      <c r="T328">
        <v>2196.54</v>
      </c>
      <c r="U328">
        <v>2012.48</v>
      </c>
      <c r="V328">
        <v>4435.32</v>
      </c>
      <c r="W328">
        <v>543.94000000000005</v>
      </c>
      <c r="X328">
        <v>36649.67</v>
      </c>
      <c r="Y328">
        <v>15328.75</v>
      </c>
      <c r="Z328">
        <v>-21320.92</v>
      </c>
      <c r="AA328">
        <v>-0.45400000000000001</v>
      </c>
      <c r="AB328">
        <v>-2274.9299999999998</v>
      </c>
      <c r="AC328">
        <v>855.8</v>
      </c>
      <c r="AD328">
        <v>5032.12</v>
      </c>
      <c r="AE328">
        <v>46966.45</v>
      </c>
    </row>
    <row r="329" spans="1:31" x14ac:dyDescent="0.25">
      <c r="A329" t="s">
        <v>529</v>
      </c>
      <c r="B329" s="2">
        <v>45962</v>
      </c>
      <c r="C329" t="s">
        <v>147</v>
      </c>
      <c r="D329" t="s">
        <v>93</v>
      </c>
      <c r="E329">
        <v>2025</v>
      </c>
      <c r="F329" t="s">
        <v>59</v>
      </c>
      <c r="G329" t="s">
        <v>35</v>
      </c>
      <c r="H329" t="s">
        <v>60</v>
      </c>
      <c r="I329" t="s">
        <v>108</v>
      </c>
      <c r="J329" t="s">
        <v>100</v>
      </c>
      <c r="K329" t="s">
        <v>50</v>
      </c>
      <c r="L329" t="s">
        <v>51</v>
      </c>
      <c r="M329" t="s">
        <v>221</v>
      </c>
      <c r="N329" t="s">
        <v>222</v>
      </c>
      <c r="O329" t="s">
        <v>104</v>
      </c>
      <c r="P329" t="s">
        <v>223</v>
      </c>
      <c r="Q329">
        <v>21441.3</v>
      </c>
      <c r="R329">
        <v>23482.05</v>
      </c>
      <c r="S329">
        <v>13287.1</v>
      </c>
      <c r="T329">
        <v>2440.54</v>
      </c>
      <c r="U329">
        <v>1740.69</v>
      </c>
      <c r="V329">
        <v>1641.35</v>
      </c>
      <c r="W329">
        <v>570.96</v>
      </c>
      <c r="X329">
        <v>19680.64</v>
      </c>
      <c r="Y329">
        <v>8154.19</v>
      </c>
      <c r="Z329">
        <v>-11526.45</v>
      </c>
      <c r="AA329">
        <v>-0.46970000000000001</v>
      </c>
      <c r="AB329">
        <v>-2040.75</v>
      </c>
      <c r="AC329">
        <v>643.24</v>
      </c>
      <c r="AD329">
        <v>3743.65</v>
      </c>
      <c r="AE329">
        <v>24541.71</v>
      </c>
    </row>
    <row r="330" spans="1:31" x14ac:dyDescent="0.25">
      <c r="A330" t="s">
        <v>530</v>
      </c>
      <c r="B330" s="2">
        <v>45961</v>
      </c>
      <c r="C330" t="s">
        <v>92</v>
      </c>
      <c r="D330" t="s">
        <v>93</v>
      </c>
      <c r="E330">
        <v>2025</v>
      </c>
      <c r="F330" t="s">
        <v>34</v>
      </c>
      <c r="G330" t="s">
        <v>35</v>
      </c>
      <c r="H330" t="s">
        <v>157</v>
      </c>
      <c r="I330" t="s">
        <v>158</v>
      </c>
      <c r="J330" t="s">
        <v>100</v>
      </c>
      <c r="K330" t="s">
        <v>101</v>
      </c>
      <c r="L330" t="s">
        <v>94</v>
      </c>
      <c r="M330" t="s">
        <v>102</v>
      </c>
      <c r="N330" t="s">
        <v>103</v>
      </c>
      <c r="O330" t="s">
        <v>104</v>
      </c>
      <c r="P330" t="s">
        <v>105</v>
      </c>
      <c r="Q330">
        <v>17648.759999999998</v>
      </c>
      <c r="R330">
        <v>20178.27</v>
      </c>
      <c r="S330">
        <v>9335.4699999999993</v>
      </c>
      <c r="T330">
        <v>2049.3200000000002</v>
      </c>
      <c r="U330">
        <v>1080.98</v>
      </c>
      <c r="V330">
        <v>783.05</v>
      </c>
      <c r="W330">
        <v>776.8</v>
      </c>
      <c r="X330">
        <v>14025.63</v>
      </c>
      <c r="Y330">
        <v>8313.2999999999993</v>
      </c>
      <c r="Z330">
        <v>-5712.34</v>
      </c>
      <c r="AA330">
        <v>-0.2979</v>
      </c>
      <c r="AB330">
        <v>-2529.5100000000002</v>
      </c>
      <c r="AC330">
        <v>529.46</v>
      </c>
      <c r="AD330">
        <v>2054.3200000000002</v>
      </c>
      <c r="AE330">
        <v>19173.62</v>
      </c>
    </row>
    <row r="331" spans="1:31" x14ac:dyDescent="0.25">
      <c r="A331" t="s">
        <v>531</v>
      </c>
      <c r="B331" s="2">
        <v>45784</v>
      </c>
      <c r="C331" t="s">
        <v>65</v>
      </c>
      <c r="D331" t="s">
        <v>66</v>
      </c>
      <c r="E331">
        <v>2025</v>
      </c>
      <c r="F331" t="s">
        <v>85</v>
      </c>
      <c r="G331" t="s">
        <v>35</v>
      </c>
      <c r="H331" t="s">
        <v>178</v>
      </c>
      <c r="I331" t="s">
        <v>329</v>
      </c>
      <c r="J331" t="s">
        <v>100</v>
      </c>
      <c r="K331" t="s">
        <v>50</v>
      </c>
      <c r="L331" t="s">
        <v>72</v>
      </c>
      <c r="M331" t="s">
        <v>211</v>
      </c>
      <c r="N331" t="s">
        <v>212</v>
      </c>
      <c r="O331" t="s">
        <v>112</v>
      </c>
      <c r="P331" t="s">
        <v>113</v>
      </c>
      <c r="Q331">
        <v>31665.97</v>
      </c>
      <c r="R331">
        <v>29779.37</v>
      </c>
      <c r="S331">
        <v>15272.19</v>
      </c>
      <c r="T331">
        <v>1774.06</v>
      </c>
      <c r="U331">
        <v>1565.26</v>
      </c>
      <c r="V331">
        <v>3345.31</v>
      </c>
      <c r="W331">
        <v>324.58</v>
      </c>
      <c r="X331">
        <v>22281.39</v>
      </c>
      <c r="Y331">
        <v>16393.78</v>
      </c>
      <c r="Z331">
        <v>-5887.62</v>
      </c>
      <c r="AA331">
        <v>-0.1711</v>
      </c>
      <c r="AB331">
        <v>1886.6</v>
      </c>
      <c r="AC331">
        <v>949.98</v>
      </c>
      <c r="AD331">
        <v>3685.92</v>
      </c>
      <c r="AE331">
        <v>34401.910000000003</v>
      </c>
    </row>
    <row r="332" spans="1:31" x14ac:dyDescent="0.25">
      <c r="A332" t="s">
        <v>532</v>
      </c>
      <c r="B332" s="2">
        <v>45978</v>
      </c>
      <c r="C332" t="s">
        <v>147</v>
      </c>
      <c r="D332" t="s">
        <v>93</v>
      </c>
      <c r="E332">
        <v>2025</v>
      </c>
      <c r="F332" t="s">
        <v>85</v>
      </c>
      <c r="G332" t="s">
        <v>35</v>
      </c>
      <c r="H332" t="s">
        <v>178</v>
      </c>
      <c r="I332" t="s">
        <v>249</v>
      </c>
      <c r="J332" t="s">
        <v>100</v>
      </c>
      <c r="K332" t="s">
        <v>50</v>
      </c>
      <c r="L332" t="s">
        <v>51</v>
      </c>
      <c r="M332" t="s">
        <v>141</v>
      </c>
      <c r="N332" t="s">
        <v>142</v>
      </c>
      <c r="O332" t="s">
        <v>54</v>
      </c>
      <c r="P332" t="s">
        <v>143</v>
      </c>
      <c r="Q332">
        <v>2882.25</v>
      </c>
      <c r="R332">
        <v>3086.23</v>
      </c>
      <c r="S332">
        <v>1913.26</v>
      </c>
      <c r="T332">
        <v>162.38</v>
      </c>
      <c r="U332">
        <v>80.87</v>
      </c>
      <c r="V332">
        <v>119.77</v>
      </c>
      <c r="W332">
        <v>47.87</v>
      </c>
      <c r="X332">
        <v>2324.15</v>
      </c>
      <c r="Y332">
        <v>968.99</v>
      </c>
      <c r="Z332">
        <v>-1355.16</v>
      </c>
      <c r="AA332">
        <v>-0.4108</v>
      </c>
      <c r="AB332">
        <v>-203.99</v>
      </c>
      <c r="AC332">
        <v>86.47</v>
      </c>
      <c r="AD332">
        <v>503.24</v>
      </c>
      <c r="AE332">
        <v>3299.02</v>
      </c>
    </row>
    <row r="333" spans="1:31" x14ac:dyDescent="0.25">
      <c r="A333" t="s">
        <v>533</v>
      </c>
      <c r="B333" s="2">
        <v>45918</v>
      </c>
      <c r="C333" t="s">
        <v>46</v>
      </c>
      <c r="D333" t="s">
        <v>33</v>
      </c>
      <c r="E333">
        <v>2025</v>
      </c>
      <c r="F333" t="s">
        <v>59</v>
      </c>
      <c r="G333" t="s">
        <v>35</v>
      </c>
      <c r="H333" t="s">
        <v>60</v>
      </c>
      <c r="I333" t="s">
        <v>185</v>
      </c>
      <c r="J333" t="s">
        <v>80</v>
      </c>
      <c r="K333" t="s">
        <v>50</v>
      </c>
      <c r="L333" t="s">
        <v>94</v>
      </c>
      <c r="M333" t="s">
        <v>221</v>
      </c>
      <c r="N333" t="s">
        <v>222</v>
      </c>
      <c r="O333" t="s">
        <v>104</v>
      </c>
      <c r="P333" t="s">
        <v>223</v>
      </c>
      <c r="Q333">
        <v>17944.2</v>
      </c>
      <c r="R333">
        <v>17886.099999999999</v>
      </c>
      <c r="S333">
        <v>12435</v>
      </c>
      <c r="T333">
        <v>2180.48</v>
      </c>
      <c r="U333">
        <v>840.29</v>
      </c>
      <c r="V333">
        <v>1600.72</v>
      </c>
      <c r="W333">
        <v>761.58</v>
      </c>
      <c r="X333">
        <v>17818.080000000002</v>
      </c>
      <c r="Y333">
        <v>5509.19</v>
      </c>
      <c r="Z333">
        <v>-12308.89</v>
      </c>
      <c r="AA333">
        <v>-0.68049999999999999</v>
      </c>
      <c r="AB333">
        <v>58.09</v>
      </c>
      <c r="AC333">
        <v>1794.42</v>
      </c>
      <c r="AD333">
        <v>1937.97</v>
      </c>
      <c r="AE333">
        <v>18087.75</v>
      </c>
    </row>
    <row r="334" spans="1:31" x14ac:dyDescent="0.25">
      <c r="A334" t="s">
        <v>534</v>
      </c>
      <c r="B334" s="2">
        <v>45929</v>
      </c>
      <c r="C334" t="s">
        <v>46</v>
      </c>
      <c r="D334" t="s">
        <v>33</v>
      </c>
      <c r="E334">
        <v>2025</v>
      </c>
      <c r="F334" t="s">
        <v>85</v>
      </c>
      <c r="G334" t="s">
        <v>35</v>
      </c>
      <c r="H334" t="s">
        <v>86</v>
      </c>
      <c r="I334" t="s">
        <v>181</v>
      </c>
      <c r="J334" t="s">
        <v>100</v>
      </c>
      <c r="K334" t="s">
        <v>50</v>
      </c>
      <c r="L334" t="s">
        <v>94</v>
      </c>
      <c r="M334" t="s">
        <v>41</v>
      </c>
      <c r="N334" t="s">
        <v>42</v>
      </c>
      <c r="O334" t="s">
        <v>43</v>
      </c>
      <c r="P334" t="s">
        <v>44</v>
      </c>
      <c r="Q334">
        <v>49968.44</v>
      </c>
      <c r="R334">
        <v>44796.2</v>
      </c>
      <c r="S334">
        <v>30922.97</v>
      </c>
      <c r="T334">
        <v>2828.5</v>
      </c>
      <c r="U334">
        <v>1751.09</v>
      </c>
      <c r="V334">
        <v>3755.88</v>
      </c>
      <c r="W334">
        <v>1392.43</v>
      </c>
      <c r="X334">
        <v>40650.86</v>
      </c>
      <c r="Y334">
        <v>19045.47</v>
      </c>
      <c r="Z334">
        <v>-21605.39</v>
      </c>
      <c r="AA334">
        <v>-0.39389999999999997</v>
      </c>
      <c r="AB334">
        <v>5172.24</v>
      </c>
      <c r="AC334">
        <v>999.37</v>
      </c>
      <c r="AD334">
        <v>5876.29</v>
      </c>
      <c r="AE334">
        <v>54845.36</v>
      </c>
    </row>
    <row r="335" spans="1:31" x14ac:dyDescent="0.25">
      <c r="A335" t="s">
        <v>535</v>
      </c>
      <c r="B335" s="2">
        <v>45856</v>
      </c>
      <c r="C335" t="s">
        <v>32</v>
      </c>
      <c r="D335" t="s">
        <v>33</v>
      </c>
      <c r="E335">
        <v>2025</v>
      </c>
      <c r="F335" t="s">
        <v>85</v>
      </c>
      <c r="G335" t="s">
        <v>35</v>
      </c>
      <c r="H335" t="s">
        <v>60</v>
      </c>
      <c r="I335" t="s">
        <v>108</v>
      </c>
      <c r="J335" t="s">
        <v>100</v>
      </c>
      <c r="K335" t="s">
        <v>50</v>
      </c>
      <c r="L335" t="s">
        <v>81</v>
      </c>
      <c r="M335" t="s">
        <v>130</v>
      </c>
      <c r="N335" t="s">
        <v>131</v>
      </c>
      <c r="O335" t="s">
        <v>43</v>
      </c>
      <c r="P335" t="s">
        <v>132</v>
      </c>
      <c r="Q335">
        <v>45788.639999999999</v>
      </c>
      <c r="R335">
        <v>51430.03</v>
      </c>
      <c r="S335">
        <v>32400.44</v>
      </c>
      <c r="T335">
        <v>2623.97</v>
      </c>
      <c r="U335">
        <v>1625.23</v>
      </c>
      <c r="V335">
        <v>5350.85</v>
      </c>
      <c r="W335">
        <v>1319.35</v>
      </c>
      <c r="X335">
        <v>43319.83</v>
      </c>
      <c r="Y335">
        <v>13388.2</v>
      </c>
      <c r="Z335">
        <v>-29931.63</v>
      </c>
      <c r="AA335">
        <v>-0.5837</v>
      </c>
      <c r="AB335">
        <v>-5641.39</v>
      </c>
      <c r="AC335">
        <v>0</v>
      </c>
      <c r="AD335">
        <v>5494.64</v>
      </c>
      <c r="AE335">
        <v>51283.28</v>
      </c>
    </row>
    <row r="336" spans="1:31" x14ac:dyDescent="0.25">
      <c r="A336" t="s">
        <v>536</v>
      </c>
      <c r="B336" s="2">
        <v>45810</v>
      </c>
      <c r="C336" t="s">
        <v>156</v>
      </c>
      <c r="D336" t="s">
        <v>66</v>
      </c>
      <c r="E336">
        <v>2025</v>
      </c>
      <c r="F336" t="s">
        <v>34</v>
      </c>
      <c r="G336" t="s">
        <v>35</v>
      </c>
      <c r="H336" t="s">
        <v>36</v>
      </c>
      <c r="I336" t="s">
        <v>145</v>
      </c>
      <c r="J336" t="s">
        <v>80</v>
      </c>
      <c r="K336" t="s">
        <v>160</v>
      </c>
      <c r="L336" t="s">
        <v>81</v>
      </c>
      <c r="M336" t="s">
        <v>161</v>
      </c>
      <c r="N336" t="s">
        <v>162</v>
      </c>
      <c r="O336" t="s">
        <v>43</v>
      </c>
      <c r="P336" t="s">
        <v>163</v>
      </c>
      <c r="Q336">
        <v>42781.42</v>
      </c>
      <c r="R336">
        <v>39818.74</v>
      </c>
      <c r="S336">
        <v>30571.15</v>
      </c>
      <c r="T336">
        <v>5059.5600000000004</v>
      </c>
      <c r="U336">
        <v>2455.3000000000002</v>
      </c>
      <c r="V336">
        <v>3775.87</v>
      </c>
      <c r="W336">
        <v>768.1</v>
      </c>
      <c r="X336">
        <v>42629.99</v>
      </c>
      <c r="Y336">
        <v>12210.26</v>
      </c>
      <c r="Z336">
        <v>-30419.72</v>
      </c>
      <c r="AA336">
        <v>-0.63429999999999997</v>
      </c>
      <c r="AB336">
        <v>2962.67</v>
      </c>
      <c r="AC336">
        <v>2139.0700000000002</v>
      </c>
      <c r="AD336">
        <v>7315.62</v>
      </c>
      <c r="AE336">
        <v>47957.97</v>
      </c>
    </row>
    <row r="337" spans="1:31" x14ac:dyDescent="0.25">
      <c r="A337" t="s">
        <v>537</v>
      </c>
      <c r="B337" s="2">
        <v>45893</v>
      </c>
      <c r="C337" t="s">
        <v>117</v>
      </c>
      <c r="D337" t="s">
        <v>33</v>
      </c>
      <c r="E337">
        <v>2025</v>
      </c>
      <c r="F337" t="s">
        <v>59</v>
      </c>
      <c r="G337" t="s">
        <v>35</v>
      </c>
      <c r="H337" t="s">
        <v>139</v>
      </c>
      <c r="I337" t="s">
        <v>140</v>
      </c>
      <c r="J337" t="s">
        <v>80</v>
      </c>
      <c r="K337" t="s">
        <v>71</v>
      </c>
      <c r="L337" t="s">
        <v>51</v>
      </c>
      <c r="M337" t="s">
        <v>88</v>
      </c>
      <c r="N337" t="s">
        <v>89</v>
      </c>
      <c r="O337" t="s">
        <v>43</v>
      </c>
      <c r="P337" t="s">
        <v>90</v>
      </c>
      <c r="Q337">
        <v>24000.51</v>
      </c>
      <c r="R337">
        <v>21328.85</v>
      </c>
      <c r="S337">
        <v>12900.63</v>
      </c>
      <c r="T337">
        <v>1262.21</v>
      </c>
      <c r="U337">
        <v>1123.94</v>
      </c>
      <c r="V337">
        <v>1946.66</v>
      </c>
      <c r="W337">
        <v>909.2</v>
      </c>
      <c r="X337">
        <v>18142.650000000001</v>
      </c>
      <c r="Y337">
        <v>11099.87</v>
      </c>
      <c r="Z337">
        <v>-7042.78</v>
      </c>
      <c r="AA337">
        <v>-0.25640000000000002</v>
      </c>
      <c r="AB337">
        <v>2671.66</v>
      </c>
      <c r="AC337">
        <v>720.02</v>
      </c>
      <c r="AD337">
        <v>4190.49</v>
      </c>
      <c r="AE337">
        <v>27470.98</v>
      </c>
    </row>
    <row r="338" spans="1:31" x14ac:dyDescent="0.25">
      <c r="A338" t="s">
        <v>538</v>
      </c>
      <c r="B338" s="2">
        <v>45960</v>
      </c>
      <c r="C338" t="s">
        <v>92</v>
      </c>
      <c r="D338" t="s">
        <v>93</v>
      </c>
      <c r="E338">
        <v>2025</v>
      </c>
      <c r="F338" t="s">
        <v>47</v>
      </c>
      <c r="G338" t="s">
        <v>35</v>
      </c>
      <c r="H338" t="s">
        <v>214</v>
      </c>
      <c r="I338" t="s">
        <v>220</v>
      </c>
      <c r="J338" t="s">
        <v>70</v>
      </c>
      <c r="K338" t="s">
        <v>50</v>
      </c>
      <c r="L338" t="s">
        <v>72</v>
      </c>
      <c r="M338" t="s">
        <v>120</v>
      </c>
      <c r="N338" t="s">
        <v>121</v>
      </c>
      <c r="O338" t="s">
        <v>43</v>
      </c>
      <c r="P338" t="s">
        <v>122</v>
      </c>
      <c r="Q338">
        <v>46035.3</v>
      </c>
      <c r="R338">
        <v>50274.55</v>
      </c>
      <c r="S338">
        <v>29326.48</v>
      </c>
      <c r="T338">
        <v>5515.1</v>
      </c>
      <c r="U338">
        <v>1881.44</v>
      </c>
      <c r="V338">
        <v>3499.09</v>
      </c>
      <c r="W338">
        <v>1952.08</v>
      </c>
      <c r="X338">
        <v>42174.19</v>
      </c>
      <c r="Y338">
        <v>16708.830000000002</v>
      </c>
      <c r="Z338">
        <v>-25465.360000000001</v>
      </c>
      <c r="AA338">
        <v>-0.51990000000000003</v>
      </c>
      <c r="AB338">
        <v>-4239.25</v>
      </c>
      <c r="AC338">
        <v>2301.77</v>
      </c>
      <c r="AD338">
        <v>5248.02</v>
      </c>
      <c r="AE338">
        <v>48981.56</v>
      </c>
    </row>
    <row r="339" spans="1:31" x14ac:dyDescent="0.25">
      <c r="A339" t="s">
        <v>539</v>
      </c>
      <c r="B339" s="2">
        <v>45785</v>
      </c>
      <c r="C339" t="s">
        <v>65</v>
      </c>
      <c r="D339" t="s">
        <v>66</v>
      </c>
      <c r="E339">
        <v>2025</v>
      </c>
      <c r="F339" t="s">
        <v>47</v>
      </c>
      <c r="G339" t="s">
        <v>35</v>
      </c>
      <c r="H339" t="s">
        <v>214</v>
      </c>
      <c r="I339" t="s">
        <v>215</v>
      </c>
      <c r="J339" t="s">
        <v>80</v>
      </c>
      <c r="K339" t="s">
        <v>50</v>
      </c>
      <c r="L339" t="s">
        <v>51</v>
      </c>
      <c r="M339" t="s">
        <v>88</v>
      </c>
      <c r="N339" t="s">
        <v>89</v>
      </c>
      <c r="O339" t="s">
        <v>43</v>
      </c>
      <c r="P339" t="s">
        <v>90</v>
      </c>
      <c r="Q339">
        <v>46427.14</v>
      </c>
      <c r="R339">
        <v>50468.02</v>
      </c>
      <c r="S339">
        <v>31616.32</v>
      </c>
      <c r="T339">
        <v>3521</v>
      </c>
      <c r="U339">
        <v>3843.51</v>
      </c>
      <c r="V339">
        <v>2453.71</v>
      </c>
      <c r="W339">
        <v>745.43</v>
      </c>
      <c r="X339">
        <v>42179.96</v>
      </c>
      <c r="Y339">
        <v>14810.82</v>
      </c>
      <c r="Z339">
        <v>-27369.14</v>
      </c>
      <c r="AA339">
        <v>-0.57289999999999996</v>
      </c>
      <c r="AB339">
        <v>-4040.88</v>
      </c>
      <c r="AC339">
        <v>928.54</v>
      </c>
      <c r="AD339">
        <v>2274.9299999999998</v>
      </c>
      <c r="AE339">
        <v>47773.53</v>
      </c>
    </row>
    <row r="340" spans="1:31" x14ac:dyDescent="0.25">
      <c r="A340" t="s">
        <v>540</v>
      </c>
      <c r="B340" s="2">
        <v>45913</v>
      </c>
      <c r="C340" t="s">
        <v>46</v>
      </c>
      <c r="D340" t="s">
        <v>33</v>
      </c>
      <c r="E340">
        <v>2025</v>
      </c>
      <c r="F340" t="s">
        <v>59</v>
      </c>
      <c r="G340" t="s">
        <v>35</v>
      </c>
      <c r="H340" t="s">
        <v>139</v>
      </c>
      <c r="I340" t="s">
        <v>200</v>
      </c>
      <c r="J340" t="s">
        <v>80</v>
      </c>
      <c r="K340" t="s">
        <v>71</v>
      </c>
      <c r="L340" t="s">
        <v>72</v>
      </c>
      <c r="M340" t="s">
        <v>52</v>
      </c>
      <c r="N340" t="s">
        <v>53</v>
      </c>
      <c r="O340" t="s">
        <v>54</v>
      </c>
      <c r="P340" t="s">
        <v>55</v>
      </c>
      <c r="Q340">
        <v>3203.3</v>
      </c>
      <c r="R340">
        <v>3116.3</v>
      </c>
      <c r="S340">
        <v>2287.08</v>
      </c>
      <c r="T340">
        <v>265.52</v>
      </c>
      <c r="U340">
        <v>172.68</v>
      </c>
      <c r="V340">
        <v>275.88</v>
      </c>
      <c r="W340">
        <v>142.28</v>
      </c>
      <c r="X340">
        <v>3143.44</v>
      </c>
      <c r="Y340">
        <v>916.22</v>
      </c>
      <c r="Z340">
        <v>-2227.2199999999998</v>
      </c>
      <c r="AA340">
        <v>-0.60129999999999995</v>
      </c>
      <c r="AB340">
        <v>87</v>
      </c>
      <c r="AC340">
        <v>64.069999999999993</v>
      </c>
      <c r="AD340">
        <v>565.05999999999995</v>
      </c>
      <c r="AE340">
        <v>3704.3</v>
      </c>
    </row>
    <row r="341" spans="1:31" x14ac:dyDescent="0.25">
      <c r="A341" t="s">
        <v>541</v>
      </c>
      <c r="B341" s="2">
        <v>45999</v>
      </c>
      <c r="C341" t="s">
        <v>107</v>
      </c>
      <c r="D341" t="s">
        <v>93</v>
      </c>
      <c r="E341">
        <v>2025</v>
      </c>
      <c r="F341" t="s">
        <v>47</v>
      </c>
      <c r="G341" t="s">
        <v>35</v>
      </c>
      <c r="H341" t="s">
        <v>206</v>
      </c>
      <c r="I341" t="s">
        <v>207</v>
      </c>
      <c r="J341" t="s">
        <v>100</v>
      </c>
      <c r="K341" t="s">
        <v>50</v>
      </c>
      <c r="L341" t="s">
        <v>81</v>
      </c>
      <c r="M341" t="s">
        <v>41</v>
      </c>
      <c r="N341" t="s">
        <v>42</v>
      </c>
      <c r="O341" t="s">
        <v>43</v>
      </c>
      <c r="P341" t="s">
        <v>44</v>
      </c>
      <c r="Q341">
        <v>35033.31</v>
      </c>
      <c r="R341">
        <v>31148.33</v>
      </c>
      <c r="S341">
        <v>23910.76</v>
      </c>
      <c r="T341">
        <v>3041.81</v>
      </c>
      <c r="U341">
        <v>1371.32</v>
      </c>
      <c r="V341">
        <v>1776.27</v>
      </c>
      <c r="W341">
        <v>1519.25</v>
      </c>
      <c r="X341">
        <v>31619.41</v>
      </c>
      <c r="Y341">
        <v>11122.55</v>
      </c>
      <c r="Z341">
        <v>-20496.86</v>
      </c>
      <c r="AA341">
        <v>-0.55720000000000003</v>
      </c>
      <c r="AB341">
        <v>3884.98</v>
      </c>
      <c r="AC341">
        <v>0</v>
      </c>
      <c r="AD341">
        <v>1751.67</v>
      </c>
      <c r="AE341">
        <v>36784.980000000003</v>
      </c>
    </row>
    <row r="342" spans="1:31" x14ac:dyDescent="0.25">
      <c r="A342" t="s">
        <v>542</v>
      </c>
      <c r="B342" s="2">
        <v>45923</v>
      </c>
      <c r="C342" t="s">
        <v>46</v>
      </c>
      <c r="D342" t="s">
        <v>33</v>
      </c>
      <c r="E342">
        <v>2025</v>
      </c>
      <c r="F342" t="s">
        <v>47</v>
      </c>
      <c r="G342" t="s">
        <v>35</v>
      </c>
      <c r="H342" t="s">
        <v>214</v>
      </c>
      <c r="I342" t="s">
        <v>220</v>
      </c>
      <c r="J342" t="s">
        <v>38</v>
      </c>
      <c r="K342" t="s">
        <v>50</v>
      </c>
      <c r="L342" t="s">
        <v>94</v>
      </c>
      <c r="M342" t="s">
        <v>95</v>
      </c>
      <c r="N342" t="s">
        <v>96</v>
      </c>
      <c r="O342" t="s">
        <v>43</v>
      </c>
      <c r="P342" t="s">
        <v>90</v>
      </c>
      <c r="Q342">
        <v>27943.62</v>
      </c>
      <c r="R342">
        <v>30492.34</v>
      </c>
      <c r="S342">
        <v>14871.28</v>
      </c>
      <c r="T342">
        <v>2216.89</v>
      </c>
      <c r="U342">
        <v>1408.63</v>
      </c>
      <c r="V342">
        <v>3300.6</v>
      </c>
      <c r="W342">
        <v>1213.1300000000001</v>
      </c>
      <c r="X342">
        <v>23010.52</v>
      </c>
      <c r="Y342">
        <v>13072.34</v>
      </c>
      <c r="Z342">
        <v>-9938.18</v>
      </c>
      <c r="AA342">
        <v>-0.36820000000000003</v>
      </c>
      <c r="AB342">
        <v>-2548.7199999999998</v>
      </c>
      <c r="AC342">
        <v>2235.4899999999998</v>
      </c>
      <c r="AD342">
        <v>1285.4100000000001</v>
      </c>
      <c r="AE342">
        <v>26993.54</v>
      </c>
    </row>
    <row r="343" spans="1:31" x14ac:dyDescent="0.25">
      <c r="A343" t="s">
        <v>543</v>
      </c>
      <c r="B343" s="2">
        <v>45915</v>
      </c>
      <c r="C343" t="s">
        <v>46</v>
      </c>
      <c r="D343" t="s">
        <v>33</v>
      </c>
      <c r="E343">
        <v>2025</v>
      </c>
      <c r="F343" t="s">
        <v>34</v>
      </c>
      <c r="G343" t="s">
        <v>35</v>
      </c>
      <c r="H343" t="s">
        <v>36</v>
      </c>
      <c r="I343" t="s">
        <v>37</v>
      </c>
      <c r="J343" t="s">
        <v>38</v>
      </c>
      <c r="K343" t="s">
        <v>39</v>
      </c>
      <c r="L343" t="s">
        <v>81</v>
      </c>
      <c r="M343" t="s">
        <v>211</v>
      </c>
      <c r="N343" t="s">
        <v>212</v>
      </c>
      <c r="O343" t="s">
        <v>112</v>
      </c>
      <c r="P343" t="s">
        <v>113</v>
      </c>
      <c r="Q343">
        <v>18503.560000000001</v>
      </c>
      <c r="R343">
        <v>19860.71</v>
      </c>
      <c r="S343">
        <v>9693.7800000000007</v>
      </c>
      <c r="T343">
        <v>1269.2</v>
      </c>
      <c r="U343">
        <v>1227.08</v>
      </c>
      <c r="V343">
        <v>2209.98</v>
      </c>
      <c r="W343">
        <v>688.7</v>
      </c>
      <c r="X343">
        <v>15088.75</v>
      </c>
      <c r="Y343">
        <v>8809.77</v>
      </c>
      <c r="Z343">
        <v>-6278.98</v>
      </c>
      <c r="AA343">
        <v>-0.32979999999999998</v>
      </c>
      <c r="AB343">
        <v>-1357.15</v>
      </c>
      <c r="AC343">
        <v>370.07</v>
      </c>
      <c r="AD343">
        <v>906.67</v>
      </c>
      <c r="AE343">
        <v>19040.16</v>
      </c>
    </row>
    <row r="344" spans="1:31" x14ac:dyDescent="0.25">
      <c r="A344" t="s">
        <v>544</v>
      </c>
      <c r="B344" s="2">
        <v>45769</v>
      </c>
      <c r="C344" t="s">
        <v>128</v>
      </c>
      <c r="D344" t="s">
        <v>66</v>
      </c>
      <c r="E344">
        <v>2025</v>
      </c>
      <c r="F344" t="s">
        <v>47</v>
      </c>
      <c r="G344" t="s">
        <v>35</v>
      </c>
      <c r="H344" t="s">
        <v>206</v>
      </c>
      <c r="I344" t="s">
        <v>207</v>
      </c>
      <c r="J344" t="s">
        <v>70</v>
      </c>
      <c r="K344" t="s">
        <v>71</v>
      </c>
      <c r="L344" t="s">
        <v>72</v>
      </c>
      <c r="M344" t="s">
        <v>110</v>
      </c>
      <c r="N344" t="s">
        <v>111</v>
      </c>
      <c r="O344" t="s">
        <v>112</v>
      </c>
      <c r="P344" t="s">
        <v>113</v>
      </c>
      <c r="Q344">
        <v>31203.56</v>
      </c>
      <c r="R344">
        <v>29566.880000000001</v>
      </c>
      <c r="S344">
        <v>19937.71</v>
      </c>
      <c r="T344">
        <v>3082.12</v>
      </c>
      <c r="U344">
        <v>2636.12</v>
      </c>
      <c r="V344">
        <v>1638.47</v>
      </c>
      <c r="W344">
        <v>1133.0899999999999</v>
      </c>
      <c r="X344">
        <v>28427.51</v>
      </c>
      <c r="Y344">
        <v>11265.85</v>
      </c>
      <c r="Z344">
        <v>-17161.66</v>
      </c>
      <c r="AA344">
        <v>-0.51690000000000003</v>
      </c>
      <c r="AB344">
        <v>1636.68</v>
      </c>
      <c r="AC344">
        <v>1560.18</v>
      </c>
      <c r="AD344">
        <v>3557.21</v>
      </c>
      <c r="AE344">
        <v>33200.589999999997</v>
      </c>
    </row>
    <row r="345" spans="1:31" x14ac:dyDescent="0.25">
      <c r="A345" t="s">
        <v>545</v>
      </c>
      <c r="B345" s="2">
        <v>46006</v>
      </c>
      <c r="C345" t="s">
        <v>107</v>
      </c>
      <c r="D345" t="s">
        <v>93</v>
      </c>
      <c r="E345">
        <v>2025</v>
      </c>
      <c r="F345" t="s">
        <v>47</v>
      </c>
      <c r="G345" t="s">
        <v>35</v>
      </c>
      <c r="H345" t="s">
        <v>48</v>
      </c>
      <c r="I345" t="s">
        <v>265</v>
      </c>
      <c r="J345" t="s">
        <v>100</v>
      </c>
      <c r="K345" t="s">
        <v>160</v>
      </c>
      <c r="L345" t="s">
        <v>40</v>
      </c>
      <c r="M345" t="s">
        <v>52</v>
      </c>
      <c r="N345" t="s">
        <v>53</v>
      </c>
      <c r="O345" t="s">
        <v>54</v>
      </c>
      <c r="P345" t="s">
        <v>55</v>
      </c>
      <c r="Q345">
        <v>6886.41</v>
      </c>
      <c r="R345">
        <v>6115.99</v>
      </c>
      <c r="S345">
        <v>4048</v>
      </c>
      <c r="T345">
        <v>507.64</v>
      </c>
      <c r="U345">
        <v>588.29</v>
      </c>
      <c r="V345">
        <v>344.11</v>
      </c>
      <c r="W345">
        <v>226.13</v>
      </c>
      <c r="X345">
        <v>5714.16</v>
      </c>
      <c r="Y345">
        <v>2838.41</v>
      </c>
      <c r="Z345">
        <v>-2875.75</v>
      </c>
      <c r="AA345">
        <v>-0.37290000000000001</v>
      </c>
      <c r="AB345">
        <v>770.42</v>
      </c>
      <c r="AC345">
        <v>0</v>
      </c>
      <c r="AD345">
        <v>826.37</v>
      </c>
      <c r="AE345">
        <v>7712.78</v>
      </c>
    </row>
    <row r="346" spans="1:31" x14ac:dyDescent="0.25">
      <c r="A346" t="s">
        <v>546</v>
      </c>
      <c r="B346" s="2">
        <v>45946</v>
      </c>
      <c r="C346" t="s">
        <v>92</v>
      </c>
      <c r="D346" t="s">
        <v>93</v>
      </c>
      <c r="E346">
        <v>2025</v>
      </c>
      <c r="F346" t="s">
        <v>47</v>
      </c>
      <c r="G346" t="s">
        <v>35</v>
      </c>
      <c r="H346" t="s">
        <v>214</v>
      </c>
      <c r="I346" t="s">
        <v>215</v>
      </c>
      <c r="J346" t="s">
        <v>100</v>
      </c>
      <c r="K346" t="s">
        <v>71</v>
      </c>
      <c r="L346" t="s">
        <v>51</v>
      </c>
      <c r="M346" t="s">
        <v>235</v>
      </c>
      <c r="N346" t="s">
        <v>236</v>
      </c>
      <c r="O346" t="s">
        <v>104</v>
      </c>
      <c r="P346" t="s">
        <v>237</v>
      </c>
      <c r="Q346">
        <v>28208.639999999999</v>
      </c>
      <c r="R346">
        <v>31320.880000000001</v>
      </c>
      <c r="S346">
        <v>14311.7</v>
      </c>
      <c r="T346">
        <v>2863.53</v>
      </c>
      <c r="U346">
        <v>2235</v>
      </c>
      <c r="V346">
        <v>2431.25</v>
      </c>
      <c r="W346">
        <v>920.29</v>
      </c>
      <c r="X346">
        <v>22761.78</v>
      </c>
      <c r="Y346">
        <v>13896.94</v>
      </c>
      <c r="Z346">
        <v>-8864.84</v>
      </c>
      <c r="AA346">
        <v>-0.2893</v>
      </c>
      <c r="AB346">
        <v>-3112.24</v>
      </c>
      <c r="AC346">
        <v>846.26</v>
      </c>
      <c r="AD346">
        <v>3283.49</v>
      </c>
      <c r="AE346">
        <v>30645.87</v>
      </c>
    </row>
    <row r="347" spans="1:31" x14ac:dyDescent="0.25">
      <c r="A347" t="s">
        <v>547</v>
      </c>
      <c r="B347" s="2">
        <v>46021</v>
      </c>
      <c r="C347" t="s">
        <v>107</v>
      </c>
      <c r="D347" t="s">
        <v>93</v>
      </c>
      <c r="E347">
        <v>2025</v>
      </c>
      <c r="F347" t="s">
        <v>34</v>
      </c>
      <c r="G347" t="s">
        <v>35</v>
      </c>
      <c r="H347" t="s">
        <v>98</v>
      </c>
      <c r="I347" t="s">
        <v>99</v>
      </c>
      <c r="J347" t="s">
        <v>100</v>
      </c>
      <c r="K347" t="s">
        <v>101</v>
      </c>
      <c r="L347" t="s">
        <v>40</v>
      </c>
      <c r="M347" t="s">
        <v>186</v>
      </c>
      <c r="N347" t="s">
        <v>187</v>
      </c>
      <c r="O347" t="s">
        <v>173</v>
      </c>
      <c r="P347" t="s">
        <v>174</v>
      </c>
      <c r="Q347">
        <v>12506.89</v>
      </c>
      <c r="R347">
        <v>13989</v>
      </c>
      <c r="S347">
        <v>6493.64</v>
      </c>
      <c r="T347">
        <v>729.72</v>
      </c>
      <c r="U347">
        <v>430.97</v>
      </c>
      <c r="V347">
        <v>1377.89</v>
      </c>
      <c r="W347">
        <v>356.28</v>
      </c>
      <c r="X347">
        <v>9388.49</v>
      </c>
      <c r="Y347">
        <v>6013.25</v>
      </c>
      <c r="Z347">
        <v>-3375.24</v>
      </c>
      <c r="AA347">
        <v>-0.26500000000000001</v>
      </c>
      <c r="AB347">
        <v>-1482.11</v>
      </c>
      <c r="AC347">
        <v>375.21</v>
      </c>
      <c r="AD347">
        <v>606.58000000000004</v>
      </c>
      <c r="AE347">
        <v>12738.27</v>
      </c>
    </row>
    <row r="348" spans="1:31" x14ac:dyDescent="0.25">
      <c r="A348" t="s">
        <v>548</v>
      </c>
      <c r="B348" s="2">
        <v>45839</v>
      </c>
      <c r="C348" t="s">
        <v>32</v>
      </c>
      <c r="D348" t="s">
        <v>33</v>
      </c>
      <c r="E348">
        <v>2025</v>
      </c>
      <c r="F348" t="s">
        <v>85</v>
      </c>
      <c r="G348" t="s">
        <v>35</v>
      </c>
      <c r="H348" t="s">
        <v>86</v>
      </c>
      <c r="I348" t="s">
        <v>181</v>
      </c>
      <c r="J348" t="s">
        <v>70</v>
      </c>
      <c r="K348" t="s">
        <v>50</v>
      </c>
      <c r="L348" t="s">
        <v>81</v>
      </c>
      <c r="M348" t="s">
        <v>161</v>
      </c>
      <c r="N348" t="s">
        <v>162</v>
      </c>
      <c r="O348" t="s">
        <v>43</v>
      </c>
      <c r="P348" t="s">
        <v>163</v>
      </c>
      <c r="Q348">
        <v>22085.439999999999</v>
      </c>
      <c r="R348">
        <v>21986.44</v>
      </c>
      <c r="S348">
        <v>15599.3</v>
      </c>
      <c r="T348">
        <v>2182.71</v>
      </c>
      <c r="U348">
        <v>1750.79</v>
      </c>
      <c r="V348">
        <v>2138.4899999999998</v>
      </c>
      <c r="W348">
        <v>307.82</v>
      </c>
      <c r="X348">
        <v>21979.1</v>
      </c>
      <c r="Y348">
        <v>6486.14</v>
      </c>
      <c r="Z348">
        <v>-15492.95</v>
      </c>
      <c r="AA348">
        <v>-0.6593</v>
      </c>
      <c r="AB348">
        <v>99</v>
      </c>
      <c r="AC348">
        <v>1104.27</v>
      </c>
      <c r="AD348">
        <v>2517.7399999999998</v>
      </c>
      <c r="AE348">
        <v>23498.91</v>
      </c>
    </row>
    <row r="349" spans="1:31" x14ac:dyDescent="0.25">
      <c r="A349" t="s">
        <v>549</v>
      </c>
      <c r="B349" s="2">
        <v>45872</v>
      </c>
      <c r="C349" t="s">
        <v>117</v>
      </c>
      <c r="D349" t="s">
        <v>33</v>
      </c>
      <c r="E349">
        <v>2025</v>
      </c>
      <c r="F349" t="s">
        <v>59</v>
      </c>
      <c r="G349" t="s">
        <v>35</v>
      </c>
      <c r="H349" t="s">
        <v>139</v>
      </c>
      <c r="I349" t="s">
        <v>140</v>
      </c>
      <c r="J349" t="s">
        <v>70</v>
      </c>
      <c r="K349" t="s">
        <v>71</v>
      </c>
      <c r="L349" t="s">
        <v>81</v>
      </c>
      <c r="M349" t="s">
        <v>95</v>
      </c>
      <c r="N349" t="s">
        <v>96</v>
      </c>
      <c r="O349" t="s">
        <v>43</v>
      </c>
      <c r="P349" t="s">
        <v>90</v>
      </c>
      <c r="Q349">
        <v>65757.64</v>
      </c>
      <c r="R349">
        <v>59345.48</v>
      </c>
      <c r="S349">
        <v>35083.17</v>
      </c>
      <c r="T349">
        <v>5433.66</v>
      </c>
      <c r="U349">
        <v>3130.45</v>
      </c>
      <c r="V349">
        <v>2744.17</v>
      </c>
      <c r="W349">
        <v>868.8</v>
      </c>
      <c r="X349">
        <v>47260.26</v>
      </c>
      <c r="Y349">
        <v>30674.47</v>
      </c>
      <c r="Z349">
        <v>-16585.79</v>
      </c>
      <c r="AA349">
        <v>-0.22500000000000001</v>
      </c>
      <c r="AB349">
        <v>6412.16</v>
      </c>
      <c r="AC349">
        <v>3287.88</v>
      </c>
      <c r="AD349">
        <v>11244.56</v>
      </c>
      <c r="AE349">
        <v>73714.31</v>
      </c>
    </row>
    <row r="350" spans="1:31" x14ac:dyDescent="0.25">
      <c r="A350" t="s">
        <v>550</v>
      </c>
      <c r="B350" s="2">
        <v>45846</v>
      </c>
      <c r="C350" t="s">
        <v>32</v>
      </c>
      <c r="D350" t="s">
        <v>33</v>
      </c>
      <c r="E350">
        <v>2025</v>
      </c>
      <c r="F350" t="s">
        <v>67</v>
      </c>
      <c r="G350" t="s">
        <v>35</v>
      </c>
      <c r="H350" t="s">
        <v>118</v>
      </c>
      <c r="I350" t="s">
        <v>227</v>
      </c>
      <c r="J350" t="s">
        <v>80</v>
      </c>
      <c r="K350" t="s">
        <v>160</v>
      </c>
      <c r="L350" t="s">
        <v>72</v>
      </c>
      <c r="M350" t="s">
        <v>88</v>
      </c>
      <c r="N350" t="s">
        <v>89</v>
      </c>
      <c r="O350" t="s">
        <v>43</v>
      </c>
      <c r="P350" t="s">
        <v>90</v>
      </c>
      <c r="Q350">
        <v>22626.04</v>
      </c>
      <c r="R350">
        <v>20346.96</v>
      </c>
      <c r="S350">
        <v>14078.99</v>
      </c>
      <c r="T350">
        <v>2624.69</v>
      </c>
      <c r="U350">
        <v>1827.99</v>
      </c>
      <c r="V350">
        <v>1744.24</v>
      </c>
      <c r="W350">
        <v>847.33</v>
      </c>
      <c r="X350">
        <v>21123.24</v>
      </c>
      <c r="Y350">
        <v>8547.0499999999993</v>
      </c>
      <c r="Z350">
        <v>-12576.18</v>
      </c>
      <c r="AA350">
        <v>-0.5514</v>
      </c>
      <c r="AB350">
        <v>2279.09</v>
      </c>
      <c r="AC350">
        <v>2262.6</v>
      </c>
      <c r="AD350">
        <v>2443.61</v>
      </c>
      <c r="AE350">
        <v>22807.05</v>
      </c>
    </row>
    <row r="351" spans="1:31" x14ac:dyDescent="0.25">
      <c r="A351" t="s">
        <v>551</v>
      </c>
      <c r="B351" s="2">
        <v>45911</v>
      </c>
      <c r="C351" t="s">
        <v>46</v>
      </c>
      <c r="D351" t="s">
        <v>33</v>
      </c>
      <c r="E351">
        <v>2025</v>
      </c>
      <c r="F351" t="s">
        <v>67</v>
      </c>
      <c r="G351" t="s">
        <v>35</v>
      </c>
      <c r="H351" t="s">
        <v>168</v>
      </c>
      <c r="I351" t="s">
        <v>278</v>
      </c>
      <c r="J351" t="s">
        <v>100</v>
      </c>
      <c r="K351" t="s">
        <v>160</v>
      </c>
      <c r="L351" t="s">
        <v>51</v>
      </c>
      <c r="M351" t="s">
        <v>52</v>
      </c>
      <c r="N351" t="s">
        <v>53</v>
      </c>
      <c r="O351" t="s">
        <v>54</v>
      </c>
      <c r="P351" t="s">
        <v>55</v>
      </c>
      <c r="Q351">
        <v>7889.89</v>
      </c>
      <c r="R351">
        <v>8717.25</v>
      </c>
      <c r="S351">
        <v>5111.76</v>
      </c>
      <c r="T351">
        <v>588.23</v>
      </c>
      <c r="U351">
        <v>226.53</v>
      </c>
      <c r="V351">
        <v>532.13</v>
      </c>
      <c r="W351">
        <v>263.07</v>
      </c>
      <c r="X351">
        <v>6721.72</v>
      </c>
      <c r="Y351">
        <v>2778.12</v>
      </c>
      <c r="Z351">
        <v>-3943.59</v>
      </c>
      <c r="AA351">
        <v>-0.47599999999999998</v>
      </c>
      <c r="AB351">
        <v>-827.36</v>
      </c>
      <c r="AC351">
        <v>0</v>
      </c>
      <c r="AD351">
        <v>394.49</v>
      </c>
      <c r="AE351">
        <v>8284.3799999999992</v>
      </c>
    </row>
    <row r="352" spans="1:31" x14ac:dyDescent="0.25">
      <c r="A352" t="s">
        <v>552</v>
      </c>
      <c r="B352" s="2">
        <v>46006</v>
      </c>
      <c r="C352" t="s">
        <v>107</v>
      </c>
      <c r="D352" t="s">
        <v>93</v>
      </c>
      <c r="E352">
        <v>2025</v>
      </c>
      <c r="F352" t="s">
        <v>85</v>
      </c>
      <c r="G352" t="s">
        <v>35</v>
      </c>
      <c r="H352" t="s">
        <v>60</v>
      </c>
      <c r="I352" t="s">
        <v>61</v>
      </c>
      <c r="J352" t="s">
        <v>38</v>
      </c>
      <c r="K352" t="s">
        <v>160</v>
      </c>
      <c r="L352" t="s">
        <v>51</v>
      </c>
      <c r="M352" t="s">
        <v>73</v>
      </c>
      <c r="N352" t="s">
        <v>74</v>
      </c>
      <c r="O352" t="s">
        <v>43</v>
      </c>
      <c r="P352" t="s">
        <v>75</v>
      </c>
      <c r="Q352">
        <v>61548.66</v>
      </c>
      <c r="R352">
        <v>58680.28</v>
      </c>
      <c r="S352">
        <v>35766.68</v>
      </c>
      <c r="T352">
        <v>7207.79</v>
      </c>
      <c r="U352">
        <v>5047.78</v>
      </c>
      <c r="V352">
        <v>3659.34</v>
      </c>
      <c r="W352">
        <v>1801.53</v>
      </c>
      <c r="X352">
        <v>53483.11</v>
      </c>
      <c r="Y352">
        <v>25781.98</v>
      </c>
      <c r="Z352">
        <v>-27701.13</v>
      </c>
      <c r="AA352">
        <v>-0.43740000000000001</v>
      </c>
      <c r="AB352">
        <v>2868.38</v>
      </c>
      <c r="AC352">
        <v>1230.97</v>
      </c>
      <c r="AD352">
        <v>3015.88</v>
      </c>
      <c r="AE352">
        <v>63333.57</v>
      </c>
    </row>
    <row r="353" spans="1:31" x14ac:dyDescent="0.25">
      <c r="A353" t="s">
        <v>553</v>
      </c>
      <c r="B353" s="2">
        <v>46088</v>
      </c>
      <c r="C353" t="s">
        <v>125</v>
      </c>
      <c r="D353" t="s">
        <v>58</v>
      </c>
      <c r="E353">
        <v>2026</v>
      </c>
      <c r="F353" t="s">
        <v>34</v>
      </c>
      <c r="G353" t="s">
        <v>35</v>
      </c>
      <c r="H353" t="s">
        <v>134</v>
      </c>
      <c r="I353" t="s">
        <v>135</v>
      </c>
      <c r="J353" t="s">
        <v>100</v>
      </c>
      <c r="K353" t="s">
        <v>101</v>
      </c>
      <c r="L353" t="s">
        <v>94</v>
      </c>
      <c r="M353" t="s">
        <v>171</v>
      </c>
      <c r="N353" t="s">
        <v>172</v>
      </c>
      <c r="O353" t="s">
        <v>173</v>
      </c>
      <c r="P353" t="s">
        <v>174</v>
      </c>
      <c r="Q353">
        <v>27047.06</v>
      </c>
      <c r="R353">
        <v>29912.31</v>
      </c>
      <c r="S353">
        <v>17704.7</v>
      </c>
      <c r="T353">
        <v>3234</v>
      </c>
      <c r="U353">
        <v>1009.23</v>
      </c>
      <c r="V353">
        <v>1949.87</v>
      </c>
      <c r="W353">
        <v>1167.7</v>
      </c>
      <c r="X353">
        <v>25065.49</v>
      </c>
      <c r="Y353">
        <v>9342.36</v>
      </c>
      <c r="Z353">
        <v>-15723.13</v>
      </c>
      <c r="AA353">
        <v>-0.57079999999999997</v>
      </c>
      <c r="AB353">
        <v>-2865.25</v>
      </c>
      <c r="AC353">
        <v>811.41</v>
      </c>
      <c r="AD353">
        <v>1311.78</v>
      </c>
      <c r="AE353">
        <v>27547.43</v>
      </c>
    </row>
    <row r="354" spans="1:31" x14ac:dyDescent="0.25">
      <c r="A354" t="s">
        <v>554</v>
      </c>
      <c r="B354" s="2">
        <v>45849</v>
      </c>
      <c r="C354" t="s">
        <v>32</v>
      </c>
      <c r="D354" t="s">
        <v>33</v>
      </c>
      <c r="E354">
        <v>2025</v>
      </c>
      <c r="F354" t="s">
        <v>59</v>
      </c>
      <c r="G354" t="s">
        <v>35</v>
      </c>
      <c r="H354" t="s">
        <v>230</v>
      </c>
      <c r="I354" t="s">
        <v>363</v>
      </c>
      <c r="J354" t="s">
        <v>100</v>
      </c>
      <c r="K354" t="s">
        <v>160</v>
      </c>
      <c r="L354" t="s">
        <v>94</v>
      </c>
      <c r="M354" t="s">
        <v>62</v>
      </c>
      <c r="N354" t="s">
        <v>63</v>
      </c>
      <c r="O354" t="s">
        <v>54</v>
      </c>
      <c r="P354" t="s">
        <v>55</v>
      </c>
      <c r="Q354">
        <v>4600.43</v>
      </c>
      <c r="R354">
        <v>5382.35</v>
      </c>
      <c r="S354">
        <v>2694.83</v>
      </c>
      <c r="T354">
        <v>325.86</v>
      </c>
      <c r="U354">
        <v>365.72</v>
      </c>
      <c r="V354">
        <v>447.39</v>
      </c>
      <c r="W354">
        <v>156.61000000000001</v>
      </c>
      <c r="X354">
        <v>3990.4</v>
      </c>
      <c r="Y354">
        <v>1905.6</v>
      </c>
      <c r="Z354">
        <v>-2084.8000000000002</v>
      </c>
      <c r="AA354">
        <v>-0.41739999999999999</v>
      </c>
      <c r="AB354">
        <v>-781.92</v>
      </c>
      <c r="AC354">
        <v>368.03</v>
      </c>
      <c r="AD354">
        <v>761.83</v>
      </c>
      <c r="AE354">
        <v>4994.22</v>
      </c>
    </row>
    <row r="355" spans="1:31" x14ac:dyDescent="0.25">
      <c r="A355" t="s">
        <v>555</v>
      </c>
      <c r="B355" s="2">
        <v>46108</v>
      </c>
      <c r="C355" t="s">
        <v>125</v>
      </c>
      <c r="D355" t="s">
        <v>58</v>
      </c>
      <c r="E355">
        <v>2026</v>
      </c>
      <c r="F355" t="s">
        <v>59</v>
      </c>
      <c r="G355" t="s">
        <v>35</v>
      </c>
      <c r="H355" t="s">
        <v>230</v>
      </c>
      <c r="I355" t="s">
        <v>301</v>
      </c>
      <c r="J355" t="s">
        <v>80</v>
      </c>
      <c r="K355" t="s">
        <v>71</v>
      </c>
      <c r="L355" t="s">
        <v>51</v>
      </c>
      <c r="M355" t="s">
        <v>82</v>
      </c>
      <c r="N355" t="s">
        <v>83</v>
      </c>
      <c r="O355" t="s">
        <v>43</v>
      </c>
      <c r="P355" t="s">
        <v>75</v>
      </c>
      <c r="Q355">
        <v>22886.9</v>
      </c>
      <c r="R355">
        <v>22497.599999999999</v>
      </c>
      <c r="S355">
        <v>12790.5</v>
      </c>
      <c r="T355">
        <v>2247.0500000000002</v>
      </c>
      <c r="U355">
        <v>1051.68</v>
      </c>
      <c r="V355">
        <v>2337.9299999999998</v>
      </c>
      <c r="W355">
        <v>285.58</v>
      </c>
      <c r="X355">
        <v>18712.740000000002</v>
      </c>
      <c r="Y355">
        <v>10096.4</v>
      </c>
      <c r="Z355">
        <v>-8616.34</v>
      </c>
      <c r="AA355">
        <v>-0.33579999999999999</v>
      </c>
      <c r="AB355">
        <v>389.3</v>
      </c>
      <c r="AC355">
        <v>1144.3499999999999</v>
      </c>
      <c r="AD355">
        <v>3913.66</v>
      </c>
      <c r="AE355">
        <v>25656.22</v>
      </c>
    </row>
    <row r="356" spans="1:31" x14ac:dyDescent="0.25">
      <c r="A356" t="s">
        <v>556</v>
      </c>
      <c r="B356" s="2">
        <v>45897</v>
      </c>
      <c r="C356" t="s">
        <v>117</v>
      </c>
      <c r="D356" t="s">
        <v>33</v>
      </c>
      <c r="E356">
        <v>2025</v>
      </c>
      <c r="F356" t="s">
        <v>34</v>
      </c>
      <c r="G356" t="s">
        <v>35</v>
      </c>
      <c r="H356" t="s">
        <v>36</v>
      </c>
      <c r="I356" t="s">
        <v>145</v>
      </c>
      <c r="J356" t="s">
        <v>80</v>
      </c>
      <c r="K356" t="s">
        <v>50</v>
      </c>
      <c r="L356" t="s">
        <v>94</v>
      </c>
      <c r="M356" t="s">
        <v>95</v>
      </c>
      <c r="N356" t="s">
        <v>96</v>
      </c>
      <c r="O356" t="s">
        <v>43</v>
      </c>
      <c r="P356" t="s">
        <v>90</v>
      </c>
      <c r="Q356">
        <v>55040.39</v>
      </c>
      <c r="R356">
        <v>61462.400000000001</v>
      </c>
      <c r="S356">
        <v>36651.25</v>
      </c>
      <c r="T356">
        <v>3710.73</v>
      </c>
      <c r="U356">
        <v>3598.53</v>
      </c>
      <c r="V356">
        <v>2413.3200000000002</v>
      </c>
      <c r="W356">
        <v>1481.97</v>
      </c>
      <c r="X356">
        <v>47855.79</v>
      </c>
      <c r="Y356">
        <v>18389.14</v>
      </c>
      <c r="Z356">
        <v>-29466.65</v>
      </c>
      <c r="AA356">
        <v>-0.45369999999999999</v>
      </c>
      <c r="AB356">
        <v>-6422.01</v>
      </c>
      <c r="AC356">
        <v>0</v>
      </c>
      <c r="AD356">
        <v>9907.27</v>
      </c>
      <c r="AE356">
        <v>64947.67</v>
      </c>
    </row>
    <row r="357" spans="1:31" x14ac:dyDescent="0.25">
      <c r="A357" t="s">
        <v>557</v>
      </c>
      <c r="B357" s="2">
        <v>45771</v>
      </c>
      <c r="C357" t="s">
        <v>128</v>
      </c>
      <c r="D357" t="s">
        <v>66</v>
      </c>
      <c r="E357">
        <v>2025</v>
      </c>
      <c r="F357" t="s">
        <v>67</v>
      </c>
      <c r="G357" t="s">
        <v>35</v>
      </c>
      <c r="H357" t="s">
        <v>118</v>
      </c>
      <c r="I357" t="s">
        <v>227</v>
      </c>
      <c r="J357" t="s">
        <v>80</v>
      </c>
      <c r="K357" t="s">
        <v>50</v>
      </c>
      <c r="L357" t="s">
        <v>94</v>
      </c>
      <c r="M357" t="s">
        <v>73</v>
      </c>
      <c r="N357" t="s">
        <v>74</v>
      </c>
      <c r="O357" t="s">
        <v>43</v>
      </c>
      <c r="P357" t="s">
        <v>75</v>
      </c>
      <c r="Q357">
        <v>55216.77</v>
      </c>
      <c r="R357">
        <v>53717.01</v>
      </c>
      <c r="S357">
        <v>32440.58</v>
      </c>
      <c r="T357">
        <v>4551.95</v>
      </c>
      <c r="U357">
        <v>4912.3999999999996</v>
      </c>
      <c r="V357">
        <v>3499.63</v>
      </c>
      <c r="W357">
        <v>1121.93</v>
      </c>
      <c r="X357">
        <v>46526.49</v>
      </c>
      <c r="Y357">
        <v>22776.19</v>
      </c>
      <c r="Z357">
        <v>-23750.3</v>
      </c>
      <c r="AA357">
        <v>-0.39589999999999997</v>
      </c>
      <c r="AB357">
        <v>1499.76</v>
      </c>
      <c r="AC357">
        <v>1656.5</v>
      </c>
      <c r="AD357">
        <v>6427.23</v>
      </c>
      <c r="AE357">
        <v>59987.5</v>
      </c>
    </row>
    <row r="358" spans="1:31" x14ac:dyDescent="0.25">
      <c r="A358" t="s">
        <v>558</v>
      </c>
      <c r="B358" s="2">
        <v>46062</v>
      </c>
      <c r="C358" t="s">
        <v>57</v>
      </c>
      <c r="D358" t="s">
        <v>58</v>
      </c>
      <c r="E358">
        <v>2026</v>
      </c>
      <c r="F358" t="s">
        <v>67</v>
      </c>
      <c r="G358" t="s">
        <v>35</v>
      </c>
      <c r="H358" t="s">
        <v>118</v>
      </c>
      <c r="I358" t="s">
        <v>227</v>
      </c>
      <c r="J358" t="s">
        <v>80</v>
      </c>
      <c r="K358" t="s">
        <v>160</v>
      </c>
      <c r="L358" t="s">
        <v>81</v>
      </c>
      <c r="M358" t="s">
        <v>171</v>
      </c>
      <c r="N358" t="s">
        <v>172</v>
      </c>
      <c r="O358" t="s">
        <v>173</v>
      </c>
      <c r="P358" t="s">
        <v>174</v>
      </c>
      <c r="Q358">
        <v>32851.440000000002</v>
      </c>
      <c r="R358">
        <v>30572.36</v>
      </c>
      <c r="S358">
        <v>23403.31</v>
      </c>
      <c r="T358">
        <v>2832.8</v>
      </c>
      <c r="U358">
        <v>2840.71</v>
      </c>
      <c r="V358">
        <v>3092.82</v>
      </c>
      <c r="W358">
        <v>675.28</v>
      </c>
      <c r="X358">
        <v>32844.92</v>
      </c>
      <c r="Y358">
        <v>9448.1200000000008</v>
      </c>
      <c r="Z358">
        <v>-23396.799999999999</v>
      </c>
      <c r="AA358">
        <v>-0.64890000000000003</v>
      </c>
      <c r="AB358">
        <v>2279.0700000000002</v>
      </c>
      <c r="AC358">
        <v>657.03</v>
      </c>
      <c r="AD358">
        <v>3863.33</v>
      </c>
      <c r="AE358">
        <v>36057.74</v>
      </c>
    </row>
    <row r="359" spans="1:31" x14ac:dyDescent="0.25">
      <c r="A359" t="s">
        <v>559</v>
      </c>
      <c r="B359" s="2">
        <v>46057</v>
      </c>
      <c r="C359" t="s">
        <v>57</v>
      </c>
      <c r="D359" t="s">
        <v>58</v>
      </c>
      <c r="E359">
        <v>2026</v>
      </c>
      <c r="F359" t="s">
        <v>47</v>
      </c>
      <c r="G359" t="s">
        <v>35</v>
      </c>
      <c r="H359" t="s">
        <v>206</v>
      </c>
      <c r="I359" t="s">
        <v>344</v>
      </c>
      <c r="J359" t="s">
        <v>38</v>
      </c>
      <c r="K359" t="s">
        <v>101</v>
      </c>
      <c r="L359" t="s">
        <v>94</v>
      </c>
      <c r="M359" t="s">
        <v>110</v>
      </c>
      <c r="N359" t="s">
        <v>111</v>
      </c>
      <c r="O359" t="s">
        <v>112</v>
      </c>
      <c r="P359" t="s">
        <v>113</v>
      </c>
      <c r="Q359">
        <v>9201.58</v>
      </c>
      <c r="R359">
        <v>9873.56</v>
      </c>
      <c r="S359">
        <v>4852.21</v>
      </c>
      <c r="T359">
        <v>531.92999999999995</v>
      </c>
      <c r="U359">
        <v>329.83</v>
      </c>
      <c r="V359">
        <v>1048.05</v>
      </c>
      <c r="W359">
        <v>356.57</v>
      </c>
      <c r="X359">
        <v>7118.6</v>
      </c>
      <c r="Y359">
        <v>4349.37</v>
      </c>
      <c r="Z359">
        <v>-2769.23</v>
      </c>
      <c r="AA359">
        <v>-0.26290000000000002</v>
      </c>
      <c r="AB359">
        <v>-671.98</v>
      </c>
      <c r="AC359">
        <v>276.05</v>
      </c>
      <c r="AD359">
        <v>1606.6</v>
      </c>
      <c r="AE359">
        <v>10532.13</v>
      </c>
    </row>
    <row r="360" spans="1:31" x14ac:dyDescent="0.25">
      <c r="A360" t="s">
        <v>560</v>
      </c>
      <c r="B360" s="2">
        <v>45769</v>
      </c>
      <c r="C360" t="s">
        <v>128</v>
      </c>
      <c r="D360" t="s">
        <v>66</v>
      </c>
      <c r="E360">
        <v>2025</v>
      </c>
      <c r="F360" t="s">
        <v>47</v>
      </c>
      <c r="G360" t="s">
        <v>35</v>
      </c>
      <c r="H360" t="s">
        <v>78</v>
      </c>
      <c r="I360" t="s">
        <v>183</v>
      </c>
      <c r="J360" t="s">
        <v>70</v>
      </c>
      <c r="K360" t="s">
        <v>50</v>
      </c>
      <c r="L360" t="s">
        <v>40</v>
      </c>
      <c r="M360" t="s">
        <v>130</v>
      </c>
      <c r="N360" t="s">
        <v>131</v>
      </c>
      <c r="O360" t="s">
        <v>43</v>
      </c>
      <c r="P360" t="s">
        <v>132</v>
      </c>
      <c r="Q360">
        <v>65366.28</v>
      </c>
      <c r="R360">
        <v>73845.42</v>
      </c>
      <c r="S360">
        <v>46932.33</v>
      </c>
      <c r="T360">
        <v>4123.91</v>
      </c>
      <c r="U360">
        <v>4573.3900000000003</v>
      </c>
      <c r="V360">
        <v>6140.74</v>
      </c>
      <c r="W360">
        <v>2895.62</v>
      </c>
      <c r="X360">
        <v>64665.99</v>
      </c>
      <c r="Y360">
        <v>18433.96</v>
      </c>
      <c r="Z360">
        <v>-46232.03</v>
      </c>
      <c r="AA360">
        <v>-0.66600000000000004</v>
      </c>
      <c r="AB360">
        <v>-8479.14</v>
      </c>
      <c r="AC360">
        <v>6536.63</v>
      </c>
      <c r="AD360">
        <v>10589.34</v>
      </c>
      <c r="AE360">
        <v>69418.990000000005</v>
      </c>
    </row>
    <row r="361" spans="1:31" x14ac:dyDescent="0.25">
      <c r="A361" t="s">
        <v>561</v>
      </c>
      <c r="B361" s="2">
        <v>45749</v>
      </c>
      <c r="C361" t="s">
        <v>128</v>
      </c>
      <c r="D361" t="s">
        <v>66</v>
      </c>
      <c r="E361">
        <v>2025</v>
      </c>
      <c r="F361" t="s">
        <v>59</v>
      </c>
      <c r="G361" t="s">
        <v>35</v>
      </c>
      <c r="H361" t="s">
        <v>139</v>
      </c>
      <c r="I361" t="s">
        <v>152</v>
      </c>
      <c r="J361" t="s">
        <v>80</v>
      </c>
      <c r="K361" t="s">
        <v>71</v>
      </c>
      <c r="L361" t="s">
        <v>72</v>
      </c>
      <c r="M361" t="s">
        <v>102</v>
      </c>
      <c r="N361" t="s">
        <v>103</v>
      </c>
      <c r="O361" t="s">
        <v>104</v>
      </c>
      <c r="P361" t="s">
        <v>105</v>
      </c>
      <c r="Q361">
        <v>14312.75</v>
      </c>
      <c r="R361">
        <v>12931.43</v>
      </c>
      <c r="S361">
        <v>8839.89</v>
      </c>
      <c r="T361">
        <v>828.24</v>
      </c>
      <c r="U361">
        <v>775.79</v>
      </c>
      <c r="V361">
        <v>1649.4</v>
      </c>
      <c r="W361">
        <v>620.45000000000005</v>
      </c>
      <c r="X361">
        <v>12713.77</v>
      </c>
      <c r="Y361">
        <v>5472.86</v>
      </c>
      <c r="Z361">
        <v>-7240.91</v>
      </c>
      <c r="AA361">
        <v>-0.4375</v>
      </c>
      <c r="AB361">
        <v>1381.32</v>
      </c>
      <c r="AC361">
        <v>286.25</v>
      </c>
      <c r="AD361">
        <v>2524.77</v>
      </c>
      <c r="AE361">
        <v>16551.259999999998</v>
      </c>
    </row>
    <row r="362" spans="1:31" x14ac:dyDescent="0.25">
      <c r="A362" t="s">
        <v>562</v>
      </c>
      <c r="B362" s="2">
        <v>45847</v>
      </c>
      <c r="C362" t="s">
        <v>32</v>
      </c>
      <c r="D362" t="s">
        <v>33</v>
      </c>
      <c r="E362">
        <v>2025</v>
      </c>
      <c r="F362" t="s">
        <v>85</v>
      </c>
      <c r="G362" t="s">
        <v>35</v>
      </c>
      <c r="H362" t="s">
        <v>178</v>
      </c>
      <c r="I362" t="s">
        <v>329</v>
      </c>
      <c r="J362" t="s">
        <v>80</v>
      </c>
      <c r="K362" t="s">
        <v>39</v>
      </c>
      <c r="L362" t="s">
        <v>94</v>
      </c>
      <c r="M362" t="s">
        <v>186</v>
      </c>
      <c r="N362" t="s">
        <v>187</v>
      </c>
      <c r="O362" t="s">
        <v>173</v>
      </c>
      <c r="P362" t="s">
        <v>174</v>
      </c>
      <c r="Q362">
        <v>19401.349999999999</v>
      </c>
      <c r="R362">
        <v>21034.32</v>
      </c>
      <c r="S362">
        <v>10707.48</v>
      </c>
      <c r="T362">
        <v>1680.54</v>
      </c>
      <c r="U362">
        <v>605.54</v>
      </c>
      <c r="V362">
        <v>2170.0700000000002</v>
      </c>
      <c r="W362">
        <v>829.21</v>
      </c>
      <c r="X362">
        <v>15992.84</v>
      </c>
      <c r="Y362">
        <v>8693.8700000000008</v>
      </c>
      <c r="Z362">
        <v>-7298.97</v>
      </c>
      <c r="AA362">
        <v>-0.35420000000000001</v>
      </c>
      <c r="AB362">
        <v>-1632.98</v>
      </c>
      <c r="AC362">
        <v>1940.13</v>
      </c>
      <c r="AD362">
        <v>3143.02</v>
      </c>
      <c r="AE362">
        <v>20604.23</v>
      </c>
    </row>
    <row r="363" spans="1:31" x14ac:dyDescent="0.25">
      <c r="A363" t="s">
        <v>563</v>
      </c>
      <c r="B363" s="2">
        <v>46109</v>
      </c>
      <c r="C363" t="s">
        <v>125</v>
      </c>
      <c r="D363" t="s">
        <v>58</v>
      </c>
      <c r="E363">
        <v>2026</v>
      </c>
      <c r="F363" t="s">
        <v>59</v>
      </c>
      <c r="G363" t="s">
        <v>35</v>
      </c>
      <c r="H363" t="s">
        <v>254</v>
      </c>
      <c r="I363" t="s">
        <v>200</v>
      </c>
      <c r="J363" t="s">
        <v>100</v>
      </c>
      <c r="K363" t="s">
        <v>160</v>
      </c>
      <c r="L363" t="s">
        <v>72</v>
      </c>
      <c r="M363" t="s">
        <v>171</v>
      </c>
      <c r="N363" t="s">
        <v>172</v>
      </c>
      <c r="O363" t="s">
        <v>173</v>
      </c>
      <c r="P363" t="s">
        <v>174</v>
      </c>
      <c r="Q363">
        <v>30674.1</v>
      </c>
      <c r="R363">
        <v>29433.37</v>
      </c>
      <c r="S363">
        <v>19603.400000000001</v>
      </c>
      <c r="T363">
        <v>3902.85</v>
      </c>
      <c r="U363">
        <v>2592.8200000000002</v>
      </c>
      <c r="V363">
        <v>2460.98</v>
      </c>
      <c r="W363">
        <v>1160.3699999999999</v>
      </c>
      <c r="X363">
        <v>29720.42</v>
      </c>
      <c r="Y363">
        <v>11070.7</v>
      </c>
      <c r="Z363">
        <v>-18649.72</v>
      </c>
      <c r="AA363">
        <v>-0.51529999999999998</v>
      </c>
      <c r="AB363">
        <v>1240.73</v>
      </c>
      <c r="AC363">
        <v>0</v>
      </c>
      <c r="AD363">
        <v>5521.34</v>
      </c>
      <c r="AE363">
        <v>36195.440000000002</v>
      </c>
    </row>
    <row r="364" spans="1:31" x14ac:dyDescent="0.25">
      <c r="A364" t="s">
        <v>564</v>
      </c>
      <c r="B364" s="2">
        <v>45884</v>
      </c>
      <c r="C364" t="s">
        <v>117</v>
      </c>
      <c r="D364" t="s">
        <v>33</v>
      </c>
      <c r="E364">
        <v>2025</v>
      </c>
      <c r="F364" t="s">
        <v>59</v>
      </c>
      <c r="G364" t="s">
        <v>35</v>
      </c>
      <c r="H364" t="s">
        <v>254</v>
      </c>
      <c r="I364" t="s">
        <v>200</v>
      </c>
      <c r="J364" t="s">
        <v>70</v>
      </c>
      <c r="K364" t="s">
        <v>50</v>
      </c>
      <c r="L364" t="s">
        <v>72</v>
      </c>
      <c r="M364" t="s">
        <v>88</v>
      </c>
      <c r="N364" t="s">
        <v>89</v>
      </c>
      <c r="O364" t="s">
        <v>43</v>
      </c>
      <c r="P364" t="s">
        <v>90</v>
      </c>
      <c r="Q364">
        <v>24995.26</v>
      </c>
      <c r="R364">
        <v>22689.66</v>
      </c>
      <c r="S364">
        <v>14393.87</v>
      </c>
      <c r="T364">
        <v>2087.46</v>
      </c>
      <c r="U364">
        <v>1460.89</v>
      </c>
      <c r="V364">
        <v>2417.4699999999998</v>
      </c>
      <c r="W364">
        <v>1042.6400000000001</v>
      </c>
      <c r="X364">
        <v>21402.33</v>
      </c>
      <c r="Y364">
        <v>10601.4</v>
      </c>
      <c r="Z364">
        <v>-10800.93</v>
      </c>
      <c r="AA364">
        <v>-0.41149999999999998</v>
      </c>
      <c r="AB364">
        <v>2305.6</v>
      </c>
      <c r="AC364">
        <v>0</v>
      </c>
      <c r="AD364">
        <v>1249.76</v>
      </c>
      <c r="AE364">
        <v>26245.03</v>
      </c>
    </row>
    <row r="365" spans="1:31" x14ac:dyDescent="0.25">
      <c r="A365" t="s">
        <v>565</v>
      </c>
      <c r="B365" s="2">
        <v>45877</v>
      </c>
      <c r="C365" t="s">
        <v>117</v>
      </c>
      <c r="D365" t="s">
        <v>33</v>
      </c>
      <c r="E365">
        <v>2025</v>
      </c>
      <c r="F365" t="s">
        <v>59</v>
      </c>
      <c r="G365" t="s">
        <v>35</v>
      </c>
      <c r="H365" t="s">
        <v>254</v>
      </c>
      <c r="I365" t="s">
        <v>255</v>
      </c>
      <c r="J365" t="s">
        <v>38</v>
      </c>
      <c r="K365" t="s">
        <v>71</v>
      </c>
      <c r="L365" t="s">
        <v>40</v>
      </c>
      <c r="M365" t="s">
        <v>189</v>
      </c>
      <c r="N365" t="s">
        <v>190</v>
      </c>
      <c r="O365" t="s">
        <v>104</v>
      </c>
      <c r="P365" t="s">
        <v>105</v>
      </c>
      <c r="Q365">
        <v>24815.31</v>
      </c>
      <c r="R365">
        <v>27112.59</v>
      </c>
      <c r="S365">
        <v>16270.15</v>
      </c>
      <c r="T365">
        <v>1586.12</v>
      </c>
      <c r="U365">
        <v>1203.02</v>
      </c>
      <c r="V365">
        <v>2257.8000000000002</v>
      </c>
      <c r="W365">
        <v>309.56</v>
      </c>
      <c r="X365">
        <v>21626.65</v>
      </c>
      <c r="Y365">
        <v>8545.17</v>
      </c>
      <c r="Z365">
        <v>-13081.48</v>
      </c>
      <c r="AA365">
        <v>-0.48520000000000002</v>
      </c>
      <c r="AB365">
        <v>-2297.2800000000002</v>
      </c>
      <c r="AC365">
        <v>744.46</v>
      </c>
      <c r="AD365">
        <v>2888.5</v>
      </c>
      <c r="AE365">
        <v>26959.35</v>
      </c>
    </row>
    <row r="366" spans="1:31" x14ac:dyDescent="0.25">
      <c r="A366" t="s">
        <v>566</v>
      </c>
      <c r="B366" s="2">
        <v>45750</v>
      </c>
      <c r="C366" t="s">
        <v>128</v>
      </c>
      <c r="D366" t="s">
        <v>66</v>
      </c>
      <c r="E366">
        <v>2025</v>
      </c>
      <c r="F366" t="s">
        <v>67</v>
      </c>
      <c r="G366" t="s">
        <v>35</v>
      </c>
      <c r="H366" t="s">
        <v>68</v>
      </c>
      <c r="I366" t="s">
        <v>69</v>
      </c>
      <c r="J366" t="s">
        <v>100</v>
      </c>
      <c r="K366" t="s">
        <v>71</v>
      </c>
      <c r="L366" t="s">
        <v>40</v>
      </c>
      <c r="M366" t="s">
        <v>130</v>
      </c>
      <c r="N366" t="s">
        <v>131</v>
      </c>
      <c r="O366" t="s">
        <v>43</v>
      </c>
      <c r="P366" t="s">
        <v>132</v>
      </c>
      <c r="Q366">
        <v>59465.05</v>
      </c>
      <c r="R366">
        <v>63109.74</v>
      </c>
      <c r="S366">
        <v>37534.61</v>
      </c>
      <c r="T366">
        <v>4958.83</v>
      </c>
      <c r="U366">
        <v>2044.43</v>
      </c>
      <c r="V366">
        <v>2823.68</v>
      </c>
      <c r="W366">
        <v>629.35</v>
      </c>
      <c r="X366">
        <v>47990.89</v>
      </c>
      <c r="Y366">
        <v>21930.44</v>
      </c>
      <c r="Z366">
        <v>-26060.45</v>
      </c>
      <c r="AA366">
        <v>-0.45369999999999999</v>
      </c>
      <c r="AB366">
        <v>-3644.69</v>
      </c>
      <c r="AC366">
        <v>4757.2</v>
      </c>
      <c r="AD366">
        <v>2735.39</v>
      </c>
      <c r="AE366">
        <v>57443.24</v>
      </c>
    </row>
    <row r="367" spans="1:31" x14ac:dyDescent="0.25">
      <c r="A367" t="s">
        <v>567</v>
      </c>
      <c r="B367" s="2">
        <v>45861</v>
      </c>
      <c r="C367" t="s">
        <v>32</v>
      </c>
      <c r="D367" t="s">
        <v>33</v>
      </c>
      <c r="E367">
        <v>2025</v>
      </c>
      <c r="F367" t="s">
        <v>47</v>
      </c>
      <c r="G367" t="s">
        <v>35</v>
      </c>
      <c r="H367" t="s">
        <v>214</v>
      </c>
      <c r="I367" t="s">
        <v>220</v>
      </c>
      <c r="J367" t="s">
        <v>38</v>
      </c>
      <c r="K367" t="s">
        <v>160</v>
      </c>
      <c r="L367" t="s">
        <v>94</v>
      </c>
      <c r="M367" t="s">
        <v>41</v>
      </c>
      <c r="N367" t="s">
        <v>42</v>
      </c>
      <c r="O367" t="s">
        <v>43</v>
      </c>
      <c r="P367" t="s">
        <v>44</v>
      </c>
      <c r="Q367">
        <v>73590.73</v>
      </c>
      <c r="R367">
        <v>73740.28</v>
      </c>
      <c r="S367">
        <v>48788.2</v>
      </c>
      <c r="T367">
        <v>4526.57</v>
      </c>
      <c r="U367">
        <v>1881</v>
      </c>
      <c r="V367">
        <v>3061.22</v>
      </c>
      <c r="W367">
        <v>2246.8000000000002</v>
      </c>
      <c r="X367">
        <v>60503.79</v>
      </c>
      <c r="Y367">
        <v>24802.53</v>
      </c>
      <c r="Z367">
        <v>-35701.26</v>
      </c>
      <c r="AA367">
        <v>-0.4466</v>
      </c>
      <c r="AB367">
        <v>-149.55000000000001</v>
      </c>
      <c r="AC367">
        <v>2207.7199999999998</v>
      </c>
      <c r="AD367">
        <v>8565.9599999999991</v>
      </c>
      <c r="AE367">
        <v>79948.97</v>
      </c>
    </row>
    <row r="368" spans="1:31" x14ac:dyDescent="0.25">
      <c r="A368" t="s">
        <v>568</v>
      </c>
      <c r="B368" s="2">
        <v>45917</v>
      </c>
      <c r="C368" t="s">
        <v>46</v>
      </c>
      <c r="D368" t="s">
        <v>33</v>
      </c>
      <c r="E368">
        <v>2025</v>
      </c>
      <c r="F368" t="s">
        <v>34</v>
      </c>
      <c r="G368" t="s">
        <v>35</v>
      </c>
      <c r="H368" t="s">
        <v>134</v>
      </c>
      <c r="I368" t="s">
        <v>176</v>
      </c>
      <c r="J368" t="s">
        <v>80</v>
      </c>
      <c r="K368" t="s">
        <v>101</v>
      </c>
      <c r="L368" t="s">
        <v>51</v>
      </c>
      <c r="M368" t="s">
        <v>82</v>
      </c>
      <c r="N368" t="s">
        <v>83</v>
      </c>
      <c r="O368" t="s">
        <v>43</v>
      </c>
      <c r="P368" t="s">
        <v>75</v>
      </c>
      <c r="Q368">
        <v>35839.120000000003</v>
      </c>
      <c r="R368">
        <v>37865.08</v>
      </c>
      <c r="S368">
        <v>19015.63</v>
      </c>
      <c r="T368">
        <v>2470.66</v>
      </c>
      <c r="U368">
        <v>2359</v>
      </c>
      <c r="V368">
        <v>3813.11</v>
      </c>
      <c r="W368">
        <v>879.74</v>
      </c>
      <c r="X368">
        <v>28538.15</v>
      </c>
      <c r="Y368">
        <v>16823.490000000002</v>
      </c>
      <c r="Z368">
        <v>-11714.66</v>
      </c>
      <c r="AA368">
        <v>-0.28270000000000001</v>
      </c>
      <c r="AB368">
        <v>-2025.96</v>
      </c>
      <c r="AC368">
        <v>716.78</v>
      </c>
      <c r="AD368">
        <v>6322.02</v>
      </c>
      <c r="AE368">
        <v>41444.36</v>
      </c>
    </row>
    <row r="369" spans="1:31" x14ac:dyDescent="0.25">
      <c r="A369" t="s">
        <v>569</v>
      </c>
      <c r="B369" s="2">
        <v>45908</v>
      </c>
      <c r="C369" t="s">
        <v>46</v>
      </c>
      <c r="D369" t="s">
        <v>33</v>
      </c>
      <c r="E369">
        <v>2025</v>
      </c>
      <c r="F369" t="s">
        <v>67</v>
      </c>
      <c r="G369" t="s">
        <v>35</v>
      </c>
      <c r="H369" t="s">
        <v>168</v>
      </c>
      <c r="I369" t="s">
        <v>278</v>
      </c>
      <c r="J369" t="s">
        <v>100</v>
      </c>
      <c r="K369" t="s">
        <v>50</v>
      </c>
      <c r="L369" t="s">
        <v>40</v>
      </c>
      <c r="M369" t="s">
        <v>171</v>
      </c>
      <c r="N369" t="s">
        <v>172</v>
      </c>
      <c r="O369" t="s">
        <v>173</v>
      </c>
      <c r="P369" t="s">
        <v>174</v>
      </c>
      <c r="Q369">
        <v>28109.43</v>
      </c>
      <c r="R369">
        <v>28459.42</v>
      </c>
      <c r="S369">
        <v>14374.08</v>
      </c>
      <c r="T369">
        <v>2059.86</v>
      </c>
      <c r="U369">
        <v>2290.42</v>
      </c>
      <c r="V369">
        <v>3158.27</v>
      </c>
      <c r="W369">
        <v>281.83</v>
      </c>
      <c r="X369">
        <v>22164.45</v>
      </c>
      <c r="Y369">
        <v>13735.35</v>
      </c>
      <c r="Z369">
        <v>-8429.1</v>
      </c>
      <c r="AA369">
        <v>-0.26750000000000002</v>
      </c>
      <c r="AB369">
        <v>-350</v>
      </c>
      <c r="AC369">
        <v>1405.47</v>
      </c>
      <c r="AD369">
        <v>4806.71</v>
      </c>
      <c r="AE369">
        <v>31510.67</v>
      </c>
    </row>
    <row r="370" spans="1:31" x14ac:dyDescent="0.25">
      <c r="A370" t="s">
        <v>570</v>
      </c>
      <c r="B370" s="2">
        <v>46077</v>
      </c>
      <c r="C370" t="s">
        <v>57</v>
      </c>
      <c r="D370" t="s">
        <v>58</v>
      </c>
      <c r="E370">
        <v>2026</v>
      </c>
      <c r="F370" t="s">
        <v>59</v>
      </c>
      <c r="G370" t="s">
        <v>35</v>
      </c>
      <c r="H370" t="s">
        <v>230</v>
      </c>
      <c r="I370" t="s">
        <v>231</v>
      </c>
      <c r="J370" t="s">
        <v>100</v>
      </c>
      <c r="K370" t="s">
        <v>160</v>
      </c>
      <c r="L370" t="s">
        <v>40</v>
      </c>
      <c r="M370" t="s">
        <v>161</v>
      </c>
      <c r="N370" t="s">
        <v>162</v>
      </c>
      <c r="O370" t="s">
        <v>43</v>
      </c>
      <c r="P370" t="s">
        <v>163</v>
      </c>
      <c r="Q370">
        <v>70131.63</v>
      </c>
      <c r="R370">
        <v>80623.34</v>
      </c>
      <c r="S370">
        <v>41346.949999999997</v>
      </c>
      <c r="T370">
        <v>4345</v>
      </c>
      <c r="U370">
        <v>5992.45</v>
      </c>
      <c r="V370">
        <v>5378.84</v>
      </c>
      <c r="W370">
        <v>1147.1500000000001</v>
      </c>
      <c r="X370">
        <v>58210.400000000001</v>
      </c>
      <c r="Y370">
        <v>28784.68</v>
      </c>
      <c r="Z370">
        <v>-29425.72</v>
      </c>
      <c r="AA370">
        <v>-0.4078</v>
      </c>
      <c r="AB370">
        <v>-10491.71</v>
      </c>
      <c r="AC370">
        <v>1402.63</v>
      </c>
      <c r="AD370">
        <v>3436.45</v>
      </c>
      <c r="AE370">
        <v>72165.45</v>
      </c>
    </row>
    <row r="371" spans="1:31" x14ac:dyDescent="0.25">
      <c r="A371" t="s">
        <v>571</v>
      </c>
      <c r="B371" s="2">
        <v>45799</v>
      </c>
      <c r="C371" t="s">
        <v>65</v>
      </c>
      <c r="D371" t="s">
        <v>66</v>
      </c>
      <c r="E371">
        <v>2025</v>
      </c>
      <c r="F371" t="s">
        <v>67</v>
      </c>
      <c r="G371" t="s">
        <v>35</v>
      </c>
      <c r="H371" t="s">
        <v>168</v>
      </c>
      <c r="I371" t="s">
        <v>251</v>
      </c>
      <c r="J371" t="s">
        <v>70</v>
      </c>
      <c r="K371" t="s">
        <v>160</v>
      </c>
      <c r="L371" t="s">
        <v>51</v>
      </c>
      <c r="M371" t="s">
        <v>197</v>
      </c>
      <c r="N371" t="s">
        <v>198</v>
      </c>
      <c r="O371" t="s">
        <v>43</v>
      </c>
      <c r="P371" t="s">
        <v>163</v>
      </c>
      <c r="Q371">
        <v>27576.400000000001</v>
      </c>
      <c r="R371">
        <v>31341.95</v>
      </c>
      <c r="S371">
        <v>15611.04</v>
      </c>
      <c r="T371">
        <v>2771.14</v>
      </c>
      <c r="U371">
        <v>1970.84</v>
      </c>
      <c r="V371">
        <v>2051.34</v>
      </c>
      <c r="W371">
        <v>571.53</v>
      </c>
      <c r="X371">
        <v>22975.89</v>
      </c>
      <c r="Y371">
        <v>11965.36</v>
      </c>
      <c r="Z371">
        <v>-11010.53</v>
      </c>
      <c r="AA371">
        <v>-0.376</v>
      </c>
      <c r="AB371">
        <v>-3765.55</v>
      </c>
      <c r="AC371">
        <v>2757.64</v>
      </c>
      <c r="AD371">
        <v>4467.38</v>
      </c>
      <c r="AE371">
        <v>29286.14</v>
      </c>
    </row>
    <row r="372" spans="1:31" x14ac:dyDescent="0.25">
      <c r="A372" t="s">
        <v>572</v>
      </c>
      <c r="B372" s="2">
        <v>45868</v>
      </c>
      <c r="C372" t="s">
        <v>32</v>
      </c>
      <c r="D372" t="s">
        <v>33</v>
      </c>
      <c r="E372">
        <v>2025</v>
      </c>
      <c r="F372" t="s">
        <v>34</v>
      </c>
      <c r="G372" t="s">
        <v>35</v>
      </c>
      <c r="H372" t="s">
        <v>98</v>
      </c>
      <c r="I372" t="s">
        <v>99</v>
      </c>
      <c r="J372" t="s">
        <v>70</v>
      </c>
      <c r="K372" t="s">
        <v>50</v>
      </c>
      <c r="L372" t="s">
        <v>81</v>
      </c>
      <c r="M372" t="s">
        <v>120</v>
      </c>
      <c r="N372" t="s">
        <v>121</v>
      </c>
      <c r="O372" t="s">
        <v>43</v>
      </c>
      <c r="P372" t="s">
        <v>122</v>
      </c>
      <c r="Q372">
        <v>23982.43</v>
      </c>
      <c r="R372">
        <v>21282.03</v>
      </c>
      <c r="S372">
        <v>13853.59</v>
      </c>
      <c r="T372">
        <v>1622.55</v>
      </c>
      <c r="U372">
        <v>1430.91</v>
      </c>
      <c r="V372">
        <v>2870.21</v>
      </c>
      <c r="W372">
        <v>911.78</v>
      </c>
      <c r="X372">
        <v>20689.04</v>
      </c>
      <c r="Y372">
        <v>10128.84</v>
      </c>
      <c r="Z372">
        <v>-10560.19</v>
      </c>
      <c r="AA372">
        <v>-0.40560000000000002</v>
      </c>
      <c r="AB372">
        <v>2700.4</v>
      </c>
      <c r="AC372">
        <v>1918.59</v>
      </c>
      <c r="AD372">
        <v>3971.49</v>
      </c>
      <c r="AE372">
        <v>26035.33</v>
      </c>
    </row>
    <row r="373" spans="1:31" x14ac:dyDescent="0.25">
      <c r="A373" t="s">
        <v>573</v>
      </c>
      <c r="B373" s="2">
        <v>45890</v>
      </c>
      <c r="C373" t="s">
        <v>117</v>
      </c>
      <c r="D373" t="s">
        <v>33</v>
      </c>
      <c r="E373">
        <v>2025</v>
      </c>
      <c r="F373" t="s">
        <v>67</v>
      </c>
      <c r="G373" t="s">
        <v>35</v>
      </c>
      <c r="H373" t="s">
        <v>68</v>
      </c>
      <c r="I373" t="s">
        <v>69</v>
      </c>
      <c r="J373" t="s">
        <v>70</v>
      </c>
      <c r="K373" t="s">
        <v>50</v>
      </c>
      <c r="L373" t="s">
        <v>94</v>
      </c>
      <c r="M373" t="s">
        <v>41</v>
      </c>
      <c r="N373" t="s">
        <v>42</v>
      </c>
      <c r="O373" t="s">
        <v>43</v>
      </c>
      <c r="P373" t="s">
        <v>44</v>
      </c>
      <c r="Q373">
        <v>25576.66</v>
      </c>
      <c r="R373">
        <v>27727.02</v>
      </c>
      <c r="S373">
        <v>17343.669999999998</v>
      </c>
      <c r="T373">
        <v>1578.81</v>
      </c>
      <c r="U373">
        <v>904.86</v>
      </c>
      <c r="V373">
        <v>2639.68</v>
      </c>
      <c r="W373">
        <v>807.46</v>
      </c>
      <c r="X373">
        <v>23274.49</v>
      </c>
      <c r="Y373">
        <v>8232.98</v>
      </c>
      <c r="Z373">
        <v>-15041.5</v>
      </c>
      <c r="AA373">
        <v>-0.49840000000000001</v>
      </c>
      <c r="AB373">
        <v>-2150.36</v>
      </c>
      <c r="AC373">
        <v>0</v>
      </c>
      <c r="AD373">
        <v>4603.8</v>
      </c>
      <c r="AE373">
        <v>30180.45</v>
      </c>
    </row>
    <row r="374" spans="1:31" x14ac:dyDescent="0.25">
      <c r="A374" t="s">
        <v>574</v>
      </c>
      <c r="B374" s="2">
        <v>46093</v>
      </c>
      <c r="C374" t="s">
        <v>125</v>
      </c>
      <c r="D374" t="s">
        <v>58</v>
      </c>
      <c r="E374">
        <v>2026</v>
      </c>
      <c r="F374" t="s">
        <v>85</v>
      </c>
      <c r="G374" t="s">
        <v>35</v>
      </c>
      <c r="H374" t="s">
        <v>178</v>
      </c>
      <c r="I374" t="s">
        <v>179</v>
      </c>
      <c r="J374" t="s">
        <v>80</v>
      </c>
      <c r="K374" t="s">
        <v>71</v>
      </c>
      <c r="L374" t="s">
        <v>81</v>
      </c>
      <c r="M374" t="s">
        <v>52</v>
      </c>
      <c r="N374" t="s">
        <v>53</v>
      </c>
      <c r="O374" t="s">
        <v>54</v>
      </c>
      <c r="P374" t="s">
        <v>55</v>
      </c>
      <c r="Q374">
        <v>2428.64</v>
      </c>
      <c r="R374">
        <v>2164.25</v>
      </c>
      <c r="S374">
        <v>1212.77</v>
      </c>
      <c r="T374">
        <v>252.06</v>
      </c>
      <c r="U374">
        <v>169.51</v>
      </c>
      <c r="V374">
        <v>163.49</v>
      </c>
      <c r="W374">
        <v>42.61</v>
      </c>
      <c r="X374">
        <v>1840.45</v>
      </c>
      <c r="Y374">
        <v>1215.8699999999999</v>
      </c>
      <c r="Z374">
        <v>-624.57000000000005</v>
      </c>
      <c r="AA374">
        <v>-0.26619999999999999</v>
      </c>
      <c r="AB374">
        <v>264.39999999999998</v>
      </c>
      <c r="AC374">
        <v>194.29</v>
      </c>
      <c r="AD374">
        <v>111.72</v>
      </c>
      <c r="AE374">
        <v>2346.0700000000002</v>
      </c>
    </row>
    <row r="375" spans="1:31" x14ac:dyDescent="0.25">
      <c r="A375" t="s">
        <v>575</v>
      </c>
      <c r="B375" s="2">
        <v>46049</v>
      </c>
      <c r="C375" t="s">
        <v>77</v>
      </c>
      <c r="D375" t="s">
        <v>58</v>
      </c>
      <c r="E375">
        <v>2026</v>
      </c>
      <c r="F375" t="s">
        <v>34</v>
      </c>
      <c r="G375" t="s">
        <v>35</v>
      </c>
      <c r="H375" t="s">
        <v>157</v>
      </c>
      <c r="I375" t="s">
        <v>158</v>
      </c>
      <c r="J375" t="s">
        <v>80</v>
      </c>
      <c r="K375" t="s">
        <v>160</v>
      </c>
      <c r="L375" t="s">
        <v>81</v>
      </c>
      <c r="M375" t="s">
        <v>88</v>
      </c>
      <c r="N375" t="s">
        <v>89</v>
      </c>
      <c r="O375" t="s">
        <v>43</v>
      </c>
      <c r="P375" t="s">
        <v>90</v>
      </c>
      <c r="Q375">
        <v>43606.9</v>
      </c>
      <c r="R375">
        <v>50997.33</v>
      </c>
      <c r="S375">
        <v>23794.11</v>
      </c>
      <c r="T375">
        <v>3574.57</v>
      </c>
      <c r="U375">
        <v>3876.04</v>
      </c>
      <c r="V375">
        <v>3615.78</v>
      </c>
      <c r="W375">
        <v>1203.2</v>
      </c>
      <c r="X375">
        <v>36063.699999999997</v>
      </c>
      <c r="Y375">
        <v>19812.79</v>
      </c>
      <c r="Z375">
        <v>-16250.91</v>
      </c>
      <c r="AA375">
        <v>-0.32229999999999998</v>
      </c>
      <c r="AB375">
        <v>-7390.43</v>
      </c>
      <c r="AC375">
        <v>872.14</v>
      </c>
      <c r="AD375">
        <v>7692.26</v>
      </c>
      <c r="AE375">
        <v>50427.01</v>
      </c>
    </row>
    <row r="376" spans="1:31" x14ac:dyDescent="0.25">
      <c r="A376" t="s">
        <v>576</v>
      </c>
      <c r="B376" s="2">
        <v>45774</v>
      </c>
      <c r="C376" t="s">
        <v>128</v>
      </c>
      <c r="D376" t="s">
        <v>66</v>
      </c>
      <c r="E376">
        <v>2025</v>
      </c>
      <c r="F376" t="s">
        <v>85</v>
      </c>
      <c r="G376" t="s">
        <v>35</v>
      </c>
      <c r="H376" t="s">
        <v>60</v>
      </c>
      <c r="I376" t="s">
        <v>61</v>
      </c>
      <c r="J376" t="s">
        <v>80</v>
      </c>
      <c r="K376" t="s">
        <v>50</v>
      </c>
      <c r="L376" t="s">
        <v>72</v>
      </c>
      <c r="M376" t="s">
        <v>189</v>
      </c>
      <c r="N376" t="s">
        <v>190</v>
      </c>
      <c r="O376" t="s">
        <v>104</v>
      </c>
      <c r="P376" t="s">
        <v>105</v>
      </c>
      <c r="Q376">
        <v>30366.82</v>
      </c>
      <c r="R376">
        <v>34176.14</v>
      </c>
      <c r="S376">
        <v>19439.61</v>
      </c>
      <c r="T376">
        <v>1823.42</v>
      </c>
      <c r="U376">
        <v>2270.23</v>
      </c>
      <c r="V376">
        <v>1725.3</v>
      </c>
      <c r="W376">
        <v>647.44000000000005</v>
      </c>
      <c r="X376">
        <v>25906</v>
      </c>
      <c r="Y376">
        <v>10927.21</v>
      </c>
      <c r="Z376">
        <v>-14978.8</v>
      </c>
      <c r="AA376">
        <v>-0.47870000000000001</v>
      </c>
      <c r="AB376">
        <v>-3809.32</v>
      </c>
      <c r="AC376">
        <v>2429.35</v>
      </c>
      <c r="AD376">
        <v>3352.5</v>
      </c>
      <c r="AE376">
        <v>31289.97</v>
      </c>
    </row>
    <row r="377" spans="1:31" x14ac:dyDescent="0.25">
      <c r="A377" t="s">
        <v>577</v>
      </c>
      <c r="B377" s="2">
        <v>46008</v>
      </c>
      <c r="C377" t="s">
        <v>107</v>
      </c>
      <c r="D377" t="s">
        <v>93</v>
      </c>
      <c r="E377">
        <v>2025</v>
      </c>
      <c r="F377" t="s">
        <v>85</v>
      </c>
      <c r="G377" t="s">
        <v>35</v>
      </c>
      <c r="H377" t="s">
        <v>86</v>
      </c>
      <c r="I377" t="s">
        <v>181</v>
      </c>
      <c r="J377" t="s">
        <v>70</v>
      </c>
      <c r="K377" t="s">
        <v>39</v>
      </c>
      <c r="L377" t="s">
        <v>81</v>
      </c>
      <c r="M377" t="s">
        <v>73</v>
      </c>
      <c r="N377" t="s">
        <v>74</v>
      </c>
      <c r="O377" t="s">
        <v>43</v>
      </c>
      <c r="P377" t="s">
        <v>75</v>
      </c>
      <c r="Q377">
        <v>42806.13</v>
      </c>
      <c r="R377">
        <v>47990.29</v>
      </c>
      <c r="S377">
        <v>28948.81</v>
      </c>
      <c r="T377">
        <v>5492.7</v>
      </c>
      <c r="U377">
        <v>2466.5500000000002</v>
      </c>
      <c r="V377">
        <v>3270.24</v>
      </c>
      <c r="W377">
        <v>1556.93</v>
      </c>
      <c r="X377">
        <v>41735.24</v>
      </c>
      <c r="Y377">
        <v>13857.31</v>
      </c>
      <c r="Z377">
        <v>-27877.919999999998</v>
      </c>
      <c r="AA377">
        <v>-0.58150000000000002</v>
      </c>
      <c r="AB377">
        <v>-5184.17</v>
      </c>
      <c r="AC377">
        <v>0</v>
      </c>
      <c r="AD377">
        <v>5136.74</v>
      </c>
      <c r="AE377">
        <v>47942.86</v>
      </c>
    </row>
    <row r="378" spans="1:31" x14ac:dyDescent="0.25">
      <c r="A378" t="s">
        <v>578</v>
      </c>
      <c r="B378" s="2">
        <v>45763</v>
      </c>
      <c r="C378" t="s">
        <v>128</v>
      </c>
      <c r="D378" t="s">
        <v>66</v>
      </c>
      <c r="E378">
        <v>2025</v>
      </c>
      <c r="F378" t="s">
        <v>59</v>
      </c>
      <c r="G378" t="s">
        <v>35</v>
      </c>
      <c r="H378" t="s">
        <v>60</v>
      </c>
      <c r="I378" t="s">
        <v>61</v>
      </c>
      <c r="J378" t="s">
        <v>80</v>
      </c>
      <c r="K378" t="s">
        <v>50</v>
      </c>
      <c r="L378" t="s">
        <v>94</v>
      </c>
      <c r="M378" t="s">
        <v>235</v>
      </c>
      <c r="N378" t="s">
        <v>236</v>
      </c>
      <c r="O378" t="s">
        <v>104</v>
      </c>
      <c r="P378" t="s">
        <v>237</v>
      </c>
      <c r="Q378">
        <v>31552.41</v>
      </c>
      <c r="R378">
        <v>28514.63</v>
      </c>
      <c r="S378">
        <v>18533.91</v>
      </c>
      <c r="T378">
        <v>1834.81</v>
      </c>
      <c r="U378">
        <v>821.46</v>
      </c>
      <c r="V378">
        <v>2817.46</v>
      </c>
      <c r="W378">
        <v>1376.6</v>
      </c>
      <c r="X378">
        <v>25384.240000000002</v>
      </c>
      <c r="Y378">
        <v>13018.5</v>
      </c>
      <c r="Z378">
        <v>-12365.74</v>
      </c>
      <c r="AA378">
        <v>-0.36099999999999999</v>
      </c>
      <c r="AB378">
        <v>3037.78</v>
      </c>
      <c r="AC378">
        <v>2524.19</v>
      </c>
      <c r="AD378">
        <v>5225.08</v>
      </c>
      <c r="AE378">
        <v>34253.300000000003</v>
      </c>
    </row>
    <row r="379" spans="1:31" x14ac:dyDescent="0.25">
      <c r="A379" t="s">
        <v>579</v>
      </c>
      <c r="B379" s="2">
        <v>46066</v>
      </c>
      <c r="C379" t="s">
        <v>57</v>
      </c>
      <c r="D379" t="s">
        <v>58</v>
      </c>
      <c r="E379">
        <v>2026</v>
      </c>
      <c r="F379" t="s">
        <v>47</v>
      </c>
      <c r="G379" t="s">
        <v>35</v>
      </c>
      <c r="H379" t="s">
        <v>78</v>
      </c>
      <c r="I379" t="s">
        <v>79</v>
      </c>
      <c r="J379" t="s">
        <v>100</v>
      </c>
      <c r="K379" t="s">
        <v>71</v>
      </c>
      <c r="L379" t="s">
        <v>94</v>
      </c>
      <c r="M379" t="s">
        <v>120</v>
      </c>
      <c r="N379" t="s">
        <v>121</v>
      </c>
      <c r="O379" t="s">
        <v>43</v>
      </c>
      <c r="P379" t="s">
        <v>122</v>
      </c>
      <c r="Q379">
        <v>64963.9</v>
      </c>
      <c r="R379">
        <v>59645.51</v>
      </c>
      <c r="S379">
        <v>37848.620000000003</v>
      </c>
      <c r="T379">
        <v>4084.2</v>
      </c>
      <c r="U379">
        <v>4581.42</v>
      </c>
      <c r="V379">
        <v>6542.48</v>
      </c>
      <c r="W379">
        <v>890.19</v>
      </c>
      <c r="X379">
        <v>53946.92</v>
      </c>
      <c r="Y379">
        <v>27115.279999999999</v>
      </c>
      <c r="Z379">
        <v>-26831.64</v>
      </c>
      <c r="AA379">
        <v>-0.36080000000000001</v>
      </c>
      <c r="AB379">
        <v>5318.39</v>
      </c>
      <c r="AC379">
        <v>1948.92</v>
      </c>
      <c r="AD379">
        <v>11342.7</v>
      </c>
      <c r="AE379">
        <v>74357.679999999993</v>
      </c>
    </row>
    <row r="380" spans="1:31" x14ac:dyDescent="0.25">
      <c r="A380" t="s">
        <v>580</v>
      </c>
      <c r="B380" s="2">
        <v>46026</v>
      </c>
      <c r="C380" t="s">
        <v>77</v>
      </c>
      <c r="D380" t="s">
        <v>58</v>
      </c>
      <c r="E380">
        <v>2026</v>
      </c>
      <c r="F380" t="s">
        <v>67</v>
      </c>
      <c r="G380" t="s">
        <v>35</v>
      </c>
      <c r="H380" t="s">
        <v>168</v>
      </c>
      <c r="I380" t="s">
        <v>251</v>
      </c>
      <c r="J380" t="s">
        <v>100</v>
      </c>
      <c r="K380" t="s">
        <v>39</v>
      </c>
      <c r="L380" t="s">
        <v>51</v>
      </c>
      <c r="M380" t="s">
        <v>161</v>
      </c>
      <c r="N380" t="s">
        <v>162</v>
      </c>
      <c r="O380" t="s">
        <v>43</v>
      </c>
      <c r="P380" t="s">
        <v>163</v>
      </c>
      <c r="Q380">
        <v>41962.87</v>
      </c>
      <c r="R380">
        <v>41190.06</v>
      </c>
      <c r="S380">
        <v>20700.45</v>
      </c>
      <c r="T380">
        <v>3958.57</v>
      </c>
      <c r="U380">
        <v>2652.63</v>
      </c>
      <c r="V380">
        <v>4815.79</v>
      </c>
      <c r="W380">
        <v>1486</v>
      </c>
      <c r="X380">
        <v>33613.43</v>
      </c>
      <c r="Y380">
        <v>21262.42</v>
      </c>
      <c r="Z380">
        <v>-12351.01</v>
      </c>
      <c r="AA380">
        <v>-0.27110000000000001</v>
      </c>
      <c r="AB380">
        <v>772.81</v>
      </c>
      <c r="AC380">
        <v>3357.03</v>
      </c>
      <c r="AD380">
        <v>6949.05</v>
      </c>
      <c r="AE380">
        <v>45554.89</v>
      </c>
    </row>
    <row r="381" spans="1:31" x14ac:dyDescent="0.25">
      <c r="A381" t="s">
        <v>581</v>
      </c>
      <c r="B381" s="2">
        <v>45867</v>
      </c>
      <c r="C381" t="s">
        <v>32</v>
      </c>
      <c r="D381" t="s">
        <v>33</v>
      </c>
      <c r="E381">
        <v>2025</v>
      </c>
      <c r="F381" t="s">
        <v>67</v>
      </c>
      <c r="G381" t="s">
        <v>35</v>
      </c>
      <c r="H381" t="s">
        <v>118</v>
      </c>
      <c r="I381" t="s">
        <v>119</v>
      </c>
      <c r="J381" t="s">
        <v>38</v>
      </c>
      <c r="K381" t="s">
        <v>160</v>
      </c>
      <c r="L381" t="s">
        <v>81</v>
      </c>
      <c r="M381" t="s">
        <v>221</v>
      </c>
      <c r="N381" t="s">
        <v>222</v>
      </c>
      <c r="O381" t="s">
        <v>104</v>
      </c>
      <c r="P381" t="s">
        <v>223</v>
      </c>
      <c r="Q381">
        <v>10230.51</v>
      </c>
      <c r="R381">
        <v>10416.719999999999</v>
      </c>
      <c r="S381">
        <v>5664.64</v>
      </c>
      <c r="T381">
        <v>540.29999999999995</v>
      </c>
      <c r="U381">
        <v>470.65</v>
      </c>
      <c r="V381">
        <v>854.54</v>
      </c>
      <c r="W381">
        <v>299.86</v>
      </c>
      <c r="X381">
        <v>7829.99</v>
      </c>
      <c r="Y381">
        <v>4565.87</v>
      </c>
      <c r="Z381">
        <v>-3264.12</v>
      </c>
      <c r="AA381">
        <v>-0.29370000000000002</v>
      </c>
      <c r="AB381">
        <v>-186.21</v>
      </c>
      <c r="AC381">
        <v>306.92</v>
      </c>
      <c r="AD381">
        <v>1190.83</v>
      </c>
      <c r="AE381">
        <v>11114.42</v>
      </c>
    </row>
    <row r="382" spans="1:31" x14ac:dyDescent="0.25">
      <c r="A382" t="s">
        <v>582</v>
      </c>
      <c r="B382" s="2">
        <v>45925</v>
      </c>
      <c r="C382" t="s">
        <v>46</v>
      </c>
      <c r="D382" t="s">
        <v>33</v>
      </c>
      <c r="E382">
        <v>2025</v>
      </c>
      <c r="F382" t="s">
        <v>47</v>
      </c>
      <c r="G382" t="s">
        <v>35</v>
      </c>
      <c r="H382" t="s">
        <v>78</v>
      </c>
      <c r="I382" t="s">
        <v>79</v>
      </c>
      <c r="J382" t="s">
        <v>38</v>
      </c>
      <c r="K382" t="s">
        <v>50</v>
      </c>
      <c r="L382" t="s">
        <v>51</v>
      </c>
      <c r="M382" t="s">
        <v>95</v>
      </c>
      <c r="N382" t="s">
        <v>96</v>
      </c>
      <c r="O382" t="s">
        <v>43</v>
      </c>
      <c r="P382" t="s">
        <v>90</v>
      </c>
      <c r="Q382">
        <v>41675.17</v>
      </c>
      <c r="R382">
        <v>44976.25</v>
      </c>
      <c r="S382">
        <v>22380.17</v>
      </c>
      <c r="T382">
        <v>3715.02</v>
      </c>
      <c r="U382">
        <v>1816.86</v>
      </c>
      <c r="V382">
        <v>4076.73</v>
      </c>
      <c r="W382">
        <v>1795.61</v>
      </c>
      <c r="X382">
        <v>33784.39</v>
      </c>
      <c r="Y382">
        <v>19295</v>
      </c>
      <c r="Z382">
        <v>-14489.38</v>
      </c>
      <c r="AA382">
        <v>-0.33739999999999998</v>
      </c>
      <c r="AB382">
        <v>-3301.09</v>
      </c>
      <c r="AC382">
        <v>3334.01</v>
      </c>
      <c r="AD382">
        <v>4600.9399999999996</v>
      </c>
      <c r="AE382">
        <v>42942.09</v>
      </c>
    </row>
    <row r="383" spans="1:31" x14ac:dyDescent="0.25">
      <c r="A383" t="s">
        <v>583</v>
      </c>
      <c r="B383" s="2">
        <v>45984</v>
      </c>
      <c r="C383" t="s">
        <v>147</v>
      </c>
      <c r="D383" t="s">
        <v>93</v>
      </c>
      <c r="E383">
        <v>2025</v>
      </c>
      <c r="F383" t="s">
        <v>85</v>
      </c>
      <c r="G383" t="s">
        <v>35</v>
      </c>
      <c r="H383" t="s">
        <v>178</v>
      </c>
      <c r="I383" t="s">
        <v>249</v>
      </c>
      <c r="J383" t="s">
        <v>100</v>
      </c>
      <c r="K383" t="s">
        <v>50</v>
      </c>
      <c r="L383" t="s">
        <v>40</v>
      </c>
      <c r="M383" t="s">
        <v>52</v>
      </c>
      <c r="N383" t="s">
        <v>53</v>
      </c>
      <c r="O383" t="s">
        <v>54</v>
      </c>
      <c r="P383" t="s">
        <v>55</v>
      </c>
      <c r="Q383">
        <v>3488.92</v>
      </c>
      <c r="R383">
        <v>3315.56</v>
      </c>
      <c r="S383">
        <v>1778.15</v>
      </c>
      <c r="T383">
        <v>208.97</v>
      </c>
      <c r="U383">
        <v>219.5</v>
      </c>
      <c r="V383">
        <v>344.64</v>
      </c>
      <c r="W383">
        <v>74.150000000000006</v>
      </c>
      <c r="X383">
        <v>2625.41</v>
      </c>
      <c r="Y383">
        <v>1710.77</v>
      </c>
      <c r="Z383">
        <v>-914.64</v>
      </c>
      <c r="AA383">
        <v>-0.24970000000000001</v>
      </c>
      <c r="AB383">
        <v>173.36</v>
      </c>
      <c r="AC383">
        <v>0</v>
      </c>
      <c r="AD383">
        <v>174.45</v>
      </c>
      <c r="AE383">
        <v>3663.37</v>
      </c>
    </row>
    <row r="384" spans="1:31" x14ac:dyDescent="0.25">
      <c r="A384" t="s">
        <v>584</v>
      </c>
      <c r="B384" s="2">
        <v>45784</v>
      </c>
      <c r="C384" t="s">
        <v>65</v>
      </c>
      <c r="D384" t="s">
        <v>66</v>
      </c>
      <c r="E384">
        <v>2025</v>
      </c>
      <c r="F384" t="s">
        <v>34</v>
      </c>
      <c r="G384" t="s">
        <v>35</v>
      </c>
      <c r="H384" t="s">
        <v>134</v>
      </c>
      <c r="I384" t="s">
        <v>154</v>
      </c>
      <c r="J384" t="s">
        <v>38</v>
      </c>
      <c r="K384" t="s">
        <v>50</v>
      </c>
      <c r="L384" t="s">
        <v>40</v>
      </c>
      <c r="M384" t="s">
        <v>41</v>
      </c>
      <c r="N384" t="s">
        <v>42</v>
      </c>
      <c r="O384" t="s">
        <v>43</v>
      </c>
      <c r="P384" t="s">
        <v>44</v>
      </c>
      <c r="Q384">
        <v>22439.43</v>
      </c>
      <c r="R384">
        <v>22327.59</v>
      </c>
      <c r="S384">
        <v>15279.43</v>
      </c>
      <c r="T384">
        <v>2675.31</v>
      </c>
      <c r="U384">
        <v>1440.27</v>
      </c>
      <c r="V384">
        <v>2203.62</v>
      </c>
      <c r="W384">
        <v>314.83999999999997</v>
      </c>
      <c r="X384">
        <v>21913.46</v>
      </c>
      <c r="Y384">
        <v>7160</v>
      </c>
      <c r="Z384">
        <v>-14753.47</v>
      </c>
      <c r="AA384">
        <v>-0.58650000000000002</v>
      </c>
      <c r="AB384">
        <v>111.83</v>
      </c>
      <c r="AC384">
        <v>1121.97</v>
      </c>
      <c r="AD384">
        <v>3837.14</v>
      </c>
      <c r="AE384">
        <v>25154.6</v>
      </c>
    </row>
    <row r="385" spans="1:31" x14ac:dyDescent="0.25">
      <c r="A385" t="s">
        <v>585</v>
      </c>
      <c r="B385" s="2">
        <v>45912</v>
      </c>
      <c r="C385" t="s">
        <v>46</v>
      </c>
      <c r="D385" t="s">
        <v>33</v>
      </c>
      <c r="E385">
        <v>2025</v>
      </c>
      <c r="F385" t="s">
        <v>34</v>
      </c>
      <c r="G385" t="s">
        <v>35</v>
      </c>
      <c r="H385" t="s">
        <v>157</v>
      </c>
      <c r="I385" t="s">
        <v>166</v>
      </c>
      <c r="J385" t="s">
        <v>100</v>
      </c>
      <c r="K385" t="s">
        <v>50</v>
      </c>
      <c r="L385" t="s">
        <v>72</v>
      </c>
      <c r="M385" t="s">
        <v>186</v>
      </c>
      <c r="N385" t="s">
        <v>187</v>
      </c>
      <c r="O385" t="s">
        <v>173</v>
      </c>
      <c r="P385" t="s">
        <v>174</v>
      </c>
      <c r="Q385">
        <v>29093.17</v>
      </c>
      <c r="R385">
        <v>26579.62</v>
      </c>
      <c r="S385">
        <v>19895.990000000002</v>
      </c>
      <c r="T385">
        <v>2694.84</v>
      </c>
      <c r="U385">
        <v>1618.62</v>
      </c>
      <c r="V385">
        <v>3447.19</v>
      </c>
      <c r="W385">
        <v>1044.83</v>
      </c>
      <c r="X385">
        <v>28701.46</v>
      </c>
      <c r="Y385">
        <v>9197.18</v>
      </c>
      <c r="Z385">
        <v>-19504.28</v>
      </c>
      <c r="AA385">
        <v>-0.56810000000000005</v>
      </c>
      <c r="AB385">
        <v>2513.5500000000002</v>
      </c>
      <c r="AC385">
        <v>0</v>
      </c>
      <c r="AD385">
        <v>5236.7700000000004</v>
      </c>
      <c r="AE385">
        <v>34329.94</v>
      </c>
    </row>
    <row r="386" spans="1:31" x14ac:dyDescent="0.25">
      <c r="A386" t="s">
        <v>586</v>
      </c>
      <c r="B386" s="2">
        <v>45797</v>
      </c>
      <c r="C386" t="s">
        <v>65</v>
      </c>
      <c r="D386" t="s">
        <v>66</v>
      </c>
      <c r="E386">
        <v>2025</v>
      </c>
      <c r="F386" t="s">
        <v>59</v>
      </c>
      <c r="G386" t="s">
        <v>35</v>
      </c>
      <c r="H386" t="s">
        <v>230</v>
      </c>
      <c r="I386" t="s">
        <v>363</v>
      </c>
      <c r="J386" t="s">
        <v>80</v>
      </c>
      <c r="K386" t="s">
        <v>160</v>
      </c>
      <c r="L386" t="s">
        <v>72</v>
      </c>
      <c r="M386" t="s">
        <v>102</v>
      </c>
      <c r="N386" t="s">
        <v>103</v>
      </c>
      <c r="O386" t="s">
        <v>104</v>
      </c>
      <c r="P386" t="s">
        <v>105</v>
      </c>
      <c r="Q386">
        <v>10649.76</v>
      </c>
      <c r="R386">
        <v>10986.36</v>
      </c>
      <c r="S386">
        <v>6849.85</v>
      </c>
      <c r="T386">
        <v>705.33</v>
      </c>
      <c r="U386">
        <v>782.39</v>
      </c>
      <c r="V386">
        <v>1274.24</v>
      </c>
      <c r="W386">
        <v>354.61</v>
      </c>
      <c r="X386">
        <v>9966.43</v>
      </c>
      <c r="Y386">
        <v>3799.91</v>
      </c>
      <c r="Z386">
        <v>-6166.52</v>
      </c>
      <c r="AA386">
        <v>-0.50590000000000002</v>
      </c>
      <c r="AB386">
        <v>-336.6</v>
      </c>
      <c r="AC386">
        <v>319.49</v>
      </c>
      <c r="AD386">
        <v>1859.45</v>
      </c>
      <c r="AE386">
        <v>12189.72</v>
      </c>
    </row>
    <row r="387" spans="1:31" x14ac:dyDescent="0.25">
      <c r="A387" t="s">
        <v>587</v>
      </c>
      <c r="B387" s="2">
        <v>46053</v>
      </c>
      <c r="C387" t="s">
        <v>77</v>
      </c>
      <c r="D387" t="s">
        <v>58</v>
      </c>
      <c r="E387">
        <v>2026</v>
      </c>
      <c r="F387" t="s">
        <v>34</v>
      </c>
      <c r="G387" t="s">
        <v>35</v>
      </c>
      <c r="H387" t="s">
        <v>98</v>
      </c>
      <c r="I387" t="s">
        <v>304</v>
      </c>
      <c r="J387" t="s">
        <v>38</v>
      </c>
      <c r="K387" t="s">
        <v>101</v>
      </c>
      <c r="L387" t="s">
        <v>51</v>
      </c>
      <c r="M387" t="s">
        <v>88</v>
      </c>
      <c r="N387" t="s">
        <v>89</v>
      </c>
      <c r="O387" t="s">
        <v>43</v>
      </c>
      <c r="P387" t="s">
        <v>90</v>
      </c>
      <c r="Q387">
        <v>17231.2</v>
      </c>
      <c r="R387">
        <v>15436.53</v>
      </c>
      <c r="S387">
        <v>10859.13</v>
      </c>
      <c r="T387">
        <v>936.7</v>
      </c>
      <c r="U387">
        <v>1367.62</v>
      </c>
      <c r="V387">
        <v>1394.95</v>
      </c>
      <c r="W387">
        <v>490.15</v>
      </c>
      <c r="X387">
        <v>15048.55</v>
      </c>
      <c r="Y387">
        <v>6372.07</v>
      </c>
      <c r="Z387">
        <v>-8676.49</v>
      </c>
      <c r="AA387">
        <v>-0.50480000000000003</v>
      </c>
      <c r="AB387">
        <v>1794.67</v>
      </c>
      <c r="AC387">
        <v>861.56</v>
      </c>
      <c r="AD387">
        <v>818.48</v>
      </c>
      <c r="AE387">
        <v>17188.12</v>
      </c>
    </row>
    <row r="388" spans="1:31" x14ac:dyDescent="0.25">
      <c r="A388" t="s">
        <v>588</v>
      </c>
      <c r="B388" s="2">
        <v>45984</v>
      </c>
      <c r="C388" t="s">
        <v>147</v>
      </c>
      <c r="D388" t="s">
        <v>93</v>
      </c>
      <c r="E388">
        <v>2025</v>
      </c>
      <c r="F388" t="s">
        <v>47</v>
      </c>
      <c r="G388" t="s">
        <v>35</v>
      </c>
      <c r="H388" t="s">
        <v>206</v>
      </c>
      <c r="I388" t="s">
        <v>207</v>
      </c>
      <c r="J388" t="s">
        <v>80</v>
      </c>
      <c r="K388" t="s">
        <v>50</v>
      </c>
      <c r="L388" t="s">
        <v>72</v>
      </c>
      <c r="M388" t="s">
        <v>235</v>
      </c>
      <c r="N388" t="s">
        <v>236</v>
      </c>
      <c r="O388" t="s">
        <v>104</v>
      </c>
      <c r="P388" t="s">
        <v>237</v>
      </c>
      <c r="Q388">
        <v>6780.78</v>
      </c>
      <c r="R388">
        <v>7570.13</v>
      </c>
      <c r="S388">
        <v>3738.45</v>
      </c>
      <c r="T388">
        <v>412.61</v>
      </c>
      <c r="U388">
        <v>233.71</v>
      </c>
      <c r="V388">
        <v>649.55999999999995</v>
      </c>
      <c r="W388">
        <v>220.36</v>
      </c>
      <c r="X388">
        <v>5254.7</v>
      </c>
      <c r="Y388">
        <v>3042.32</v>
      </c>
      <c r="Z388">
        <v>-2212.37</v>
      </c>
      <c r="AA388">
        <v>-0.30049999999999999</v>
      </c>
      <c r="AB388">
        <v>-789.35</v>
      </c>
      <c r="AC388">
        <v>542.46</v>
      </c>
      <c r="AD388">
        <v>1122.9000000000001</v>
      </c>
      <c r="AE388">
        <v>7361.21</v>
      </c>
    </row>
    <row r="389" spans="1:31" x14ac:dyDescent="0.25">
      <c r="A389" t="s">
        <v>589</v>
      </c>
      <c r="B389" s="2">
        <v>45950</v>
      </c>
      <c r="C389" t="s">
        <v>92</v>
      </c>
      <c r="D389" t="s">
        <v>93</v>
      </c>
      <c r="E389">
        <v>2025</v>
      </c>
      <c r="F389" t="s">
        <v>34</v>
      </c>
      <c r="G389" t="s">
        <v>35</v>
      </c>
      <c r="H389" t="s">
        <v>134</v>
      </c>
      <c r="I389" t="s">
        <v>176</v>
      </c>
      <c r="J389" t="s">
        <v>100</v>
      </c>
      <c r="K389" t="s">
        <v>71</v>
      </c>
      <c r="L389" t="s">
        <v>94</v>
      </c>
      <c r="M389" t="s">
        <v>221</v>
      </c>
      <c r="N389" t="s">
        <v>222</v>
      </c>
      <c r="O389" t="s">
        <v>104</v>
      </c>
      <c r="P389" t="s">
        <v>223</v>
      </c>
      <c r="Q389">
        <v>7814.7</v>
      </c>
      <c r="R389">
        <v>7820.62</v>
      </c>
      <c r="S389">
        <v>5476.62</v>
      </c>
      <c r="T389">
        <v>797.26</v>
      </c>
      <c r="U389">
        <v>241.3</v>
      </c>
      <c r="V389">
        <v>905.16</v>
      </c>
      <c r="W389">
        <v>148.87</v>
      </c>
      <c r="X389">
        <v>7569.2</v>
      </c>
      <c r="Y389">
        <v>2338.08</v>
      </c>
      <c r="Z389">
        <v>-5231.12</v>
      </c>
      <c r="AA389">
        <v>-0.61619999999999997</v>
      </c>
      <c r="AB389">
        <v>-5.92</v>
      </c>
      <c r="AC389">
        <v>234.44</v>
      </c>
      <c r="AD389">
        <v>909.63</v>
      </c>
      <c r="AE389">
        <v>8489.89</v>
      </c>
    </row>
    <row r="390" spans="1:31" x14ac:dyDescent="0.25">
      <c r="A390" t="s">
        <v>590</v>
      </c>
      <c r="B390" s="2">
        <v>46027</v>
      </c>
      <c r="C390" t="s">
        <v>77</v>
      </c>
      <c r="D390" t="s">
        <v>58</v>
      </c>
      <c r="E390">
        <v>2026</v>
      </c>
      <c r="F390" t="s">
        <v>34</v>
      </c>
      <c r="G390" t="s">
        <v>35</v>
      </c>
      <c r="H390" t="s">
        <v>157</v>
      </c>
      <c r="I390" t="s">
        <v>158</v>
      </c>
      <c r="J390" t="s">
        <v>80</v>
      </c>
      <c r="K390" t="s">
        <v>101</v>
      </c>
      <c r="L390" t="s">
        <v>51</v>
      </c>
      <c r="M390" t="s">
        <v>211</v>
      </c>
      <c r="N390" t="s">
        <v>212</v>
      </c>
      <c r="O390" t="s">
        <v>112</v>
      </c>
      <c r="P390" t="s">
        <v>113</v>
      </c>
      <c r="Q390">
        <v>30800.62</v>
      </c>
      <c r="R390">
        <v>28522.1</v>
      </c>
      <c r="S390">
        <v>17493.900000000001</v>
      </c>
      <c r="T390">
        <v>2459.9899999999998</v>
      </c>
      <c r="U390">
        <v>1073.1500000000001</v>
      </c>
      <c r="V390">
        <v>3199.45</v>
      </c>
      <c r="W390">
        <v>1070.4100000000001</v>
      </c>
      <c r="X390">
        <v>25296.9</v>
      </c>
      <c r="Y390">
        <v>13306.72</v>
      </c>
      <c r="Z390">
        <v>-11990.18</v>
      </c>
      <c r="AA390">
        <v>-0.35470000000000002</v>
      </c>
      <c r="AB390">
        <v>2278.5100000000002</v>
      </c>
      <c r="AC390">
        <v>616.01</v>
      </c>
      <c r="AD390">
        <v>3622.15</v>
      </c>
      <c r="AE390">
        <v>33806.76</v>
      </c>
    </row>
    <row r="391" spans="1:31" x14ac:dyDescent="0.25">
      <c r="A391" t="s">
        <v>591</v>
      </c>
      <c r="B391" s="2">
        <v>45800</v>
      </c>
      <c r="C391" t="s">
        <v>65</v>
      </c>
      <c r="D391" t="s">
        <v>66</v>
      </c>
      <c r="E391">
        <v>2025</v>
      </c>
      <c r="F391" t="s">
        <v>59</v>
      </c>
      <c r="G391" t="s">
        <v>35</v>
      </c>
      <c r="H391" t="s">
        <v>60</v>
      </c>
      <c r="I391" t="s">
        <v>185</v>
      </c>
      <c r="J391" t="s">
        <v>100</v>
      </c>
      <c r="K391" t="s">
        <v>50</v>
      </c>
      <c r="L391" t="s">
        <v>94</v>
      </c>
      <c r="M391" t="s">
        <v>161</v>
      </c>
      <c r="N391" t="s">
        <v>162</v>
      </c>
      <c r="O391" t="s">
        <v>43</v>
      </c>
      <c r="P391" t="s">
        <v>163</v>
      </c>
      <c r="Q391">
        <v>30986</v>
      </c>
      <c r="R391">
        <v>31926.39</v>
      </c>
      <c r="S391">
        <v>17727.259999999998</v>
      </c>
      <c r="T391">
        <v>3958.97</v>
      </c>
      <c r="U391">
        <v>1095.21</v>
      </c>
      <c r="V391">
        <v>2117.35</v>
      </c>
      <c r="W391">
        <v>764.79</v>
      </c>
      <c r="X391">
        <v>25663.58</v>
      </c>
      <c r="Y391">
        <v>13258.74</v>
      </c>
      <c r="Z391">
        <v>-12404.83</v>
      </c>
      <c r="AA391">
        <v>-0.3498</v>
      </c>
      <c r="AB391">
        <v>-940.39</v>
      </c>
      <c r="AC391">
        <v>929.58</v>
      </c>
      <c r="AD391">
        <v>5410.16</v>
      </c>
      <c r="AE391">
        <v>35466.58</v>
      </c>
    </row>
    <row r="392" spans="1:31" x14ac:dyDescent="0.25">
      <c r="A392" t="s">
        <v>592</v>
      </c>
      <c r="B392" s="2">
        <v>46037</v>
      </c>
      <c r="C392" t="s">
        <v>77</v>
      </c>
      <c r="D392" t="s">
        <v>58</v>
      </c>
      <c r="E392">
        <v>2026</v>
      </c>
      <c r="F392" t="s">
        <v>67</v>
      </c>
      <c r="G392" t="s">
        <v>35</v>
      </c>
      <c r="H392" t="s">
        <v>68</v>
      </c>
      <c r="I392" t="s">
        <v>69</v>
      </c>
      <c r="J392" t="s">
        <v>38</v>
      </c>
      <c r="K392" t="s">
        <v>101</v>
      </c>
      <c r="L392" t="s">
        <v>94</v>
      </c>
      <c r="M392" t="s">
        <v>171</v>
      </c>
      <c r="N392" t="s">
        <v>172</v>
      </c>
      <c r="O392" t="s">
        <v>173</v>
      </c>
      <c r="P392" t="s">
        <v>174</v>
      </c>
      <c r="Q392">
        <v>9265.6299999999992</v>
      </c>
      <c r="R392">
        <v>8407.89</v>
      </c>
      <c r="S392">
        <v>5685.77</v>
      </c>
      <c r="T392">
        <v>1124.3800000000001</v>
      </c>
      <c r="U392">
        <v>404.59</v>
      </c>
      <c r="V392">
        <v>613.57000000000005</v>
      </c>
      <c r="W392">
        <v>130.15</v>
      </c>
      <c r="X392">
        <v>7958.46</v>
      </c>
      <c r="Y392">
        <v>3579.86</v>
      </c>
      <c r="Z392">
        <v>-4378.6000000000004</v>
      </c>
      <c r="AA392">
        <v>-0.46400000000000002</v>
      </c>
      <c r="AB392">
        <v>857.74</v>
      </c>
      <c r="AC392">
        <v>277.97000000000003</v>
      </c>
      <c r="AD392">
        <v>449.38</v>
      </c>
      <c r="AE392">
        <v>9437.0499999999993</v>
      </c>
    </row>
    <row r="393" spans="1:31" x14ac:dyDescent="0.25">
      <c r="A393" t="s">
        <v>593</v>
      </c>
      <c r="B393" s="2">
        <v>46031</v>
      </c>
      <c r="C393" t="s">
        <v>77</v>
      </c>
      <c r="D393" t="s">
        <v>58</v>
      </c>
      <c r="E393">
        <v>2026</v>
      </c>
      <c r="F393" t="s">
        <v>34</v>
      </c>
      <c r="G393" t="s">
        <v>35</v>
      </c>
      <c r="H393" t="s">
        <v>36</v>
      </c>
      <c r="I393" t="s">
        <v>245</v>
      </c>
      <c r="J393" t="s">
        <v>80</v>
      </c>
      <c r="K393" t="s">
        <v>160</v>
      </c>
      <c r="L393" t="s">
        <v>51</v>
      </c>
      <c r="M393" t="s">
        <v>88</v>
      </c>
      <c r="N393" t="s">
        <v>89</v>
      </c>
      <c r="O393" t="s">
        <v>43</v>
      </c>
      <c r="P393" t="s">
        <v>90</v>
      </c>
      <c r="Q393">
        <v>27690.94</v>
      </c>
      <c r="R393">
        <v>31869.74</v>
      </c>
      <c r="S393">
        <v>13629.62</v>
      </c>
      <c r="T393">
        <v>3297.56</v>
      </c>
      <c r="U393">
        <v>1305.95</v>
      </c>
      <c r="V393">
        <v>3100.31</v>
      </c>
      <c r="W393">
        <v>1188.79</v>
      </c>
      <c r="X393">
        <v>22522.23</v>
      </c>
      <c r="Y393">
        <v>14061.33</v>
      </c>
      <c r="Z393">
        <v>-8460.9</v>
      </c>
      <c r="AA393">
        <v>-0.27260000000000001</v>
      </c>
      <c r="AB393">
        <v>-4178.79</v>
      </c>
      <c r="AC393">
        <v>1384.55</v>
      </c>
      <c r="AD393">
        <v>4735.1499999999996</v>
      </c>
      <c r="AE393">
        <v>31041.55</v>
      </c>
    </row>
    <row r="394" spans="1:31" x14ac:dyDescent="0.25">
      <c r="A394" t="s">
        <v>594</v>
      </c>
      <c r="B394" s="2">
        <v>46096</v>
      </c>
      <c r="C394" t="s">
        <v>125</v>
      </c>
      <c r="D394" t="s">
        <v>58</v>
      </c>
      <c r="E394">
        <v>2026</v>
      </c>
      <c r="F394" t="s">
        <v>67</v>
      </c>
      <c r="G394" t="s">
        <v>35</v>
      </c>
      <c r="H394" t="s">
        <v>68</v>
      </c>
      <c r="I394" t="s">
        <v>260</v>
      </c>
      <c r="J394" t="s">
        <v>38</v>
      </c>
      <c r="K394" t="s">
        <v>50</v>
      </c>
      <c r="L394" t="s">
        <v>72</v>
      </c>
      <c r="M394" t="s">
        <v>82</v>
      </c>
      <c r="N394" t="s">
        <v>83</v>
      </c>
      <c r="O394" t="s">
        <v>43</v>
      </c>
      <c r="P394" t="s">
        <v>75</v>
      </c>
      <c r="Q394">
        <v>49983.16</v>
      </c>
      <c r="R394">
        <v>56384.02</v>
      </c>
      <c r="S394">
        <v>30741.51</v>
      </c>
      <c r="T394">
        <v>5546.88</v>
      </c>
      <c r="U394">
        <v>3568.02</v>
      </c>
      <c r="V394">
        <v>2829.09</v>
      </c>
      <c r="W394">
        <v>1494.92</v>
      </c>
      <c r="X394">
        <v>44180.42</v>
      </c>
      <c r="Y394">
        <v>19241.650000000001</v>
      </c>
      <c r="Z394">
        <v>-24938.77</v>
      </c>
      <c r="AA394">
        <v>-0.48420000000000002</v>
      </c>
      <c r="AB394">
        <v>-6400.86</v>
      </c>
      <c r="AC394">
        <v>3998.65</v>
      </c>
      <c r="AD394">
        <v>5518.14</v>
      </c>
      <c r="AE394">
        <v>51502.65</v>
      </c>
    </row>
    <row r="395" spans="1:31" x14ac:dyDescent="0.25">
      <c r="A395" t="s">
        <v>595</v>
      </c>
      <c r="B395" s="2">
        <v>45804</v>
      </c>
      <c r="C395" t="s">
        <v>65</v>
      </c>
      <c r="D395" t="s">
        <v>66</v>
      </c>
      <c r="E395">
        <v>2025</v>
      </c>
      <c r="F395" t="s">
        <v>59</v>
      </c>
      <c r="G395" t="s">
        <v>35</v>
      </c>
      <c r="H395" t="s">
        <v>254</v>
      </c>
      <c r="I395" t="s">
        <v>255</v>
      </c>
      <c r="J395" t="s">
        <v>70</v>
      </c>
      <c r="K395" t="s">
        <v>160</v>
      </c>
      <c r="L395" t="s">
        <v>81</v>
      </c>
      <c r="M395" t="s">
        <v>95</v>
      </c>
      <c r="N395" t="s">
        <v>96</v>
      </c>
      <c r="O395" t="s">
        <v>43</v>
      </c>
      <c r="P395" t="s">
        <v>90</v>
      </c>
      <c r="Q395">
        <v>47075.13</v>
      </c>
      <c r="R395">
        <v>50917.2</v>
      </c>
      <c r="S395">
        <v>30529.05</v>
      </c>
      <c r="T395">
        <v>3753.68</v>
      </c>
      <c r="U395">
        <v>1231.08</v>
      </c>
      <c r="V395">
        <v>4531.26</v>
      </c>
      <c r="W395">
        <v>506.5</v>
      </c>
      <c r="X395">
        <v>40551.58</v>
      </c>
      <c r="Y395">
        <v>16546.080000000002</v>
      </c>
      <c r="Z395">
        <v>-24005.5</v>
      </c>
      <c r="AA395">
        <v>-0.51119999999999999</v>
      </c>
      <c r="AB395">
        <v>-3842.07</v>
      </c>
      <c r="AC395">
        <v>2353.7600000000002</v>
      </c>
      <c r="AD395">
        <v>2236.0700000000002</v>
      </c>
      <c r="AE395">
        <v>46957.440000000002</v>
      </c>
    </row>
    <row r="396" spans="1:31" x14ac:dyDescent="0.25">
      <c r="A396" t="s">
        <v>596</v>
      </c>
      <c r="B396" s="2">
        <v>45883</v>
      </c>
      <c r="C396" t="s">
        <v>117</v>
      </c>
      <c r="D396" t="s">
        <v>33</v>
      </c>
      <c r="E396">
        <v>2025</v>
      </c>
      <c r="F396" t="s">
        <v>67</v>
      </c>
      <c r="G396" t="s">
        <v>35</v>
      </c>
      <c r="H396" t="s">
        <v>217</v>
      </c>
      <c r="I396" t="s">
        <v>218</v>
      </c>
      <c r="J396" t="s">
        <v>38</v>
      </c>
      <c r="K396" t="s">
        <v>39</v>
      </c>
      <c r="L396" t="s">
        <v>94</v>
      </c>
      <c r="M396" t="s">
        <v>82</v>
      </c>
      <c r="N396" t="s">
        <v>83</v>
      </c>
      <c r="O396" t="s">
        <v>43</v>
      </c>
      <c r="P396" t="s">
        <v>75</v>
      </c>
      <c r="Q396">
        <v>49139.86</v>
      </c>
      <c r="R396">
        <v>47215.14</v>
      </c>
      <c r="S396">
        <v>26860.11</v>
      </c>
      <c r="T396">
        <v>6126.42</v>
      </c>
      <c r="U396">
        <v>3539.53</v>
      </c>
      <c r="V396">
        <v>4234.62</v>
      </c>
      <c r="W396">
        <v>1605.41</v>
      </c>
      <c r="X396">
        <v>42366.09</v>
      </c>
      <c r="Y396">
        <v>22279.74</v>
      </c>
      <c r="Z396">
        <v>-20086.349999999999</v>
      </c>
      <c r="AA396">
        <v>-0.34639999999999999</v>
      </c>
      <c r="AB396">
        <v>1924.72</v>
      </c>
      <c r="AC396">
        <v>0</v>
      </c>
      <c r="AD396">
        <v>8845.17</v>
      </c>
      <c r="AE396">
        <v>57985.03</v>
      </c>
    </row>
    <row r="397" spans="1:31" x14ac:dyDescent="0.25">
      <c r="A397" t="s">
        <v>597</v>
      </c>
      <c r="B397" s="2">
        <v>45868</v>
      </c>
      <c r="C397" t="s">
        <v>32</v>
      </c>
      <c r="D397" t="s">
        <v>33</v>
      </c>
      <c r="E397">
        <v>2025</v>
      </c>
      <c r="F397" t="s">
        <v>47</v>
      </c>
      <c r="G397" t="s">
        <v>35</v>
      </c>
      <c r="H397" t="s">
        <v>78</v>
      </c>
      <c r="I397" t="s">
        <v>79</v>
      </c>
      <c r="J397" t="s">
        <v>70</v>
      </c>
      <c r="K397" t="s">
        <v>50</v>
      </c>
      <c r="L397" t="s">
        <v>40</v>
      </c>
      <c r="M397" t="s">
        <v>62</v>
      </c>
      <c r="N397" t="s">
        <v>63</v>
      </c>
      <c r="O397" t="s">
        <v>54</v>
      </c>
      <c r="P397" t="s">
        <v>55</v>
      </c>
      <c r="Q397">
        <v>8574.6200000000008</v>
      </c>
      <c r="R397">
        <v>8746.16</v>
      </c>
      <c r="S397">
        <v>4224.29</v>
      </c>
      <c r="T397">
        <v>454.5</v>
      </c>
      <c r="U397">
        <v>614.09</v>
      </c>
      <c r="V397">
        <v>712.1</v>
      </c>
      <c r="W397">
        <v>238.41</v>
      </c>
      <c r="X397">
        <v>6243.39</v>
      </c>
      <c r="Y397">
        <v>4350.33</v>
      </c>
      <c r="Z397">
        <v>-1893.06</v>
      </c>
      <c r="AA397">
        <v>-0.19089999999999999</v>
      </c>
      <c r="AB397">
        <v>-171.53</v>
      </c>
      <c r="AC397">
        <v>171.49</v>
      </c>
      <c r="AD397">
        <v>1512.56</v>
      </c>
      <c r="AE397">
        <v>9915.69</v>
      </c>
    </row>
    <row r="398" spans="1:31" x14ac:dyDescent="0.25">
      <c r="A398" t="s">
        <v>598</v>
      </c>
      <c r="B398" s="2">
        <v>46107</v>
      </c>
      <c r="C398" t="s">
        <v>125</v>
      </c>
      <c r="D398" t="s">
        <v>58</v>
      </c>
      <c r="E398">
        <v>2026</v>
      </c>
      <c r="F398" t="s">
        <v>67</v>
      </c>
      <c r="G398" t="s">
        <v>35</v>
      </c>
      <c r="H398" t="s">
        <v>68</v>
      </c>
      <c r="I398" t="s">
        <v>69</v>
      </c>
      <c r="J398" t="s">
        <v>100</v>
      </c>
      <c r="K398" t="s">
        <v>39</v>
      </c>
      <c r="L398" t="s">
        <v>51</v>
      </c>
      <c r="M398" t="s">
        <v>189</v>
      </c>
      <c r="N398" t="s">
        <v>190</v>
      </c>
      <c r="O398" t="s">
        <v>104</v>
      </c>
      <c r="P398" t="s">
        <v>105</v>
      </c>
      <c r="Q398">
        <v>23141.5</v>
      </c>
      <c r="R398">
        <v>25958.5</v>
      </c>
      <c r="S398">
        <v>15691.32</v>
      </c>
      <c r="T398">
        <v>2764.4</v>
      </c>
      <c r="U398">
        <v>1201.47</v>
      </c>
      <c r="V398">
        <v>2217.63</v>
      </c>
      <c r="W398">
        <v>448.69</v>
      </c>
      <c r="X398">
        <v>22323.51</v>
      </c>
      <c r="Y398">
        <v>7450.18</v>
      </c>
      <c r="Z398">
        <v>-14873.32</v>
      </c>
      <c r="AA398">
        <v>-0.68010000000000004</v>
      </c>
      <c r="AB398">
        <v>-2817</v>
      </c>
      <c r="AC398">
        <v>2314.15</v>
      </c>
      <c r="AD398">
        <v>1041.3699999999999</v>
      </c>
      <c r="AE398">
        <v>21868.720000000001</v>
      </c>
    </row>
    <row r="399" spans="1:31" x14ac:dyDescent="0.25">
      <c r="A399" t="s">
        <v>599</v>
      </c>
      <c r="B399" s="2">
        <v>45754</v>
      </c>
      <c r="C399" t="s">
        <v>128</v>
      </c>
      <c r="D399" t="s">
        <v>66</v>
      </c>
      <c r="E399">
        <v>2025</v>
      </c>
      <c r="F399" t="s">
        <v>59</v>
      </c>
      <c r="G399" t="s">
        <v>35</v>
      </c>
      <c r="H399" t="s">
        <v>139</v>
      </c>
      <c r="I399" t="s">
        <v>152</v>
      </c>
      <c r="J399" t="s">
        <v>100</v>
      </c>
      <c r="K399" t="s">
        <v>101</v>
      </c>
      <c r="L399" t="s">
        <v>40</v>
      </c>
      <c r="M399" t="s">
        <v>141</v>
      </c>
      <c r="N399" t="s">
        <v>142</v>
      </c>
      <c r="O399" t="s">
        <v>54</v>
      </c>
      <c r="P399" t="s">
        <v>143</v>
      </c>
      <c r="Q399">
        <v>11259.34</v>
      </c>
      <c r="R399">
        <v>10959.37</v>
      </c>
      <c r="S399">
        <v>5969.41</v>
      </c>
      <c r="T399">
        <v>1327.23</v>
      </c>
      <c r="U399">
        <v>944.56</v>
      </c>
      <c r="V399">
        <v>938.22</v>
      </c>
      <c r="W399">
        <v>360.63</v>
      </c>
      <c r="X399">
        <v>9540.0499999999993</v>
      </c>
      <c r="Y399">
        <v>5289.93</v>
      </c>
      <c r="Z399">
        <v>-4250.12</v>
      </c>
      <c r="AA399">
        <v>-0.32640000000000002</v>
      </c>
      <c r="AB399">
        <v>299.97000000000003</v>
      </c>
      <c r="AC399">
        <v>225.19</v>
      </c>
      <c r="AD399">
        <v>1986.15</v>
      </c>
      <c r="AE399">
        <v>13020.3</v>
      </c>
    </row>
    <row r="400" spans="1:31" x14ac:dyDescent="0.25">
      <c r="A400" t="s">
        <v>600</v>
      </c>
      <c r="B400" s="2">
        <v>45890</v>
      </c>
      <c r="C400" t="s">
        <v>117</v>
      </c>
      <c r="D400" t="s">
        <v>33</v>
      </c>
      <c r="E400">
        <v>2025</v>
      </c>
      <c r="F400" t="s">
        <v>59</v>
      </c>
      <c r="G400" t="s">
        <v>35</v>
      </c>
      <c r="H400" t="s">
        <v>139</v>
      </c>
      <c r="I400" t="s">
        <v>200</v>
      </c>
      <c r="J400" t="s">
        <v>38</v>
      </c>
      <c r="K400" t="s">
        <v>160</v>
      </c>
      <c r="L400" t="s">
        <v>81</v>
      </c>
      <c r="M400" t="s">
        <v>62</v>
      </c>
      <c r="N400" t="s">
        <v>63</v>
      </c>
      <c r="O400" t="s">
        <v>54</v>
      </c>
      <c r="P400" t="s">
        <v>55</v>
      </c>
      <c r="Q400">
        <v>3010.68</v>
      </c>
      <c r="R400">
        <v>3261.28</v>
      </c>
      <c r="S400">
        <v>1825.03</v>
      </c>
      <c r="T400">
        <v>323.49</v>
      </c>
      <c r="U400">
        <v>189.05</v>
      </c>
      <c r="V400">
        <v>348.7</v>
      </c>
      <c r="W400">
        <v>35.770000000000003</v>
      </c>
      <c r="X400">
        <v>2722.04</v>
      </c>
      <c r="Y400">
        <v>1185.6500000000001</v>
      </c>
      <c r="Z400">
        <v>-1536.39</v>
      </c>
      <c r="AA400">
        <v>-0.48599999999999999</v>
      </c>
      <c r="AB400">
        <v>-250.61</v>
      </c>
      <c r="AC400">
        <v>0</v>
      </c>
      <c r="AD400">
        <v>150.53</v>
      </c>
      <c r="AE400">
        <v>3161.21</v>
      </c>
    </row>
    <row r="401" spans="1:31" x14ac:dyDescent="0.25">
      <c r="A401" t="s">
        <v>601</v>
      </c>
      <c r="B401" s="2">
        <v>46046</v>
      </c>
      <c r="C401" t="s">
        <v>77</v>
      </c>
      <c r="D401" t="s">
        <v>58</v>
      </c>
      <c r="E401">
        <v>2026</v>
      </c>
      <c r="F401" t="s">
        <v>59</v>
      </c>
      <c r="G401" t="s">
        <v>35</v>
      </c>
      <c r="H401" t="s">
        <v>139</v>
      </c>
      <c r="I401" t="s">
        <v>152</v>
      </c>
      <c r="J401" t="s">
        <v>70</v>
      </c>
      <c r="K401" t="s">
        <v>71</v>
      </c>
      <c r="L401" t="s">
        <v>51</v>
      </c>
      <c r="M401" t="s">
        <v>189</v>
      </c>
      <c r="N401" t="s">
        <v>190</v>
      </c>
      <c r="O401" t="s">
        <v>104</v>
      </c>
      <c r="P401" t="s">
        <v>105</v>
      </c>
      <c r="Q401">
        <v>13899.66</v>
      </c>
      <c r="R401">
        <v>14011.37</v>
      </c>
      <c r="S401">
        <v>8835.9599999999991</v>
      </c>
      <c r="T401">
        <v>1503.69</v>
      </c>
      <c r="U401">
        <v>920.07</v>
      </c>
      <c r="V401">
        <v>712.23</v>
      </c>
      <c r="W401">
        <v>354.49</v>
      </c>
      <c r="X401">
        <v>12326.44</v>
      </c>
      <c r="Y401">
        <v>5063.7</v>
      </c>
      <c r="Z401">
        <v>-7262.74</v>
      </c>
      <c r="AA401">
        <v>-0.46610000000000001</v>
      </c>
      <c r="AB401">
        <v>-111.71</v>
      </c>
      <c r="AC401">
        <v>694.98</v>
      </c>
      <c r="AD401">
        <v>2376.84</v>
      </c>
      <c r="AE401">
        <v>15581.52</v>
      </c>
    </row>
    <row r="402" spans="1:31" x14ac:dyDescent="0.25">
      <c r="A402" t="s">
        <v>602</v>
      </c>
      <c r="B402" s="2">
        <v>45883</v>
      </c>
      <c r="C402" t="s">
        <v>117</v>
      </c>
      <c r="D402" t="s">
        <v>33</v>
      </c>
      <c r="E402">
        <v>2025</v>
      </c>
      <c r="F402" t="s">
        <v>67</v>
      </c>
      <c r="G402" t="s">
        <v>35</v>
      </c>
      <c r="H402" t="s">
        <v>68</v>
      </c>
      <c r="I402" t="s">
        <v>69</v>
      </c>
      <c r="J402" t="s">
        <v>80</v>
      </c>
      <c r="K402" t="s">
        <v>39</v>
      </c>
      <c r="L402" t="s">
        <v>81</v>
      </c>
      <c r="M402" t="s">
        <v>120</v>
      </c>
      <c r="N402" t="s">
        <v>121</v>
      </c>
      <c r="O402" t="s">
        <v>43</v>
      </c>
      <c r="P402" t="s">
        <v>122</v>
      </c>
      <c r="Q402">
        <v>46403.28</v>
      </c>
      <c r="R402">
        <v>53205.07</v>
      </c>
      <c r="S402">
        <v>25938.400000000001</v>
      </c>
      <c r="T402">
        <v>3488</v>
      </c>
      <c r="U402">
        <v>2704.65</v>
      </c>
      <c r="V402">
        <v>5348.22</v>
      </c>
      <c r="W402">
        <v>541.64</v>
      </c>
      <c r="X402">
        <v>38020.9</v>
      </c>
      <c r="Y402">
        <v>20464.88</v>
      </c>
      <c r="Z402">
        <v>-17556.02</v>
      </c>
      <c r="AA402">
        <v>-0.33050000000000002</v>
      </c>
      <c r="AB402">
        <v>-6801.78</v>
      </c>
      <c r="AC402">
        <v>1392.1</v>
      </c>
      <c r="AD402">
        <v>8102.01</v>
      </c>
      <c r="AE402">
        <v>53113.2</v>
      </c>
    </row>
    <row r="403" spans="1:31" x14ac:dyDescent="0.25">
      <c r="A403" t="s">
        <v>603</v>
      </c>
      <c r="B403" s="2">
        <v>45826</v>
      </c>
      <c r="C403" t="s">
        <v>156</v>
      </c>
      <c r="D403" t="s">
        <v>66</v>
      </c>
      <c r="E403">
        <v>2025</v>
      </c>
      <c r="F403" t="s">
        <v>59</v>
      </c>
      <c r="G403" t="s">
        <v>35</v>
      </c>
      <c r="H403" t="s">
        <v>230</v>
      </c>
      <c r="I403" t="s">
        <v>231</v>
      </c>
      <c r="J403" t="s">
        <v>70</v>
      </c>
      <c r="K403" t="s">
        <v>71</v>
      </c>
      <c r="L403" t="s">
        <v>40</v>
      </c>
      <c r="M403" t="s">
        <v>102</v>
      </c>
      <c r="N403" t="s">
        <v>103</v>
      </c>
      <c r="O403" t="s">
        <v>104</v>
      </c>
      <c r="P403" t="s">
        <v>105</v>
      </c>
      <c r="Q403">
        <v>12324.69</v>
      </c>
      <c r="R403">
        <v>11815.46</v>
      </c>
      <c r="S403">
        <v>7205.71</v>
      </c>
      <c r="T403">
        <v>770.94</v>
      </c>
      <c r="U403">
        <v>1067.22</v>
      </c>
      <c r="V403">
        <v>1249.08</v>
      </c>
      <c r="W403">
        <v>238.98</v>
      </c>
      <c r="X403">
        <v>10531.92</v>
      </c>
      <c r="Y403">
        <v>5118.97</v>
      </c>
      <c r="Z403">
        <v>-5412.95</v>
      </c>
      <c r="AA403">
        <v>-0.39179999999999998</v>
      </c>
      <c r="AB403">
        <v>509.23</v>
      </c>
      <c r="AC403">
        <v>616.23</v>
      </c>
      <c r="AD403">
        <v>2107.52</v>
      </c>
      <c r="AE403">
        <v>13815.97</v>
      </c>
    </row>
    <row r="404" spans="1:31" x14ac:dyDescent="0.25">
      <c r="A404" t="s">
        <v>604</v>
      </c>
      <c r="B404" s="2">
        <v>45931</v>
      </c>
      <c r="C404" t="s">
        <v>92</v>
      </c>
      <c r="D404" t="s">
        <v>93</v>
      </c>
      <c r="E404">
        <v>2025</v>
      </c>
      <c r="F404" t="s">
        <v>67</v>
      </c>
      <c r="G404" t="s">
        <v>35</v>
      </c>
      <c r="H404" t="s">
        <v>168</v>
      </c>
      <c r="I404" t="s">
        <v>251</v>
      </c>
      <c r="J404" t="s">
        <v>70</v>
      </c>
      <c r="K404" t="s">
        <v>39</v>
      </c>
      <c r="L404" t="s">
        <v>94</v>
      </c>
      <c r="M404" t="s">
        <v>171</v>
      </c>
      <c r="N404" t="s">
        <v>172</v>
      </c>
      <c r="O404" t="s">
        <v>173</v>
      </c>
      <c r="P404" t="s">
        <v>174</v>
      </c>
      <c r="Q404">
        <v>31601.85</v>
      </c>
      <c r="R404">
        <v>30202.54</v>
      </c>
      <c r="S404">
        <v>20150.47</v>
      </c>
      <c r="T404">
        <v>2081.19</v>
      </c>
      <c r="U404">
        <v>1085.8499999999999</v>
      </c>
      <c r="V404">
        <v>3790.88</v>
      </c>
      <c r="W404">
        <v>1004.41</v>
      </c>
      <c r="X404">
        <v>28112.79</v>
      </c>
      <c r="Y404">
        <v>11451.38</v>
      </c>
      <c r="Z404">
        <v>-16661.400000000001</v>
      </c>
      <c r="AA404">
        <v>-0.48530000000000001</v>
      </c>
      <c r="AB404">
        <v>1399.31</v>
      </c>
      <c r="AC404">
        <v>948.06</v>
      </c>
      <c r="AD404">
        <v>3678.46</v>
      </c>
      <c r="AE404">
        <v>34332.25</v>
      </c>
    </row>
    <row r="405" spans="1:31" x14ac:dyDescent="0.25">
      <c r="A405" t="s">
        <v>605</v>
      </c>
      <c r="B405" s="2">
        <v>45781</v>
      </c>
      <c r="C405" t="s">
        <v>65</v>
      </c>
      <c r="D405" t="s">
        <v>66</v>
      </c>
      <c r="E405">
        <v>2025</v>
      </c>
      <c r="F405" t="s">
        <v>59</v>
      </c>
      <c r="G405" t="s">
        <v>35</v>
      </c>
      <c r="H405" t="s">
        <v>230</v>
      </c>
      <c r="I405" t="s">
        <v>231</v>
      </c>
      <c r="J405" t="s">
        <v>100</v>
      </c>
      <c r="K405" t="s">
        <v>50</v>
      </c>
      <c r="L405" t="s">
        <v>94</v>
      </c>
      <c r="M405" t="s">
        <v>88</v>
      </c>
      <c r="N405" t="s">
        <v>89</v>
      </c>
      <c r="O405" t="s">
        <v>43</v>
      </c>
      <c r="P405" t="s">
        <v>90</v>
      </c>
      <c r="Q405">
        <v>33473.449999999997</v>
      </c>
      <c r="R405">
        <v>39316.879999999997</v>
      </c>
      <c r="S405">
        <v>21619.35</v>
      </c>
      <c r="T405">
        <v>4038.75</v>
      </c>
      <c r="U405">
        <v>2899.9</v>
      </c>
      <c r="V405">
        <v>2642.4</v>
      </c>
      <c r="W405">
        <v>1157.56</v>
      </c>
      <c r="X405">
        <v>32357.96</v>
      </c>
      <c r="Y405">
        <v>11854.11</v>
      </c>
      <c r="Z405">
        <v>-20503.849999999999</v>
      </c>
      <c r="AA405">
        <v>-0.59450000000000003</v>
      </c>
      <c r="AB405">
        <v>-5843.43</v>
      </c>
      <c r="AC405">
        <v>2677.88</v>
      </c>
      <c r="AD405">
        <v>3695.47</v>
      </c>
      <c r="AE405">
        <v>34491.050000000003</v>
      </c>
    </row>
    <row r="406" spans="1:31" x14ac:dyDescent="0.25">
      <c r="A406" t="s">
        <v>606</v>
      </c>
      <c r="B406" s="2">
        <v>46065</v>
      </c>
      <c r="C406" t="s">
        <v>57</v>
      </c>
      <c r="D406" t="s">
        <v>58</v>
      </c>
      <c r="E406">
        <v>2026</v>
      </c>
      <c r="F406" t="s">
        <v>85</v>
      </c>
      <c r="G406" t="s">
        <v>35</v>
      </c>
      <c r="H406" t="s">
        <v>60</v>
      </c>
      <c r="I406" t="s">
        <v>108</v>
      </c>
      <c r="J406" t="s">
        <v>38</v>
      </c>
      <c r="K406" t="s">
        <v>71</v>
      </c>
      <c r="L406" t="s">
        <v>51</v>
      </c>
      <c r="M406" t="s">
        <v>62</v>
      </c>
      <c r="N406" t="s">
        <v>63</v>
      </c>
      <c r="O406" t="s">
        <v>54</v>
      </c>
      <c r="P406" t="s">
        <v>55</v>
      </c>
      <c r="Q406">
        <v>8831.99</v>
      </c>
      <c r="R406">
        <v>9142.34</v>
      </c>
      <c r="S406">
        <v>4487.49</v>
      </c>
      <c r="T406">
        <v>814.79</v>
      </c>
      <c r="U406">
        <v>293.63</v>
      </c>
      <c r="V406">
        <v>771.91</v>
      </c>
      <c r="W406">
        <v>237.47</v>
      </c>
      <c r="X406">
        <v>6605.3</v>
      </c>
      <c r="Y406">
        <v>4344.5</v>
      </c>
      <c r="Z406">
        <v>-2260.8000000000002</v>
      </c>
      <c r="AA406">
        <v>-0.25659999999999999</v>
      </c>
      <c r="AB406">
        <v>-310.35000000000002</v>
      </c>
      <c r="AC406">
        <v>441.6</v>
      </c>
      <c r="AD406">
        <v>419.52</v>
      </c>
      <c r="AE406">
        <v>8809.91</v>
      </c>
    </row>
    <row r="407" spans="1:31" x14ac:dyDescent="0.25">
      <c r="A407" t="s">
        <v>607</v>
      </c>
      <c r="B407" s="2">
        <v>46009</v>
      </c>
      <c r="C407" t="s">
        <v>107</v>
      </c>
      <c r="D407" t="s">
        <v>93</v>
      </c>
      <c r="E407">
        <v>2025</v>
      </c>
      <c r="F407" t="s">
        <v>59</v>
      </c>
      <c r="G407" t="s">
        <v>35</v>
      </c>
      <c r="H407" t="s">
        <v>60</v>
      </c>
      <c r="I407" t="s">
        <v>185</v>
      </c>
      <c r="J407" t="s">
        <v>38</v>
      </c>
      <c r="K407" t="s">
        <v>101</v>
      </c>
      <c r="L407" t="s">
        <v>94</v>
      </c>
      <c r="M407" t="s">
        <v>130</v>
      </c>
      <c r="N407" t="s">
        <v>131</v>
      </c>
      <c r="O407" t="s">
        <v>43</v>
      </c>
      <c r="P407" t="s">
        <v>132</v>
      </c>
      <c r="Q407">
        <v>43101.9</v>
      </c>
      <c r="R407">
        <v>43241.760000000002</v>
      </c>
      <c r="S407">
        <v>22940.9</v>
      </c>
      <c r="T407">
        <v>5486.08</v>
      </c>
      <c r="U407">
        <v>1443.54</v>
      </c>
      <c r="V407">
        <v>3006.23</v>
      </c>
      <c r="W407">
        <v>470</v>
      </c>
      <c r="X407">
        <v>33346.74</v>
      </c>
      <c r="Y407">
        <v>20161</v>
      </c>
      <c r="Z407">
        <v>-13185.74</v>
      </c>
      <c r="AA407">
        <v>-0.26450000000000001</v>
      </c>
      <c r="AB407">
        <v>-139.86000000000001</v>
      </c>
      <c r="AC407">
        <v>862.04</v>
      </c>
      <c r="AD407">
        <v>7603.18</v>
      </c>
      <c r="AE407">
        <v>49843.040000000001</v>
      </c>
    </row>
    <row r="408" spans="1:31" x14ac:dyDescent="0.25">
      <c r="A408" t="s">
        <v>608</v>
      </c>
      <c r="B408" s="2">
        <v>45841</v>
      </c>
      <c r="C408" t="s">
        <v>32</v>
      </c>
      <c r="D408" t="s">
        <v>33</v>
      </c>
      <c r="E408">
        <v>2025</v>
      </c>
      <c r="F408" t="s">
        <v>34</v>
      </c>
      <c r="G408" t="s">
        <v>35</v>
      </c>
      <c r="H408" t="s">
        <v>36</v>
      </c>
      <c r="I408" t="s">
        <v>245</v>
      </c>
      <c r="J408" t="s">
        <v>38</v>
      </c>
      <c r="K408" t="s">
        <v>50</v>
      </c>
      <c r="L408" t="s">
        <v>72</v>
      </c>
      <c r="M408" t="s">
        <v>88</v>
      </c>
      <c r="N408" t="s">
        <v>89</v>
      </c>
      <c r="O408" t="s">
        <v>43</v>
      </c>
      <c r="P408" t="s">
        <v>90</v>
      </c>
      <c r="Q408">
        <v>67871.070000000007</v>
      </c>
      <c r="R408">
        <v>78359.97</v>
      </c>
      <c r="S408">
        <v>46497.36</v>
      </c>
      <c r="T408">
        <v>7102.98</v>
      </c>
      <c r="U408">
        <v>1927.65</v>
      </c>
      <c r="V408">
        <v>6965.46</v>
      </c>
      <c r="W408">
        <v>2687.21</v>
      </c>
      <c r="X408">
        <v>65180.67</v>
      </c>
      <c r="Y408">
        <v>21373.71</v>
      </c>
      <c r="Z408">
        <v>-43806.96</v>
      </c>
      <c r="AA408">
        <v>-0.62639999999999996</v>
      </c>
      <c r="AB408">
        <v>-10488.91</v>
      </c>
      <c r="AC408">
        <v>5429.69</v>
      </c>
      <c r="AD408">
        <v>7492.97</v>
      </c>
      <c r="AE408">
        <v>69934.350000000006</v>
      </c>
    </row>
    <row r="409" spans="1:31" x14ac:dyDescent="0.25">
      <c r="A409" t="s">
        <v>609</v>
      </c>
      <c r="B409" s="2">
        <v>45875</v>
      </c>
      <c r="C409" t="s">
        <v>117</v>
      </c>
      <c r="D409" t="s">
        <v>33</v>
      </c>
      <c r="E409">
        <v>2025</v>
      </c>
      <c r="F409" t="s">
        <v>34</v>
      </c>
      <c r="G409" t="s">
        <v>35</v>
      </c>
      <c r="H409" t="s">
        <v>36</v>
      </c>
      <c r="I409" t="s">
        <v>245</v>
      </c>
      <c r="J409" t="s">
        <v>70</v>
      </c>
      <c r="K409" t="s">
        <v>610</v>
      </c>
      <c r="L409" t="s">
        <v>51</v>
      </c>
      <c r="M409" t="s">
        <v>73</v>
      </c>
      <c r="N409" t="s">
        <v>74</v>
      </c>
      <c r="O409" t="s">
        <v>43</v>
      </c>
      <c r="P409" t="s">
        <v>75</v>
      </c>
      <c r="Q409">
        <v>25089.93</v>
      </c>
      <c r="R409">
        <v>28044.560000000001</v>
      </c>
      <c r="S409">
        <v>13168.64</v>
      </c>
      <c r="T409">
        <v>1388.3</v>
      </c>
      <c r="U409">
        <v>2255.75</v>
      </c>
      <c r="V409">
        <v>1053.4100000000001</v>
      </c>
      <c r="W409">
        <v>984.37</v>
      </c>
      <c r="X409">
        <v>18850.46</v>
      </c>
      <c r="Y409">
        <v>11921.28</v>
      </c>
      <c r="Z409">
        <v>-6929.18</v>
      </c>
      <c r="AA409">
        <v>-0.24129999999999999</v>
      </c>
      <c r="AB409">
        <v>-2954.64</v>
      </c>
      <c r="AC409">
        <v>752.7</v>
      </c>
      <c r="AD409">
        <v>4380.7</v>
      </c>
      <c r="AE409">
        <v>28717.93</v>
      </c>
    </row>
    <row r="410" spans="1:31" x14ac:dyDescent="0.25">
      <c r="A410" t="s">
        <v>611</v>
      </c>
      <c r="B410" s="2">
        <v>46044</v>
      </c>
      <c r="C410" t="s">
        <v>77</v>
      </c>
      <c r="D410" t="s">
        <v>58</v>
      </c>
      <c r="E410">
        <v>2026</v>
      </c>
      <c r="F410" t="s">
        <v>85</v>
      </c>
      <c r="G410" t="s">
        <v>35</v>
      </c>
      <c r="H410" t="s">
        <v>178</v>
      </c>
      <c r="I410" t="s">
        <v>329</v>
      </c>
      <c r="J410" t="s">
        <v>100</v>
      </c>
      <c r="K410" t="s">
        <v>50</v>
      </c>
      <c r="L410" t="s">
        <v>51</v>
      </c>
      <c r="M410" t="s">
        <v>197</v>
      </c>
      <c r="N410" t="s">
        <v>198</v>
      </c>
      <c r="O410" t="s">
        <v>43</v>
      </c>
      <c r="P410" t="s">
        <v>163</v>
      </c>
      <c r="Q410">
        <v>32640.75</v>
      </c>
      <c r="R410">
        <v>35721.01</v>
      </c>
      <c r="S410">
        <v>20551.23</v>
      </c>
      <c r="T410">
        <v>4166.41</v>
      </c>
      <c r="U410">
        <v>2001.92</v>
      </c>
      <c r="V410">
        <v>2184.04</v>
      </c>
      <c r="W410">
        <v>919.35</v>
      </c>
      <c r="X410">
        <v>29822.95</v>
      </c>
      <c r="Y410">
        <v>12089.52</v>
      </c>
      <c r="Z410">
        <v>-17733.43</v>
      </c>
      <c r="AA410">
        <v>-0.51160000000000005</v>
      </c>
      <c r="AB410">
        <v>-3080.27</v>
      </c>
      <c r="AC410">
        <v>3264.07</v>
      </c>
      <c r="AD410">
        <v>5287.8</v>
      </c>
      <c r="AE410">
        <v>34664.47</v>
      </c>
    </row>
    <row r="411" spans="1:31" x14ac:dyDescent="0.25">
      <c r="A411" t="s">
        <v>612</v>
      </c>
      <c r="B411" s="2">
        <v>45940</v>
      </c>
      <c r="C411" t="s">
        <v>92</v>
      </c>
      <c r="D411" t="s">
        <v>93</v>
      </c>
      <c r="E411">
        <v>2025</v>
      </c>
      <c r="F411" t="s">
        <v>67</v>
      </c>
      <c r="G411" t="s">
        <v>35</v>
      </c>
      <c r="H411" t="s">
        <v>68</v>
      </c>
      <c r="I411" t="s">
        <v>204</v>
      </c>
      <c r="J411" t="s">
        <v>38</v>
      </c>
      <c r="K411" t="s">
        <v>71</v>
      </c>
      <c r="L411" t="s">
        <v>94</v>
      </c>
      <c r="M411" t="s">
        <v>189</v>
      </c>
      <c r="N411" t="s">
        <v>190</v>
      </c>
      <c r="O411" t="s">
        <v>104</v>
      </c>
      <c r="P411" t="s">
        <v>105</v>
      </c>
      <c r="Q411">
        <v>14944.42</v>
      </c>
      <c r="R411">
        <v>14310.95</v>
      </c>
      <c r="S411">
        <v>7266.2</v>
      </c>
      <c r="T411">
        <v>1088.21</v>
      </c>
      <c r="U411">
        <v>911.73</v>
      </c>
      <c r="V411">
        <v>599.69000000000005</v>
      </c>
      <c r="W411">
        <v>297.58</v>
      </c>
      <c r="X411">
        <v>10163.42</v>
      </c>
      <c r="Y411">
        <v>7678.22</v>
      </c>
      <c r="Z411">
        <v>-2485.1999999999998</v>
      </c>
      <c r="AA411">
        <v>-0.16139999999999999</v>
      </c>
      <c r="AB411">
        <v>633.47</v>
      </c>
      <c r="AC411">
        <v>1195.55</v>
      </c>
      <c r="AD411">
        <v>1649.86</v>
      </c>
      <c r="AE411">
        <v>15398.74</v>
      </c>
    </row>
    <row r="412" spans="1:31" x14ac:dyDescent="0.25">
      <c r="A412" t="s">
        <v>613</v>
      </c>
      <c r="B412" s="2">
        <v>45900</v>
      </c>
      <c r="C412" t="s">
        <v>117</v>
      </c>
      <c r="D412" t="s">
        <v>33</v>
      </c>
      <c r="E412">
        <v>2025</v>
      </c>
      <c r="F412" t="s">
        <v>67</v>
      </c>
      <c r="G412" t="s">
        <v>35</v>
      </c>
      <c r="H412" t="s">
        <v>68</v>
      </c>
      <c r="I412" t="s">
        <v>69</v>
      </c>
      <c r="J412" t="s">
        <v>38</v>
      </c>
      <c r="K412" t="s">
        <v>50</v>
      </c>
      <c r="L412" t="s">
        <v>72</v>
      </c>
      <c r="M412" t="s">
        <v>189</v>
      </c>
      <c r="N412" t="s">
        <v>190</v>
      </c>
      <c r="O412" t="s">
        <v>104</v>
      </c>
      <c r="P412" t="s">
        <v>105</v>
      </c>
      <c r="Q412">
        <v>19177.830000000002</v>
      </c>
      <c r="R412">
        <v>21177.200000000001</v>
      </c>
      <c r="S412">
        <v>11735.75</v>
      </c>
      <c r="T412">
        <v>1652.9</v>
      </c>
      <c r="U412">
        <v>690.64</v>
      </c>
      <c r="V412">
        <v>1744.14</v>
      </c>
      <c r="W412">
        <v>846.07</v>
      </c>
      <c r="X412">
        <v>16669.509999999998</v>
      </c>
      <c r="Y412">
        <v>7442.08</v>
      </c>
      <c r="Z412">
        <v>-9227.42</v>
      </c>
      <c r="AA412">
        <v>-0.49809999999999999</v>
      </c>
      <c r="AB412">
        <v>-1999.36</v>
      </c>
      <c r="AC412">
        <v>1534.23</v>
      </c>
      <c r="AD412">
        <v>882.18</v>
      </c>
      <c r="AE412">
        <v>18525.79</v>
      </c>
    </row>
    <row r="413" spans="1:31" x14ac:dyDescent="0.25">
      <c r="A413" t="s">
        <v>614</v>
      </c>
      <c r="B413" s="2">
        <v>45967</v>
      </c>
      <c r="C413" t="s">
        <v>147</v>
      </c>
      <c r="D413" t="s">
        <v>93</v>
      </c>
      <c r="E413">
        <v>2025</v>
      </c>
      <c r="F413" t="s">
        <v>85</v>
      </c>
      <c r="G413" t="s">
        <v>35</v>
      </c>
      <c r="H413" t="s">
        <v>60</v>
      </c>
      <c r="I413" t="s">
        <v>61</v>
      </c>
      <c r="J413" t="s">
        <v>70</v>
      </c>
      <c r="K413" t="s">
        <v>160</v>
      </c>
      <c r="L413" t="s">
        <v>72</v>
      </c>
      <c r="M413" t="s">
        <v>52</v>
      </c>
      <c r="N413" t="s">
        <v>53</v>
      </c>
      <c r="O413" t="s">
        <v>54</v>
      </c>
      <c r="P413" t="s">
        <v>55</v>
      </c>
      <c r="Q413">
        <v>6394.89</v>
      </c>
      <c r="R413">
        <v>6530.53</v>
      </c>
      <c r="S413">
        <v>3144.98</v>
      </c>
      <c r="T413">
        <v>417.49</v>
      </c>
      <c r="U413">
        <v>488.46</v>
      </c>
      <c r="V413">
        <v>488.04</v>
      </c>
      <c r="W413">
        <v>131.47</v>
      </c>
      <c r="X413">
        <v>4670.4399999999996</v>
      </c>
      <c r="Y413">
        <v>3249.91</v>
      </c>
      <c r="Z413">
        <v>-1420.53</v>
      </c>
      <c r="AA413">
        <v>-0.19409999999999999</v>
      </c>
      <c r="AB413">
        <v>-135.63999999999999</v>
      </c>
      <c r="AC413">
        <v>191.85</v>
      </c>
      <c r="AD413">
        <v>1116.55</v>
      </c>
      <c r="AE413">
        <v>7319.6</v>
      </c>
    </row>
    <row r="414" spans="1:31" x14ac:dyDescent="0.25">
      <c r="A414" t="s">
        <v>615</v>
      </c>
      <c r="B414" s="2">
        <v>45841</v>
      </c>
      <c r="C414" t="s">
        <v>32</v>
      </c>
      <c r="D414" t="s">
        <v>33</v>
      </c>
      <c r="E414">
        <v>2025</v>
      </c>
      <c r="F414" t="s">
        <v>47</v>
      </c>
      <c r="G414" t="s">
        <v>35</v>
      </c>
      <c r="H414" t="s">
        <v>206</v>
      </c>
      <c r="I414" t="s">
        <v>296</v>
      </c>
      <c r="J414" t="s">
        <v>38</v>
      </c>
      <c r="K414" t="s">
        <v>50</v>
      </c>
      <c r="L414" t="s">
        <v>81</v>
      </c>
      <c r="M414" t="s">
        <v>221</v>
      </c>
      <c r="N414" t="s">
        <v>222</v>
      </c>
      <c r="O414" t="s">
        <v>104</v>
      </c>
      <c r="P414" t="s">
        <v>223</v>
      </c>
      <c r="Q414">
        <v>19664.52</v>
      </c>
      <c r="R414">
        <v>20823.12</v>
      </c>
      <c r="S414">
        <v>11166.43</v>
      </c>
      <c r="T414">
        <v>2252.94</v>
      </c>
      <c r="U414">
        <v>1160.47</v>
      </c>
      <c r="V414">
        <v>970.24</v>
      </c>
      <c r="W414">
        <v>285.48</v>
      </c>
      <c r="X414">
        <v>15835.56</v>
      </c>
      <c r="Y414">
        <v>8498.09</v>
      </c>
      <c r="Z414">
        <v>-7337.48</v>
      </c>
      <c r="AA414">
        <v>-0.33289999999999997</v>
      </c>
      <c r="AB414">
        <v>-1158.5999999999999</v>
      </c>
      <c r="AC414">
        <v>983.23</v>
      </c>
      <c r="AD414">
        <v>3362.63</v>
      </c>
      <c r="AE414">
        <v>22043.93</v>
      </c>
    </row>
    <row r="415" spans="1:31" x14ac:dyDescent="0.25">
      <c r="A415" t="s">
        <v>616</v>
      </c>
      <c r="B415" s="2">
        <v>45790</v>
      </c>
      <c r="C415" t="s">
        <v>65</v>
      </c>
      <c r="D415" t="s">
        <v>66</v>
      </c>
      <c r="E415">
        <v>2025</v>
      </c>
      <c r="F415" t="s">
        <v>59</v>
      </c>
      <c r="G415" t="s">
        <v>35</v>
      </c>
      <c r="H415" t="s">
        <v>139</v>
      </c>
      <c r="I415" t="s">
        <v>140</v>
      </c>
      <c r="J415" t="s">
        <v>80</v>
      </c>
      <c r="K415" t="s">
        <v>50</v>
      </c>
      <c r="L415" t="s">
        <v>94</v>
      </c>
      <c r="M415" t="s">
        <v>197</v>
      </c>
      <c r="N415" t="s">
        <v>198</v>
      </c>
      <c r="O415" t="s">
        <v>43</v>
      </c>
      <c r="P415" t="s">
        <v>163</v>
      </c>
      <c r="Q415">
        <v>49269.46</v>
      </c>
      <c r="R415">
        <v>52080.35</v>
      </c>
      <c r="S415">
        <v>28647.66</v>
      </c>
      <c r="T415">
        <v>3255.24</v>
      </c>
      <c r="U415">
        <v>2210.75</v>
      </c>
      <c r="V415">
        <v>4038.13</v>
      </c>
      <c r="W415">
        <v>1616.8</v>
      </c>
      <c r="X415">
        <v>39768.58</v>
      </c>
      <c r="Y415">
        <v>20621.8</v>
      </c>
      <c r="Z415">
        <v>-19146.78</v>
      </c>
      <c r="AA415">
        <v>-0.34670000000000001</v>
      </c>
      <c r="AB415">
        <v>-2810.88</v>
      </c>
      <c r="AC415">
        <v>2463.4699999999998</v>
      </c>
      <c r="AD415">
        <v>8425.08</v>
      </c>
      <c r="AE415">
        <v>55231.07</v>
      </c>
    </row>
    <row r="416" spans="1:31" x14ac:dyDescent="0.25">
      <c r="A416" t="s">
        <v>617</v>
      </c>
      <c r="B416" s="2">
        <v>46049</v>
      </c>
      <c r="C416" t="s">
        <v>77</v>
      </c>
      <c r="D416" t="s">
        <v>58</v>
      </c>
      <c r="E416">
        <v>2026</v>
      </c>
      <c r="F416" t="s">
        <v>59</v>
      </c>
      <c r="G416" t="s">
        <v>35</v>
      </c>
      <c r="H416" t="s">
        <v>60</v>
      </c>
      <c r="I416" t="s">
        <v>185</v>
      </c>
      <c r="J416" t="s">
        <v>70</v>
      </c>
      <c r="K416" t="s">
        <v>50</v>
      </c>
      <c r="L416" t="s">
        <v>40</v>
      </c>
      <c r="M416" t="s">
        <v>161</v>
      </c>
      <c r="N416" t="s">
        <v>162</v>
      </c>
      <c r="O416" t="s">
        <v>43</v>
      </c>
      <c r="P416" t="s">
        <v>163</v>
      </c>
      <c r="Q416">
        <v>47879.12</v>
      </c>
      <c r="R416">
        <v>50024.01</v>
      </c>
      <c r="S416">
        <v>33666.199999999997</v>
      </c>
      <c r="T416">
        <v>6024.59</v>
      </c>
      <c r="U416">
        <v>1412.66</v>
      </c>
      <c r="V416">
        <v>3663.38</v>
      </c>
      <c r="W416">
        <v>1500.49</v>
      </c>
      <c r="X416">
        <v>46267.32</v>
      </c>
      <c r="Y416">
        <v>14212.92</v>
      </c>
      <c r="Z416">
        <v>-32054.41</v>
      </c>
      <c r="AA416">
        <v>-0.61</v>
      </c>
      <c r="AB416">
        <v>-2144.88</v>
      </c>
      <c r="AC416">
        <v>957.58</v>
      </c>
      <c r="AD416">
        <v>5630.58</v>
      </c>
      <c r="AE416">
        <v>52552.12</v>
      </c>
    </row>
    <row r="417" spans="1:31" x14ac:dyDescent="0.25">
      <c r="A417" t="s">
        <v>618</v>
      </c>
      <c r="B417" s="2">
        <v>45977</v>
      </c>
      <c r="C417" t="s">
        <v>147</v>
      </c>
      <c r="D417" t="s">
        <v>93</v>
      </c>
      <c r="E417">
        <v>2025</v>
      </c>
      <c r="F417" t="s">
        <v>47</v>
      </c>
      <c r="G417" t="s">
        <v>35</v>
      </c>
      <c r="H417" t="s">
        <v>206</v>
      </c>
      <c r="I417" t="s">
        <v>207</v>
      </c>
      <c r="J417" t="s">
        <v>100</v>
      </c>
      <c r="K417" t="s">
        <v>160</v>
      </c>
      <c r="L417" t="s">
        <v>51</v>
      </c>
      <c r="M417" t="s">
        <v>186</v>
      </c>
      <c r="N417" t="s">
        <v>187</v>
      </c>
      <c r="O417" t="s">
        <v>173</v>
      </c>
      <c r="P417" t="s">
        <v>174</v>
      </c>
      <c r="Q417">
        <v>17018.71</v>
      </c>
      <c r="R417">
        <v>15944.26</v>
      </c>
      <c r="S417">
        <v>11813.32</v>
      </c>
      <c r="T417">
        <v>1437.66</v>
      </c>
      <c r="U417">
        <v>644.5</v>
      </c>
      <c r="V417">
        <v>1277.1099999999999</v>
      </c>
      <c r="W417">
        <v>413.66</v>
      </c>
      <c r="X417">
        <v>15586.25</v>
      </c>
      <c r="Y417">
        <v>5205.3900000000003</v>
      </c>
      <c r="Z417">
        <v>-10380.86</v>
      </c>
      <c r="AA417">
        <v>-0.5615</v>
      </c>
      <c r="AB417">
        <v>1074.45</v>
      </c>
      <c r="AC417">
        <v>510.56</v>
      </c>
      <c r="AD417">
        <v>1980.98</v>
      </c>
      <c r="AE417">
        <v>18489.12</v>
      </c>
    </row>
    <row r="418" spans="1:31" x14ac:dyDescent="0.25">
      <c r="A418" t="s">
        <v>619</v>
      </c>
      <c r="B418" s="2">
        <v>45790</v>
      </c>
      <c r="C418" t="s">
        <v>65</v>
      </c>
      <c r="D418" t="s">
        <v>66</v>
      </c>
      <c r="E418">
        <v>2025</v>
      </c>
      <c r="F418" t="s">
        <v>47</v>
      </c>
      <c r="G418" t="s">
        <v>35</v>
      </c>
      <c r="H418" t="s">
        <v>48</v>
      </c>
      <c r="I418" t="s">
        <v>126</v>
      </c>
      <c r="J418" t="s">
        <v>100</v>
      </c>
      <c r="K418" t="s">
        <v>71</v>
      </c>
      <c r="L418" t="s">
        <v>94</v>
      </c>
      <c r="M418" t="s">
        <v>73</v>
      </c>
      <c r="N418" t="s">
        <v>74</v>
      </c>
      <c r="O418" t="s">
        <v>43</v>
      </c>
      <c r="P418" t="s">
        <v>75</v>
      </c>
      <c r="Q418">
        <v>43068.71</v>
      </c>
      <c r="R418">
        <v>42914.42</v>
      </c>
      <c r="S418">
        <v>28900.47</v>
      </c>
      <c r="T418">
        <v>3206.92</v>
      </c>
      <c r="U418">
        <v>1280.6500000000001</v>
      </c>
      <c r="V418">
        <v>4936.16</v>
      </c>
      <c r="W418">
        <v>1025.44</v>
      </c>
      <c r="X418">
        <v>39349.620000000003</v>
      </c>
      <c r="Y418">
        <v>14168.24</v>
      </c>
      <c r="Z418">
        <v>-25181.38</v>
      </c>
      <c r="AA418">
        <v>-0.56740000000000002</v>
      </c>
      <c r="AB418">
        <v>154.29</v>
      </c>
      <c r="AC418">
        <v>3445.5</v>
      </c>
      <c r="AD418">
        <v>4754.79</v>
      </c>
      <c r="AE418">
        <v>44378</v>
      </c>
    </row>
    <row r="419" spans="1:31" x14ac:dyDescent="0.25">
      <c r="A419" t="s">
        <v>620</v>
      </c>
      <c r="B419" s="2">
        <v>46027</v>
      </c>
      <c r="C419" t="s">
        <v>77</v>
      </c>
      <c r="D419" t="s">
        <v>58</v>
      </c>
      <c r="E419">
        <v>2026</v>
      </c>
      <c r="F419" t="s">
        <v>34</v>
      </c>
      <c r="G419" t="s">
        <v>35</v>
      </c>
      <c r="H419" t="s">
        <v>98</v>
      </c>
      <c r="I419" t="s">
        <v>149</v>
      </c>
      <c r="J419" t="s">
        <v>38</v>
      </c>
      <c r="K419" t="s">
        <v>71</v>
      </c>
      <c r="L419" t="s">
        <v>81</v>
      </c>
      <c r="M419" t="s">
        <v>171</v>
      </c>
      <c r="N419" t="s">
        <v>172</v>
      </c>
      <c r="O419" t="s">
        <v>173</v>
      </c>
      <c r="P419" t="s">
        <v>174</v>
      </c>
      <c r="Q419">
        <v>22318.87</v>
      </c>
      <c r="R419">
        <v>23358.68</v>
      </c>
      <c r="S419">
        <v>13539.05</v>
      </c>
      <c r="T419">
        <v>2286.23</v>
      </c>
      <c r="U419">
        <v>896.26</v>
      </c>
      <c r="V419">
        <v>2436.15</v>
      </c>
      <c r="W419">
        <v>464.86</v>
      </c>
      <c r="X419">
        <v>19622.560000000001</v>
      </c>
      <c r="Y419">
        <v>8779.82</v>
      </c>
      <c r="Z419">
        <v>-10842.74</v>
      </c>
      <c r="AA419">
        <v>-0.48699999999999999</v>
      </c>
      <c r="AB419">
        <v>-1039.81</v>
      </c>
      <c r="AC419">
        <v>1115.94</v>
      </c>
      <c r="AD419">
        <v>1060.1500000000001</v>
      </c>
      <c r="AE419">
        <v>22263.07</v>
      </c>
    </row>
    <row r="420" spans="1:31" x14ac:dyDescent="0.25">
      <c r="A420" t="s">
        <v>621</v>
      </c>
      <c r="B420" s="2">
        <v>46042</v>
      </c>
      <c r="C420" t="s">
        <v>77</v>
      </c>
      <c r="D420" t="s">
        <v>58</v>
      </c>
      <c r="E420">
        <v>2026</v>
      </c>
      <c r="F420" t="s">
        <v>47</v>
      </c>
      <c r="G420" t="s">
        <v>35</v>
      </c>
      <c r="H420" t="s">
        <v>214</v>
      </c>
      <c r="I420" t="s">
        <v>215</v>
      </c>
      <c r="J420" t="s">
        <v>70</v>
      </c>
      <c r="K420" t="s">
        <v>50</v>
      </c>
      <c r="L420" t="s">
        <v>51</v>
      </c>
      <c r="M420" t="s">
        <v>52</v>
      </c>
      <c r="N420" t="s">
        <v>53</v>
      </c>
      <c r="O420" t="s">
        <v>54</v>
      </c>
      <c r="P420" t="s">
        <v>55</v>
      </c>
      <c r="Q420">
        <v>3351.53</v>
      </c>
      <c r="R420">
        <v>3756.94</v>
      </c>
      <c r="S420">
        <v>2060.69</v>
      </c>
      <c r="T420">
        <v>366.22</v>
      </c>
      <c r="U420">
        <v>227.97</v>
      </c>
      <c r="V420">
        <v>229.39</v>
      </c>
      <c r="W420">
        <v>128.4</v>
      </c>
      <c r="X420">
        <v>3012.67</v>
      </c>
      <c r="Y420">
        <v>1290.8399999999999</v>
      </c>
      <c r="Z420">
        <v>-1721.83</v>
      </c>
      <c r="AA420">
        <v>-0.46810000000000002</v>
      </c>
      <c r="AB420">
        <v>-405.41</v>
      </c>
      <c r="AC420">
        <v>67.03</v>
      </c>
      <c r="AD420">
        <v>394.14</v>
      </c>
      <c r="AE420">
        <v>3678.64</v>
      </c>
    </row>
    <row r="421" spans="1:31" x14ac:dyDescent="0.25">
      <c r="A421" t="s">
        <v>622</v>
      </c>
      <c r="B421" s="2">
        <v>45978</v>
      </c>
      <c r="C421" t="s">
        <v>147</v>
      </c>
      <c r="D421" t="s">
        <v>93</v>
      </c>
      <c r="E421">
        <v>2025</v>
      </c>
      <c r="F421" t="s">
        <v>59</v>
      </c>
      <c r="G421" t="s">
        <v>35</v>
      </c>
      <c r="H421" t="s">
        <v>139</v>
      </c>
      <c r="I421" t="s">
        <v>200</v>
      </c>
      <c r="J421" t="s">
        <v>100</v>
      </c>
      <c r="K421" t="s">
        <v>101</v>
      </c>
      <c r="L421" t="s">
        <v>94</v>
      </c>
      <c r="M421" t="s">
        <v>82</v>
      </c>
      <c r="N421" t="s">
        <v>83</v>
      </c>
      <c r="O421" t="s">
        <v>43</v>
      </c>
      <c r="P421" t="s">
        <v>75</v>
      </c>
      <c r="Q421">
        <v>66460.800000000003</v>
      </c>
      <c r="R421">
        <v>71673.97</v>
      </c>
      <c r="S421">
        <v>46308.93</v>
      </c>
      <c r="T421">
        <v>3847</v>
      </c>
      <c r="U421">
        <v>2664.09</v>
      </c>
      <c r="V421">
        <v>6427.56</v>
      </c>
      <c r="W421">
        <v>2580.7399999999998</v>
      </c>
      <c r="X421">
        <v>61828.32</v>
      </c>
      <c r="Y421">
        <v>20151.87</v>
      </c>
      <c r="Z421">
        <v>-41676.449999999997</v>
      </c>
      <c r="AA421">
        <v>-0.60860000000000003</v>
      </c>
      <c r="AB421">
        <v>-5213.18</v>
      </c>
      <c r="AC421">
        <v>5316.86</v>
      </c>
      <c r="AD421">
        <v>7337.27</v>
      </c>
      <c r="AE421">
        <v>68481.210000000006</v>
      </c>
    </row>
    <row r="422" spans="1:31" x14ac:dyDescent="0.25">
      <c r="A422" t="s">
        <v>623</v>
      </c>
      <c r="B422" s="2">
        <v>45958</v>
      </c>
      <c r="C422" t="s">
        <v>92</v>
      </c>
      <c r="D422" t="s">
        <v>93</v>
      </c>
      <c r="E422">
        <v>2025</v>
      </c>
      <c r="F422" t="s">
        <v>34</v>
      </c>
      <c r="G422" t="s">
        <v>35</v>
      </c>
      <c r="H422" t="s">
        <v>36</v>
      </c>
      <c r="I422" t="s">
        <v>37</v>
      </c>
      <c r="J422" t="s">
        <v>38</v>
      </c>
      <c r="K422" t="s">
        <v>50</v>
      </c>
      <c r="L422" t="s">
        <v>94</v>
      </c>
      <c r="M422" t="s">
        <v>41</v>
      </c>
      <c r="N422" t="s">
        <v>42</v>
      </c>
      <c r="O422" t="s">
        <v>43</v>
      </c>
      <c r="P422" t="s">
        <v>44</v>
      </c>
      <c r="Q422">
        <v>26862.84</v>
      </c>
      <c r="R422">
        <v>27085.82</v>
      </c>
      <c r="S422">
        <v>16737.04</v>
      </c>
      <c r="T422">
        <v>1535.81</v>
      </c>
      <c r="U422">
        <v>1260.6300000000001</v>
      </c>
      <c r="V422">
        <v>1267.28</v>
      </c>
      <c r="W422">
        <v>1172.67</v>
      </c>
      <c r="X422">
        <v>21973.43</v>
      </c>
      <c r="Y422">
        <v>10125.799999999999</v>
      </c>
      <c r="Z422">
        <v>-11847.62</v>
      </c>
      <c r="AA422">
        <v>-0.42799999999999999</v>
      </c>
      <c r="AB422">
        <v>-222.98</v>
      </c>
      <c r="AC422">
        <v>2149.0300000000002</v>
      </c>
      <c r="AD422">
        <v>2965.66</v>
      </c>
      <c r="AE422">
        <v>27679.47</v>
      </c>
    </row>
    <row r="423" spans="1:31" x14ac:dyDescent="0.25">
      <c r="A423" t="s">
        <v>624</v>
      </c>
      <c r="B423" s="2">
        <v>45829</v>
      </c>
      <c r="C423" t="s">
        <v>156</v>
      </c>
      <c r="D423" t="s">
        <v>66</v>
      </c>
      <c r="E423">
        <v>2025</v>
      </c>
      <c r="F423" t="s">
        <v>59</v>
      </c>
      <c r="G423" t="s">
        <v>35</v>
      </c>
      <c r="H423" t="s">
        <v>230</v>
      </c>
      <c r="I423" t="s">
        <v>231</v>
      </c>
      <c r="J423" t="s">
        <v>38</v>
      </c>
      <c r="K423" t="s">
        <v>71</v>
      </c>
      <c r="L423" t="s">
        <v>81</v>
      </c>
      <c r="M423" t="s">
        <v>120</v>
      </c>
      <c r="N423" t="s">
        <v>121</v>
      </c>
      <c r="O423" t="s">
        <v>43</v>
      </c>
      <c r="P423" t="s">
        <v>122</v>
      </c>
      <c r="Q423">
        <v>60666.13</v>
      </c>
      <c r="R423">
        <v>55985.97</v>
      </c>
      <c r="S423">
        <v>40247.15</v>
      </c>
      <c r="T423">
        <v>6867.28</v>
      </c>
      <c r="U423">
        <v>4037.59</v>
      </c>
      <c r="V423">
        <v>6568.76</v>
      </c>
      <c r="W423">
        <v>2172.34</v>
      </c>
      <c r="X423">
        <v>59893.11</v>
      </c>
      <c r="Y423">
        <v>20418.98</v>
      </c>
      <c r="Z423">
        <v>-39474.129999999997</v>
      </c>
      <c r="AA423">
        <v>-0.63149999999999995</v>
      </c>
      <c r="AB423">
        <v>4680.16</v>
      </c>
      <c r="AC423">
        <v>4853.29</v>
      </c>
      <c r="AD423">
        <v>6697.54</v>
      </c>
      <c r="AE423">
        <v>62510.38</v>
      </c>
    </row>
    <row r="424" spans="1:31" x14ac:dyDescent="0.25">
      <c r="A424" t="s">
        <v>625</v>
      </c>
      <c r="B424" s="2">
        <v>45858</v>
      </c>
      <c r="C424" t="s">
        <v>32</v>
      </c>
      <c r="D424" t="s">
        <v>33</v>
      </c>
      <c r="E424">
        <v>2025</v>
      </c>
      <c r="F424" t="s">
        <v>85</v>
      </c>
      <c r="G424" t="s">
        <v>35</v>
      </c>
      <c r="H424" t="s">
        <v>86</v>
      </c>
      <c r="I424" t="s">
        <v>181</v>
      </c>
      <c r="J424" t="s">
        <v>80</v>
      </c>
      <c r="K424" t="s">
        <v>50</v>
      </c>
      <c r="L424" t="s">
        <v>94</v>
      </c>
      <c r="M424" t="s">
        <v>161</v>
      </c>
      <c r="N424" t="s">
        <v>162</v>
      </c>
      <c r="O424" t="s">
        <v>43</v>
      </c>
      <c r="P424" t="s">
        <v>163</v>
      </c>
      <c r="Q424">
        <v>34770.589999999997</v>
      </c>
      <c r="R424">
        <v>32429.63</v>
      </c>
      <c r="S424">
        <v>18171.599999999999</v>
      </c>
      <c r="T424">
        <v>4284.2</v>
      </c>
      <c r="U424">
        <v>1920.67</v>
      </c>
      <c r="V424">
        <v>1566.59</v>
      </c>
      <c r="W424">
        <v>1075.68</v>
      </c>
      <c r="X424">
        <v>27018.74</v>
      </c>
      <c r="Y424">
        <v>16599</v>
      </c>
      <c r="Z424">
        <v>-10419.74</v>
      </c>
      <c r="AA424">
        <v>-0.3004</v>
      </c>
      <c r="AB424">
        <v>2340.9699999999998</v>
      </c>
      <c r="AC424">
        <v>1738.53</v>
      </c>
      <c r="AD424">
        <v>1651.6</v>
      </c>
      <c r="AE424">
        <v>34683.67</v>
      </c>
    </row>
    <row r="425" spans="1:31" x14ac:dyDescent="0.25">
      <c r="A425" t="s">
        <v>626</v>
      </c>
      <c r="B425" s="2">
        <v>45916</v>
      </c>
      <c r="C425" t="s">
        <v>46</v>
      </c>
      <c r="D425" t="s">
        <v>33</v>
      </c>
      <c r="E425">
        <v>2025</v>
      </c>
      <c r="F425" t="s">
        <v>67</v>
      </c>
      <c r="G425" t="s">
        <v>35</v>
      </c>
      <c r="H425" t="s">
        <v>68</v>
      </c>
      <c r="I425" t="s">
        <v>204</v>
      </c>
      <c r="J425" t="s">
        <v>38</v>
      </c>
      <c r="K425" t="s">
        <v>50</v>
      </c>
      <c r="L425" t="s">
        <v>40</v>
      </c>
      <c r="M425" t="s">
        <v>211</v>
      </c>
      <c r="N425" t="s">
        <v>212</v>
      </c>
      <c r="O425" t="s">
        <v>112</v>
      </c>
      <c r="P425" t="s">
        <v>113</v>
      </c>
      <c r="Q425">
        <v>13333.89</v>
      </c>
      <c r="R425">
        <v>14278.35</v>
      </c>
      <c r="S425">
        <v>6927.43</v>
      </c>
      <c r="T425">
        <v>1125.2</v>
      </c>
      <c r="U425">
        <v>582.30999999999995</v>
      </c>
      <c r="V425">
        <v>1319.3</v>
      </c>
      <c r="W425">
        <v>344.94</v>
      </c>
      <c r="X425">
        <v>10299.18</v>
      </c>
      <c r="Y425">
        <v>6406.46</v>
      </c>
      <c r="Z425">
        <v>-3892.72</v>
      </c>
      <c r="AA425">
        <v>-0.30890000000000001</v>
      </c>
      <c r="AB425">
        <v>-944.46</v>
      </c>
      <c r="AC425">
        <v>1333.39</v>
      </c>
      <c r="AD425">
        <v>600.02</v>
      </c>
      <c r="AE425">
        <v>12600.52</v>
      </c>
    </row>
    <row r="426" spans="1:31" x14ac:dyDescent="0.25">
      <c r="A426" t="s">
        <v>627</v>
      </c>
      <c r="B426" s="2">
        <v>46004</v>
      </c>
      <c r="C426" t="s">
        <v>107</v>
      </c>
      <c r="D426" t="s">
        <v>93</v>
      </c>
      <c r="E426">
        <v>2025</v>
      </c>
      <c r="F426" t="s">
        <v>67</v>
      </c>
      <c r="G426" t="s">
        <v>35</v>
      </c>
      <c r="H426" t="s">
        <v>168</v>
      </c>
      <c r="I426" t="s">
        <v>278</v>
      </c>
      <c r="J426" t="s">
        <v>38</v>
      </c>
      <c r="K426" t="s">
        <v>50</v>
      </c>
      <c r="L426" t="s">
        <v>72</v>
      </c>
      <c r="M426" t="s">
        <v>52</v>
      </c>
      <c r="N426" t="s">
        <v>53</v>
      </c>
      <c r="O426" t="s">
        <v>54</v>
      </c>
      <c r="P426" t="s">
        <v>55</v>
      </c>
      <c r="Q426">
        <v>9559.4500000000007</v>
      </c>
      <c r="R426">
        <v>10884.05</v>
      </c>
      <c r="S426">
        <v>5883.16</v>
      </c>
      <c r="T426">
        <v>791.75</v>
      </c>
      <c r="U426">
        <v>445.87</v>
      </c>
      <c r="V426">
        <v>477.94</v>
      </c>
      <c r="W426">
        <v>131.24</v>
      </c>
      <c r="X426">
        <v>7729.96</v>
      </c>
      <c r="Y426">
        <v>3676.3</v>
      </c>
      <c r="Z426">
        <v>-4053.66</v>
      </c>
      <c r="AA426">
        <v>-0.39850000000000002</v>
      </c>
      <c r="AB426">
        <v>-1324.6</v>
      </c>
      <c r="AC426">
        <v>477.97</v>
      </c>
      <c r="AD426">
        <v>1089.78</v>
      </c>
      <c r="AE426">
        <v>10171.26</v>
      </c>
    </row>
    <row r="427" spans="1:31" x14ac:dyDescent="0.25">
      <c r="A427" t="s">
        <v>628</v>
      </c>
      <c r="B427" s="2">
        <v>45775</v>
      </c>
      <c r="C427" t="s">
        <v>128</v>
      </c>
      <c r="D427" t="s">
        <v>66</v>
      </c>
      <c r="E427">
        <v>2025</v>
      </c>
      <c r="F427" t="s">
        <v>85</v>
      </c>
      <c r="G427" t="s">
        <v>35</v>
      </c>
      <c r="H427" t="s">
        <v>86</v>
      </c>
      <c r="I427" t="s">
        <v>262</v>
      </c>
      <c r="J427" t="s">
        <v>80</v>
      </c>
      <c r="K427" t="s">
        <v>39</v>
      </c>
      <c r="L427" t="s">
        <v>81</v>
      </c>
      <c r="M427" t="s">
        <v>235</v>
      </c>
      <c r="N427" t="s">
        <v>236</v>
      </c>
      <c r="O427" t="s">
        <v>104</v>
      </c>
      <c r="P427" t="s">
        <v>237</v>
      </c>
      <c r="Q427">
        <v>6649.72</v>
      </c>
      <c r="R427">
        <v>6778.09</v>
      </c>
      <c r="S427">
        <v>3883.3</v>
      </c>
      <c r="T427">
        <v>757.9</v>
      </c>
      <c r="U427">
        <v>485.87</v>
      </c>
      <c r="V427">
        <v>492.78</v>
      </c>
      <c r="W427">
        <v>144.16</v>
      </c>
      <c r="X427">
        <v>5764.02</v>
      </c>
      <c r="Y427">
        <v>2766.41</v>
      </c>
      <c r="Z427">
        <v>-2997.6</v>
      </c>
      <c r="AA427">
        <v>-0.38979999999999998</v>
      </c>
      <c r="AB427">
        <v>-128.37</v>
      </c>
      <c r="AC427">
        <v>132.99</v>
      </c>
      <c r="AD427">
        <v>1173.01</v>
      </c>
      <c r="AE427">
        <v>7689.73</v>
      </c>
    </row>
    <row r="428" spans="1:31" x14ac:dyDescent="0.25">
      <c r="A428" t="s">
        <v>629</v>
      </c>
      <c r="B428" s="2">
        <v>45777</v>
      </c>
      <c r="C428" t="s">
        <v>128</v>
      </c>
      <c r="D428" t="s">
        <v>66</v>
      </c>
      <c r="E428">
        <v>2025</v>
      </c>
      <c r="F428" t="s">
        <v>59</v>
      </c>
      <c r="G428" t="s">
        <v>35</v>
      </c>
      <c r="H428" t="s">
        <v>139</v>
      </c>
      <c r="I428" t="s">
        <v>200</v>
      </c>
      <c r="J428" t="s">
        <v>100</v>
      </c>
      <c r="K428" t="s">
        <v>50</v>
      </c>
      <c r="L428" t="s">
        <v>72</v>
      </c>
      <c r="M428" t="s">
        <v>211</v>
      </c>
      <c r="N428" t="s">
        <v>212</v>
      </c>
      <c r="O428" t="s">
        <v>112</v>
      </c>
      <c r="P428" t="s">
        <v>113</v>
      </c>
      <c r="Q428">
        <v>36091.599999999999</v>
      </c>
      <c r="R428">
        <v>39445.79</v>
      </c>
      <c r="S428">
        <v>21500.99</v>
      </c>
      <c r="T428">
        <v>3306.92</v>
      </c>
      <c r="U428">
        <v>3190.17</v>
      </c>
      <c r="V428">
        <v>4232.16</v>
      </c>
      <c r="W428">
        <v>632.85</v>
      </c>
      <c r="X428">
        <v>32863.089999999997</v>
      </c>
      <c r="Y428">
        <v>14590.6</v>
      </c>
      <c r="Z428">
        <v>-18272.490000000002</v>
      </c>
      <c r="AA428">
        <v>-0.52410000000000001</v>
      </c>
      <c r="AB428">
        <v>-3354.19</v>
      </c>
      <c r="AC428">
        <v>2887.33</v>
      </c>
      <c r="AD428">
        <v>1660.21</v>
      </c>
      <c r="AE428">
        <v>34864.480000000003</v>
      </c>
    </row>
    <row r="429" spans="1:31" x14ac:dyDescent="0.25">
      <c r="A429" t="s">
        <v>630</v>
      </c>
      <c r="B429" s="2">
        <v>45853</v>
      </c>
      <c r="C429" t="s">
        <v>32</v>
      </c>
      <c r="D429" t="s">
        <v>33</v>
      </c>
      <c r="E429">
        <v>2025</v>
      </c>
      <c r="F429" t="s">
        <v>59</v>
      </c>
      <c r="G429" t="s">
        <v>35</v>
      </c>
      <c r="H429" t="s">
        <v>254</v>
      </c>
      <c r="I429" t="s">
        <v>314</v>
      </c>
      <c r="J429" t="s">
        <v>38</v>
      </c>
      <c r="K429" t="s">
        <v>160</v>
      </c>
      <c r="L429" t="s">
        <v>81</v>
      </c>
      <c r="M429" t="s">
        <v>186</v>
      </c>
      <c r="N429" t="s">
        <v>187</v>
      </c>
      <c r="O429" t="s">
        <v>173</v>
      </c>
      <c r="P429" t="s">
        <v>174</v>
      </c>
      <c r="Q429">
        <v>27743.26</v>
      </c>
      <c r="R429">
        <v>31938.99</v>
      </c>
      <c r="S429">
        <v>14359</v>
      </c>
      <c r="T429">
        <v>2200.9</v>
      </c>
      <c r="U429">
        <v>1810.05</v>
      </c>
      <c r="V429">
        <v>1463.5</v>
      </c>
      <c r="W429">
        <v>1217.4000000000001</v>
      </c>
      <c r="X429">
        <v>21050.85</v>
      </c>
      <c r="Y429">
        <v>13384.27</v>
      </c>
      <c r="Z429">
        <v>-7666.58</v>
      </c>
      <c r="AA429">
        <v>-0.28610000000000002</v>
      </c>
      <c r="AB429">
        <v>-4195.7299999999996</v>
      </c>
      <c r="AC429">
        <v>2219.46</v>
      </c>
      <c r="AD429">
        <v>1276.19</v>
      </c>
      <c r="AE429">
        <v>26799.99</v>
      </c>
    </row>
    <row r="430" spans="1:31" x14ac:dyDescent="0.25">
      <c r="A430" t="s">
        <v>631</v>
      </c>
      <c r="B430" s="2">
        <v>46077</v>
      </c>
      <c r="C430" t="s">
        <v>57</v>
      </c>
      <c r="D430" t="s">
        <v>58</v>
      </c>
      <c r="E430">
        <v>2026</v>
      </c>
      <c r="F430" t="s">
        <v>34</v>
      </c>
      <c r="G430" t="s">
        <v>35</v>
      </c>
      <c r="H430" t="s">
        <v>157</v>
      </c>
      <c r="I430" t="s">
        <v>158</v>
      </c>
      <c r="J430" t="s">
        <v>100</v>
      </c>
      <c r="K430" t="s">
        <v>50</v>
      </c>
      <c r="L430" t="s">
        <v>40</v>
      </c>
      <c r="M430" t="s">
        <v>211</v>
      </c>
      <c r="N430" t="s">
        <v>212</v>
      </c>
      <c r="O430" t="s">
        <v>112</v>
      </c>
      <c r="P430" t="s">
        <v>113</v>
      </c>
      <c r="Q430">
        <v>18987.95</v>
      </c>
      <c r="R430">
        <v>21580.25</v>
      </c>
      <c r="S430">
        <v>11082.52</v>
      </c>
      <c r="T430">
        <v>1535.9</v>
      </c>
      <c r="U430">
        <v>1326.09</v>
      </c>
      <c r="V430">
        <v>1674.65</v>
      </c>
      <c r="W430">
        <v>261.14999999999998</v>
      </c>
      <c r="X430">
        <v>15880.3</v>
      </c>
      <c r="Y430">
        <v>7905.44</v>
      </c>
      <c r="Z430">
        <v>-7974.87</v>
      </c>
      <c r="AA430">
        <v>-0.3669</v>
      </c>
      <c r="AB430">
        <v>-2592.3000000000002</v>
      </c>
      <c r="AC430">
        <v>569.64</v>
      </c>
      <c r="AD430">
        <v>3315.3</v>
      </c>
      <c r="AE430">
        <v>21733.61</v>
      </c>
    </row>
    <row r="431" spans="1:31" x14ac:dyDescent="0.25">
      <c r="A431" t="s">
        <v>632</v>
      </c>
      <c r="B431" s="2">
        <v>45900</v>
      </c>
      <c r="C431" t="s">
        <v>117</v>
      </c>
      <c r="D431" t="s">
        <v>33</v>
      </c>
      <c r="E431">
        <v>2025</v>
      </c>
      <c r="F431" t="s">
        <v>85</v>
      </c>
      <c r="G431" t="s">
        <v>35</v>
      </c>
      <c r="H431" t="s">
        <v>60</v>
      </c>
      <c r="I431" t="s">
        <v>185</v>
      </c>
      <c r="J431" t="s">
        <v>38</v>
      </c>
      <c r="K431" t="s">
        <v>160</v>
      </c>
      <c r="L431" t="s">
        <v>51</v>
      </c>
      <c r="M431" t="s">
        <v>52</v>
      </c>
      <c r="N431" t="s">
        <v>53</v>
      </c>
      <c r="O431" t="s">
        <v>54</v>
      </c>
      <c r="P431" t="s">
        <v>55</v>
      </c>
      <c r="Q431">
        <v>4988.55</v>
      </c>
      <c r="R431">
        <v>4977.83</v>
      </c>
      <c r="S431">
        <v>2609.59</v>
      </c>
      <c r="T431">
        <v>480.13</v>
      </c>
      <c r="U431">
        <v>435.34</v>
      </c>
      <c r="V431">
        <v>400.31</v>
      </c>
      <c r="W431">
        <v>64.36</v>
      </c>
      <c r="X431">
        <v>3989.73</v>
      </c>
      <c r="Y431">
        <v>2378.96</v>
      </c>
      <c r="Z431">
        <v>-1610.78</v>
      </c>
      <c r="AA431">
        <v>-0.30349999999999999</v>
      </c>
      <c r="AB431">
        <v>10.72</v>
      </c>
      <c r="AC431">
        <v>249.43</v>
      </c>
      <c r="AD431">
        <v>568.69000000000005</v>
      </c>
      <c r="AE431">
        <v>5307.81</v>
      </c>
    </row>
    <row r="432" spans="1:31" x14ac:dyDescent="0.25">
      <c r="A432" t="s">
        <v>633</v>
      </c>
      <c r="B432" s="2">
        <v>46062</v>
      </c>
      <c r="C432" t="s">
        <v>57</v>
      </c>
      <c r="D432" t="s">
        <v>58</v>
      </c>
      <c r="E432">
        <v>2026</v>
      </c>
      <c r="F432" t="s">
        <v>67</v>
      </c>
      <c r="G432" t="s">
        <v>35</v>
      </c>
      <c r="H432" t="s">
        <v>68</v>
      </c>
      <c r="I432" t="s">
        <v>204</v>
      </c>
      <c r="J432" t="s">
        <v>38</v>
      </c>
      <c r="K432" t="s">
        <v>101</v>
      </c>
      <c r="L432" t="s">
        <v>40</v>
      </c>
      <c r="M432" t="s">
        <v>110</v>
      </c>
      <c r="N432" t="s">
        <v>111</v>
      </c>
      <c r="O432" t="s">
        <v>112</v>
      </c>
      <c r="P432" t="s">
        <v>113</v>
      </c>
      <c r="Q432">
        <v>21732.73</v>
      </c>
      <c r="R432">
        <v>21222.14</v>
      </c>
      <c r="S432">
        <v>12859.62</v>
      </c>
      <c r="T432">
        <v>2726.49</v>
      </c>
      <c r="U432">
        <v>1859.51</v>
      </c>
      <c r="V432">
        <v>1228.98</v>
      </c>
      <c r="W432">
        <v>489.81</v>
      </c>
      <c r="X432">
        <v>19164.41</v>
      </c>
      <c r="Y432">
        <v>8873.11</v>
      </c>
      <c r="Z432">
        <v>-10291.299999999999</v>
      </c>
      <c r="AA432">
        <v>-0.42280000000000001</v>
      </c>
      <c r="AB432">
        <v>510.59</v>
      </c>
      <c r="AC432">
        <v>0</v>
      </c>
      <c r="AD432">
        <v>2607.9299999999998</v>
      </c>
      <c r="AE432">
        <v>24340.66</v>
      </c>
    </row>
    <row r="433" spans="1:31" x14ac:dyDescent="0.25">
      <c r="A433" t="s">
        <v>634</v>
      </c>
      <c r="B433" s="2">
        <v>46000</v>
      </c>
      <c r="C433" t="s">
        <v>107</v>
      </c>
      <c r="D433" t="s">
        <v>93</v>
      </c>
      <c r="E433">
        <v>2025</v>
      </c>
      <c r="F433" t="s">
        <v>67</v>
      </c>
      <c r="G433" t="s">
        <v>35</v>
      </c>
      <c r="H433" t="s">
        <v>168</v>
      </c>
      <c r="I433" t="s">
        <v>251</v>
      </c>
      <c r="J433" t="s">
        <v>38</v>
      </c>
      <c r="K433" t="s">
        <v>101</v>
      </c>
      <c r="L433" t="s">
        <v>40</v>
      </c>
      <c r="M433" t="s">
        <v>130</v>
      </c>
      <c r="N433" t="s">
        <v>131</v>
      </c>
      <c r="O433" t="s">
        <v>43</v>
      </c>
      <c r="P433" t="s">
        <v>132</v>
      </c>
      <c r="Q433">
        <v>74193.39</v>
      </c>
      <c r="R433">
        <v>65371.57</v>
      </c>
      <c r="S433">
        <v>41311.94</v>
      </c>
      <c r="T433">
        <v>6213.1</v>
      </c>
      <c r="U433">
        <v>2962.66</v>
      </c>
      <c r="V433">
        <v>4152.29</v>
      </c>
      <c r="W433">
        <v>840.05</v>
      </c>
      <c r="X433">
        <v>55480.04</v>
      </c>
      <c r="Y433">
        <v>32881.449999999997</v>
      </c>
      <c r="Z433">
        <v>-22598.59</v>
      </c>
      <c r="AA433">
        <v>-0.2863</v>
      </c>
      <c r="AB433">
        <v>8821.83</v>
      </c>
      <c r="AC433">
        <v>3709.67</v>
      </c>
      <c r="AD433">
        <v>8458.0499999999993</v>
      </c>
      <c r="AE433">
        <v>78941.77</v>
      </c>
    </row>
    <row r="434" spans="1:31" x14ac:dyDescent="0.25">
      <c r="A434" t="s">
        <v>635</v>
      </c>
      <c r="B434" s="2">
        <v>46089</v>
      </c>
      <c r="C434" t="s">
        <v>125</v>
      </c>
      <c r="D434" t="s">
        <v>58</v>
      </c>
      <c r="E434">
        <v>2026</v>
      </c>
      <c r="F434" t="s">
        <v>47</v>
      </c>
      <c r="G434" t="s">
        <v>35</v>
      </c>
      <c r="H434" t="s">
        <v>214</v>
      </c>
      <c r="I434" t="s">
        <v>220</v>
      </c>
      <c r="J434" t="s">
        <v>70</v>
      </c>
      <c r="K434" t="s">
        <v>50</v>
      </c>
      <c r="L434" t="s">
        <v>81</v>
      </c>
      <c r="M434" t="s">
        <v>102</v>
      </c>
      <c r="N434" t="s">
        <v>103</v>
      </c>
      <c r="O434" t="s">
        <v>104</v>
      </c>
      <c r="P434" t="s">
        <v>105</v>
      </c>
      <c r="Q434">
        <v>23926.17</v>
      </c>
      <c r="R434">
        <v>22600.84</v>
      </c>
      <c r="S434">
        <v>13160.54</v>
      </c>
      <c r="T434">
        <v>1526.98</v>
      </c>
      <c r="U434">
        <v>1188.1400000000001</v>
      </c>
      <c r="V434">
        <v>2700.47</v>
      </c>
      <c r="W434">
        <v>754.56</v>
      </c>
      <c r="X434">
        <v>19330.7</v>
      </c>
      <c r="Y434">
        <v>10765.62</v>
      </c>
      <c r="Z434">
        <v>-8565.08</v>
      </c>
      <c r="AA434">
        <v>-0.31280000000000002</v>
      </c>
      <c r="AB434">
        <v>1325.32</v>
      </c>
      <c r="AC434">
        <v>717.78</v>
      </c>
      <c r="AD434">
        <v>4177.51</v>
      </c>
      <c r="AE434">
        <v>27385.89</v>
      </c>
    </row>
    <row r="435" spans="1:31" x14ac:dyDescent="0.25">
      <c r="A435" t="s">
        <v>636</v>
      </c>
      <c r="B435" s="2">
        <v>45987</v>
      </c>
      <c r="C435" t="s">
        <v>147</v>
      </c>
      <c r="D435" t="s">
        <v>93</v>
      </c>
      <c r="E435">
        <v>2025</v>
      </c>
      <c r="F435" t="s">
        <v>59</v>
      </c>
      <c r="G435" t="s">
        <v>35</v>
      </c>
      <c r="H435" t="s">
        <v>60</v>
      </c>
      <c r="I435" t="s">
        <v>108</v>
      </c>
      <c r="J435" t="s">
        <v>80</v>
      </c>
      <c r="K435" t="s">
        <v>39</v>
      </c>
      <c r="L435" t="s">
        <v>72</v>
      </c>
      <c r="M435" t="s">
        <v>102</v>
      </c>
      <c r="N435" t="s">
        <v>103</v>
      </c>
      <c r="O435" t="s">
        <v>104</v>
      </c>
      <c r="P435" t="s">
        <v>105</v>
      </c>
      <c r="Q435">
        <v>13584.45</v>
      </c>
      <c r="R435">
        <v>15466.74</v>
      </c>
      <c r="S435">
        <v>8653</v>
      </c>
      <c r="T435">
        <v>1235.2</v>
      </c>
      <c r="U435">
        <v>479.94</v>
      </c>
      <c r="V435">
        <v>601.47</v>
      </c>
      <c r="W435">
        <v>347.75</v>
      </c>
      <c r="X435">
        <v>11317.37</v>
      </c>
      <c r="Y435">
        <v>4931.45</v>
      </c>
      <c r="Z435">
        <v>-6385.92</v>
      </c>
      <c r="AA435">
        <v>-0.41970000000000002</v>
      </c>
      <c r="AB435">
        <v>-1882.3</v>
      </c>
      <c r="AC435">
        <v>0</v>
      </c>
      <c r="AD435">
        <v>1630.13</v>
      </c>
      <c r="AE435">
        <v>15214.58</v>
      </c>
    </row>
    <row r="436" spans="1:31" x14ac:dyDescent="0.25">
      <c r="A436" t="s">
        <v>637</v>
      </c>
      <c r="B436" s="2">
        <v>45813</v>
      </c>
      <c r="C436" t="s">
        <v>156</v>
      </c>
      <c r="D436" t="s">
        <v>66</v>
      </c>
      <c r="E436">
        <v>2025</v>
      </c>
      <c r="F436" t="s">
        <v>67</v>
      </c>
      <c r="G436" t="s">
        <v>35</v>
      </c>
      <c r="H436" t="s">
        <v>68</v>
      </c>
      <c r="I436" t="s">
        <v>69</v>
      </c>
      <c r="J436" t="s">
        <v>100</v>
      </c>
      <c r="K436" t="s">
        <v>39</v>
      </c>
      <c r="L436" t="s">
        <v>81</v>
      </c>
      <c r="M436" t="s">
        <v>171</v>
      </c>
      <c r="N436" t="s">
        <v>172</v>
      </c>
      <c r="O436" t="s">
        <v>173</v>
      </c>
      <c r="P436" t="s">
        <v>174</v>
      </c>
      <c r="Q436">
        <v>9061.64</v>
      </c>
      <c r="R436">
        <v>10049.25</v>
      </c>
      <c r="S436">
        <v>4646.45</v>
      </c>
      <c r="T436">
        <v>618.85</v>
      </c>
      <c r="U436">
        <v>746.34</v>
      </c>
      <c r="V436">
        <v>377.05</v>
      </c>
      <c r="W436">
        <v>329.35</v>
      </c>
      <c r="X436">
        <v>6718.04</v>
      </c>
      <c r="Y436">
        <v>4415.1899999999996</v>
      </c>
      <c r="Z436">
        <v>-2302.86</v>
      </c>
      <c r="AA436">
        <v>-0.2339</v>
      </c>
      <c r="AB436">
        <v>-987.61</v>
      </c>
      <c r="AC436">
        <v>271.85000000000002</v>
      </c>
      <c r="AD436">
        <v>1054.77</v>
      </c>
      <c r="AE436">
        <v>9844.56</v>
      </c>
    </row>
    <row r="437" spans="1:31" x14ac:dyDescent="0.25">
      <c r="A437" t="s">
        <v>638</v>
      </c>
      <c r="B437" s="2">
        <v>45750</v>
      </c>
      <c r="C437" t="s">
        <v>128</v>
      </c>
      <c r="D437" t="s">
        <v>66</v>
      </c>
      <c r="E437">
        <v>2025</v>
      </c>
      <c r="F437" t="s">
        <v>67</v>
      </c>
      <c r="G437" t="s">
        <v>35</v>
      </c>
      <c r="H437" t="s">
        <v>118</v>
      </c>
      <c r="I437" t="s">
        <v>209</v>
      </c>
      <c r="J437" t="s">
        <v>38</v>
      </c>
      <c r="K437" t="s">
        <v>101</v>
      </c>
      <c r="L437" t="s">
        <v>94</v>
      </c>
      <c r="M437" t="s">
        <v>221</v>
      </c>
      <c r="N437" t="s">
        <v>222</v>
      </c>
      <c r="O437" t="s">
        <v>104</v>
      </c>
      <c r="P437" t="s">
        <v>223</v>
      </c>
      <c r="Q437">
        <v>15727.15</v>
      </c>
      <c r="R437">
        <v>18411.62</v>
      </c>
      <c r="S437">
        <v>11070.95</v>
      </c>
      <c r="T437">
        <v>1881.81</v>
      </c>
      <c r="U437">
        <v>824.4</v>
      </c>
      <c r="V437">
        <v>1498.86</v>
      </c>
      <c r="W437">
        <v>654.23</v>
      </c>
      <c r="X437">
        <v>15930.26</v>
      </c>
      <c r="Y437">
        <v>4656.2</v>
      </c>
      <c r="Z437">
        <v>-11274.06</v>
      </c>
      <c r="AA437">
        <v>-0.69569999999999999</v>
      </c>
      <c r="AB437">
        <v>-2684.47</v>
      </c>
      <c r="AC437">
        <v>1258.17</v>
      </c>
      <c r="AD437">
        <v>1736.28</v>
      </c>
      <c r="AE437">
        <v>16205.25</v>
      </c>
    </row>
    <row r="438" spans="1:31" x14ac:dyDescent="0.25">
      <c r="A438" t="s">
        <v>639</v>
      </c>
      <c r="B438" s="2">
        <v>46018</v>
      </c>
      <c r="C438" t="s">
        <v>107</v>
      </c>
      <c r="D438" t="s">
        <v>93</v>
      </c>
      <c r="E438">
        <v>2025</v>
      </c>
      <c r="F438" t="s">
        <v>59</v>
      </c>
      <c r="G438" t="s">
        <v>35</v>
      </c>
      <c r="H438" t="s">
        <v>230</v>
      </c>
      <c r="I438" t="s">
        <v>301</v>
      </c>
      <c r="J438" t="s">
        <v>100</v>
      </c>
      <c r="K438" t="s">
        <v>101</v>
      </c>
      <c r="L438" t="s">
        <v>72</v>
      </c>
      <c r="M438" t="s">
        <v>221</v>
      </c>
      <c r="N438" t="s">
        <v>222</v>
      </c>
      <c r="O438" t="s">
        <v>104</v>
      </c>
      <c r="P438" t="s">
        <v>223</v>
      </c>
      <c r="Q438">
        <v>8651.7999999999993</v>
      </c>
      <c r="R438">
        <v>8531.2999999999993</v>
      </c>
      <c r="S438">
        <v>4427.93</v>
      </c>
      <c r="T438">
        <v>897.91</v>
      </c>
      <c r="U438">
        <v>502.37</v>
      </c>
      <c r="V438">
        <v>845.19</v>
      </c>
      <c r="W438">
        <v>193.32</v>
      </c>
      <c r="X438">
        <v>6866.71</v>
      </c>
      <c r="Y438">
        <v>4223.87</v>
      </c>
      <c r="Z438">
        <v>-2642.84</v>
      </c>
      <c r="AA438">
        <v>-0.27829999999999999</v>
      </c>
      <c r="AB438">
        <v>120.5</v>
      </c>
      <c r="AC438">
        <v>173.04</v>
      </c>
      <c r="AD438">
        <v>1017.45</v>
      </c>
      <c r="AE438">
        <v>9496.2199999999993</v>
      </c>
    </row>
    <row r="439" spans="1:31" x14ac:dyDescent="0.25">
      <c r="A439" t="s">
        <v>640</v>
      </c>
      <c r="B439" s="2">
        <v>45880</v>
      </c>
      <c r="C439" t="s">
        <v>117</v>
      </c>
      <c r="D439" t="s">
        <v>33</v>
      </c>
      <c r="E439">
        <v>2025</v>
      </c>
      <c r="F439" t="s">
        <v>67</v>
      </c>
      <c r="G439" t="s">
        <v>35</v>
      </c>
      <c r="H439" t="s">
        <v>168</v>
      </c>
      <c r="I439" t="s">
        <v>251</v>
      </c>
      <c r="J439" t="s">
        <v>38</v>
      </c>
      <c r="K439" t="s">
        <v>71</v>
      </c>
      <c r="L439" t="s">
        <v>81</v>
      </c>
      <c r="M439" t="s">
        <v>186</v>
      </c>
      <c r="N439" t="s">
        <v>187</v>
      </c>
      <c r="O439" t="s">
        <v>173</v>
      </c>
      <c r="P439" t="s">
        <v>174</v>
      </c>
      <c r="Q439">
        <v>19553.82</v>
      </c>
      <c r="R439">
        <v>18143.79</v>
      </c>
      <c r="S439">
        <v>13592.01</v>
      </c>
      <c r="T439">
        <v>1610.44</v>
      </c>
      <c r="U439">
        <v>1067.94</v>
      </c>
      <c r="V439">
        <v>1886.18</v>
      </c>
      <c r="W439">
        <v>757.31</v>
      </c>
      <c r="X439">
        <v>18913.88</v>
      </c>
      <c r="Y439">
        <v>5961.81</v>
      </c>
      <c r="Z439">
        <v>-12952.06</v>
      </c>
      <c r="AA439">
        <v>-0.57279999999999998</v>
      </c>
      <c r="AB439">
        <v>1410.03</v>
      </c>
      <c r="AC439">
        <v>391.08</v>
      </c>
      <c r="AD439">
        <v>3449.29</v>
      </c>
      <c r="AE439">
        <v>22612.04</v>
      </c>
    </row>
    <row r="440" spans="1:31" x14ac:dyDescent="0.25">
      <c r="A440" t="s">
        <v>641</v>
      </c>
      <c r="B440" s="2">
        <v>45860</v>
      </c>
      <c r="C440" t="s">
        <v>32</v>
      </c>
      <c r="D440" t="s">
        <v>33</v>
      </c>
      <c r="E440">
        <v>2025</v>
      </c>
      <c r="F440" t="s">
        <v>47</v>
      </c>
      <c r="G440" t="s">
        <v>35</v>
      </c>
      <c r="H440" t="s">
        <v>206</v>
      </c>
      <c r="I440" t="s">
        <v>344</v>
      </c>
      <c r="J440" t="s">
        <v>38</v>
      </c>
      <c r="K440" t="s">
        <v>50</v>
      </c>
      <c r="L440" t="s">
        <v>51</v>
      </c>
      <c r="M440" t="s">
        <v>186</v>
      </c>
      <c r="N440" t="s">
        <v>187</v>
      </c>
      <c r="O440" t="s">
        <v>173</v>
      </c>
      <c r="P440" t="s">
        <v>174</v>
      </c>
      <c r="Q440">
        <v>6269.26</v>
      </c>
      <c r="R440">
        <v>5908.59</v>
      </c>
      <c r="S440">
        <v>3386.13</v>
      </c>
      <c r="T440">
        <v>717.66</v>
      </c>
      <c r="U440">
        <v>270.7</v>
      </c>
      <c r="V440">
        <v>346.83</v>
      </c>
      <c r="W440">
        <v>173.34</v>
      </c>
      <c r="X440">
        <v>4894.6499999999996</v>
      </c>
      <c r="Y440">
        <v>2883.13</v>
      </c>
      <c r="Z440">
        <v>-2011.52</v>
      </c>
      <c r="AA440">
        <v>-0.33210000000000001</v>
      </c>
      <c r="AB440">
        <v>360.67</v>
      </c>
      <c r="AC440">
        <v>501.54</v>
      </c>
      <c r="AD440">
        <v>288.39</v>
      </c>
      <c r="AE440">
        <v>6056.11</v>
      </c>
    </row>
    <row r="441" spans="1:31" x14ac:dyDescent="0.25">
      <c r="A441" t="s">
        <v>642</v>
      </c>
      <c r="B441" s="2">
        <v>46054</v>
      </c>
      <c r="C441" t="s">
        <v>57</v>
      </c>
      <c r="D441" t="s">
        <v>58</v>
      </c>
      <c r="E441">
        <v>2026</v>
      </c>
      <c r="F441" t="s">
        <v>85</v>
      </c>
      <c r="G441" t="s">
        <v>35</v>
      </c>
      <c r="H441" t="s">
        <v>86</v>
      </c>
      <c r="I441" t="s">
        <v>87</v>
      </c>
      <c r="J441" t="s">
        <v>38</v>
      </c>
      <c r="K441" t="s">
        <v>71</v>
      </c>
      <c r="L441" t="s">
        <v>51</v>
      </c>
      <c r="M441" t="s">
        <v>62</v>
      </c>
      <c r="N441" t="s">
        <v>63</v>
      </c>
      <c r="O441" t="s">
        <v>54</v>
      </c>
      <c r="P441" t="s">
        <v>55</v>
      </c>
      <c r="Q441">
        <v>6604.16</v>
      </c>
      <c r="R441">
        <v>5962.84</v>
      </c>
      <c r="S441">
        <v>4331.33</v>
      </c>
      <c r="T441">
        <v>656.13</v>
      </c>
      <c r="U441">
        <v>166.35</v>
      </c>
      <c r="V441">
        <v>269.14</v>
      </c>
      <c r="W441">
        <v>252.99</v>
      </c>
      <c r="X441">
        <v>5675.94</v>
      </c>
      <c r="Y441">
        <v>2272.84</v>
      </c>
      <c r="Z441">
        <v>-3403.11</v>
      </c>
      <c r="AA441">
        <v>-0.4456</v>
      </c>
      <c r="AB441">
        <v>641.33000000000004</v>
      </c>
      <c r="AC441">
        <v>132.08000000000001</v>
      </c>
      <c r="AD441">
        <v>1164.97</v>
      </c>
      <c r="AE441">
        <v>7637.05</v>
      </c>
    </row>
    <row r="442" spans="1:31" x14ac:dyDescent="0.25">
      <c r="A442" t="s">
        <v>643</v>
      </c>
      <c r="B442" s="2">
        <v>46112</v>
      </c>
      <c r="C442" t="s">
        <v>125</v>
      </c>
      <c r="D442" t="s">
        <v>58</v>
      </c>
      <c r="E442">
        <v>2026</v>
      </c>
      <c r="F442" t="s">
        <v>67</v>
      </c>
      <c r="G442" t="s">
        <v>35</v>
      </c>
      <c r="H442" t="s">
        <v>118</v>
      </c>
      <c r="I442" t="s">
        <v>209</v>
      </c>
      <c r="J442" t="s">
        <v>100</v>
      </c>
      <c r="K442" t="s">
        <v>160</v>
      </c>
      <c r="L442" t="s">
        <v>81</v>
      </c>
      <c r="M442" t="s">
        <v>95</v>
      </c>
      <c r="N442" t="s">
        <v>96</v>
      </c>
      <c r="O442" t="s">
        <v>43</v>
      </c>
      <c r="P442" t="s">
        <v>90</v>
      </c>
      <c r="Q442">
        <v>33690.25</v>
      </c>
      <c r="R442">
        <v>34759.300000000003</v>
      </c>
      <c r="S442">
        <v>16316.77</v>
      </c>
      <c r="T442">
        <v>4198.54</v>
      </c>
      <c r="U442">
        <v>1013.78</v>
      </c>
      <c r="V442">
        <v>3202.51</v>
      </c>
      <c r="W442">
        <v>1262.55</v>
      </c>
      <c r="X442">
        <v>25994.15</v>
      </c>
      <c r="Y442">
        <v>17373.48</v>
      </c>
      <c r="Z442">
        <v>-8620.66</v>
      </c>
      <c r="AA442">
        <v>-0.26490000000000002</v>
      </c>
      <c r="AB442">
        <v>-1069.05</v>
      </c>
      <c r="AC442">
        <v>2695.22</v>
      </c>
      <c r="AD442">
        <v>1549.75</v>
      </c>
      <c r="AE442">
        <v>32544.78</v>
      </c>
    </row>
    <row r="443" spans="1:31" x14ac:dyDescent="0.25">
      <c r="A443" t="s">
        <v>644</v>
      </c>
      <c r="B443" s="2">
        <v>46075</v>
      </c>
      <c r="C443" t="s">
        <v>57</v>
      </c>
      <c r="D443" t="s">
        <v>58</v>
      </c>
      <c r="E443">
        <v>2026</v>
      </c>
      <c r="F443" t="s">
        <v>34</v>
      </c>
      <c r="G443" t="s">
        <v>35</v>
      </c>
      <c r="H443" t="s">
        <v>98</v>
      </c>
      <c r="I443" t="s">
        <v>149</v>
      </c>
      <c r="J443" t="s">
        <v>70</v>
      </c>
      <c r="K443" t="s">
        <v>101</v>
      </c>
      <c r="L443" t="s">
        <v>40</v>
      </c>
      <c r="M443" t="s">
        <v>171</v>
      </c>
      <c r="N443" t="s">
        <v>172</v>
      </c>
      <c r="O443" t="s">
        <v>173</v>
      </c>
      <c r="P443" t="s">
        <v>174</v>
      </c>
      <c r="Q443">
        <v>26473.27</v>
      </c>
      <c r="R443">
        <v>30441.18</v>
      </c>
      <c r="S443">
        <v>18494.169999999998</v>
      </c>
      <c r="T443">
        <v>3321.46</v>
      </c>
      <c r="U443">
        <v>1557.02</v>
      </c>
      <c r="V443">
        <v>2492.92</v>
      </c>
      <c r="W443">
        <v>986.08</v>
      </c>
      <c r="X443">
        <v>26851.66</v>
      </c>
      <c r="Y443">
        <v>7979.1</v>
      </c>
      <c r="Z443">
        <v>-18872.560000000001</v>
      </c>
      <c r="AA443">
        <v>-0.60409999999999997</v>
      </c>
      <c r="AB443">
        <v>-3967.91</v>
      </c>
      <c r="AC443">
        <v>0</v>
      </c>
      <c r="AD443">
        <v>4765.1899999999996</v>
      </c>
      <c r="AE443">
        <v>31238.46</v>
      </c>
    </row>
    <row r="444" spans="1:31" x14ac:dyDescent="0.25">
      <c r="A444" t="s">
        <v>645</v>
      </c>
      <c r="B444" s="2">
        <v>46086</v>
      </c>
      <c r="C444" t="s">
        <v>125</v>
      </c>
      <c r="D444" t="s">
        <v>58</v>
      </c>
      <c r="E444">
        <v>2026</v>
      </c>
      <c r="F444" t="s">
        <v>47</v>
      </c>
      <c r="G444" t="s">
        <v>35</v>
      </c>
      <c r="H444" t="s">
        <v>48</v>
      </c>
      <c r="I444" t="s">
        <v>265</v>
      </c>
      <c r="J444" t="s">
        <v>100</v>
      </c>
      <c r="K444" t="s">
        <v>50</v>
      </c>
      <c r="L444" t="s">
        <v>94</v>
      </c>
      <c r="M444" t="s">
        <v>141</v>
      </c>
      <c r="N444" t="s">
        <v>142</v>
      </c>
      <c r="O444" t="s">
        <v>54</v>
      </c>
      <c r="P444" t="s">
        <v>143</v>
      </c>
      <c r="Q444">
        <v>5139.62</v>
      </c>
      <c r="R444">
        <v>4637.63</v>
      </c>
      <c r="S444">
        <v>3088.33</v>
      </c>
      <c r="T444">
        <v>332.07</v>
      </c>
      <c r="U444">
        <v>320.24</v>
      </c>
      <c r="V444">
        <v>467.67</v>
      </c>
      <c r="W444">
        <v>151.54</v>
      </c>
      <c r="X444">
        <v>4359.8500000000004</v>
      </c>
      <c r="Y444">
        <v>2051.29</v>
      </c>
      <c r="Z444">
        <v>-2308.5500000000002</v>
      </c>
      <c r="AA444">
        <v>-0.42220000000000002</v>
      </c>
      <c r="AB444">
        <v>501.99</v>
      </c>
      <c r="AC444">
        <v>256.98</v>
      </c>
      <c r="AD444">
        <v>585.91999999999996</v>
      </c>
      <c r="AE444">
        <v>5468.56</v>
      </c>
    </row>
    <row r="445" spans="1:31" x14ac:dyDescent="0.25">
      <c r="A445" t="s">
        <v>646</v>
      </c>
      <c r="B445" s="2">
        <v>45907</v>
      </c>
      <c r="C445" t="s">
        <v>46</v>
      </c>
      <c r="D445" t="s">
        <v>33</v>
      </c>
      <c r="E445">
        <v>2025</v>
      </c>
      <c r="F445" t="s">
        <v>67</v>
      </c>
      <c r="G445" t="s">
        <v>35</v>
      </c>
      <c r="H445" t="s">
        <v>168</v>
      </c>
      <c r="I445" t="s">
        <v>251</v>
      </c>
      <c r="J445" t="s">
        <v>38</v>
      </c>
      <c r="K445" t="s">
        <v>50</v>
      </c>
      <c r="L445" t="s">
        <v>81</v>
      </c>
      <c r="M445" t="s">
        <v>221</v>
      </c>
      <c r="N445" t="s">
        <v>222</v>
      </c>
      <c r="O445" t="s">
        <v>104</v>
      </c>
      <c r="P445" t="s">
        <v>223</v>
      </c>
      <c r="Q445">
        <v>17995.14</v>
      </c>
      <c r="R445">
        <v>16298.88</v>
      </c>
      <c r="S445">
        <v>9030.4</v>
      </c>
      <c r="T445">
        <v>2228.84</v>
      </c>
      <c r="U445">
        <v>1256.1199999999999</v>
      </c>
      <c r="V445">
        <v>902.78</v>
      </c>
      <c r="W445">
        <v>404.63</v>
      </c>
      <c r="X445">
        <v>13822.77</v>
      </c>
      <c r="Y445">
        <v>8964.74</v>
      </c>
      <c r="Z445">
        <v>-4858.03</v>
      </c>
      <c r="AA445">
        <v>-0.24079999999999999</v>
      </c>
      <c r="AB445">
        <v>1696.25</v>
      </c>
      <c r="AC445">
        <v>899.76</v>
      </c>
      <c r="AD445">
        <v>3077.17</v>
      </c>
      <c r="AE445">
        <v>20172.55</v>
      </c>
    </row>
    <row r="446" spans="1:31" x14ac:dyDescent="0.25">
      <c r="A446" t="s">
        <v>647</v>
      </c>
      <c r="B446" s="2">
        <v>45957</v>
      </c>
      <c r="C446" t="s">
        <v>92</v>
      </c>
      <c r="D446" t="s">
        <v>93</v>
      </c>
      <c r="E446">
        <v>2025</v>
      </c>
      <c r="F446" t="s">
        <v>34</v>
      </c>
      <c r="G446" t="s">
        <v>35</v>
      </c>
      <c r="H446" t="s">
        <v>36</v>
      </c>
      <c r="I446" t="s">
        <v>145</v>
      </c>
      <c r="J446" t="s">
        <v>100</v>
      </c>
      <c r="K446" t="s">
        <v>50</v>
      </c>
      <c r="L446" t="s">
        <v>81</v>
      </c>
      <c r="M446" t="s">
        <v>235</v>
      </c>
      <c r="N446" t="s">
        <v>236</v>
      </c>
      <c r="O446" t="s">
        <v>104</v>
      </c>
      <c r="P446" t="s">
        <v>237</v>
      </c>
      <c r="Q446">
        <v>30251.46</v>
      </c>
      <c r="R446">
        <v>28996.07</v>
      </c>
      <c r="S446">
        <v>15007.08</v>
      </c>
      <c r="T446">
        <v>1580.8</v>
      </c>
      <c r="U446">
        <v>1237.54</v>
      </c>
      <c r="V446">
        <v>3343.36</v>
      </c>
      <c r="W446">
        <v>742.88</v>
      </c>
      <c r="X446">
        <v>21911.66</v>
      </c>
      <c r="Y446">
        <v>15244.38</v>
      </c>
      <c r="Z446">
        <v>-6667.28</v>
      </c>
      <c r="AA446">
        <v>-0.1966</v>
      </c>
      <c r="AB446">
        <v>1255.3900000000001</v>
      </c>
      <c r="AC446">
        <v>1512.57</v>
      </c>
      <c r="AD446">
        <v>5173</v>
      </c>
      <c r="AE446">
        <v>33911.89</v>
      </c>
    </row>
    <row r="447" spans="1:31" x14ac:dyDescent="0.25">
      <c r="A447" t="s">
        <v>648</v>
      </c>
      <c r="B447" s="2">
        <v>45989</v>
      </c>
      <c r="C447" t="s">
        <v>147</v>
      </c>
      <c r="D447" t="s">
        <v>93</v>
      </c>
      <c r="E447">
        <v>2025</v>
      </c>
      <c r="F447" t="s">
        <v>34</v>
      </c>
      <c r="G447" t="s">
        <v>35</v>
      </c>
      <c r="H447" t="s">
        <v>98</v>
      </c>
      <c r="I447" t="s">
        <v>99</v>
      </c>
      <c r="J447" t="s">
        <v>38</v>
      </c>
      <c r="K447" t="s">
        <v>50</v>
      </c>
      <c r="L447" t="s">
        <v>94</v>
      </c>
      <c r="M447" t="s">
        <v>161</v>
      </c>
      <c r="N447" t="s">
        <v>162</v>
      </c>
      <c r="O447" t="s">
        <v>43</v>
      </c>
      <c r="P447" t="s">
        <v>163</v>
      </c>
      <c r="Q447">
        <v>55259.16</v>
      </c>
      <c r="R447">
        <v>63671.76</v>
      </c>
      <c r="S447">
        <v>28148.77</v>
      </c>
      <c r="T447">
        <v>5123.79</v>
      </c>
      <c r="U447">
        <v>4540.37</v>
      </c>
      <c r="V447">
        <v>4022.97</v>
      </c>
      <c r="W447">
        <v>1484.8</v>
      </c>
      <c r="X447">
        <v>43320.71</v>
      </c>
      <c r="Y447">
        <v>27110.39</v>
      </c>
      <c r="Z447">
        <v>-16210.32</v>
      </c>
      <c r="AA447">
        <v>-0.26190000000000002</v>
      </c>
      <c r="AB447">
        <v>-8412.6</v>
      </c>
      <c r="AC447">
        <v>0</v>
      </c>
      <c r="AD447">
        <v>6631.1</v>
      </c>
      <c r="AE447">
        <v>61890.26</v>
      </c>
    </row>
    <row r="448" spans="1:31" x14ac:dyDescent="0.25">
      <c r="A448" t="s">
        <v>649</v>
      </c>
      <c r="B448" s="2">
        <v>45809</v>
      </c>
      <c r="C448" t="s">
        <v>156</v>
      </c>
      <c r="D448" t="s">
        <v>66</v>
      </c>
      <c r="E448">
        <v>2025</v>
      </c>
      <c r="F448" t="s">
        <v>59</v>
      </c>
      <c r="G448" t="s">
        <v>35</v>
      </c>
      <c r="H448" t="s">
        <v>230</v>
      </c>
      <c r="I448" t="s">
        <v>363</v>
      </c>
      <c r="J448" t="s">
        <v>100</v>
      </c>
      <c r="K448" t="s">
        <v>101</v>
      </c>
      <c r="L448" t="s">
        <v>40</v>
      </c>
      <c r="M448" t="s">
        <v>221</v>
      </c>
      <c r="N448" t="s">
        <v>222</v>
      </c>
      <c r="O448" t="s">
        <v>104</v>
      </c>
      <c r="P448" t="s">
        <v>223</v>
      </c>
      <c r="Q448">
        <v>28073.72</v>
      </c>
      <c r="R448">
        <v>30339.72</v>
      </c>
      <c r="S448">
        <v>14326.25</v>
      </c>
      <c r="T448">
        <v>3527.8</v>
      </c>
      <c r="U448">
        <v>943.76</v>
      </c>
      <c r="V448">
        <v>2862.78</v>
      </c>
      <c r="W448">
        <v>540.94000000000005</v>
      </c>
      <c r="X448">
        <v>22201.54</v>
      </c>
      <c r="Y448">
        <v>13747.48</v>
      </c>
      <c r="Z448">
        <v>-8454.06</v>
      </c>
      <c r="AA448">
        <v>-0.28360000000000002</v>
      </c>
      <c r="AB448">
        <v>-2266</v>
      </c>
      <c r="AC448">
        <v>2807.37</v>
      </c>
      <c r="AD448">
        <v>4547.9399999999996</v>
      </c>
      <c r="AE448">
        <v>29814.29</v>
      </c>
    </row>
    <row r="449" spans="1:31" x14ac:dyDescent="0.25">
      <c r="A449" t="s">
        <v>650</v>
      </c>
      <c r="B449" s="2">
        <v>45843</v>
      </c>
      <c r="C449" t="s">
        <v>32</v>
      </c>
      <c r="D449" t="s">
        <v>33</v>
      </c>
      <c r="E449">
        <v>2025</v>
      </c>
      <c r="F449" t="s">
        <v>47</v>
      </c>
      <c r="G449" t="s">
        <v>35</v>
      </c>
      <c r="H449" t="s">
        <v>214</v>
      </c>
      <c r="I449" t="s">
        <v>321</v>
      </c>
      <c r="J449" t="s">
        <v>80</v>
      </c>
      <c r="K449" t="s">
        <v>50</v>
      </c>
      <c r="L449" t="s">
        <v>51</v>
      </c>
      <c r="M449" t="s">
        <v>82</v>
      </c>
      <c r="N449" t="s">
        <v>83</v>
      </c>
      <c r="O449" t="s">
        <v>43</v>
      </c>
      <c r="P449" t="s">
        <v>75</v>
      </c>
      <c r="Q449">
        <v>26856.32</v>
      </c>
      <c r="R449">
        <v>30244</v>
      </c>
      <c r="S449">
        <v>16657.28</v>
      </c>
      <c r="T449">
        <v>2435.39</v>
      </c>
      <c r="U449">
        <v>1227.32</v>
      </c>
      <c r="V449">
        <v>2644.66</v>
      </c>
      <c r="W449">
        <v>539.01</v>
      </c>
      <c r="X449">
        <v>23503.65</v>
      </c>
      <c r="Y449">
        <v>10199.049999999999</v>
      </c>
      <c r="Z449">
        <v>-13304.61</v>
      </c>
      <c r="AA449">
        <v>-0.49659999999999999</v>
      </c>
      <c r="AB449">
        <v>-3387.68</v>
      </c>
      <c r="AC449">
        <v>1342.82</v>
      </c>
      <c r="AD449">
        <v>1275.68</v>
      </c>
      <c r="AE449">
        <v>26789.18</v>
      </c>
    </row>
    <row r="450" spans="1:31" x14ac:dyDescent="0.25">
      <c r="A450" t="s">
        <v>651</v>
      </c>
      <c r="B450" s="2">
        <v>45957</v>
      </c>
      <c r="C450" t="s">
        <v>92</v>
      </c>
      <c r="D450" t="s">
        <v>93</v>
      </c>
      <c r="E450">
        <v>2025</v>
      </c>
      <c r="F450" t="s">
        <v>34</v>
      </c>
      <c r="G450" t="s">
        <v>35</v>
      </c>
      <c r="H450" t="s">
        <v>36</v>
      </c>
      <c r="I450" t="s">
        <v>37</v>
      </c>
      <c r="J450" t="s">
        <v>80</v>
      </c>
      <c r="K450" t="s">
        <v>39</v>
      </c>
      <c r="L450" t="s">
        <v>81</v>
      </c>
      <c r="M450" t="s">
        <v>197</v>
      </c>
      <c r="N450" t="s">
        <v>198</v>
      </c>
      <c r="O450" t="s">
        <v>43</v>
      </c>
      <c r="P450" t="s">
        <v>163</v>
      </c>
      <c r="Q450">
        <v>49021.65</v>
      </c>
      <c r="R450">
        <v>56447.87</v>
      </c>
      <c r="S450">
        <v>33152.559999999998</v>
      </c>
      <c r="T450">
        <v>3809.04</v>
      </c>
      <c r="U450">
        <v>3799.33</v>
      </c>
      <c r="V450">
        <v>3358.53</v>
      </c>
      <c r="W450">
        <v>663.42</v>
      </c>
      <c r="X450">
        <v>44782.89</v>
      </c>
      <c r="Y450">
        <v>15869.08</v>
      </c>
      <c r="Z450">
        <v>-28913.8</v>
      </c>
      <c r="AA450">
        <v>-0.5554</v>
      </c>
      <c r="AB450">
        <v>-7426.22</v>
      </c>
      <c r="AC450">
        <v>4902.16</v>
      </c>
      <c r="AD450">
        <v>7941.51</v>
      </c>
      <c r="AE450">
        <v>52060.99</v>
      </c>
    </row>
    <row r="451" spans="1:31" x14ac:dyDescent="0.25">
      <c r="A451" t="s">
        <v>652</v>
      </c>
      <c r="B451" s="2">
        <v>45829</v>
      </c>
      <c r="C451" t="s">
        <v>156</v>
      </c>
      <c r="D451" t="s">
        <v>66</v>
      </c>
      <c r="E451">
        <v>2025</v>
      </c>
      <c r="F451" t="s">
        <v>47</v>
      </c>
      <c r="G451" t="s">
        <v>35</v>
      </c>
      <c r="H451" t="s">
        <v>48</v>
      </c>
      <c r="I451" t="s">
        <v>49</v>
      </c>
      <c r="J451" t="s">
        <v>80</v>
      </c>
      <c r="K451" t="s">
        <v>160</v>
      </c>
      <c r="L451" t="s">
        <v>81</v>
      </c>
      <c r="M451" t="s">
        <v>211</v>
      </c>
      <c r="N451" t="s">
        <v>212</v>
      </c>
      <c r="O451" t="s">
        <v>112</v>
      </c>
      <c r="P451" t="s">
        <v>113</v>
      </c>
      <c r="Q451">
        <v>16967.07</v>
      </c>
      <c r="R451">
        <v>17947.27</v>
      </c>
      <c r="S451">
        <v>9691.2800000000007</v>
      </c>
      <c r="T451">
        <v>1529.66</v>
      </c>
      <c r="U451">
        <v>1091.49</v>
      </c>
      <c r="V451">
        <v>1438.66</v>
      </c>
      <c r="W451">
        <v>458.52</v>
      </c>
      <c r="X451">
        <v>14209.61</v>
      </c>
      <c r="Y451">
        <v>7275.79</v>
      </c>
      <c r="Z451">
        <v>-6933.82</v>
      </c>
      <c r="AA451">
        <v>-0.4012</v>
      </c>
      <c r="AB451">
        <v>-980.2</v>
      </c>
      <c r="AC451">
        <v>509.01</v>
      </c>
      <c r="AD451">
        <v>822.9</v>
      </c>
      <c r="AE451">
        <v>17280.96</v>
      </c>
    </row>
    <row r="452" spans="1:31" x14ac:dyDescent="0.25">
      <c r="A452" t="s">
        <v>653</v>
      </c>
      <c r="B452" s="2">
        <v>46106</v>
      </c>
      <c r="C452" t="s">
        <v>125</v>
      </c>
      <c r="D452" t="s">
        <v>58</v>
      </c>
      <c r="E452">
        <v>2026</v>
      </c>
      <c r="F452" t="s">
        <v>85</v>
      </c>
      <c r="G452" t="s">
        <v>35</v>
      </c>
      <c r="H452" t="s">
        <v>86</v>
      </c>
      <c r="I452" t="s">
        <v>181</v>
      </c>
      <c r="J452" t="s">
        <v>70</v>
      </c>
      <c r="K452" t="s">
        <v>101</v>
      </c>
      <c r="L452" t="s">
        <v>40</v>
      </c>
      <c r="M452" t="s">
        <v>41</v>
      </c>
      <c r="N452" t="s">
        <v>42</v>
      </c>
      <c r="O452" t="s">
        <v>43</v>
      </c>
      <c r="P452" t="s">
        <v>44</v>
      </c>
      <c r="Q452">
        <v>29381.69</v>
      </c>
      <c r="R452">
        <v>30425.32</v>
      </c>
      <c r="S452">
        <v>14897.29</v>
      </c>
      <c r="T452">
        <v>3664.45</v>
      </c>
      <c r="U452">
        <v>1085.1400000000001</v>
      </c>
      <c r="V452">
        <v>1769.4</v>
      </c>
      <c r="W452">
        <v>711.99</v>
      </c>
      <c r="X452">
        <v>22128.27</v>
      </c>
      <c r="Y452">
        <v>14484.4</v>
      </c>
      <c r="Z452">
        <v>-7643.87</v>
      </c>
      <c r="AA452">
        <v>-0.2273</v>
      </c>
      <c r="AB452">
        <v>-1043.6300000000001</v>
      </c>
      <c r="AC452">
        <v>881.45</v>
      </c>
      <c r="AD452">
        <v>5130.04</v>
      </c>
      <c r="AE452">
        <v>33630.28</v>
      </c>
    </row>
    <row r="453" spans="1:31" x14ac:dyDescent="0.25">
      <c r="A453" t="s">
        <v>654</v>
      </c>
      <c r="B453" s="2">
        <v>45770</v>
      </c>
      <c r="C453" t="s">
        <v>128</v>
      </c>
      <c r="D453" t="s">
        <v>66</v>
      </c>
      <c r="E453">
        <v>2025</v>
      </c>
      <c r="F453" t="s">
        <v>47</v>
      </c>
      <c r="G453" t="s">
        <v>35</v>
      </c>
      <c r="H453" t="s">
        <v>78</v>
      </c>
      <c r="I453" t="s">
        <v>115</v>
      </c>
      <c r="J453" t="s">
        <v>100</v>
      </c>
      <c r="K453" t="s">
        <v>71</v>
      </c>
      <c r="L453" t="s">
        <v>51</v>
      </c>
      <c r="M453" t="s">
        <v>221</v>
      </c>
      <c r="N453" t="s">
        <v>222</v>
      </c>
      <c r="O453" t="s">
        <v>104</v>
      </c>
      <c r="P453" t="s">
        <v>223</v>
      </c>
      <c r="Q453">
        <v>6056.35</v>
      </c>
      <c r="R453">
        <v>5350.17</v>
      </c>
      <c r="S453">
        <v>3704.5</v>
      </c>
      <c r="T453">
        <v>774.43</v>
      </c>
      <c r="U453">
        <v>324.10000000000002</v>
      </c>
      <c r="V453">
        <v>504.25</v>
      </c>
      <c r="W453">
        <v>265.75</v>
      </c>
      <c r="X453">
        <v>5573.04</v>
      </c>
      <c r="Y453">
        <v>2351.85</v>
      </c>
      <c r="Z453">
        <v>-3221.19</v>
      </c>
      <c r="AA453">
        <v>-0.45989999999999998</v>
      </c>
      <c r="AB453">
        <v>706.17</v>
      </c>
      <c r="AC453">
        <v>121.13</v>
      </c>
      <c r="AD453">
        <v>1068.3399999999999</v>
      </c>
      <c r="AE453">
        <v>7003.56</v>
      </c>
    </row>
    <row r="454" spans="1:31" x14ac:dyDescent="0.25">
      <c r="A454" t="s">
        <v>655</v>
      </c>
      <c r="B454" s="2">
        <v>45981</v>
      </c>
      <c r="C454" t="s">
        <v>147</v>
      </c>
      <c r="D454" t="s">
        <v>93</v>
      </c>
      <c r="E454">
        <v>2025</v>
      </c>
      <c r="F454" t="s">
        <v>59</v>
      </c>
      <c r="G454" t="s">
        <v>35</v>
      </c>
      <c r="H454" t="s">
        <v>230</v>
      </c>
      <c r="I454" t="s">
        <v>301</v>
      </c>
      <c r="J454" t="s">
        <v>70</v>
      </c>
      <c r="K454" t="s">
        <v>50</v>
      </c>
      <c r="L454" t="s">
        <v>81</v>
      </c>
      <c r="M454" t="s">
        <v>161</v>
      </c>
      <c r="N454" t="s">
        <v>162</v>
      </c>
      <c r="O454" t="s">
        <v>43</v>
      </c>
      <c r="P454" t="s">
        <v>163</v>
      </c>
      <c r="Q454">
        <v>21704.400000000001</v>
      </c>
      <c r="R454">
        <v>21304.3</v>
      </c>
      <c r="S454">
        <v>12884.26</v>
      </c>
      <c r="T454">
        <v>2149.9</v>
      </c>
      <c r="U454">
        <v>1768.3</v>
      </c>
      <c r="V454">
        <v>2017.47</v>
      </c>
      <c r="W454">
        <v>546.77</v>
      </c>
      <c r="X454">
        <v>19366.7</v>
      </c>
      <c r="Y454">
        <v>8820.14</v>
      </c>
      <c r="Z454">
        <v>-10546.56</v>
      </c>
      <c r="AA454">
        <v>-0.4476</v>
      </c>
      <c r="AB454">
        <v>400.09</v>
      </c>
      <c r="AC454">
        <v>1736.35</v>
      </c>
      <c r="AD454">
        <v>3594.25</v>
      </c>
      <c r="AE454">
        <v>23562.3</v>
      </c>
    </row>
    <row r="455" spans="1:31" x14ac:dyDescent="0.25">
      <c r="A455" t="s">
        <v>656</v>
      </c>
      <c r="B455" s="2">
        <v>45946</v>
      </c>
      <c r="C455" t="s">
        <v>92</v>
      </c>
      <c r="D455" t="s">
        <v>93</v>
      </c>
      <c r="E455">
        <v>2025</v>
      </c>
      <c r="F455" t="s">
        <v>34</v>
      </c>
      <c r="G455" t="s">
        <v>35</v>
      </c>
      <c r="H455" t="s">
        <v>134</v>
      </c>
      <c r="I455" t="s">
        <v>154</v>
      </c>
      <c r="J455" t="s">
        <v>80</v>
      </c>
      <c r="K455" t="s">
        <v>50</v>
      </c>
      <c r="L455" t="s">
        <v>51</v>
      </c>
      <c r="M455" t="s">
        <v>161</v>
      </c>
      <c r="N455" t="s">
        <v>162</v>
      </c>
      <c r="O455" t="s">
        <v>43</v>
      </c>
      <c r="P455" t="s">
        <v>163</v>
      </c>
      <c r="Q455">
        <v>49635.46</v>
      </c>
      <c r="R455">
        <v>55776.57</v>
      </c>
      <c r="S455">
        <v>33991.11</v>
      </c>
      <c r="T455">
        <v>6112.47</v>
      </c>
      <c r="U455">
        <v>2096.7800000000002</v>
      </c>
      <c r="V455">
        <v>5574.87</v>
      </c>
      <c r="W455">
        <v>1053.42</v>
      </c>
      <c r="X455">
        <v>48828.65</v>
      </c>
      <c r="Y455">
        <v>15644.35</v>
      </c>
      <c r="Z455">
        <v>-33184.29</v>
      </c>
      <c r="AA455">
        <v>-0.67020000000000002</v>
      </c>
      <c r="AB455">
        <v>-6141.1</v>
      </c>
      <c r="AC455">
        <v>2481.77</v>
      </c>
      <c r="AD455">
        <v>2357.6799999999998</v>
      </c>
      <c r="AE455">
        <v>49511.37</v>
      </c>
    </row>
    <row r="456" spans="1:31" x14ac:dyDescent="0.25">
      <c r="A456" t="s">
        <v>657</v>
      </c>
      <c r="B456" s="2">
        <v>45858</v>
      </c>
      <c r="C456" t="s">
        <v>32</v>
      </c>
      <c r="D456" t="s">
        <v>33</v>
      </c>
      <c r="E456">
        <v>2025</v>
      </c>
      <c r="F456" t="s">
        <v>85</v>
      </c>
      <c r="G456" t="s">
        <v>35</v>
      </c>
      <c r="H456" t="s">
        <v>86</v>
      </c>
      <c r="I456" t="s">
        <v>181</v>
      </c>
      <c r="J456" t="s">
        <v>80</v>
      </c>
      <c r="K456" t="s">
        <v>50</v>
      </c>
      <c r="L456" t="s">
        <v>94</v>
      </c>
      <c r="M456" t="s">
        <v>197</v>
      </c>
      <c r="N456" t="s">
        <v>198</v>
      </c>
      <c r="O456" t="s">
        <v>43</v>
      </c>
      <c r="P456" t="s">
        <v>163</v>
      </c>
      <c r="Q456">
        <v>22226.9</v>
      </c>
      <c r="R456">
        <v>20088.12</v>
      </c>
      <c r="S456">
        <v>11690.41</v>
      </c>
      <c r="T456">
        <v>1798.13</v>
      </c>
      <c r="U456">
        <v>1256.17</v>
      </c>
      <c r="V456">
        <v>1520.31</v>
      </c>
      <c r="W456">
        <v>471.76</v>
      </c>
      <c r="X456">
        <v>16736.79</v>
      </c>
      <c r="Y456">
        <v>10536.5</v>
      </c>
      <c r="Z456">
        <v>-6200.29</v>
      </c>
      <c r="AA456">
        <v>-0.26269999999999999</v>
      </c>
      <c r="AB456">
        <v>2138.79</v>
      </c>
      <c r="AC456">
        <v>2222.69</v>
      </c>
      <c r="AD456">
        <v>3600.76</v>
      </c>
      <c r="AE456">
        <v>23604.97</v>
      </c>
    </row>
    <row r="457" spans="1:31" x14ac:dyDescent="0.25">
      <c r="A457" t="s">
        <v>658</v>
      </c>
      <c r="B457" s="2">
        <v>45795</v>
      </c>
      <c r="C457" t="s">
        <v>65</v>
      </c>
      <c r="D457" t="s">
        <v>66</v>
      </c>
      <c r="E457">
        <v>2025</v>
      </c>
      <c r="F457" t="s">
        <v>59</v>
      </c>
      <c r="G457" t="s">
        <v>35</v>
      </c>
      <c r="H457" t="s">
        <v>254</v>
      </c>
      <c r="I457" t="s">
        <v>200</v>
      </c>
      <c r="J457" t="s">
        <v>80</v>
      </c>
      <c r="K457" t="s">
        <v>50</v>
      </c>
      <c r="L457" t="s">
        <v>94</v>
      </c>
      <c r="M457" t="s">
        <v>82</v>
      </c>
      <c r="N457" t="s">
        <v>83</v>
      </c>
      <c r="O457" t="s">
        <v>43</v>
      </c>
      <c r="P457" t="s">
        <v>75</v>
      </c>
      <c r="Q457">
        <v>50767.77</v>
      </c>
      <c r="R457">
        <v>45491.63</v>
      </c>
      <c r="S457">
        <v>26080.41</v>
      </c>
      <c r="T457">
        <v>5066.82</v>
      </c>
      <c r="U457">
        <v>1954.99</v>
      </c>
      <c r="V457">
        <v>4077.95</v>
      </c>
      <c r="W457">
        <v>1475.86</v>
      </c>
      <c r="X457">
        <v>38656.04</v>
      </c>
      <c r="Y457">
        <v>24687.360000000001</v>
      </c>
      <c r="Z457">
        <v>-13968.68</v>
      </c>
      <c r="AA457">
        <v>-0.2379</v>
      </c>
      <c r="AB457">
        <v>5276.14</v>
      </c>
      <c r="AC457">
        <v>1015.36</v>
      </c>
      <c r="AD457">
        <v>8955.43</v>
      </c>
      <c r="AE457">
        <v>58707.85</v>
      </c>
    </row>
    <row r="458" spans="1:31" x14ac:dyDescent="0.25">
      <c r="A458" t="s">
        <v>659</v>
      </c>
      <c r="B458" s="2">
        <v>45812</v>
      </c>
      <c r="C458" t="s">
        <v>156</v>
      </c>
      <c r="D458" t="s">
        <v>66</v>
      </c>
      <c r="E458">
        <v>2025</v>
      </c>
      <c r="F458" t="s">
        <v>47</v>
      </c>
      <c r="G458" t="s">
        <v>35</v>
      </c>
      <c r="H458" t="s">
        <v>78</v>
      </c>
      <c r="I458" t="s">
        <v>115</v>
      </c>
      <c r="J458" t="s">
        <v>80</v>
      </c>
      <c r="K458" t="s">
        <v>50</v>
      </c>
      <c r="L458" t="s">
        <v>94</v>
      </c>
      <c r="M458" t="s">
        <v>52</v>
      </c>
      <c r="N458" t="s">
        <v>53</v>
      </c>
      <c r="O458" t="s">
        <v>54</v>
      </c>
      <c r="P458" t="s">
        <v>55</v>
      </c>
      <c r="Q458">
        <v>7462.74</v>
      </c>
      <c r="R458">
        <v>7658.56</v>
      </c>
      <c r="S458">
        <v>4234.28</v>
      </c>
      <c r="T458">
        <v>754.86</v>
      </c>
      <c r="U458">
        <v>249.16</v>
      </c>
      <c r="V458">
        <v>555.41999999999996</v>
      </c>
      <c r="W458">
        <v>146.38</v>
      </c>
      <c r="X458">
        <v>5940.1</v>
      </c>
      <c r="Y458">
        <v>3228.46</v>
      </c>
      <c r="Z458">
        <v>-2711.63</v>
      </c>
      <c r="AA458">
        <v>-0.37609999999999999</v>
      </c>
      <c r="AB458">
        <v>-195.82</v>
      </c>
      <c r="AC458">
        <v>597.02</v>
      </c>
      <c r="AD458">
        <v>343.29</v>
      </c>
      <c r="AE458">
        <v>7209</v>
      </c>
    </row>
    <row r="459" spans="1:31" x14ac:dyDescent="0.25">
      <c r="A459" t="s">
        <v>660</v>
      </c>
      <c r="B459" s="2">
        <v>45878</v>
      </c>
      <c r="C459" t="s">
        <v>117</v>
      </c>
      <c r="D459" t="s">
        <v>33</v>
      </c>
      <c r="E459">
        <v>2025</v>
      </c>
      <c r="F459" t="s">
        <v>34</v>
      </c>
      <c r="G459" t="s">
        <v>35</v>
      </c>
      <c r="H459" t="s">
        <v>157</v>
      </c>
      <c r="I459" t="s">
        <v>158</v>
      </c>
      <c r="J459" t="s">
        <v>100</v>
      </c>
      <c r="K459" t="s">
        <v>50</v>
      </c>
      <c r="L459" t="s">
        <v>40</v>
      </c>
      <c r="M459" t="s">
        <v>186</v>
      </c>
      <c r="N459" t="s">
        <v>187</v>
      </c>
      <c r="O459" t="s">
        <v>173</v>
      </c>
      <c r="P459" t="s">
        <v>174</v>
      </c>
      <c r="Q459">
        <v>25961.72</v>
      </c>
      <c r="R459">
        <v>22888.36</v>
      </c>
      <c r="S459">
        <v>16626.96</v>
      </c>
      <c r="T459">
        <v>3318.17</v>
      </c>
      <c r="U459">
        <v>1673.07</v>
      </c>
      <c r="V459">
        <v>1287.54</v>
      </c>
      <c r="W459">
        <v>551.04999999999995</v>
      </c>
      <c r="X459">
        <v>23456.79</v>
      </c>
      <c r="Y459">
        <v>9334.77</v>
      </c>
      <c r="Z459">
        <v>-14122.03</v>
      </c>
      <c r="AA459">
        <v>-0.56310000000000004</v>
      </c>
      <c r="AB459">
        <v>3073.36</v>
      </c>
      <c r="AC459">
        <v>2076.94</v>
      </c>
      <c r="AD459">
        <v>1194.24</v>
      </c>
      <c r="AE459">
        <v>25079.03</v>
      </c>
    </row>
    <row r="460" spans="1:31" x14ac:dyDescent="0.25">
      <c r="A460" t="s">
        <v>661</v>
      </c>
      <c r="B460" s="2">
        <v>45836</v>
      </c>
      <c r="C460" t="s">
        <v>156</v>
      </c>
      <c r="D460" t="s">
        <v>66</v>
      </c>
      <c r="E460">
        <v>2025</v>
      </c>
      <c r="F460" t="s">
        <v>67</v>
      </c>
      <c r="G460" t="s">
        <v>35</v>
      </c>
      <c r="H460" t="s">
        <v>217</v>
      </c>
      <c r="I460" t="s">
        <v>218</v>
      </c>
      <c r="J460" t="s">
        <v>70</v>
      </c>
      <c r="K460" t="s">
        <v>50</v>
      </c>
      <c r="L460" t="s">
        <v>40</v>
      </c>
      <c r="M460" t="s">
        <v>102</v>
      </c>
      <c r="N460" t="s">
        <v>103</v>
      </c>
      <c r="O460" t="s">
        <v>104</v>
      </c>
      <c r="P460" t="s">
        <v>105</v>
      </c>
      <c r="Q460">
        <v>15991.94</v>
      </c>
      <c r="R460">
        <v>18206.63</v>
      </c>
      <c r="S460">
        <v>11292.3</v>
      </c>
      <c r="T460">
        <v>1462.93</v>
      </c>
      <c r="U460">
        <v>766.02</v>
      </c>
      <c r="V460">
        <v>939.12</v>
      </c>
      <c r="W460">
        <v>187.78</v>
      </c>
      <c r="X460">
        <v>14648.16</v>
      </c>
      <c r="Y460">
        <v>4699.6400000000003</v>
      </c>
      <c r="Z460">
        <v>-9948.52</v>
      </c>
      <c r="AA460">
        <v>-0.53800000000000003</v>
      </c>
      <c r="AB460">
        <v>-2214.6799999999998</v>
      </c>
      <c r="AC460">
        <v>319.83999999999997</v>
      </c>
      <c r="AD460">
        <v>2820.98</v>
      </c>
      <c r="AE460">
        <v>18493.080000000002</v>
      </c>
    </row>
    <row r="461" spans="1:31" x14ac:dyDescent="0.25">
      <c r="A461" t="s">
        <v>662</v>
      </c>
      <c r="B461" s="2">
        <v>45906</v>
      </c>
      <c r="C461" t="s">
        <v>46</v>
      </c>
      <c r="D461" t="s">
        <v>33</v>
      </c>
      <c r="E461">
        <v>2025</v>
      </c>
      <c r="F461" t="s">
        <v>59</v>
      </c>
      <c r="G461" t="s">
        <v>35</v>
      </c>
      <c r="H461" t="s">
        <v>60</v>
      </c>
      <c r="I461" t="s">
        <v>185</v>
      </c>
      <c r="J461" t="s">
        <v>100</v>
      </c>
      <c r="K461" t="s">
        <v>50</v>
      </c>
      <c r="L461" t="s">
        <v>94</v>
      </c>
      <c r="M461" t="s">
        <v>189</v>
      </c>
      <c r="N461" t="s">
        <v>190</v>
      </c>
      <c r="O461" t="s">
        <v>104</v>
      </c>
      <c r="P461" t="s">
        <v>105</v>
      </c>
      <c r="Q461">
        <v>6547.4</v>
      </c>
      <c r="R461">
        <v>6978.68</v>
      </c>
      <c r="S461">
        <v>4204.2700000000004</v>
      </c>
      <c r="T461">
        <v>734.53</v>
      </c>
      <c r="U461">
        <v>400.6</v>
      </c>
      <c r="V461">
        <v>600.14</v>
      </c>
      <c r="W461">
        <v>68.569999999999993</v>
      </c>
      <c r="X461">
        <v>6008.11</v>
      </c>
      <c r="Y461">
        <v>2343.13</v>
      </c>
      <c r="Z461">
        <v>-3664.98</v>
      </c>
      <c r="AA461">
        <v>-0.47439999999999999</v>
      </c>
      <c r="AB461">
        <v>-431.28</v>
      </c>
      <c r="AC461">
        <v>0</v>
      </c>
      <c r="AD461">
        <v>1178.53</v>
      </c>
      <c r="AE461">
        <v>7725.93</v>
      </c>
    </row>
    <row r="462" spans="1:31" x14ac:dyDescent="0.25">
      <c r="A462" t="s">
        <v>663</v>
      </c>
      <c r="B462" s="2">
        <v>45975</v>
      </c>
      <c r="C462" t="s">
        <v>147</v>
      </c>
      <c r="D462" t="s">
        <v>93</v>
      </c>
      <c r="E462">
        <v>2025</v>
      </c>
      <c r="F462" t="s">
        <v>34</v>
      </c>
      <c r="G462" t="s">
        <v>35</v>
      </c>
      <c r="H462" t="s">
        <v>98</v>
      </c>
      <c r="I462" t="s">
        <v>99</v>
      </c>
      <c r="J462" t="s">
        <v>100</v>
      </c>
      <c r="K462" t="s">
        <v>50</v>
      </c>
      <c r="L462" t="s">
        <v>40</v>
      </c>
      <c r="M462" t="s">
        <v>82</v>
      </c>
      <c r="N462" t="s">
        <v>83</v>
      </c>
      <c r="O462" t="s">
        <v>43</v>
      </c>
      <c r="P462" t="s">
        <v>75</v>
      </c>
      <c r="Q462">
        <v>47996.35</v>
      </c>
      <c r="R462">
        <v>45038.07</v>
      </c>
      <c r="S462">
        <v>31466.560000000001</v>
      </c>
      <c r="T462">
        <v>2991.7</v>
      </c>
      <c r="U462">
        <v>3869.31</v>
      </c>
      <c r="V462">
        <v>3896.04</v>
      </c>
      <c r="W462">
        <v>657.53</v>
      </c>
      <c r="X462">
        <v>42881.13</v>
      </c>
      <c r="Y462">
        <v>16529.8</v>
      </c>
      <c r="Z462">
        <v>-26351.34</v>
      </c>
      <c r="AA462">
        <v>-0.51600000000000001</v>
      </c>
      <c r="AB462">
        <v>2958.28</v>
      </c>
      <c r="AC462">
        <v>2399.8200000000002</v>
      </c>
      <c r="AD462">
        <v>5471.58</v>
      </c>
      <c r="AE462">
        <v>51068.12</v>
      </c>
    </row>
    <row r="463" spans="1:31" x14ac:dyDescent="0.25">
      <c r="A463" t="s">
        <v>664</v>
      </c>
      <c r="B463" s="2">
        <v>45819</v>
      </c>
      <c r="C463" t="s">
        <v>156</v>
      </c>
      <c r="D463" t="s">
        <v>66</v>
      </c>
      <c r="E463">
        <v>2025</v>
      </c>
      <c r="F463" t="s">
        <v>59</v>
      </c>
      <c r="G463" t="s">
        <v>35</v>
      </c>
      <c r="H463" t="s">
        <v>230</v>
      </c>
      <c r="I463" t="s">
        <v>231</v>
      </c>
      <c r="J463" t="s">
        <v>80</v>
      </c>
      <c r="K463" t="s">
        <v>50</v>
      </c>
      <c r="L463" t="s">
        <v>51</v>
      </c>
      <c r="M463" t="s">
        <v>95</v>
      </c>
      <c r="N463" t="s">
        <v>96</v>
      </c>
      <c r="O463" t="s">
        <v>43</v>
      </c>
      <c r="P463" t="s">
        <v>90</v>
      </c>
      <c r="Q463">
        <v>34565.629999999997</v>
      </c>
      <c r="R463">
        <v>37509.339999999997</v>
      </c>
      <c r="S463">
        <v>20754.64</v>
      </c>
      <c r="T463">
        <v>3879.49</v>
      </c>
      <c r="U463">
        <v>2754.43</v>
      </c>
      <c r="V463">
        <v>2985.82</v>
      </c>
      <c r="W463">
        <v>1094.44</v>
      </c>
      <c r="X463">
        <v>31468.84</v>
      </c>
      <c r="Y463">
        <v>13810.99</v>
      </c>
      <c r="Z463">
        <v>-17657.849999999999</v>
      </c>
      <c r="AA463">
        <v>-0.44180000000000003</v>
      </c>
      <c r="AB463">
        <v>-2943.71</v>
      </c>
      <c r="AC463">
        <v>691.31</v>
      </c>
      <c r="AD463">
        <v>6097.38</v>
      </c>
      <c r="AE463">
        <v>39971.699999999997</v>
      </c>
    </row>
    <row r="464" spans="1:31" x14ac:dyDescent="0.25">
      <c r="A464" t="s">
        <v>665</v>
      </c>
      <c r="B464" s="2">
        <v>45758</v>
      </c>
      <c r="C464" t="s">
        <v>128</v>
      </c>
      <c r="D464" t="s">
        <v>66</v>
      </c>
      <c r="E464">
        <v>2025</v>
      </c>
      <c r="F464" t="s">
        <v>47</v>
      </c>
      <c r="G464" t="s">
        <v>35</v>
      </c>
      <c r="H464" t="s">
        <v>78</v>
      </c>
      <c r="I464" t="s">
        <v>183</v>
      </c>
      <c r="J464" t="s">
        <v>38</v>
      </c>
      <c r="K464" t="s">
        <v>50</v>
      </c>
      <c r="L464" t="s">
        <v>72</v>
      </c>
      <c r="M464" t="s">
        <v>221</v>
      </c>
      <c r="N464" t="s">
        <v>222</v>
      </c>
      <c r="O464" t="s">
        <v>104</v>
      </c>
      <c r="P464" t="s">
        <v>223</v>
      </c>
      <c r="Q464">
        <v>19595.21</v>
      </c>
      <c r="R464">
        <v>17351.830000000002</v>
      </c>
      <c r="S464">
        <v>12648.96</v>
      </c>
      <c r="T464">
        <v>1452.23</v>
      </c>
      <c r="U464">
        <v>1287.19</v>
      </c>
      <c r="V464">
        <v>1019.8</v>
      </c>
      <c r="W464">
        <v>517.63</v>
      </c>
      <c r="X464">
        <v>16925.82</v>
      </c>
      <c r="Y464">
        <v>6946.24</v>
      </c>
      <c r="Z464">
        <v>-9979.58</v>
      </c>
      <c r="AA464">
        <v>-0.46879999999999999</v>
      </c>
      <c r="AB464">
        <v>2243.37</v>
      </c>
      <c r="AC464">
        <v>587.86</v>
      </c>
      <c r="AD464">
        <v>2280.88</v>
      </c>
      <c r="AE464">
        <v>21288.23</v>
      </c>
    </row>
    <row r="465" spans="1:31" x14ac:dyDescent="0.25">
      <c r="A465" t="s">
        <v>666</v>
      </c>
      <c r="B465" s="2">
        <v>45806</v>
      </c>
      <c r="C465" t="s">
        <v>65</v>
      </c>
      <c r="D465" t="s">
        <v>66</v>
      </c>
      <c r="E465">
        <v>2025</v>
      </c>
      <c r="F465" t="s">
        <v>34</v>
      </c>
      <c r="G465" t="s">
        <v>35</v>
      </c>
      <c r="H465" t="s">
        <v>157</v>
      </c>
      <c r="I465" t="s">
        <v>166</v>
      </c>
      <c r="J465" t="s">
        <v>80</v>
      </c>
      <c r="K465" t="s">
        <v>39</v>
      </c>
      <c r="L465" t="s">
        <v>40</v>
      </c>
      <c r="M465" t="s">
        <v>211</v>
      </c>
      <c r="N465" t="s">
        <v>212</v>
      </c>
      <c r="O465" t="s">
        <v>112</v>
      </c>
      <c r="P465" t="s">
        <v>113</v>
      </c>
      <c r="Q465">
        <v>16088.8</v>
      </c>
      <c r="R465">
        <v>18140.77</v>
      </c>
      <c r="S465">
        <v>9596.35</v>
      </c>
      <c r="T465">
        <v>1503.86</v>
      </c>
      <c r="U465">
        <v>720.93</v>
      </c>
      <c r="V465">
        <v>877.56</v>
      </c>
      <c r="W465">
        <v>209.26</v>
      </c>
      <c r="X465">
        <v>12907.96</v>
      </c>
      <c r="Y465">
        <v>6492.45</v>
      </c>
      <c r="Z465">
        <v>-6415.51</v>
      </c>
      <c r="AA465">
        <v>-0.39979999999999999</v>
      </c>
      <c r="AB465">
        <v>-2051.9699999999998</v>
      </c>
      <c r="AC465">
        <v>804.44</v>
      </c>
      <c r="AD465">
        <v>764.22</v>
      </c>
      <c r="AE465">
        <v>16048.58</v>
      </c>
    </row>
    <row r="466" spans="1:31" x14ac:dyDescent="0.25">
      <c r="A466" t="s">
        <v>667</v>
      </c>
      <c r="B466" s="2">
        <v>46072</v>
      </c>
      <c r="C466" t="s">
        <v>57</v>
      </c>
      <c r="D466" t="s">
        <v>58</v>
      </c>
      <c r="E466">
        <v>2026</v>
      </c>
      <c r="F466" t="s">
        <v>59</v>
      </c>
      <c r="G466" t="s">
        <v>35</v>
      </c>
      <c r="H466" t="s">
        <v>60</v>
      </c>
      <c r="I466" t="s">
        <v>61</v>
      </c>
      <c r="J466" t="s">
        <v>38</v>
      </c>
      <c r="K466" t="s">
        <v>101</v>
      </c>
      <c r="L466" t="s">
        <v>72</v>
      </c>
      <c r="M466" t="s">
        <v>186</v>
      </c>
      <c r="N466" t="s">
        <v>187</v>
      </c>
      <c r="O466" t="s">
        <v>173</v>
      </c>
      <c r="P466" t="s">
        <v>174</v>
      </c>
      <c r="Q466">
        <v>9186.8799999999992</v>
      </c>
      <c r="R466">
        <v>9913.75</v>
      </c>
      <c r="S466">
        <v>5877.66</v>
      </c>
      <c r="T466">
        <v>669.7</v>
      </c>
      <c r="U466">
        <v>504.42</v>
      </c>
      <c r="V466">
        <v>509.65</v>
      </c>
      <c r="W466">
        <v>159.51</v>
      </c>
      <c r="X466">
        <v>7720.94</v>
      </c>
      <c r="Y466">
        <v>3309.22</v>
      </c>
      <c r="Z466">
        <v>-4411.72</v>
      </c>
      <c r="AA466">
        <v>-0.40699999999999997</v>
      </c>
      <c r="AB466">
        <v>-726.87</v>
      </c>
      <c r="AC466">
        <v>0</v>
      </c>
      <c r="AD466">
        <v>1653.64</v>
      </c>
      <c r="AE466">
        <v>10840.52</v>
      </c>
    </row>
    <row r="467" spans="1:31" x14ac:dyDescent="0.25">
      <c r="A467" t="s">
        <v>668</v>
      </c>
      <c r="B467" s="2">
        <v>46040</v>
      </c>
      <c r="C467" t="s">
        <v>77</v>
      </c>
      <c r="D467" t="s">
        <v>58</v>
      </c>
      <c r="E467">
        <v>2026</v>
      </c>
      <c r="F467" t="s">
        <v>85</v>
      </c>
      <c r="G467" t="s">
        <v>35</v>
      </c>
      <c r="H467" t="s">
        <v>86</v>
      </c>
      <c r="I467" t="s">
        <v>181</v>
      </c>
      <c r="J467" t="s">
        <v>38</v>
      </c>
      <c r="K467" t="s">
        <v>50</v>
      </c>
      <c r="L467" t="s">
        <v>40</v>
      </c>
      <c r="M467" t="s">
        <v>211</v>
      </c>
      <c r="N467" t="s">
        <v>212</v>
      </c>
      <c r="O467" t="s">
        <v>112</v>
      </c>
      <c r="P467" t="s">
        <v>113</v>
      </c>
      <c r="Q467">
        <v>21537.45</v>
      </c>
      <c r="R467">
        <v>25127.56</v>
      </c>
      <c r="S467">
        <v>14328.9</v>
      </c>
      <c r="T467">
        <v>2528.27</v>
      </c>
      <c r="U467">
        <v>1603.24</v>
      </c>
      <c r="V467">
        <v>1151.32</v>
      </c>
      <c r="W467">
        <v>843.73</v>
      </c>
      <c r="X467">
        <v>20455.46</v>
      </c>
      <c r="Y467">
        <v>7208.55</v>
      </c>
      <c r="Z467">
        <v>-13246.91</v>
      </c>
      <c r="AA467">
        <v>-0.53190000000000004</v>
      </c>
      <c r="AB467">
        <v>-3590.12</v>
      </c>
      <c r="AC467">
        <v>430.75</v>
      </c>
      <c r="AD467">
        <v>3799.21</v>
      </c>
      <c r="AE467">
        <v>24905.9</v>
      </c>
    </row>
    <row r="468" spans="1:31" x14ac:dyDescent="0.25">
      <c r="A468" t="s">
        <v>669</v>
      </c>
      <c r="B468" s="2">
        <v>45869</v>
      </c>
      <c r="C468" t="s">
        <v>32</v>
      </c>
      <c r="D468" t="s">
        <v>33</v>
      </c>
      <c r="E468">
        <v>2025</v>
      </c>
      <c r="F468" t="s">
        <v>47</v>
      </c>
      <c r="G468" t="s">
        <v>35</v>
      </c>
      <c r="H468" t="s">
        <v>78</v>
      </c>
      <c r="I468" t="s">
        <v>183</v>
      </c>
      <c r="J468" t="s">
        <v>80</v>
      </c>
      <c r="K468" t="s">
        <v>50</v>
      </c>
      <c r="L468" t="s">
        <v>72</v>
      </c>
      <c r="M468" t="s">
        <v>88</v>
      </c>
      <c r="N468" t="s">
        <v>89</v>
      </c>
      <c r="O468" t="s">
        <v>43</v>
      </c>
      <c r="P468" t="s">
        <v>90</v>
      </c>
      <c r="Q468">
        <v>32768.339999999997</v>
      </c>
      <c r="R468">
        <v>31363.52</v>
      </c>
      <c r="S468">
        <v>19499.43</v>
      </c>
      <c r="T468">
        <v>2601.2199999999998</v>
      </c>
      <c r="U468">
        <v>2765.58</v>
      </c>
      <c r="V468">
        <v>2276.21</v>
      </c>
      <c r="W468">
        <v>755.98</v>
      </c>
      <c r="X468">
        <v>27898.43</v>
      </c>
      <c r="Y468">
        <v>13268.91</v>
      </c>
      <c r="Z468">
        <v>-14629.52</v>
      </c>
      <c r="AA468">
        <v>-0.3901</v>
      </c>
      <c r="AB468">
        <v>1404.82</v>
      </c>
      <c r="AC468">
        <v>983.05</v>
      </c>
      <c r="AD468">
        <v>5721.35</v>
      </c>
      <c r="AE468">
        <v>37506.639999999999</v>
      </c>
    </row>
    <row r="469" spans="1:31" x14ac:dyDescent="0.25">
      <c r="A469" t="s">
        <v>670</v>
      </c>
      <c r="B469" s="2">
        <v>45802</v>
      </c>
      <c r="C469" t="s">
        <v>65</v>
      </c>
      <c r="D469" t="s">
        <v>66</v>
      </c>
      <c r="E469">
        <v>2025</v>
      </c>
      <c r="F469" t="s">
        <v>34</v>
      </c>
      <c r="G469" t="s">
        <v>35</v>
      </c>
      <c r="H469" t="s">
        <v>36</v>
      </c>
      <c r="I469" t="s">
        <v>145</v>
      </c>
      <c r="J469" t="s">
        <v>80</v>
      </c>
      <c r="K469" t="s">
        <v>71</v>
      </c>
      <c r="L469" t="s">
        <v>94</v>
      </c>
      <c r="M469" t="s">
        <v>171</v>
      </c>
      <c r="N469" t="s">
        <v>172</v>
      </c>
      <c r="O469" t="s">
        <v>173</v>
      </c>
      <c r="P469" t="s">
        <v>174</v>
      </c>
      <c r="Q469">
        <v>19027.71</v>
      </c>
      <c r="R469">
        <v>20554.2</v>
      </c>
      <c r="S469">
        <v>9191.59</v>
      </c>
      <c r="T469">
        <v>2278.08</v>
      </c>
      <c r="U469">
        <v>1028.22</v>
      </c>
      <c r="V469">
        <v>1283.18</v>
      </c>
      <c r="W469">
        <v>282.33999999999997</v>
      </c>
      <c r="X469">
        <v>14063.41</v>
      </c>
      <c r="Y469">
        <v>9836.11</v>
      </c>
      <c r="Z469">
        <v>-4227.3</v>
      </c>
      <c r="AA469">
        <v>-0.20449999999999999</v>
      </c>
      <c r="AB469">
        <v>-1526.49</v>
      </c>
      <c r="AC469">
        <v>570.83000000000004</v>
      </c>
      <c r="AD469">
        <v>2214.83</v>
      </c>
      <c r="AE469">
        <v>20671.7</v>
      </c>
    </row>
    <row r="470" spans="1:31" x14ac:dyDescent="0.25">
      <c r="A470" t="s">
        <v>671</v>
      </c>
      <c r="B470" s="2">
        <v>45972</v>
      </c>
      <c r="C470" t="s">
        <v>147</v>
      </c>
      <c r="D470" t="s">
        <v>93</v>
      </c>
      <c r="E470">
        <v>2025</v>
      </c>
      <c r="F470" t="s">
        <v>85</v>
      </c>
      <c r="G470" t="s">
        <v>35</v>
      </c>
      <c r="H470" t="s">
        <v>86</v>
      </c>
      <c r="I470" t="s">
        <v>262</v>
      </c>
      <c r="J470" t="s">
        <v>80</v>
      </c>
      <c r="K470" t="s">
        <v>71</v>
      </c>
      <c r="L470" t="s">
        <v>81</v>
      </c>
      <c r="M470" t="s">
        <v>120</v>
      </c>
      <c r="N470" t="s">
        <v>121</v>
      </c>
      <c r="O470" t="s">
        <v>43</v>
      </c>
      <c r="P470" t="s">
        <v>122</v>
      </c>
      <c r="Q470">
        <v>31138.2</v>
      </c>
      <c r="R470">
        <v>32106.16</v>
      </c>
      <c r="S470">
        <v>21426.17</v>
      </c>
      <c r="T470">
        <v>3930.07</v>
      </c>
      <c r="U470">
        <v>1597.88</v>
      </c>
      <c r="V470">
        <v>2506.88</v>
      </c>
      <c r="W470">
        <v>1370.18</v>
      </c>
      <c r="X470">
        <v>30831.18</v>
      </c>
      <c r="Y470">
        <v>9712.0300000000007</v>
      </c>
      <c r="Z470">
        <v>-21119.15</v>
      </c>
      <c r="AA470">
        <v>-0.58650000000000002</v>
      </c>
      <c r="AB470">
        <v>-967.96</v>
      </c>
      <c r="AC470">
        <v>622.76</v>
      </c>
      <c r="AD470">
        <v>5492.78</v>
      </c>
      <c r="AE470">
        <v>36008.22</v>
      </c>
    </row>
    <row r="471" spans="1:31" x14ac:dyDescent="0.25">
      <c r="A471" t="s">
        <v>672</v>
      </c>
      <c r="B471" s="2">
        <v>45869</v>
      </c>
      <c r="C471" t="s">
        <v>32</v>
      </c>
      <c r="D471" t="s">
        <v>33</v>
      </c>
      <c r="E471">
        <v>2025</v>
      </c>
      <c r="F471" t="s">
        <v>85</v>
      </c>
      <c r="G471" t="s">
        <v>35</v>
      </c>
      <c r="H471" t="s">
        <v>60</v>
      </c>
      <c r="I471" t="s">
        <v>185</v>
      </c>
      <c r="J471" t="s">
        <v>38</v>
      </c>
      <c r="K471" t="s">
        <v>39</v>
      </c>
      <c r="L471" t="s">
        <v>94</v>
      </c>
      <c r="M471" t="s">
        <v>141</v>
      </c>
      <c r="N471" t="s">
        <v>142</v>
      </c>
      <c r="O471" t="s">
        <v>54</v>
      </c>
      <c r="P471" t="s">
        <v>143</v>
      </c>
      <c r="Q471">
        <v>10411.91</v>
      </c>
      <c r="R471">
        <v>9232.9699999999993</v>
      </c>
      <c r="S471">
        <v>5279.73</v>
      </c>
      <c r="T471">
        <v>1028.25</v>
      </c>
      <c r="U471">
        <v>815.64</v>
      </c>
      <c r="V471">
        <v>654.07000000000005</v>
      </c>
      <c r="W471">
        <v>191.29</v>
      </c>
      <c r="X471">
        <v>7968.99</v>
      </c>
      <c r="Y471">
        <v>5132.18</v>
      </c>
      <c r="Z471">
        <v>-2836.82</v>
      </c>
      <c r="AA471">
        <v>-0.28199999999999997</v>
      </c>
      <c r="AB471">
        <v>1178.93</v>
      </c>
      <c r="AC471">
        <v>832.95</v>
      </c>
      <c r="AD471">
        <v>478.95</v>
      </c>
      <c r="AE471">
        <v>10057.9</v>
      </c>
    </row>
    <row r="472" spans="1:31" x14ac:dyDescent="0.25">
      <c r="A472" t="s">
        <v>673</v>
      </c>
      <c r="B472" s="2">
        <v>45862</v>
      </c>
      <c r="C472" t="s">
        <v>32</v>
      </c>
      <c r="D472" t="s">
        <v>33</v>
      </c>
      <c r="E472">
        <v>2025</v>
      </c>
      <c r="F472" t="s">
        <v>34</v>
      </c>
      <c r="G472" t="s">
        <v>35</v>
      </c>
      <c r="H472" t="s">
        <v>157</v>
      </c>
      <c r="I472" t="s">
        <v>166</v>
      </c>
      <c r="J472" t="s">
        <v>38</v>
      </c>
      <c r="K472" t="s">
        <v>71</v>
      </c>
      <c r="L472" t="s">
        <v>81</v>
      </c>
      <c r="M472" t="s">
        <v>88</v>
      </c>
      <c r="N472" t="s">
        <v>89</v>
      </c>
      <c r="O472" t="s">
        <v>43</v>
      </c>
      <c r="P472" t="s">
        <v>90</v>
      </c>
      <c r="Q472">
        <v>47549.69</v>
      </c>
      <c r="R472">
        <v>53911.34</v>
      </c>
      <c r="S472">
        <v>27702.51</v>
      </c>
      <c r="T472">
        <v>3413.08</v>
      </c>
      <c r="U472">
        <v>2376.08</v>
      </c>
      <c r="V472">
        <v>5081.87</v>
      </c>
      <c r="W472">
        <v>722.86</v>
      </c>
      <c r="X472">
        <v>39296.400000000001</v>
      </c>
      <c r="Y472">
        <v>19847.169999999998</v>
      </c>
      <c r="Z472">
        <v>-19449.22</v>
      </c>
      <c r="AA472">
        <v>-0.3765</v>
      </c>
      <c r="AB472">
        <v>-6361.65</v>
      </c>
      <c r="AC472">
        <v>1426.49</v>
      </c>
      <c r="AD472">
        <v>5534.78</v>
      </c>
      <c r="AE472">
        <v>51657.98</v>
      </c>
    </row>
    <row r="473" spans="1:31" x14ac:dyDescent="0.25">
      <c r="A473" t="s">
        <v>674</v>
      </c>
      <c r="B473" s="2">
        <v>45832</v>
      </c>
      <c r="C473" t="s">
        <v>156</v>
      </c>
      <c r="D473" t="s">
        <v>66</v>
      </c>
      <c r="E473">
        <v>2025</v>
      </c>
      <c r="F473" t="s">
        <v>34</v>
      </c>
      <c r="G473" t="s">
        <v>35</v>
      </c>
      <c r="H473" t="s">
        <v>134</v>
      </c>
      <c r="I473" t="s">
        <v>135</v>
      </c>
      <c r="J473" t="s">
        <v>80</v>
      </c>
      <c r="K473" t="s">
        <v>101</v>
      </c>
      <c r="L473" t="s">
        <v>94</v>
      </c>
      <c r="M473" t="s">
        <v>82</v>
      </c>
      <c r="N473" t="s">
        <v>83</v>
      </c>
      <c r="O473" t="s">
        <v>43</v>
      </c>
      <c r="P473" t="s">
        <v>75</v>
      </c>
      <c r="Q473">
        <v>23059.89</v>
      </c>
      <c r="R473">
        <v>27136.07</v>
      </c>
      <c r="S473">
        <v>11992.04</v>
      </c>
      <c r="T473">
        <v>1239.1199999999999</v>
      </c>
      <c r="U473">
        <v>1744.93</v>
      </c>
      <c r="V473">
        <v>1388.36</v>
      </c>
      <c r="W473">
        <v>900.2</v>
      </c>
      <c r="X473">
        <v>17264.66</v>
      </c>
      <c r="Y473">
        <v>11067.84</v>
      </c>
      <c r="Z473">
        <v>-6196.81</v>
      </c>
      <c r="AA473">
        <v>-0.2397</v>
      </c>
      <c r="AB473">
        <v>-4076.18</v>
      </c>
      <c r="AC473">
        <v>1152.99</v>
      </c>
      <c r="AD473">
        <v>3943.24</v>
      </c>
      <c r="AE473">
        <v>25850.13</v>
      </c>
    </row>
    <row r="474" spans="1:31" x14ac:dyDescent="0.25">
      <c r="A474" t="s">
        <v>675</v>
      </c>
      <c r="B474" s="2">
        <v>45901</v>
      </c>
      <c r="C474" t="s">
        <v>46</v>
      </c>
      <c r="D474" t="s">
        <v>33</v>
      </c>
      <c r="E474">
        <v>2025</v>
      </c>
      <c r="F474" t="s">
        <v>67</v>
      </c>
      <c r="G474" t="s">
        <v>35</v>
      </c>
      <c r="H474" t="s">
        <v>118</v>
      </c>
      <c r="I474" t="s">
        <v>119</v>
      </c>
      <c r="J474" t="s">
        <v>70</v>
      </c>
      <c r="K474" t="s">
        <v>50</v>
      </c>
      <c r="L474" t="s">
        <v>94</v>
      </c>
      <c r="M474" t="s">
        <v>82</v>
      </c>
      <c r="N474" t="s">
        <v>83</v>
      </c>
      <c r="O474" t="s">
        <v>43</v>
      </c>
      <c r="P474" t="s">
        <v>75</v>
      </c>
      <c r="Q474">
        <v>38708.400000000001</v>
      </c>
      <c r="R474">
        <v>40724.65</v>
      </c>
      <c r="S474">
        <v>26212.11</v>
      </c>
      <c r="T474">
        <v>2023.89</v>
      </c>
      <c r="U474">
        <v>2554.96</v>
      </c>
      <c r="V474">
        <v>2630.89</v>
      </c>
      <c r="W474">
        <v>783.59</v>
      </c>
      <c r="X474">
        <v>34205.440000000002</v>
      </c>
      <c r="Y474">
        <v>12496.29</v>
      </c>
      <c r="Z474">
        <v>-21709.15</v>
      </c>
      <c r="AA474">
        <v>-0.51619999999999999</v>
      </c>
      <c r="AB474">
        <v>-2016.26</v>
      </c>
      <c r="AC474">
        <v>1161.25</v>
      </c>
      <c r="AD474">
        <v>4505.66</v>
      </c>
      <c r="AE474">
        <v>42052.800000000003</v>
      </c>
    </row>
    <row r="475" spans="1:31" x14ac:dyDescent="0.25">
      <c r="A475" t="s">
        <v>676</v>
      </c>
      <c r="B475" s="2">
        <v>46075</v>
      </c>
      <c r="C475" t="s">
        <v>57</v>
      </c>
      <c r="D475" t="s">
        <v>58</v>
      </c>
      <c r="E475">
        <v>2026</v>
      </c>
      <c r="F475" t="s">
        <v>59</v>
      </c>
      <c r="G475" t="s">
        <v>35</v>
      </c>
      <c r="H475" t="s">
        <v>230</v>
      </c>
      <c r="I475" t="s">
        <v>301</v>
      </c>
      <c r="J475" t="s">
        <v>100</v>
      </c>
      <c r="K475" t="s">
        <v>50</v>
      </c>
      <c r="L475" t="s">
        <v>72</v>
      </c>
      <c r="M475" t="s">
        <v>235</v>
      </c>
      <c r="N475" t="s">
        <v>236</v>
      </c>
      <c r="O475" t="s">
        <v>104</v>
      </c>
      <c r="P475" t="s">
        <v>237</v>
      </c>
      <c r="Q475">
        <v>19741.71</v>
      </c>
      <c r="R475">
        <v>19813.349999999999</v>
      </c>
      <c r="S475">
        <v>10536.28</v>
      </c>
      <c r="T475">
        <v>2459.87</v>
      </c>
      <c r="U475">
        <v>1119.8800000000001</v>
      </c>
      <c r="V475">
        <v>1785.36</v>
      </c>
      <c r="W475">
        <v>704.77</v>
      </c>
      <c r="X475">
        <v>16606.169999999998</v>
      </c>
      <c r="Y475">
        <v>9205.42</v>
      </c>
      <c r="Z475">
        <v>-7400.74</v>
      </c>
      <c r="AA475">
        <v>-0.32750000000000001</v>
      </c>
      <c r="AB475">
        <v>-71.64</v>
      </c>
      <c r="AC475">
        <v>592.25</v>
      </c>
      <c r="AD475">
        <v>3446.9</v>
      </c>
      <c r="AE475">
        <v>22596.36</v>
      </c>
    </row>
    <row r="476" spans="1:31" x14ac:dyDescent="0.25">
      <c r="A476" t="s">
        <v>677</v>
      </c>
      <c r="B476" s="2">
        <v>45756</v>
      </c>
      <c r="C476" t="s">
        <v>128</v>
      </c>
      <c r="D476" t="s">
        <v>66</v>
      </c>
      <c r="E476">
        <v>2025</v>
      </c>
      <c r="F476" t="s">
        <v>59</v>
      </c>
      <c r="G476" t="s">
        <v>35</v>
      </c>
      <c r="H476" t="s">
        <v>254</v>
      </c>
      <c r="I476" t="s">
        <v>314</v>
      </c>
      <c r="J476" t="s">
        <v>80</v>
      </c>
      <c r="K476" t="s">
        <v>101</v>
      </c>
      <c r="L476" t="s">
        <v>40</v>
      </c>
      <c r="M476" t="s">
        <v>82</v>
      </c>
      <c r="N476" t="s">
        <v>83</v>
      </c>
      <c r="O476" t="s">
        <v>43</v>
      </c>
      <c r="P476" t="s">
        <v>75</v>
      </c>
      <c r="Q476">
        <v>18590.14</v>
      </c>
      <c r="R476">
        <v>21044.03</v>
      </c>
      <c r="S476">
        <v>12157.56</v>
      </c>
      <c r="T476">
        <v>2260.21</v>
      </c>
      <c r="U476">
        <v>606.79999999999995</v>
      </c>
      <c r="V476">
        <v>2216.2800000000002</v>
      </c>
      <c r="W476">
        <v>322.14999999999998</v>
      </c>
      <c r="X476">
        <v>17563</v>
      </c>
      <c r="Y476">
        <v>6432.58</v>
      </c>
      <c r="Z476">
        <v>-11130.42</v>
      </c>
      <c r="AA476">
        <v>-0.50739999999999996</v>
      </c>
      <c r="AB476">
        <v>-2453.89</v>
      </c>
      <c r="AC476">
        <v>0</v>
      </c>
      <c r="AD476">
        <v>3346.23</v>
      </c>
      <c r="AE476">
        <v>21936.37</v>
      </c>
    </row>
    <row r="477" spans="1:31" x14ac:dyDescent="0.25">
      <c r="A477" t="s">
        <v>678</v>
      </c>
      <c r="B477" s="2">
        <v>46072</v>
      </c>
      <c r="C477" t="s">
        <v>57</v>
      </c>
      <c r="D477" t="s">
        <v>58</v>
      </c>
      <c r="E477">
        <v>2026</v>
      </c>
      <c r="F477" t="s">
        <v>47</v>
      </c>
      <c r="G477" t="s">
        <v>35</v>
      </c>
      <c r="H477" t="s">
        <v>206</v>
      </c>
      <c r="I477" t="s">
        <v>296</v>
      </c>
      <c r="J477" t="s">
        <v>100</v>
      </c>
      <c r="K477" t="s">
        <v>39</v>
      </c>
      <c r="L477" t="s">
        <v>94</v>
      </c>
      <c r="M477" t="s">
        <v>186</v>
      </c>
      <c r="N477" t="s">
        <v>187</v>
      </c>
      <c r="O477" t="s">
        <v>173</v>
      </c>
      <c r="P477" t="s">
        <v>174</v>
      </c>
      <c r="Q477">
        <v>18394.2</v>
      </c>
      <c r="R477">
        <v>17223.79</v>
      </c>
      <c r="S477">
        <v>11587.44</v>
      </c>
      <c r="T477">
        <v>1414.81</v>
      </c>
      <c r="U477">
        <v>712.38</v>
      </c>
      <c r="V477">
        <v>1196.6300000000001</v>
      </c>
      <c r="W477">
        <v>299.08</v>
      </c>
      <c r="X477">
        <v>15210.34</v>
      </c>
      <c r="Y477">
        <v>6806.76</v>
      </c>
      <c r="Z477">
        <v>-8403.58</v>
      </c>
      <c r="AA477">
        <v>-0.44340000000000002</v>
      </c>
      <c r="AB477">
        <v>1170.4000000000001</v>
      </c>
      <c r="AC477">
        <v>1471.54</v>
      </c>
      <c r="AD477">
        <v>2030.72</v>
      </c>
      <c r="AE477">
        <v>18953.38</v>
      </c>
    </row>
    <row r="478" spans="1:31" x14ac:dyDescent="0.25">
      <c r="A478" t="s">
        <v>679</v>
      </c>
      <c r="B478" s="2">
        <v>46055</v>
      </c>
      <c r="C478" t="s">
        <v>57</v>
      </c>
      <c r="D478" t="s">
        <v>58</v>
      </c>
      <c r="E478">
        <v>2026</v>
      </c>
      <c r="F478" t="s">
        <v>34</v>
      </c>
      <c r="G478" t="s">
        <v>35</v>
      </c>
      <c r="H478" t="s">
        <v>134</v>
      </c>
      <c r="I478" t="s">
        <v>176</v>
      </c>
      <c r="J478" t="s">
        <v>80</v>
      </c>
      <c r="K478" t="s">
        <v>160</v>
      </c>
      <c r="L478" t="s">
        <v>94</v>
      </c>
      <c r="M478" t="s">
        <v>189</v>
      </c>
      <c r="N478" t="s">
        <v>190</v>
      </c>
      <c r="O478" t="s">
        <v>104</v>
      </c>
      <c r="P478" t="s">
        <v>105</v>
      </c>
      <c r="Q478">
        <v>27024.15</v>
      </c>
      <c r="R478">
        <v>25056</v>
      </c>
      <c r="S478">
        <v>17450.830000000002</v>
      </c>
      <c r="T478">
        <v>2461.2199999999998</v>
      </c>
      <c r="U478">
        <v>1818.44</v>
      </c>
      <c r="V478">
        <v>3004.41</v>
      </c>
      <c r="W478">
        <v>686.82</v>
      </c>
      <c r="X478">
        <v>25421.72</v>
      </c>
      <c r="Y478">
        <v>9573.32</v>
      </c>
      <c r="Z478">
        <v>-15848.4</v>
      </c>
      <c r="AA478">
        <v>-0.54020000000000001</v>
      </c>
      <c r="AB478">
        <v>1968.15</v>
      </c>
      <c r="AC478">
        <v>2161.9299999999998</v>
      </c>
      <c r="AD478">
        <v>4475.2</v>
      </c>
      <c r="AE478">
        <v>29337.42</v>
      </c>
    </row>
    <row r="479" spans="1:31" x14ac:dyDescent="0.25">
      <c r="A479" t="s">
        <v>680</v>
      </c>
      <c r="B479" s="2">
        <v>45847</v>
      </c>
      <c r="C479" t="s">
        <v>32</v>
      </c>
      <c r="D479" t="s">
        <v>33</v>
      </c>
      <c r="E479">
        <v>2025</v>
      </c>
      <c r="F479" t="s">
        <v>59</v>
      </c>
      <c r="G479" t="s">
        <v>35</v>
      </c>
      <c r="H479" t="s">
        <v>60</v>
      </c>
      <c r="I479" t="s">
        <v>185</v>
      </c>
      <c r="J479" t="s">
        <v>100</v>
      </c>
      <c r="K479" t="s">
        <v>160</v>
      </c>
      <c r="L479" t="s">
        <v>51</v>
      </c>
      <c r="M479" t="s">
        <v>161</v>
      </c>
      <c r="N479" t="s">
        <v>162</v>
      </c>
      <c r="O479" t="s">
        <v>43</v>
      </c>
      <c r="P479" t="s">
        <v>163</v>
      </c>
      <c r="Q479">
        <v>37486.400000000001</v>
      </c>
      <c r="R479">
        <v>33621.550000000003</v>
      </c>
      <c r="S479">
        <v>18208.349999999999</v>
      </c>
      <c r="T479">
        <v>3223.9</v>
      </c>
      <c r="U479">
        <v>1747.8</v>
      </c>
      <c r="V479">
        <v>2813.88</v>
      </c>
      <c r="W479">
        <v>719.52</v>
      </c>
      <c r="X479">
        <v>26713.45</v>
      </c>
      <c r="Y479">
        <v>19278.05</v>
      </c>
      <c r="Z479">
        <v>-7435.4</v>
      </c>
      <c r="AA479">
        <v>-0.1681</v>
      </c>
      <c r="AB479">
        <v>3864.85</v>
      </c>
      <c r="AC479">
        <v>0</v>
      </c>
      <c r="AD479">
        <v>6747.55</v>
      </c>
      <c r="AE479">
        <v>44233.96</v>
      </c>
    </row>
    <row r="480" spans="1:31" x14ac:dyDescent="0.25">
      <c r="A480" t="s">
        <v>681</v>
      </c>
      <c r="B480" s="2">
        <v>45962</v>
      </c>
      <c r="C480" t="s">
        <v>147</v>
      </c>
      <c r="D480" t="s">
        <v>93</v>
      </c>
      <c r="E480">
        <v>2025</v>
      </c>
      <c r="F480" t="s">
        <v>59</v>
      </c>
      <c r="G480" t="s">
        <v>35</v>
      </c>
      <c r="H480" t="s">
        <v>254</v>
      </c>
      <c r="I480" t="s">
        <v>314</v>
      </c>
      <c r="J480" t="s">
        <v>38</v>
      </c>
      <c r="K480" t="s">
        <v>39</v>
      </c>
      <c r="L480" t="s">
        <v>40</v>
      </c>
      <c r="M480" t="s">
        <v>221</v>
      </c>
      <c r="N480" t="s">
        <v>222</v>
      </c>
      <c r="O480" t="s">
        <v>104</v>
      </c>
      <c r="P480" t="s">
        <v>223</v>
      </c>
      <c r="Q480">
        <v>28454.19</v>
      </c>
      <c r="R480">
        <v>31470.16</v>
      </c>
      <c r="S480">
        <v>18549.8</v>
      </c>
      <c r="T480">
        <v>2946.46</v>
      </c>
      <c r="U480">
        <v>1593.56</v>
      </c>
      <c r="V480">
        <v>2600.21</v>
      </c>
      <c r="W480">
        <v>322.75</v>
      </c>
      <c r="X480">
        <v>26012.78</v>
      </c>
      <c r="Y480">
        <v>9904.39</v>
      </c>
      <c r="Z480">
        <v>-16108.39</v>
      </c>
      <c r="AA480">
        <v>-0.505</v>
      </c>
      <c r="AB480">
        <v>-3015.97</v>
      </c>
      <c r="AC480">
        <v>1422.71</v>
      </c>
      <c r="AD480">
        <v>4865.67</v>
      </c>
      <c r="AE480">
        <v>31897.15</v>
      </c>
    </row>
    <row r="481" spans="1:31" x14ac:dyDescent="0.25">
      <c r="A481" t="s">
        <v>682</v>
      </c>
      <c r="B481" s="2">
        <v>45828</v>
      </c>
      <c r="C481" t="s">
        <v>156</v>
      </c>
      <c r="D481" t="s">
        <v>66</v>
      </c>
      <c r="E481">
        <v>2025</v>
      </c>
      <c r="F481" t="s">
        <v>47</v>
      </c>
      <c r="G481" t="s">
        <v>35</v>
      </c>
      <c r="H481" t="s">
        <v>48</v>
      </c>
      <c r="I481" t="s">
        <v>49</v>
      </c>
      <c r="J481" t="s">
        <v>70</v>
      </c>
      <c r="K481" t="s">
        <v>39</v>
      </c>
      <c r="L481" t="s">
        <v>40</v>
      </c>
      <c r="M481" t="s">
        <v>52</v>
      </c>
      <c r="N481" t="s">
        <v>53</v>
      </c>
      <c r="O481" t="s">
        <v>54</v>
      </c>
      <c r="P481" t="s">
        <v>55</v>
      </c>
      <c r="Q481">
        <v>7637.04</v>
      </c>
      <c r="R481">
        <v>8484.23</v>
      </c>
      <c r="S481">
        <v>4694.68</v>
      </c>
      <c r="T481">
        <v>921.23</v>
      </c>
      <c r="U481">
        <v>452.94</v>
      </c>
      <c r="V481">
        <v>621.73</v>
      </c>
      <c r="W481">
        <v>230.83</v>
      </c>
      <c r="X481">
        <v>6921.42</v>
      </c>
      <c r="Y481">
        <v>2942.36</v>
      </c>
      <c r="Z481">
        <v>-3979.06</v>
      </c>
      <c r="AA481">
        <v>-0.46479999999999999</v>
      </c>
      <c r="AB481">
        <v>-847.19</v>
      </c>
      <c r="AC481">
        <v>381.85</v>
      </c>
      <c r="AD481">
        <v>1305.93</v>
      </c>
      <c r="AE481">
        <v>8561.1200000000008</v>
      </c>
    </row>
    <row r="482" spans="1:31" x14ac:dyDescent="0.25">
      <c r="A482" t="s">
        <v>683</v>
      </c>
      <c r="B482" s="2">
        <v>45824</v>
      </c>
      <c r="C482" t="s">
        <v>156</v>
      </c>
      <c r="D482" t="s">
        <v>66</v>
      </c>
      <c r="E482">
        <v>2025</v>
      </c>
      <c r="F482" t="s">
        <v>47</v>
      </c>
      <c r="G482" t="s">
        <v>35</v>
      </c>
      <c r="H482" t="s">
        <v>78</v>
      </c>
      <c r="I482" t="s">
        <v>183</v>
      </c>
      <c r="J482" t="s">
        <v>70</v>
      </c>
      <c r="K482" t="s">
        <v>39</v>
      </c>
      <c r="L482" t="s">
        <v>51</v>
      </c>
      <c r="M482" t="s">
        <v>186</v>
      </c>
      <c r="N482" t="s">
        <v>187</v>
      </c>
      <c r="O482" t="s">
        <v>173</v>
      </c>
      <c r="P482" t="s">
        <v>174</v>
      </c>
      <c r="Q482">
        <v>16533.32</v>
      </c>
      <c r="R482">
        <v>18359.05</v>
      </c>
      <c r="S482">
        <v>10900.98</v>
      </c>
      <c r="T482">
        <v>1238.95</v>
      </c>
      <c r="U482">
        <v>742.44</v>
      </c>
      <c r="V482">
        <v>1769.52</v>
      </c>
      <c r="W482">
        <v>207.2</v>
      </c>
      <c r="X482">
        <v>14859.09</v>
      </c>
      <c r="Y482">
        <v>5632.34</v>
      </c>
      <c r="Z482">
        <v>-9226.74</v>
      </c>
      <c r="AA482">
        <v>-0.54159999999999997</v>
      </c>
      <c r="AB482">
        <v>-1825.72</v>
      </c>
      <c r="AC482">
        <v>1322.67</v>
      </c>
      <c r="AD482">
        <v>1825.28</v>
      </c>
      <c r="AE482">
        <v>17035.939999999999</v>
      </c>
    </row>
    <row r="483" spans="1:31" x14ac:dyDescent="0.25">
      <c r="A483" t="s">
        <v>684</v>
      </c>
      <c r="B483" s="2">
        <v>46039</v>
      </c>
      <c r="C483" t="s">
        <v>77</v>
      </c>
      <c r="D483" t="s">
        <v>58</v>
      </c>
      <c r="E483">
        <v>2026</v>
      </c>
      <c r="F483" t="s">
        <v>34</v>
      </c>
      <c r="G483" t="s">
        <v>35</v>
      </c>
      <c r="H483" t="s">
        <v>98</v>
      </c>
      <c r="I483" t="s">
        <v>99</v>
      </c>
      <c r="J483" t="s">
        <v>70</v>
      </c>
      <c r="K483" t="s">
        <v>101</v>
      </c>
      <c r="L483" t="s">
        <v>40</v>
      </c>
      <c r="M483" t="s">
        <v>171</v>
      </c>
      <c r="N483" t="s">
        <v>172</v>
      </c>
      <c r="O483" t="s">
        <v>173</v>
      </c>
      <c r="P483" t="s">
        <v>174</v>
      </c>
      <c r="Q483">
        <v>15240.29</v>
      </c>
      <c r="R483">
        <v>17968.38</v>
      </c>
      <c r="S483">
        <v>10061.48</v>
      </c>
      <c r="T483">
        <v>1548.07</v>
      </c>
      <c r="U483">
        <v>732.96</v>
      </c>
      <c r="V483">
        <v>669.55</v>
      </c>
      <c r="W483">
        <v>168.97</v>
      </c>
      <c r="X483">
        <v>13181.04</v>
      </c>
      <c r="Y483">
        <v>5178.8100000000004</v>
      </c>
      <c r="Z483">
        <v>-8002.23</v>
      </c>
      <c r="AA483">
        <v>-0.46839999999999998</v>
      </c>
      <c r="AB483">
        <v>-2728.09</v>
      </c>
      <c r="AC483">
        <v>762.01</v>
      </c>
      <c r="AD483">
        <v>2606.09</v>
      </c>
      <c r="AE483">
        <v>17084.37</v>
      </c>
    </row>
    <row r="484" spans="1:31" x14ac:dyDescent="0.25">
      <c r="A484" t="s">
        <v>685</v>
      </c>
      <c r="B484" s="2">
        <v>45958</v>
      </c>
      <c r="C484" t="s">
        <v>92</v>
      </c>
      <c r="D484" t="s">
        <v>93</v>
      </c>
      <c r="E484">
        <v>2025</v>
      </c>
      <c r="F484" t="s">
        <v>59</v>
      </c>
      <c r="G484" t="s">
        <v>35</v>
      </c>
      <c r="H484" t="s">
        <v>254</v>
      </c>
      <c r="I484" t="s">
        <v>314</v>
      </c>
      <c r="J484" t="s">
        <v>80</v>
      </c>
      <c r="K484" t="s">
        <v>50</v>
      </c>
      <c r="L484" t="s">
        <v>72</v>
      </c>
      <c r="M484" t="s">
        <v>235</v>
      </c>
      <c r="N484" t="s">
        <v>236</v>
      </c>
      <c r="O484" t="s">
        <v>104</v>
      </c>
      <c r="P484" t="s">
        <v>237</v>
      </c>
      <c r="Q484">
        <v>12129.32</v>
      </c>
      <c r="R484">
        <v>14145.69</v>
      </c>
      <c r="S484">
        <v>6471.98</v>
      </c>
      <c r="T484">
        <v>1501.42</v>
      </c>
      <c r="U484">
        <v>639.01</v>
      </c>
      <c r="V484">
        <v>1441.47</v>
      </c>
      <c r="W484">
        <v>356.51</v>
      </c>
      <c r="X484">
        <v>10410.39</v>
      </c>
      <c r="Y484">
        <v>5657.34</v>
      </c>
      <c r="Z484">
        <v>-4753.05</v>
      </c>
      <c r="AA484">
        <v>-0.41470000000000001</v>
      </c>
      <c r="AB484">
        <v>-2016.37</v>
      </c>
      <c r="AC484">
        <v>1212.93</v>
      </c>
      <c r="AD484">
        <v>545.82000000000005</v>
      </c>
      <c r="AE484">
        <v>11462.21</v>
      </c>
    </row>
    <row r="485" spans="1:31" x14ac:dyDescent="0.25">
      <c r="A485" t="s">
        <v>686</v>
      </c>
      <c r="B485" s="2">
        <v>45769</v>
      </c>
      <c r="C485" t="s">
        <v>128</v>
      </c>
      <c r="D485" t="s">
        <v>66</v>
      </c>
      <c r="E485">
        <v>2025</v>
      </c>
      <c r="F485" t="s">
        <v>67</v>
      </c>
      <c r="G485" t="s">
        <v>35</v>
      </c>
      <c r="H485" t="s">
        <v>68</v>
      </c>
      <c r="I485" t="s">
        <v>204</v>
      </c>
      <c r="J485" t="s">
        <v>38</v>
      </c>
      <c r="K485" t="s">
        <v>101</v>
      </c>
      <c r="L485" t="s">
        <v>94</v>
      </c>
      <c r="M485" t="s">
        <v>41</v>
      </c>
      <c r="N485" t="s">
        <v>42</v>
      </c>
      <c r="O485" t="s">
        <v>43</v>
      </c>
      <c r="P485" t="s">
        <v>44</v>
      </c>
      <c r="Q485">
        <v>46383.26</v>
      </c>
      <c r="R485">
        <v>42781.04</v>
      </c>
      <c r="S485">
        <v>22272.75</v>
      </c>
      <c r="T485">
        <v>5325.32</v>
      </c>
      <c r="U485">
        <v>1423.61</v>
      </c>
      <c r="V485">
        <v>4207.33</v>
      </c>
      <c r="W485">
        <v>1948.63</v>
      </c>
      <c r="X485">
        <v>35177.65</v>
      </c>
      <c r="Y485">
        <v>24110.51</v>
      </c>
      <c r="Z485">
        <v>-11067.14</v>
      </c>
      <c r="AA485">
        <v>-0.20630000000000001</v>
      </c>
      <c r="AB485">
        <v>3602.22</v>
      </c>
      <c r="AC485">
        <v>927.67</v>
      </c>
      <c r="AD485">
        <v>8182.01</v>
      </c>
      <c r="AE485">
        <v>53637.599999999999</v>
      </c>
    </row>
    <row r="486" spans="1:31" x14ac:dyDescent="0.25">
      <c r="A486" t="s">
        <v>687</v>
      </c>
      <c r="B486" s="2">
        <v>46017</v>
      </c>
      <c r="C486" t="s">
        <v>107</v>
      </c>
      <c r="D486" t="s">
        <v>93</v>
      </c>
      <c r="E486">
        <v>2025</v>
      </c>
      <c r="F486" t="s">
        <v>59</v>
      </c>
      <c r="G486" t="s">
        <v>35</v>
      </c>
      <c r="H486" t="s">
        <v>60</v>
      </c>
      <c r="I486" t="s">
        <v>61</v>
      </c>
      <c r="J486" t="s">
        <v>38</v>
      </c>
      <c r="K486" t="s">
        <v>71</v>
      </c>
      <c r="L486" t="s">
        <v>51</v>
      </c>
      <c r="M486" t="s">
        <v>120</v>
      </c>
      <c r="N486" t="s">
        <v>121</v>
      </c>
      <c r="O486" t="s">
        <v>43</v>
      </c>
      <c r="P486" t="s">
        <v>122</v>
      </c>
      <c r="Q486">
        <v>39374.879999999997</v>
      </c>
      <c r="R486">
        <v>43410.46</v>
      </c>
      <c r="S486">
        <v>21759.88</v>
      </c>
      <c r="T486">
        <v>4055.21</v>
      </c>
      <c r="U486">
        <v>1389.48</v>
      </c>
      <c r="V486">
        <v>3742.56</v>
      </c>
      <c r="W486">
        <v>570.41</v>
      </c>
      <c r="X486">
        <v>31517.53</v>
      </c>
      <c r="Y486">
        <v>17614.990000000002</v>
      </c>
      <c r="Z486">
        <v>-13902.54</v>
      </c>
      <c r="AA486">
        <v>-0.34670000000000001</v>
      </c>
      <c r="AB486">
        <v>-4035.58</v>
      </c>
      <c r="AC486">
        <v>1181.25</v>
      </c>
      <c r="AD486">
        <v>1909.68</v>
      </c>
      <c r="AE486">
        <v>40103.31</v>
      </c>
    </row>
    <row r="487" spans="1:31" x14ac:dyDescent="0.25">
      <c r="A487" t="s">
        <v>688</v>
      </c>
      <c r="B487" s="2">
        <v>46064</v>
      </c>
      <c r="C487" t="s">
        <v>57</v>
      </c>
      <c r="D487" t="s">
        <v>58</v>
      </c>
      <c r="E487">
        <v>2026</v>
      </c>
      <c r="F487" t="s">
        <v>34</v>
      </c>
      <c r="G487" t="s">
        <v>35</v>
      </c>
      <c r="H487" t="s">
        <v>98</v>
      </c>
      <c r="I487" t="s">
        <v>99</v>
      </c>
      <c r="J487" t="s">
        <v>100</v>
      </c>
      <c r="K487" t="s">
        <v>160</v>
      </c>
      <c r="L487" t="s">
        <v>72</v>
      </c>
      <c r="M487" t="s">
        <v>171</v>
      </c>
      <c r="N487" t="s">
        <v>172</v>
      </c>
      <c r="O487" t="s">
        <v>173</v>
      </c>
      <c r="P487" t="s">
        <v>174</v>
      </c>
      <c r="Q487">
        <v>19413.78</v>
      </c>
      <c r="R487">
        <v>19364.490000000002</v>
      </c>
      <c r="S487">
        <v>12642.2</v>
      </c>
      <c r="T487">
        <v>1994.84</v>
      </c>
      <c r="U487">
        <v>1273.6500000000001</v>
      </c>
      <c r="V487">
        <v>1215.3699999999999</v>
      </c>
      <c r="W487">
        <v>451</v>
      </c>
      <c r="X487">
        <v>17577.05</v>
      </c>
      <c r="Y487">
        <v>6771.58</v>
      </c>
      <c r="Z487">
        <v>-10805.47</v>
      </c>
      <c r="AA487">
        <v>-0.47170000000000001</v>
      </c>
      <c r="AB487">
        <v>49.29</v>
      </c>
      <c r="AC487">
        <v>0</v>
      </c>
      <c r="AD487">
        <v>3494.48</v>
      </c>
      <c r="AE487">
        <v>22908.26</v>
      </c>
    </row>
    <row r="488" spans="1:31" x14ac:dyDescent="0.25">
      <c r="A488" t="s">
        <v>689</v>
      </c>
      <c r="B488" s="2">
        <v>46065</v>
      </c>
      <c r="C488" t="s">
        <v>57</v>
      </c>
      <c r="D488" t="s">
        <v>58</v>
      </c>
      <c r="E488">
        <v>2026</v>
      </c>
      <c r="F488" t="s">
        <v>67</v>
      </c>
      <c r="G488" t="s">
        <v>35</v>
      </c>
      <c r="H488" t="s">
        <v>68</v>
      </c>
      <c r="I488" t="s">
        <v>69</v>
      </c>
      <c r="J488" t="s">
        <v>80</v>
      </c>
      <c r="K488" t="s">
        <v>50</v>
      </c>
      <c r="L488" t="s">
        <v>40</v>
      </c>
      <c r="M488" t="s">
        <v>88</v>
      </c>
      <c r="N488" t="s">
        <v>89</v>
      </c>
      <c r="O488" t="s">
        <v>43</v>
      </c>
      <c r="P488" t="s">
        <v>90</v>
      </c>
      <c r="Q488">
        <v>18338.32</v>
      </c>
      <c r="R488">
        <v>20557.09</v>
      </c>
      <c r="S488">
        <v>12751.58</v>
      </c>
      <c r="T488">
        <v>1677.18</v>
      </c>
      <c r="U488">
        <v>1001.41</v>
      </c>
      <c r="V488">
        <v>778.75</v>
      </c>
      <c r="W488">
        <v>747.69</v>
      </c>
      <c r="X488">
        <v>16956.61</v>
      </c>
      <c r="Y488">
        <v>5586.74</v>
      </c>
      <c r="Z488">
        <v>-11369.87</v>
      </c>
      <c r="AA488">
        <v>-0.52539999999999998</v>
      </c>
      <c r="AB488">
        <v>-2218.7800000000002</v>
      </c>
      <c r="AC488">
        <v>0</v>
      </c>
      <c r="AD488">
        <v>3300.9</v>
      </c>
      <c r="AE488">
        <v>21639.21</v>
      </c>
    </row>
    <row r="489" spans="1:31" x14ac:dyDescent="0.25">
      <c r="A489" t="s">
        <v>690</v>
      </c>
      <c r="B489" s="2">
        <v>45921</v>
      </c>
      <c r="C489" t="s">
        <v>46</v>
      </c>
      <c r="D489" t="s">
        <v>33</v>
      </c>
      <c r="E489">
        <v>2025</v>
      </c>
      <c r="F489" t="s">
        <v>47</v>
      </c>
      <c r="G489" t="s">
        <v>35</v>
      </c>
      <c r="H489" t="s">
        <v>48</v>
      </c>
      <c r="I489" t="s">
        <v>126</v>
      </c>
      <c r="J489" t="s">
        <v>80</v>
      </c>
      <c r="K489" t="s">
        <v>50</v>
      </c>
      <c r="L489" t="s">
        <v>94</v>
      </c>
      <c r="M489" t="s">
        <v>41</v>
      </c>
      <c r="N489" t="s">
        <v>42</v>
      </c>
      <c r="O489" t="s">
        <v>43</v>
      </c>
      <c r="P489" t="s">
        <v>44</v>
      </c>
      <c r="Q489">
        <v>40198.69</v>
      </c>
      <c r="R489">
        <v>42653.8</v>
      </c>
      <c r="S489">
        <v>28305.84</v>
      </c>
      <c r="T489">
        <v>2664.09</v>
      </c>
      <c r="U489">
        <v>1388.79</v>
      </c>
      <c r="V489">
        <v>4360.18</v>
      </c>
      <c r="W489">
        <v>1360.01</v>
      </c>
      <c r="X489">
        <v>38078.910000000003</v>
      </c>
      <c r="Y489">
        <v>11892.85</v>
      </c>
      <c r="Z489">
        <v>-26186.06</v>
      </c>
      <c r="AA489">
        <v>-0.59350000000000003</v>
      </c>
      <c r="AB489">
        <v>-2455.11</v>
      </c>
      <c r="AC489">
        <v>803.97</v>
      </c>
      <c r="AD489">
        <v>4727.37</v>
      </c>
      <c r="AE489">
        <v>44122.080000000002</v>
      </c>
    </row>
    <row r="490" spans="1:31" x14ac:dyDescent="0.25">
      <c r="A490" t="s">
        <v>691</v>
      </c>
      <c r="B490" s="2">
        <v>45771</v>
      </c>
      <c r="C490" t="s">
        <v>128</v>
      </c>
      <c r="D490" t="s">
        <v>66</v>
      </c>
      <c r="E490">
        <v>2025</v>
      </c>
      <c r="F490" t="s">
        <v>67</v>
      </c>
      <c r="G490" t="s">
        <v>35</v>
      </c>
      <c r="H490" t="s">
        <v>68</v>
      </c>
      <c r="I490" t="s">
        <v>69</v>
      </c>
      <c r="J490" t="s">
        <v>70</v>
      </c>
      <c r="K490" t="s">
        <v>50</v>
      </c>
      <c r="L490" t="s">
        <v>81</v>
      </c>
      <c r="M490" t="s">
        <v>120</v>
      </c>
      <c r="N490" t="s">
        <v>121</v>
      </c>
      <c r="O490" t="s">
        <v>43</v>
      </c>
      <c r="P490" t="s">
        <v>122</v>
      </c>
      <c r="Q490">
        <v>22934.9</v>
      </c>
      <c r="R490">
        <v>21717.68</v>
      </c>
      <c r="S490">
        <v>11319.84</v>
      </c>
      <c r="T490">
        <v>1336.45</v>
      </c>
      <c r="U490">
        <v>1216.6500000000001</v>
      </c>
      <c r="V490">
        <v>1339.25</v>
      </c>
      <c r="W490">
        <v>643.51</v>
      </c>
      <c r="X490">
        <v>15855.7</v>
      </c>
      <c r="Y490">
        <v>11615.07</v>
      </c>
      <c r="Z490">
        <v>-4240.63</v>
      </c>
      <c r="AA490">
        <v>-0.15989999999999999</v>
      </c>
      <c r="AB490">
        <v>1217.22</v>
      </c>
      <c r="AC490">
        <v>458.7</v>
      </c>
      <c r="AD490">
        <v>4045.72</v>
      </c>
      <c r="AE490">
        <v>26521.919999999998</v>
      </c>
    </row>
    <row r="491" spans="1:31" x14ac:dyDescent="0.25">
      <c r="A491" t="s">
        <v>692</v>
      </c>
      <c r="B491" s="2">
        <v>45982</v>
      </c>
      <c r="C491" t="s">
        <v>147</v>
      </c>
      <c r="D491" t="s">
        <v>93</v>
      </c>
      <c r="E491">
        <v>2025</v>
      </c>
      <c r="F491" t="s">
        <v>67</v>
      </c>
      <c r="G491" t="s">
        <v>35</v>
      </c>
      <c r="H491" t="s">
        <v>118</v>
      </c>
      <c r="I491" t="s">
        <v>209</v>
      </c>
      <c r="J491" t="s">
        <v>80</v>
      </c>
      <c r="K491" t="s">
        <v>39</v>
      </c>
      <c r="L491" t="s">
        <v>40</v>
      </c>
      <c r="M491" t="s">
        <v>88</v>
      </c>
      <c r="N491" t="s">
        <v>89</v>
      </c>
      <c r="O491" t="s">
        <v>43</v>
      </c>
      <c r="P491" t="s">
        <v>90</v>
      </c>
      <c r="Q491">
        <v>76705.08</v>
      </c>
      <c r="R491">
        <v>75231.100000000006</v>
      </c>
      <c r="S491">
        <v>47140.39</v>
      </c>
      <c r="T491">
        <v>4418.5600000000004</v>
      </c>
      <c r="U491">
        <v>2917.13</v>
      </c>
      <c r="V491">
        <v>5605.4</v>
      </c>
      <c r="W491">
        <v>1320.64</v>
      </c>
      <c r="X491">
        <v>61402.11</v>
      </c>
      <c r="Y491">
        <v>29564.69</v>
      </c>
      <c r="Z491">
        <v>-31837.42</v>
      </c>
      <c r="AA491">
        <v>-0.42970000000000003</v>
      </c>
      <c r="AB491">
        <v>1473.98</v>
      </c>
      <c r="AC491">
        <v>6136.41</v>
      </c>
      <c r="AD491">
        <v>3528.43</v>
      </c>
      <c r="AE491">
        <v>74097.11</v>
      </c>
    </row>
    <row r="492" spans="1:31" x14ac:dyDescent="0.25">
      <c r="A492" t="s">
        <v>693</v>
      </c>
      <c r="B492" s="2">
        <v>45748</v>
      </c>
      <c r="C492" t="s">
        <v>128</v>
      </c>
      <c r="D492" t="s">
        <v>66</v>
      </c>
      <c r="E492">
        <v>2025</v>
      </c>
      <c r="F492" t="s">
        <v>47</v>
      </c>
      <c r="G492" t="s">
        <v>35</v>
      </c>
      <c r="H492" t="s">
        <v>48</v>
      </c>
      <c r="I492" t="s">
        <v>126</v>
      </c>
      <c r="J492" t="s">
        <v>38</v>
      </c>
      <c r="K492" t="s">
        <v>101</v>
      </c>
      <c r="L492" t="s">
        <v>94</v>
      </c>
      <c r="M492" t="s">
        <v>88</v>
      </c>
      <c r="N492" t="s">
        <v>89</v>
      </c>
      <c r="O492" t="s">
        <v>43</v>
      </c>
      <c r="P492" t="s">
        <v>90</v>
      </c>
      <c r="Q492">
        <v>30552.240000000002</v>
      </c>
      <c r="R492">
        <v>31145.16</v>
      </c>
      <c r="S492">
        <v>20683.150000000001</v>
      </c>
      <c r="T492">
        <v>3029.66</v>
      </c>
      <c r="U492">
        <v>2416.39</v>
      </c>
      <c r="V492">
        <v>2429.54</v>
      </c>
      <c r="W492">
        <v>432.2</v>
      </c>
      <c r="X492">
        <v>28990.94</v>
      </c>
      <c r="Y492">
        <v>9869.09</v>
      </c>
      <c r="Z492">
        <v>-19121.849999999999</v>
      </c>
      <c r="AA492">
        <v>-0.55879999999999996</v>
      </c>
      <c r="AB492">
        <v>-592.91999999999996</v>
      </c>
      <c r="AC492">
        <v>0</v>
      </c>
      <c r="AD492">
        <v>3666.27</v>
      </c>
      <c r="AE492">
        <v>34218.5</v>
      </c>
    </row>
    <row r="493" spans="1:31" x14ac:dyDescent="0.25">
      <c r="A493" t="s">
        <v>694</v>
      </c>
      <c r="B493" s="2">
        <v>45980</v>
      </c>
      <c r="C493" t="s">
        <v>147</v>
      </c>
      <c r="D493" t="s">
        <v>93</v>
      </c>
      <c r="E493">
        <v>2025</v>
      </c>
      <c r="F493" t="s">
        <v>47</v>
      </c>
      <c r="G493" t="s">
        <v>35</v>
      </c>
      <c r="H493" t="s">
        <v>78</v>
      </c>
      <c r="I493" t="s">
        <v>183</v>
      </c>
      <c r="J493" t="s">
        <v>70</v>
      </c>
      <c r="K493" t="s">
        <v>50</v>
      </c>
      <c r="L493" t="s">
        <v>40</v>
      </c>
      <c r="M493" t="s">
        <v>171</v>
      </c>
      <c r="N493" t="s">
        <v>172</v>
      </c>
      <c r="O493" t="s">
        <v>173</v>
      </c>
      <c r="P493" t="s">
        <v>174</v>
      </c>
      <c r="Q493">
        <v>21126.14</v>
      </c>
      <c r="R493">
        <v>24180.37</v>
      </c>
      <c r="S493">
        <v>12216.26</v>
      </c>
      <c r="T493">
        <v>1546.23</v>
      </c>
      <c r="U493">
        <v>548.09</v>
      </c>
      <c r="V493">
        <v>1816.58</v>
      </c>
      <c r="W493">
        <v>508.71</v>
      </c>
      <c r="X493">
        <v>16635.86</v>
      </c>
      <c r="Y493">
        <v>8909.8799999999992</v>
      </c>
      <c r="Z493">
        <v>-7725.99</v>
      </c>
      <c r="AA493">
        <v>-0.35909999999999997</v>
      </c>
      <c r="AB493">
        <v>-3054.23</v>
      </c>
      <c r="AC493">
        <v>633.78</v>
      </c>
      <c r="AD493">
        <v>1024.6199999999999</v>
      </c>
      <c r="AE493">
        <v>21516.97</v>
      </c>
    </row>
    <row r="494" spans="1:31" x14ac:dyDescent="0.25">
      <c r="A494" t="s">
        <v>695</v>
      </c>
      <c r="B494" s="2">
        <v>45893</v>
      </c>
      <c r="C494" t="s">
        <v>117</v>
      </c>
      <c r="D494" t="s">
        <v>33</v>
      </c>
      <c r="E494">
        <v>2025</v>
      </c>
      <c r="F494" t="s">
        <v>85</v>
      </c>
      <c r="G494" t="s">
        <v>35</v>
      </c>
      <c r="H494" t="s">
        <v>86</v>
      </c>
      <c r="I494" t="s">
        <v>262</v>
      </c>
      <c r="J494" t="s">
        <v>100</v>
      </c>
      <c r="K494" t="s">
        <v>71</v>
      </c>
      <c r="L494" t="s">
        <v>51</v>
      </c>
      <c r="M494" t="s">
        <v>161</v>
      </c>
      <c r="N494" t="s">
        <v>162</v>
      </c>
      <c r="O494" t="s">
        <v>43</v>
      </c>
      <c r="P494" t="s">
        <v>163</v>
      </c>
      <c r="Q494">
        <v>79927.37</v>
      </c>
      <c r="R494">
        <v>83176.95</v>
      </c>
      <c r="S494">
        <v>48792.7</v>
      </c>
      <c r="T494">
        <v>8176.75</v>
      </c>
      <c r="U494">
        <v>4009.02</v>
      </c>
      <c r="V494">
        <v>7335.56</v>
      </c>
      <c r="W494">
        <v>924.51</v>
      </c>
      <c r="X494">
        <v>69238.53</v>
      </c>
      <c r="Y494">
        <v>31134.67</v>
      </c>
      <c r="Z494">
        <v>-38103.86</v>
      </c>
      <c r="AA494">
        <v>-0.42570000000000002</v>
      </c>
      <c r="AB494">
        <v>-3249.57</v>
      </c>
      <c r="AC494">
        <v>0</v>
      </c>
      <c r="AD494">
        <v>9591.2800000000007</v>
      </c>
      <c r="AE494">
        <v>89518.66</v>
      </c>
    </row>
    <row r="495" spans="1:31" x14ac:dyDescent="0.25">
      <c r="A495" t="s">
        <v>696</v>
      </c>
      <c r="B495" s="2">
        <v>45764</v>
      </c>
      <c r="C495" t="s">
        <v>128</v>
      </c>
      <c r="D495" t="s">
        <v>66</v>
      </c>
      <c r="E495">
        <v>2025</v>
      </c>
      <c r="F495" t="s">
        <v>67</v>
      </c>
      <c r="G495" t="s">
        <v>35</v>
      </c>
      <c r="H495" t="s">
        <v>217</v>
      </c>
      <c r="I495" t="s">
        <v>241</v>
      </c>
      <c r="J495" t="s">
        <v>80</v>
      </c>
      <c r="K495" t="s">
        <v>71</v>
      </c>
      <c r="L495" t="s">
        <v>51</v>
      </c>
      <c r="M495" t="s">
        <v>120</v>
      </c>
      <c r="N495" t="s">
        <v>121</v>
      </c>
      <c r="O495" t="s">
        <v>43</v>
      </c>
      <c r="P495" t="s">
        <v>122</v>
      </c>
      <c r="Q495">
        <v>32554.57</v>
      </c>
      <c r="R495">
        <v>30117.82</v>
      </c>
      <c r="S495">
        <v>19560.64</v>
      </c>
      <c r="T495">
        <v>3715.5</v>
      </c>
      <c r="U495">
        <v>1748.17</v>
      </c>
      <c r="V495">
        <v>2579.92</v>
      </c>
      <c r="W495">
        <v>1292.6400000000001</v>
      </c>
      <c r="X495">
        <v>28896.87</v>
      </c>
      <c r="Y495">
        <v>12993.94</v>
      </c>
      <c r="Z495">
        <v>-15902.93</v>
      </c>
      <c r="AA495">
        <v>-0.45910000000000001</v>
      </c>
      <c r="AB495">
        <v>2436.75</v>
      </c>
      <c r="AC495">
        <v>1627.73</v>
      </c>
      <c r="AD495">
        <v>3711.22</v>
      </c>
      <c r="AE495">
        <v>34638.07</v>
      </c>
    </row>
    <row r="496" spans="1:31" x14ac:dyDescent="0.25">
      <c r="A496" t="s">
        <v>697</v>
      </c>
      <c r="B496" s="2">
        <v>45768</v>
      </c>
      <c r="C496" t="s">
        <v>128</v>
      </c>
      <c r="D496" t="s">
        <v>66</v>
      </c>
      <c r="E496">
        <v>2025</v>
      </c>
      <c r="F496" t="s">
        <v>85</v>
      </c>
      <c r="G496" t="s">
        <v>35</v>
      </c>
      <c r="H496" t="s">
        <v>178</v>
      </c>
      <c r="I496" t="s">
        <v>329</v>
      </c>
      <c r="J496" t="s">
        <v>70</v>
      </c>
      <c r="K496" t="s">
        <v>71</v>
      </c>
      <c r="L496" t="s">
        <v>81</v>
      </c>
      <c r="M496" t="s">
        <v>102</v>
      </c>
      <c r="N496" t="s">
        <v>103</v>
      </c>
      <c r="O496" t="s">
        <v>104</v>
      </c>
      <c r="P496" t="s">
        <v>105</v>
      </c>
      <c r="Q496">
        <v>5639.87</v>
      </c>
      <c r="R496">
        <v>5457.65</v>
      </c>
      <c r="S496">
        <v>3805</v>
      </c>
      <c r="T496">
        <v>321.51</v>
      </c>
      <c r="U496">
        <v>436.35</v>
      </c>
      <c r="V496">
        <v>527.52</v>
      </c>
      <c r="W496">
        <v>200.98</v>
      </c>
      <c r="X496">
        <v>5291.36</v>
      </c>
      <c r="Y496">
        <v>1834.87</v>
      </c>
      <c r="Z496">
        <v>-3456.49</v>
      </c>
      <c r="AA496">
        <v>-0.53539999999999999</v>
      </c>
      <c r="AB496">
        <v>182.22</v>
      </c>
      <c r="AC496">
        <v>169.2</v>
      </c>
      <c r="AD496">
        <v>984.72</v>
      </c>
      <c r="AE496">
        <v>6455.4</v>
      </c>
    </row>
    <row r="497" spans="1:31" x14ac:dyDescent="0.25">
      <c r="A497" t="s">
        <v>698</v>
      </c>
      <c r="B497" s="2">
        <v>45796</v>
      </c>
      <c r="C497" t="s">
        <v>65</v>
      </c>
      <c r="D497" t="s">
        <v>66</v>
      </c>
      <c r="E497">
        <v>2025</v>
      </c>
      <c r="F497" t="s">
        <v>47</v>
      </c>
      <c r="G497" t="s">
        <v>35</v>
      </c>
      <c r="H497" t="s">
        <v>214</v>
      </c>
      <c r="I497" t="s">
        <v>220</v>
      </c>
      <c r="J497" t="s">
        <v>70</v>
      </c>
      <c r="K497" t="s">
        <v>101</v>
      </c>
      <c r="L497" t="s">
        <v>81</v>
      </c>
      <c r="M497" t="s">
        <v>95</v>
      </c>
      <c r="N497" t="s">
        <v>96</v>
      </c>
      <c r="O497" t="s">
        <v>43</v>
      </c>
      <c r="P497" t="s">
        <v>90</v>
      </c>
      <c r="Q497">
        <v>23350.75</v>
      </c>
      <c r="R497">
        <v>27357.4</v>
      </c>
      <c r="S497">
        <v>11418.81</v>
      </c>
      <c r="T497">
        <v>1757.85</v>
      </c>
      <c r="U497">
        <v>1060.52</v>
      </c>
      <c r="V497">
        <v>2117.38</v>
      </c>
      <c r="W497">
        <v>319.98</v>
      </c>
      <c r="X497">
        <v>16674.54</v>
      </c>
      <c r="Y497">
        <v>11931.94</v>
      </c>
      <c r="Z497">
        <v>-4742.6000000000004</v>
      </c>
      <c r="AA497">
        <v>-0.2036</v>
      </c>
      <c r="AB497">
        <v>-4006.64</v>
      </c>
      <c r="AC497">
        <v>1167.54</v>
      </c>
      <c r="AD497">
        <v>1109.1600000000001</v>
      </c>
      <c r="AE497">
        <v>23292.37</v>
      </c>
    </row>
    <row r="498" spans="1:31" x14ac:dyDescent="0.25">
      <c r="A498" t="s">
        <v>699</v>
      </c>
      <c r="B498" s="2">
        <v>45889</v>
      </c>
      <c r="C498" t="s">
        <v>117</v>
      </c>
      <c r="D498" t="s">
        <v>33</v>
      </c>
      <c r="E498">
        <v>2025</v>
      </c>
      <c r="F498" t="s">
        <v>34</v>
      </c>
      <c r="G498" t="s">
        <v>35</v>
      </c>
      <c r="H498" t="s">
        <v>36</v>
      </c>
      <c r="I498" t="s">
        <v>145</v>
      </c>
      <c r="J498" t="s">
        <v>38</v>
      </c>
      <c r="K498" t="s">
        <v>50</v>
      </c>
      <c r="L498" t="s">
        <v>94</v>
      </c>
      <c r="M498" t="s">
        <v>41</v>
      </c>
      <c r="N498" t="s">
        <v>42</v>
      </c>
      <c r="O498" t="s">
        <v>43</v>
      </c>
      <c r="P498" t="s">
        <v>44</v>
      </c>
      <c r="Q498">
        <v>46202.97</v>
      </c>
      <c r="R498">
        <v>45639.37</v>
      </c>
      <c r="S498">
        <v>27448.54</v>
      </c>
      <c r="T498">
        <v>3653.78</v>
      </c>
      <c r="U498">
        <v>3080.14</v>
      </c>
      <c r="V498">
        <v>5179.3900000000003</v>
      </c>
      <c r="W498">
        <v>727.11</v>
      </c>
      <c r="X498">
        <v>40088.959999999999</v>
      </c>
      <c r="Y498">
        <v>18754.419999999998</v>
      </c>
      <c r="Z498">
        <v>-21334.54</v>
      </c>
      <c r="AA498">
        <v>-0.45340000000000003</v>
      </c>
      <c r="AB498">
        <v>563.6</v>
      </c>
      <c r="AC498">
        <v>1386.09</v>
      </c>
      <c r="AD498">
        <v>2240.84</v>
      </c>
      <c r="AE498">
        <v>47057.72</v>
      </c>
    </row>
    <row r="499" spans="1:31" x14ac:dyDescent="0.25">
      <c r="A499" t="s">
        <v>700</v>
      </c>
      <c r="B499" s="2">
        <v>45905</v>
      </c>
      <c r="C499" t="s">
        <v>46</v>
      </c>
      <c r="D499" t="s">
        <v>33</v>
      </c>
      <c r="E499">
        <v>2025</v>
      </c>
      <c r="F499" t="s">
        <v>85</v>
      </c>
      <c r="G499" t="s">
        <v>35</v>
      </c>
      <c r="H499" t="s">
        <v>178</v>
      </c>
      <c r="I499" t="s">
        <v>179</v>
      </c>
      <c r="J499" t="s">
        <v>70</v>
      </c>
      <c r="K499" t="s">
        <v>50</v>
      </c>
      <c r="L499" t="s">
        <v>72</v>
      </c>
      <c r="M499" t="s">
        <v>41</v>
      </c>
      <c r="N499" t="s">
        <v>42</v>
      </c>
      <c r="O499" t="s">
        <v>43</v>
      </c>
      <c r="P499" t="s">
        <v>44</v>
      </c>
      <c r="Q499">
        <v>23318.34</v>
      </c>
      <c r="R499">
        <v>20919.810000000001</v>
      </c>
      <c r="S499">
        <v>16194.72</v>
      </c>
      <c r="T499">
        <v>2154.2600000000002</v>
      </c>
      <c r="U499">
        <v>1597.48</v>
      </c>
      <c r="V499">
        <v>2484.0100000000002</v>
      </c>
      <c r="W499">
        <v>355.86</v>
      </c>
      <c r="X499">
        <v>22786.33</v>
      </c>
      <c r="Y499">
        <v>7123.62</v>
      </c>
      <c r="Z499">
        <v>-15662.71</v>
      </c>
      <c r="AA499">
        <v>-0.56920000000000004</v>
      </c>
      <c r="AB499">
        <v>2398.5300000000002</v>
      </c>
      <c r="AC499">
        <v>0</v>
      </c>
      <c r="AD499">
        <v>4197.3</v>
      </c>
      <c r="AE499">
        <v>27515.64</v>
      </c>
    </row>
    <row r="500" spans="1:31" x14ac:dyDescent="0.25">
      <c r="A500" t="s">
        <v>701</v>
      </c>
      <c r="B500" s="2">
        <v>45968</v>
      </c>
      <c r="C500" t="s">
        <v>147</v>
      </c>
      <c r="D500" t="s">
        <v>93</v>
      </c>
      <c r="E500">
        <v>2025</v>
      </c>
      <c r="F500" t="s">
        <v>47</v>
      </c>
      <c r="G500" t="s">
        <v>35</v>
      </c>
      <c r="H500" t="s">
        <v>206</v>
      </c>
      <c r="I500" t="s">
        <v>344</v>
      </c>
      <c r="J500" t="s">
        <v>38</v>
      </c>
      <c r="K500" t="s">
        <v>50</v>
      </c>
      <c r="L500" t="s">
        <v>81</v>
      </c>
      <c r="M500" t="s">
        <v>41</v>
      </c>
      <c r="N500" t="s">
        <v>42</v>
      </c>
      <c r="O500" t="s">
        <v>43</v>
      </c>
      <c r="P500" t="s">
        <v>44</v>
      </c>
      <c r="Q500">
        <v>80468.86</v>
      </c>
      <c r="R500">
        <v>86191.34</v>
      </c>
      <c r="S500">
        <v>41746.68</v>
      </c>
      <c r="T500">
        <v>9854.86</v>
      </c>
      <c r="U500">
        <v>4711.9399999999996</v>
      </c>
      <c r="V500">
        <v>4208.5200000000004</v>
      </c>
      <c r="W500">
        <v>3400.65</v>
      </c>
      <c r="X500">
        <v>63922.65</v>
      </c>
      <c r="Y500">
        <v>38722.17</v>
      </c>
      <c r="Z500">
        <v>-25200.48</v>
      </c>
      <c r="AA500">
        <v>-0.27939999999999998</v>
      </c>
      <c r="AB500">
        <v>-5722.48</v>
      </c>
      <c r="AC500">
        <v>4023.44</v>
      </c>
      <c r="AD500">
        <v>13760.17</v>
      </c>
      <c r="AE500">
        <v>90205.59</v>
      </c>
    </row>
    <row r="501" spans="1:31" x14ac:dyDescent="0.25">
      <c r="A501" t="s">
        <v>702</v>
      </c>
      <c r="B501" s="2">
        <v>45874</v>
      </c>
      <c r="C501" t="s">
        <v>117</v>
      </c>
      <c r="D501" t="s">
        <v>33</v>
      </c>
      <c r="E501">
        <v>2025</v>
      </c>
      <c r="F501" t="s">
        <v>34</v>
      </c>
      <c r="G501" t="s">
        <v>35</v>
      </c>
      <c r="H501" t="s">
        <v>36</v>
      </c>
      <c r="I501" t="s">
        <v>37</v>
      </c>
      <c r="J501" t="s">
        <v>70</v>
      </c>
      <c r="K501" t="s">
        <v>50</v>
      </c>
      <c r="L501" t="s">
        <v>72</v>
      </c>
      <c r="M501" t="s">
        <v>52</v>
      </c>
      <c r="N501" t="s">
        <v>53</v>
      </c>
      <c r="O501" t="s">
        <v>54</v>
      </c>
      <c r="P501" t="s">
        <v>55</v>
      </c>
      <c r="Q501">
        <v>4662.53</v>
      </c>
      <c r="R501">
        <v>4519.3999999999996</v>
      </c>
      <c r="S501">
        <v>2976.29</v>
      </c>
      <c r="T501">
        <v>284.22000000000003</v>
      </c>
      <c r="U501">
        <v>324.73</v>
      </c>
      <c r="V501">
        <v>527.16</v>
      </c>
      <c r="W501">
        <v>145.94</v>
      </c>
      <c r="X501">
        <v>4258.34</v>
      </c>
      <c r="Y501">
        <v>1686.23</v>
      </c>
      <c r="Z501">
        <v>-2572.11</v>
      </c>
      <c r="AA501">
        <v>-0.49209999999999998</v>
      </c>
      <c r="AB501">
        <v>143.13</v>
      </c>
      <c r="AC501">
        <v>233.13</v>
      </c>
      <c r="AD501">
        <v>797.29</v>
      </c>
      <c r="AE501">
        <v>5226.6899999999996</v>
      </c>
    </row>
    <row r="502" spans="1:31" x14ac:dyDescent="0.25">
      <c r="A502" t="s">
        <v>703</v>
      </c>
      <c r="B502" s="2">
        <v>46083</v>
      </c>
      <c r="C502" t="s">
        <v>125</v>
      </c>
      <c r="D502" t="s">
        <v>58</v>
      </c>
      <c r="E502">
        <v>2026</v>
      </c>
      <c r="F502" t="s">
        <v>47</v>
      </c>
      <c r="G502" t="s">
        <v>35</v>
      </c>
      <c r="H502" t="s">
        <v>206</v>
      </c>
      <c r="I502" t="s">
        <v>344</v>
      </c>
      <c r="J502" t="s">
        <v>100</v>
      </c>
      <c r="K502" t="s">
        <v>50</v>
      </c>
      <c r="L502" t="s">
        <v>40</v>
      </c>
      <c r="M502" t="s">
        <v>52</v>
      </c>
      <c r="N502" t="s">
        <v>53</v>
      </c>
      <c r="O502" t="s">
        <v>54</v>
      </c>
      <c r="P502" t="s">
        <v>55</v>
      </c>
      <c r="Q502">
        <v>5235.58</v>
      </c>
      <c r="R502">
        <v>4767.4399999999996</v>
      </c>
      <c r="S502">
        <v>3021.53</v>
      </c>
      <c r="T502">
        <v>287.93</v>
      </c>
      <c r="U502">
        <v>410.31</v>
      </c>
      <c r="V502">
        <v>248.1</v>
      </c>
      <c r="W502">
        <v>175.86</v>
      </c>
      <c r="X502">
        <v>4143.74</v>
      </c>
      <c r="Y502">
        <v>2214.0500000000002</v>
      </c>
      <c r="Z502">
        <v>-1929.7</v>
      </c>
      <c r="AA502">
        <v>-0.31240000000000001</v>
      </c>
      <c r="AB502">
        <v>468.14</v>
      </c>
      <c r="AC502">
        <v>0</v>
      </c>
      <c r="AD502">
        <v>942.4</v>
      </c>
      <c r="AE502">
        <v>6177.98</v>
      </c>
    </row>
    <row r="503" spans="1:31" x14ac:dyDescent="0.25">
      <c r="A503" t="s">
        <v>704</v>
      </c>
      <c r="B503" s="2">
        <v>45988</v>
      </c>
      <c r="C503" t="s">
        <v>147</v>
      </c>
      <c r="D503" t="s">
        <v>93</v>
      </c>
      <c r="E503">
        <v>2025</v>
      </c>
      <c r="F503" t="s">
        <v>34</v>
      </c>
      <c r="G503" t="s">
        <v>35</v>
      </c>
      <c r="H503" t="s">
        <v>36</v>
      </c>
      <c r="I503" t="s">
        <v>245</v>
      </c>
      <c r="J503" t="s">
        <v>38</v>
      </c>
      <c r="K503" t="s">
        <v>71</v>
      </c>
      <c r="L503" t="s">
        <v>40</v>
      </c>
      <c r="M503" t="s">
        <v>197</v>
      </c>
      <c r="N503" t="s">
        <v>198</v>
      </c>
      <c r="O503" t="s">
        <v>43</v>
      </c>
      <c r="P503" t="s">
        <v>163</v>
      </c>
      <c r="Q503">
        <v>48152.35</v>
      </c>
      <c r="R503">
        <v>55289.84</v>
      </c>
      <c r="S503">
        <v>28866.78</v>
      </c>
      <c r="T503">
        <v>5650.42</v>
      </c>
      <c r="U503">
        <v>3711.96</v>
      </c>
      <c r="V503">
        <v>3507.44</v>
      </c>
      <c r="W503">
        <v>869.29</v>
      </c>
      <c r="X503">
        <v>42605.89</v>
      </c>
      <c r="Y503">
        <v>19285.560000000001</v>
      </c>
      <c r="Z503">
        <v>-23320.33</v>
      </c>
      <c r="AA503">
        <v>-0.42309999999999998</v>
      </c>
      <c r="AB503">
        <v>-7137.5</v>
      </c>
      <c r="AC503">
        <v>1444.57</v>
      </c>
      <c r="AD503">
        <v>8407.4</v>
      </c>
      <c r="AE503">
        <v>55115.17</v>
      </c>
    </row>
    <row r="504" spans="1:31" x14ac:dyDescent="0.25">
      <c r="A504" t="s">
        <v>705</v>
      </c>
      <c r="B504" s="2">
        <v>45808</v>
      </c>
      <c r="C504" t="s">
        <v>65</v>
      </c>
      <c r="D504" t="s">
        <v>66</v>
      </c>
      <c r="E504">
        <v>2025</v>
      </c>
      <c r="F504" t="s">
        <v>34</v>
      </c>
      <c r="G504" t="s">
        <v>35</v>
      </c>
      <c r="H504" t="s">
        <v>36</v>
      </c>
      <c r="I504" t="s">
        <v>245</v>
      </c>
      <c r="J504" t="s">
        <v>70</v>
      </c>
      <c r="K504" t="s">
        <v>50</v>
      </c>
      <c r="L504" t="s">
        <v>40</v>
      </c>
      <c r="M504" t="s">
        <v>41</v>
      </c>
      <c r="N504" t="s">
        <v>42</v>
      </c>
      <c r="O504" t="s">
        <v>43</v>
      </c>
      <c r="P504" t="s">
        <v>44</v>
      </c>
      <c r="Q504">
        <v>24095.69</v>
      </c>
      <c r="R504">
        <v>26946.58</v>
      </c>
      <c r="S504">
        <v>12138.26</v>
      </c>
      <c r="T504">
        <v>1727.91</v>
      </c>
      <c r="U504">
        <v>1941.68</v>
      </c>
      <c r="V504">
        <v>1631.7</v>
      </c>
      <c r="W504">
        <v>1061.57</v>
      </c>
      <c r="X504">
        <v>18501.13</v>
      </c>
      <c r="Y504">
        <v>11957.43</v>
      </c>
      <c r="Z504">
        <v>-6543.71</v>
      </c>
      <c r="AA504">
        <v>-0.26939999999999997</v>
      </c>
      <c r="AB504">
        <v>-2850.89</v>
      </c>
      <c r="AC504">
        <v>2409.5700000000002</v>
      </c>
      <c r="AD504">
        <v>2602.33</v>
      </c>
      <c r="AE504">
        <v>24288.45</v>
      </c>
    </row>
    <row r="505" spans="1:31" x14ac:dyDescent="0.25">
      <c r="A505" t="s">
        <v>706</v>
      </c>
      <c r="B505" s="2">
        <v>45861</v>
      </c>
      <c r="C505" t="s">
        <v>32</v>
      </c>
      <c r="D505" t="s">
        <v>33</v>
      </c>
      <c r="E505">
        <v>2025</v>
      </c>
      <c r="F505" t="s">
        <v>85</v>
      </c>
      <c r="G505" t="s">
        <v>35</v>
      </c>
      <c r="H505" t="s">
        <v>60</v>
      </c>
      <c r="I505" t="s">
        <v>61</v>
      </c>
      <c r="J505" t="s">
        <v>100</v>
      </c>
      <c r="K505" t="s">
        <v>71</v>
      </c>
      <c r="L505" t="s">
        <v>51</v>
      </c>
      <c r="M505" t="s">
        <v>82</v>
      </c>
      <c r="N505" t="s">
        <v>83</v>
      </c>
      <c r="O505" t="s">
        <v>43</v>
      </c>
      <c r="P505" t="s">
        <v>75</v>
      </c>
      <c r="Q505">
        <v>49074.35</v>
      </c>
      <c r="R505">
        <v>45059.75</v>
      </c>
      <c r="S505">
        <v>25624.73</v>
      </c>
      <c r="T505">
        <v>6223.67</v>
      </c>
      <c r="U505">
        <v>3437.95</v>
      </c>
      <c r="V505">
        <v>5109.12</v>
      </c>
      <c r="W505">
        <v>1173.72</v>
      </c>
      <c r="X505">
        <v>41569.199999999997</v>
      </c>
      <c r="Y505">
        <v>23449.62</v>
      </c>
      <c r="Z505">
        <v>-18119.57</v>
      </c>
      <c r="AA505">
        <v>-0.36249999999999999</v>
      </c>
      <c r="AB505">
        <v>4014.6</v>
      </c>
      <c r="AC505">
        <v>1472.23</v>
      </c>
      <c r="AD505">
        <v>2380.11</v>
      </c>
      <c r="AE505">
        <v>49982.23</v>
      </c>
    </row>
    <row r="506" spans="1:31" x14ac:dyDescent="0.25">
      <c r="A506" t="s">
        <v>707</v>
      </c>
      <c r="B506" s="2">
        <v>45833</v>
      </c>
      <c r="C506" t="s">
        <v>156</v>
      </c>
      <c r="D506" t="s">
        <v>66</v>
      </c>
      <c r="E506">
        <v>2025</v>
      </c>
      <c r="F506" t="s">
        <v>67</v>
      </c>
      <c r="G506" t="s">
        <v>35</v>
      </c>
      <c r="H506" t="s">
        <v>217</v>
      </c>
      <c r="I506" t="s">
        <v>218</v>
      </c>
      <c r="J506" t="s">
        <v>70</v>
      </c>
      <c r="K506" t="s">
        <v>50</v>
      </c>
      <c r="L506" t="s">
        <v>81</v>
      </c>
      <c r="M506" t="s">
        <v>62</v>
      </c>
      <c r="N506" t="s">
        <v>63</v>
      </c>
      <c r="O506" t="s">
        <v>54</v>
      </c>
      <c r="P506" t="s">
        <v>55</v>
      </c>
      <c r="Q506">
        <v>1140</v>
      </c>
      <c r="R506">
        <v>1283.73</v>
      </c>
      <c r="S506">
        <v>604.47</v>
      </c>
      <c r="T506">
        <v>78.97</v>
      </c>
      <c r="U506">
        <v>38.130000000000003</v>
      </c>
      <c r="V506">
        <v>110.85</v>
      </c>
      <c r="W506">
        <v>14.16</v>
      </c>
      <c r="X506">
        <v>846.57</v>
      </c>
      <c r="Y506">
        <v>535.53</v>
      </c>
      <c r="Z506">
        <v>-311.04000000000002</v>
      </c>
      <c r="AA506">
        <v>-0.25109999999999999</v>
      </c>
      <c r="AB506">
        <v>-143.72999999999999</v>
      </c>
      <c r="AC506">
        <v>34.200000000000003</v>
      </c>
      <c r="AD506">
        <v>132.69999999999999</v>
      </c>
      <c r="AE506">
        <v>1238.49</v>
      </c>
    </row>
    <row r="507" spans="1:31" x14ac:dyDescent="0.25">
      <c r="A507" t="s">
        <v>708</v>
      </c>
      <c r="B507" s="2">
        <v>45933</v>
      </c>
      <c r="C507" t="s">
        <v>92</v>
      </c>
      <c r="D507" t="s">
        <v>93</v>
      </c>
      <c r="E507">
        <v>2025</v>
      </c>
      <c r="F507" t="s">
        <v>34</v>
      </c>
      <c r="G507" t="s">
        <v>35</v>
      </c>
      <c r="H507" t="s">
        <v>36</v>
      </c>
      <c r="I507" t="s">
        <v>245</v>
      </c>
      <c r="J507" t="s">
        <v>70</v>
      </c>
      <c r="K507" t="s">
        <v>160</v>
      </c>
      <c r="L507" t="s">
        <v>94</v>
      </c>
      <c r="M507" t="s">
        <v>130</v>
      </c>
      <c r="N507" t="s">
        <v>131</v>
      </c>
      <c r="O507" t="s">
        <v>43</v>
      </c>
      <c r="P507" t="s">
        <v>132</v>
      </c>
      <c r="Q507">
        <v>65094.64</v>
      </c>
      <c r="R507">
        <v>74721.440000000002</v>
      </c>
      <c r="S507">
        <v>38243.519999999997</v>
      </c>
      <c r="T507">
        <v>6017.21</v>
      </c>
      <c r="U507">
        <v>3386.57</v>
      </c>
      <c r="V507">
        <v>7032.18</v>
      </c>
      <c r="W507">
        <v>1174.28</v>
      </c>
      <c r="X507">
        <v>55853.760000000002</v>
      </c>
      <c r="Y507">
        <v>26851.119999999999</v>
      </c>
      <c r="Z507">
        <v>-29002.65</v>
      </c>
      <c r="AA507">
        <v>-0.40589999999999998</v>
      </c>
      <c r="AB507">
        <v>-9626.81</v>
      </c>
      <c r="AC507">
        <v>1301.8900000000001</v>
      </c>
      <c r="AD507">
        <v>7655.13</v>
      </c>
      <c r="AE507">
        <v>71447.87</v>
      </c>
    </row>
    <row r="508" spans="1:31" x14ac:dyDescent="0.25">
      <c r="A508" t="s">
        <v>709</v>
      </c>
      <c r="B508" s="2">
        <v>46001</v>
      </c>
      <c r="C508" t="s">
        <v>107</v>
      </c>
      <c r="D508" t="s">
        <v>93</v>
      </c>
      <c r="E508">
        <v>2025</v>
      </c>
      <c r="F508" t="s">
        <v>67</v>
      </c>
      <c r="G508" t="s">
        <v>35</v>
      </c>
      <c r="H508" t="s">
        <v>68</v>
      </c>
      <c r="I508" t="s">
        <v>260</v>
      </c>
      <c r="J508" t="s">
        <v>38</v>
      </c>
      <c r="K508" t="s">
        <v>160</v>
      </c>
      <c r="L508" t="s">
        <v>72</v>
      </c>
      <c r="M508" t="s">
        <v>52</v>
      </c>
      <c r="N508" t="s">
        <v>53</v>
      </c>
      <c r="O508" t="s">
        <v>54</v>
      </c>
      <c r="P508" t="s">
        <v>55</v>
      </c>
      <c r="Q508">
        <v>2729.09</v>
      </c>
      <c r="R508">
        <v>2880.35</v>
      </c>
      <c r="S508">
        <v>1844.57</v>
      </c>
      <c r="T508">
        <v>352.22</v>
      </c>
      <c r="U508">
        <v>137.21</v>
      </c>
      <c r="V508">
        <v>119.52</v>
      </c>
      <c r="W508">
        <v>103.82</v>
      </c>
      <c r="X508">
        <v>2557.33</v>
      </c>
      <c r="Y508">
        <v>884.51</v>
      </c>
      <c r="Z508">
        <v>-1672.82</v>
      </c>
      <c r="AA508">
        <v>-0.61450000000000005</v>
      </c>
      <c r="AB508">
        <v>-151.27000000000001</v>
      </c>
      <c r="AC508">
        <v>136.44999999999999</v>
      </c>
      <c r="AD508">
        <v>129.63</v>
      </c>
      <c r="AE508">
        <v>2722.26</v>
      </c>
    </row>
    <row r="509" spans="1:31" x14ac:dyDescent="0.25">
      <c r="A509" t="s">
        <v>710</v>
      </c>
      <c r="B509" s="2">
        <v>45975</v>
      </c>
      <c r="C509" t="s">
        <v>147</v>
      </c>
      <c r="D509" t="s">
        <v>93</v>
      </c>
      <c r="E509">
        <v>2025</v>
      </c>
      <c r="F509" t="s">
        <v>34</v>
      </c>
      <c r="G509" t="s">
        <v>35</v>
      </c>
      <c r="H509" t="s">
        <v>98</v>
      </c>
      <c r="I509" t="s">
        <v>304</v>
      </c>
      <c r="J509" t="s">
        <v>100</v>
      </c>
      <c r="K509" t="s">
        <v>50</v>
      </c>
      <c r="L509" t="s">
        <v>51</v>
      </c>
      <c r="M509" t="s">
        <v>52</v>
      </c>
      <c r="N509" t="s">
        <v>53</v>
      </c>
      <c r="O509" t="s">
        <v>54</v>
      </c>
      <c r="P509" t="s">
        <v>55</v>
      </c>
      <c r="Q509">
        <v>6341.99</v>
      </c>
      <c r="R509">
        <v>6114.56</v>
      </c>
      <c r="S509">
        <v>4156.95</v>
      </c>
      <c r="T509">
        <v>439.97</v>
      </c>
      <c r="U509">
        <v>229.33</v>
      </c>
      <c r="V509">
        <v>522.5</v>
      </c>
      <c r="W509">
        <v>127.79</v>
      </c>
      <c r="X509">
        <v>5476.54</v>
      </c>
      <c r="Y509">
        <v>2185.04</v>
      </c>
      <c r="Z509">
        <v>-3291.5</v>
      </c>
      <c r="AA509">
        <v>-0.52029999999999998</v>
      </c>
      <c r="AB509">
        <v>227.43</v>
      </c>
      <c r="AC509">
        <v>317.10000000000002</v>
      </c>
      <c r="AD509">
        <v>301.24</v>
      </c>
      <c r="AE509">
        <v>6326.14</v>
      </c>
    </row>
    <row r="510" spans="1:31" x14ac:dyDescent="0.25">
      <c r="A510" t="s">
        <v>711</v>
      </c>
      <c r="B510" s="2">
        <v>45852</v>
      </c>
      <c r="C510" t="s">
        <v>32</v>
      </c>
      <c r="D510" t="s">
        <v>33</v>
      </c>
      <c r="E510">
        <v>2025</v>
      </c>
      <c r="F510" t="s">
        <v>59</v>
      </c>
      <c r="G510" t="s">
        <v>35</v>
      </c>
      <c r="H510" t="s">
        <v>139</v>
      </c>
      <c r="I510" t="s">
        <v>140</v>
      </c>
      <c r="J510" t="s">
        <v>80</v>
      </c>
      <c r="K510" t="s">
        <v>50</v>
      </c>
      <c r="L510" t="s">
        <v>94</v>
      </c>
      <c r="M510" t="s">
        <v>211</v>
      </c>
      <c r="N510" t="s">
        <v>212</v>
      </c>
      <c r="O510" t="s">
        <v>112</v>
      </c>
      <c r="P510" t="s">
        <v>113</v>
      </c>
      <c r="Q510">
        <v>15990.95</v>
      </c>
      <c r="R510">
        <v>16991.53</v>
      </c>
      <c r="S510">
        <v>11401.82</v>
      </c>
      <c r="T510">
        <v>1277.49</v>
      </c>
      <c r="U510">
        <v>1108.0899999999999</v>
      </c>
      <c r="V510">
        <v>720.92</v>
      </c>
      <c r="W510">
        <v>381.68</v>
      </c>
      <c r="X510">
        <v>14890.01</v>
      </c>
      <c r="Y510">
        <v>4589.13</v>
      </c>
      <c r="Z510">
        <v>-10300.879999999999</v>
      </c>
      <c r="AA510">
        <v>-0.6391</v>
      </c>
      <c r="AB510">
        <v>-1000.58</v>
      </c>
      <c r="AC510">
        <v>1599.1</v>
      </c>
      <c r="AD510">
        <v>1727.02</v>
      </c>
      <c r="AE510">
        <v>16118.88</v>
      </c>
    </row>
    <row r="511" spans="1:31" x14ac:dyDescent="0.25">
      <c r="A511" t="s">
        <v>712</v>
      </c>
      <c r="B511" s="2">
        <v>45885</v>
      </c>
      <c r="C511" t="s">
        <v>117</v>
      </c>
      <c r="D511" t="s">
        <v>33</v>
      </c>
      <c r="E511">
        <v>2025</v>
      </c>
      <c r="F511" t="s">
        <v>85</v>
      </c>
      <c r="G511" t="s">
        <v>35</v>
      </c>
      <c r="H511" t="s">
        <v>86</v>
      </c>
      <c r="I511" t="s">
        <v>87</v>
      </c>
      <c r="J511" t="s">
        <v>80</v>
      </c>
      <c r="K511" t="s">
        <v>39</v>
      </c>
      <c r="L511" t="s">
        <v>94</v>
      </c>
      <c r="M511" t="s">
        <v>110</v>
      </c>
      <c r="N511" t="s">
        <v>111</v>
      </c>
      <c r="O511" t="s">
        <v>112</v>
      </c>
      <c r="P511" t="s">
        <v>113</v>
      </c>
      <c r="Q511">
        <v>7913.24</v>
      </c>
      <c r="R511">
        <v>9150.24</v>
      </c>
      <c r="S511">
        <v>4407.87</v>
      </c>
      <c r="T511">
        <v>555.35</v>
      </c>
      <c r="U511">
        <v>472.61</v>
      </c>
      <c r="V511">
        <v>838.04</v>
      </c>
      <c r="W511">
        <v>107.7</v>
      </c>
      <c r="X511">
        <v>6381.58</v>
      </c>
      <c r="Y511">
        <v>3505.37</v>
      </c>
      <c r="Z511">
        <v>-2876.21</v>
      </c>
      <c r="AA511">
        <v>-0.3422</v>
      </c>
      <c r="AB511">
        <v>-1237</v>
      </c>
      <c r="AC511">
        <v>791.32</v>
      </c>
      <c r="AD511">
        <v>1281.94</v>
      </c>
      <c r="AE511">
        <v>8403.86</v>
      </c>
    </row>
    <row r="512" spans="1:31" x14ac:dyDescent="0.25">
      <c r="A512" t="s">
        <v>713</v>
      </c>
      <c r="B512" s="2">
        <v>45927</v>
      </c>
      <c r="C512" t="s">
        <v>46</v>
      </c>
      <c r="D512" t="s">
        <v>33</v>
      </c>
      <c r="E512">
        <v>2025</v>
      </c>
      <c r="F512" t="s">
        <v>67</v>
      </c>
      <c r="G512" t="s">
        <v>35</v>
      </c>
      <c r="H512" t="s">
        <v>68</v>
      </c>
      <c r="I512" t="s">
        <v>204</v>
      </c>
      <c r="J512" t="s">
        <v>70</v>
      </c>
      <c r="K512" t="s">
        <v>39</v>
      </c>
      <c r="L512" t="s">
        <v>51</v>
      </c>
      <c r="M512" t="s">
        <v>41</v>
      </c>
      <c r="N512" t="s">
        <v>42</v>
      </c>
      <c r="O512" t="s">
        <v>43</v>
      </c>
      <c r="P512" t="s">
        <v>44</v>
      </c>
      <c r="Q512">
        <v>24009.79</v>
      </c>
      <c r="R512">
        <v>24592.81</v>
      </c>
      <c r="S512">
        <v>13693.14</v>
      </c>
      <c r="T512">
        <v>1898.1</v>
      </c>
      <c r="U512">
        <v>681.82</v>
      </c>
      <c r="V512">
        <v>2277.16</v>
      </c>
      <c r="W512">
        <v>606.66999999999996</v>
      </c>
      <c r="X512">
        <v>19156.88</v>
      </c>
      <c r="Y512">
        <v>10316.65</v>
      </c>
      <c r="Z512">
        <v>-8840.23</v>
      </c>
      <c r="AA512">
        <v>-0.31840000000000002</v>
      </c>
      <c r="AB512">
        <v>-583.02</v>
      </c>
      <c r="AC512">
        <v>480.2</v>
      </c>
      <c r="AD512">
        <v>4235.33</v>
      </c>
      <c r="AE512">
        <v>27764.92</v>
      </c>
    </row>
    <row r="513" spans="1:31" x14ac:dyDescent="0.25">
      <c r="A513" t="s">
        <v>714</v>
      </c>
      <c r="B513" s="2">
        <v>46021</v>
      </c>
      <c r="C513" t="s">
        <v>107</v>
      </c>
      <c r="D513" t="s">
        <v>93</v>
      </c>
      <c r="E513">
        <v>2025</v>
      </c>
      <c r="F513" t="s">
        <v>59</v>
      </c>
      <c r="G513" t="s">
        <v>35</v>
      </c>
      <c r="H513" t="s">
        <v>139</v>
      </c>
      <c r="I513" t="s">
        <v>152</v>
      </c>
      <c r="J513" t="s">
        <v>70</v>
      </c>
      <c r="K513" t="s">
        <v>39</v>
      </c>
      <c r="L513" t="s">
        <v>94</v>
      </c>
      <c r="M513" t="s">
        <v>141</v>
      </c>
      <c r="N513" t="s">
        <v>142</v>
      </c>
      <c r="O513" t="s">
        <v>54</v>
      </c>
      <c r="P513" t="s">
        <v>143</v>
      </c>
      <c r="Q513">
        <v>2279.35</v>
      </c>
      <c r="R513">
        <v>2044.39</v>
      </c>
      <c r="S513">
        <v>1569.08</v>
      </c>
      <c r="T513">
        <v>167.71</v>
      </c>
      <c r="U513">
        <v>57.25</v>
      </c>
      <c r="V513">
        <v>131.99</v>
      </c>
      <c r="W513">
        <v>49.95</v>
      </c>
      <c r="X513">
        <v>1975.98</v>
      </c>
      <c r="Y513">
        <v>710.26</v>
      </c>
      <c r="Z513">
        <v>-1265.72</v>
      </c>
      <c r="AA513">
        <v>-0.55089999999999995</v>
      </c>
      <c r="AB513">
        <v>234.95</v>
      </c>
      <c r="AC513">
        <v>227.93</v>
      </c>
      <c r="AD513">
        <v>246.17</v>
      </c>
      <c r="AE513">
        <v>2297.58</v>
      </c>
    </row>
    <row r="514" spans="1:31" x14ac:dyDescent="0.25">
      <c r="A514" t="s">
        <v>715</v>
      </c>
      <c r="B514" s="2">
        <v>45764</v>
      </c>
      <c r="C514" t="s">
        <v>128</v>
      </c>
      <c r="D514" t="s">
        <v>66</v>
      </c>
      <c r="E514">
        <v>2025</v>
      </c>
      <c r="F514" t="s">
        <v>85</v>
      </c>
      <c r="G514" t="s">
        <v>35</v>
      </c>
      <c r="H514" t="s">
        <v>716</v>
      </c>
      <c r="I514" t="s">
        <v>249</v>
      </c>
      <c r="J514" t="s">
        <v>70</v>
      </c>
      <c r="K514" t="s">
        <v>71</v>
      </c>
      <c r="L514" t="s">
        <v>94</v>
      </c>
      <c r="M514" t="s">
        <v>120</v>
      </c>
      <c r="N514" t="s">
        <v>121</v>
      </c>
      <c r="O514" t="s">
        <v>43</v>
      </c>
      <c r="P514" t="s">
        <v>122</v>
      </c>
      <c r="Q514">
        <v>29505.95</v>
      </c>
      <c r="R514">
        <v>29309.41</v>
      </c>
      <c r="S514">
        <v>16405.43</v>
      </c>
      <c r="T514">
        <v>3074.06</v>
      </c>
      <c r="U514">
        <v>1293.04</v>
      </c>
      <c r="V514">
        <v>2542.6999999999998</v>
      </c>
      <c r="W514">
        <v>363.11</v>
      </c>
      <c r="X514">
        <v>23678.34</v>
      </c>
      <c r="Y514">
        <v>13100.52</v>
      </c>
      <c r="Z514">
        <v>-10577.82</v>
      </c>
      <c r="AA514">
        <v>-0.3266</v>
      </c>
      <c r="AB514">
        <v>196.54</v>
      </c>
      <c r="AC514">
        <v>590.12</v>
      </c>
      <c r="AD514">
        <v>3469.9</v>
      </c>
      <c r="AE514">
        <v>32385.73</v>
      </c>
    </row>
    <row r="515" spans="1:31" x14ac:dyDescent="0.25">
      <c r="A515" t="s">
        <v>717</v>
      </c>
      <c r="B515" s="2">
        <v>45765</v>
      </c>
      <c r="C515" t="s">
        <v>128</v>
      </c>
      <c r="D515" t="s">
        <v>66</v>
      </c>
      <c r="E515">
        <v>2025</v>
      </c>
      <c r="F515" t="s">
        <v>59</v>
      </c>
      <c r="G515" t="s">
        <v>35</v>
      </c>
      <c r="H515" t="s">
        <v>230</v>
      </c>
      <c r="I515" t="s">
        <v>231</v>
      </c>
      <c r="J515" t="s">
        <v>100</v>
      </c>
      <c r="K515" t="s">
        <v>50</v>
      </c>
      <c r="L515" t="s">
        <v>94</v>
      </c>
      <c r="M515" t="s">
        <v>73</v>
      </c>
      <c r="N515" t="s">
        <v>74</v>
      </c>
      <c r="O515" t="s">
        <v>43</v>
      </c>
      <c r="P515" t="s">
        <v>75</v>
      </c>
      <c r="Q515">
        <v>73104.36</v>
      </c>
      <c r="R515">
        <v>85846.14</v>
      </c>
      <c r="S515">
        <v>51346.41</v>
      </c>
      <c r="T515">
        <v>8907.76</v>
      </c>
      <c r="U515">
        <v>5304.03</v>
      </c>
      <c r="V515">
        <v>5070.51</v>
      </c>
      <c r="W515">
        <v>1002.58</v>
      </c>
      <c r="X515">
        <v>71631.3</v>
      </c>
      <c r="Y515">
        <v>21757.94</v>
      </c>
      <c r="Z515">
        <v>-49873.35</v>
      </c>
      <c r="AA515">
        <v>-0.60860000000000003</v>
      </c>
      <c r="AB515">
        <v>-12741.79</v>
      </c>
      <c r="AC515">
        <v>3655.22</v>
      </c>
      <c r="AD515">
        <v>12500.84</v>
      </c>
      <c r="AE515">
        <v>81949.98</v>
      </c>
    </row>
    <row r="516" spans="1:31" x14ac:dyDescent="0.25">
      <c r="A516" t="s">
        <v>718</v>
      </c>
      <c r="B516" s="2">
        <v>46045</v>
      </c>
      <c r="C516" t="s">
        <v>77</v>
      </c>
      <c r="D516" t="s">
        <v>58</v>
      </c>
      <c r="E516">
        <v>2026</v>
      </c>
      <c r="F516" t="s">
        <v>85</v>
      </c>
      <c r="G516" t="s">
        <v>35</v>
      </c>
      <c r="H516" t="s">
        <v>86</v>
      </c>
      <c r="I516" t="s">
        <v>87</v>
      </c>
      <c r="J516" t="s">
        <v>100</v>
      </c>
      <c r="K516" t="s">
        <v>50</v>
      </c>
      <c r="L516" t="s">
        <v>51</v>
      </c>
      <c r="M516" t="s">
        <v>186</v>
      </c>
      <c r="N516" t="s">
        <v>187</v>
      </c>
      <c r="O516" t="s">
        <v>173</v>
      </c>
      <c r="P516" t="s">
        <v>174</v>
      </c>
      <c r="Q516">
        <v>18154.12</v>
      </c>
      <c r="R516">
        <v>17933.78</v>
      </c>
      <c r="S516">
        <v>9262.09</v>
      </c>
      <c r="T516">
        <v>1763.61</v>
      </c>
      <c r="U516">
        <v>1073.53</v>
      </c>
      <c r="V516">
        <v>1020.98</v>
      </c>
      <c r="W516">
        <v>468.66</v>
      </c>
      <c r="X516">
        <v>13588.87</v>
      </c>
      <c r="Y516">
        <v>8892.02</v>
      </c>
      <c r="Z516">
        <v>-4696.8500000000004</v>
      </c>
      <c r="AA516">
        <v>-0.25109999999999999</v>
      </c>
      <c r="AB516">
        <v>220.34</v>
      </c>
      <c r="AC516">
        <v>1452.33</v>
      </c>
      <c r="AD516">
        <v>2004.21</v>
      </c>
      <c r="AE516">
        <v>18706</v>
      </c>
    </row>
    <row r="517" spans="1:31" x14ac:dyDescent="0.25">
      <c r="A517" t="s">
        <v>719</v>
      </c>
      <c r="B517" s="2">
        <v>46001</v>
      </c>
      <c r="C517" t="s">
        <v>107</v>
      </c>
      <c r="D517" t="s">
        <v>93</v>
      </c>
      <c r="E517">
        <v>2025</v>
      </c>
      <c r="F517" t="s">
        <v>67</v>
      </c>
      <c r="G517" t="s">
        <v>35</v>
      </c>
      <c r="H517" t="s">
        <v>168</v>
      </c>
      <c r="I517" t="s">
        <v>278</v>
      </c>
      <c r="J517" t="s">
        <v>100</v>
      </c>
      <c r="K517" t="s">
        <v>71</v>
      </c>
      <c r="L517" t="s">
        <v>72</v>
      </c>
      <c r="M517" t="s">
        <v>120</v>
      </c>
      <c r="N517" t="s">
        <v>121</v>
      </c>
      <c r="O517" t="s">
        <v>43</v>
      </c>
      <c r="P517" t="s">
        <v>122</v>
      </c>
      <c r="Q517">
        <v>17279.64</v>
      </c>
      <c r="R517">
        <v>18629.46</v>
      </c>
      <c r="S517">
        <v>11323.34</v>
      </c>
      <c r="T517">
        <v>1490.56</v>
      </c>
      <c r="U517">
        <v>1200.6099999999999</v>
      </c>
      <c r="V517">
        <v>1188.72</v>
      </c>
      <c r="W517">
        <v>576.67999999999995</v>
      </c>
      <c r="X517">
        <v>15779.91</v>
      </c>
      <c r="Y517">
        <v>5956.3</v>
      </c>
      <c r="Z517">
        <v>-9823.6</v>
      </c>
      <c r="AA517">
        <v>-0.50760000000000005</v>
      </c>
      <c r="AB517">
        <v>-1349.82</v>
      </c>
      <c r="AC517">
        <v>0</v>
      </c>
      <c r="AD517">
        <v>2073.56</v>
      </c>
      <c r="AE517">
        <v>19353.2</v>
      </c>
    </row>
    <row r="518" spans="1:31" x14ac:dyDescent="0.25">
      <c r="A518" t="s">
        <v>720</v>
      </c>
      <c r="B518" s="2">
        <v>45969</v>
      </c>
      <c r="C518" t="s">
        <v>147</v>
      </c>
      <c r="D518" t="s">
        <v>93</v>
      </c>
      <c r="E518">
        <v>2025</v>
      </c>
      <c r="F518" t="s">
        <v>59</v>
      </c>
      <c r="G518" t="s">
        <v>35</v>
      </c>
      <c r="H518" t="s">
        <v>60</v>
      </c>
      <c r="I518" t="s">
        <v>61</v>
      </c>
      <c r="J518" t="s">
        <v>38</v>
      </c>
      <c r="K518" t="s">
        <v>71</v>
      </c>
      <c r="L518" t="s">
        <v>94</v>
      </c>
      <c r="M518" t="s">
        <v>141</v>
      </c>
      <c r="N518" t="s">
        <v>142</v>
      </c>
      <c r="O518" t="s">
        <v>54</v>
      </c>
      <c r="P518" t="s">
        <v>143</v>
      </c>
      <c r="Q518">
        <v>2095.9499999999998</v>
      </c>
      <c r="R518">
        <v>1976.59</v>
      </c>
      <c r="S518">
        <v>1256.4100000000001</v>
      </c>
      <c r="T518">
        <v>184.61</v>
      </c>
      <c r="U518">
        <v>175.22</v>
      </c>
      <c r="V518">
        <v>89.66</v>
      </c>
      <c r="W518">
        <v>44.43</v>
      </c>
      <c r="X518">
        <v>1750.33</v>
      </c>
      <c r="Y518">
        <v>839.54</v>
      </c>
      <c r="Z518">
        <v>-910.78</v>
      </c>
      <c r="AA518">
        <v>-0.3876</v>
      </c>
      <c r="AB518">
        <v>119.36</v>
      </c>
      <c r="AC518">
        <v>104.8</v>
      </c>
      <c r="AD518">
        <v>358.41</v>
      </c>
      <c r="AE518">
        <v>2349.56</v>
      </c>
    </row>
    <row r="519" spans="1:31" x14ac:dyDescent="0.25">
      <c r="A519" t="s">
        <v>721</v>
      </c>
      <c r="B519" s="2">
        <v>46104</v>
      </c>
      <c r="C519" t="s">
        <v>125</v>
      </c>
      <c r="D519" t="s">
        <v>58</v>
      </c>
      <c r="E519">
        <v>2026</v>
      </c>
      <c r="F519" t="s">
        <v>34</v>
      </c>
      <c r="G519" t="s">
        <v>35</v>
      </c>
      <c r="H519" t="s">
        <v>36</v>
      </c>
      <c r="I519" t="s">
        <v>245</v>
      </c>
      <c r="J519" t="s">
        <v>100</v>
      </c>
      <c r="K519" t="s">
        <v>50</v>
      </c>
      <c r="L519" t="s">
        <v>81</v>
      </c>
      <c r="M519" t="s">
        <v>52</v>
      </c>
      <c r="N519" t="s">
        <v>53</v>
      </c>
      <c r="O519" t="s">
        <v>54</v>
      </c>
      <c r="P519" t="s">
        <v>55</v>
      </c>
      <c r="Q519">
        <v>9239.91</v>
      </c>
      <c r="R519">
        <v>8584.4599999999991</v>
      </c>
      <c r="S519">
        <v>4509.78</v>
      </c>
      <c r="T519">
        <v>566.29999999999995</v>
      </c>
      <c r="U519">
        <v>596.64</v>
      </c>
      <c r="V519">
        <v>502.13</v>
      </c>
      <c r="W519">
        <v>165.41</v>
      </c>
      <c r="X519">
        <v>6340.26</v>
      </c>
      <c r="Y519">
        <v>4730.13</v>
      </c>
      <c r="Z519">
        <v>-1610.13</v>
      </c>
      <c r="AA519">
        <v>-0.1477</v>
      </c>
      <c r="AB519">
        <v>655.44</v>
      </c>
      <c r="AC519">
        <v>0</v>
      </c>
      <c r="AD519">
        <v>1663.18</v>
      </c>
      <c r="AE519">
        <v>10903.09</v>
      </c>
    </row>
    <row r="520" spans="1:31" x14ac:dyDescent="0.25">
      <c r="A520" t="s">
        <v>722</v>
      </c>
      <c r="B520" s="2">
        <v>45881</v>
      </c>
      <c r="C520" t="s">
        <v>117</v>
      </c>
      <c r="D520" t="s">
        <v>33</v>
      </c>
      <c r="E520">
        <v>2025</v>
      </c>
      <c r="F520" t="s">
        <v>34</v>
      </c>
      <c r="G520" t="s">
        <v>35</v>
      </c>
      <c r="H520" t="s">
        <v>36</v>
      </c>
      <c r="I520" t="s">
        <v>145</v>
      </c>
      <c r="J520" t="s">
        <v>38</v>
      </c>
      <c r="K520" t="s">
        <v>160</v>
      </c>
      <c r="L520" t="s">
        <v>40</v>
      </c>
      <c r="M520" t="s">
        <v>189</v>
      </c>
      <c r="N520" t="s">
        <v>190</v>
      </c>
      <c r="O520" t="s">
        <v>104</v>
      </c>
      <c r="P520" t="s">
        <v>105</v>
      </c>
      <c r="Q520">
        <v>26112.33</v>
      </c>
      <c r="R520">
        <v>26401.83</v>
      </c>
      <c r="S520">
        <v>17450.580000000002</v>
      </c>
      <c r="T520">
        <v>1500.51</v>
      </c>
      <c r="U520">
        <v>1536.89</v>
      </c>
      <c r="V520">
        <v>2791.69</v>
      </c>
      <c r="W520">
        <v>1019.86</v>
      </c>
      <c r="X520">
        <v>24299.53</v>
      </c>
      <c r="Y520">
        <v>8661.75</v>
      </c>
      <c r="Z520">
        <v>-15637.78</v>
      </c>
      <c r="AA520">
        <v>-0.56389999999999996</v>
      </c>
      <c r="AB520">
        <v>-289.49</v>
      </c>
      <c r="AC520">
        <v>2611.23</v>
      </c>
      <c r="AD520">
        <v>4230.2</v>
      </c>
      <c r="AE520">
        <v>27731.3</v>
      </c>
    </row>
    <row r="521" spans="1:31" x14ac:dyDescent="0.25">
      <c r="A521" t="s">
        <v>723</v>
      </c>
      <c r="B521" s="2">
        <v>45925</v>
      </c>
      <c r="C521" t="s">
        <v>46</v>
      </c>
      <c r="D521" t="s">
        <v>33</v>
      </c>
      <c r="E521">
        <v>2025</v>
      </c>
      <c r="F521" t="s">
        <v>34</v>
      </c>
      <c r="G521" t="s">
        <v>35</v>
      </c>
      <c r="H521" t="s">
        <v>36</v>
      </c>
      <c r="I521" t="s">
        <v>245</v>
      </c>
      <c r="J521" t="s">
        <v>80</v>
      </c>
      <c r="K521" t="s">
        <v>39</v>
      </c>
      <c r="L521" t="s">
        <v>81</v>
      </c>
      <c r="M521" t="s">
        <v>102</v>
      </c>
      <c r="N521" t="s">
        <v>103</v>
      </c>
      <c r="O521" t="s">
        <v>104</v>
      </c>
      <c r="P521" t="s">
        <v>105</v>
      </c>
      <c r="Q521">
        <v>22337.439999999999</v>
      </c>
      <c r="R521">
        <v>26312.3</v>
      </c>
      <c r="S521">
        <v>14787.22</v>
      </c>
      <c r="T521">
        <v>2535.09</v>
      </c>
      <c r="U521">
        <v>1453.5</v>
      </c>
      <c r="V521">
        <v>2655.34</v>
      </c>
      <c r="W521">
        <v>723.7</v>
      </c>
      <c r="X521">
        <v>22154.84</v>
      </c>
      <c r="Y521">
        <v>7550.22</v>
      </c>
      <c r="Z521">
        <v>-14604.62</v>
      </c>
      <c r="AA521">
        <v>-0.60229999999999995</v>
      </c>
      <c r="AB521">
        <v>-3974.86</v>
      </c>
      <c r="AC521">
        <v>1786.99</v>
      </c>
      <c r="AD521">
        <v>3699.08</v>
      </c>
      <c r="AE521">
        <v>24249.52</v>
      </c>
    </row>
    <row r="522" spans="1:31" x14ac:dyDescent="0.25">
      <c r="A522" t="s">
        <v>724</v>
      </c>
      <c r="B522" s="2">
        <v>45999</v>
      </c>
      <c r="C522" t="s">
        <v>107</v>
      </c>
      <c r="D522" t="s">
        <v>93</v>
      </c>
      <c r="E522">
        <v>2025</v>
      </c>
      <c r="F522" t="s">
        <v>47</v>
      </c>
      <c r="G522" t="s">
        <v>35</v>
      </c>
      <c r="H522" t="s">
        <v>206</v>
      </c>
      <c r="I522" t="s">
        <v>344</v>
      </c>
      <c r="J522" t="s">
        <v>70</v>
      </c>
      <c r="K522" t="s">
        <v>50</v>
      </c>
      <c r="L522" t="s">
        <v>51</v>
      </c>
      <c r="M522" t="s">
        <v>95</v>
      </c>
      <c r="N522" t="s">
        <v>96</v>
      </c>
      <c r="O522" t="s">
        <v>43</v>
      </c>
      <c r="P522" t="s">
        <v>90</v>
      </c>
      <c r="Q522">
        <v>28205.15</v>
      </c>
      <c r="R522">
        <v>26564.23</v>
      </c>
      <c r="S522">
        <v>16525.259999999998</v>
      </c>
      <c r="T522">
        <v>1556.93</v>
      </c>
      <c r="U522">
        <v>2218.1999999999998</v>
      </c>
      <c r="V522">
        <v>1412.38</v>
      </c>
      <c r="W522">
        <v>1173.57</v>
      </c>
      <c r="X522">
        <v>22886.33</v>
      </c>
      <c r="Y522">
        <v>11679.89</v>
      </c>
      <c r="Z522">
        <v>-11206.44</v>
      </c>
      <c r="AA522">
        <v>-0.3856</v>
      </c>
      <c r="AB522">
        <v>1640.92</v>
      </c>
      <c r="AC522">
        <v>2256.41</v>
      </c>
      <c r="AD522">
        <v>3113.85</v>
      </c>
      <c r="AE522">
        <v>29062.59</v>
      </c>
    </row>
    <row r="523" spans="1:31" x14ac:dyDescent="0.25">
      <c r="A523" t="s">
        <v>725</v>
      </c>
      <c r="B523" s="2">
        <v>45809</v>
      </c>
      <c r="C523" t="s">
        <v>156</v>
      </c>
      <c r="D523" t="s">
        <v>66</v>
      </c>
      <c r="E523">
        <v>2025</v>
      </c>
      <c r="F523" t="s">
        <v>59</v>
      </c>
      <c r="G523" t="s">
        <v>35</v>
      </c>
      <c r="H523" t="s">
        <v>254</v>
      </c>
      <c r="I523" t="s">
        <v>200</v>
      </c>
      <c r="J523" t="s">
        <v>80</v>
      </c>
      <c r="K523" t="s">
        <v>101</v>
      </c>
      <c r="L523" t="s">
        <v>40</v>
      </c>
      <c r="M523" t="s">
        <v>211</v>
      </c>
      <c r="N523" t="s">
        <v>212</v>
      </c>
      <c r="O523" t="s">
        <v>112</v>
      </c>
      <c r="P523" t="s">
        <v>113</v>
      </c>
      <c r="Q523">
        <v>29901.63</v>
      </c>
      <c r="R523">
        <v>30463.35</v>
      </c>
      <c r="S523">
        <v>19986.759999999998</v>
      </c>
      <c r="T523">
        <v>3460.4</v>
      </c>
      <c r="U523">
        <v>1825.25</v>
      </c>
      <c r="V523">
        <v>1626.16</v>
      </c>
      <c r="W523">
        <v>788.55</v>
      </c>
      <c r="X523">
        <v>27687.13</v>
      </c>
      <c r="Y523">
        <v>9914.86</v>
      </c>
      <c r="Z523">
        <v>-17772.27</v>
      </c>
      <c r="AA523">
        <v>-0.55969999999999998</v>
      </c>
      <c r="AB523">
        <v>-561.73</v>
      </c>
      <c r="AC523">
        <v>2990.16</v>
      </c>
      <c r="AD523">
        <v>4844.0600000000004</v>
      </c>
      <c r="AE523">
        <v>31755.53</v>
      </c>
    </row>
    <row r="524" spans="1:31" x14ac:dyDescent="0.25">
      <c r="A524" t="s">
        <v>726</v>
      </c>
      <c r="B524" s="2">
        <v>45794</v>
      </c>
      <c r="C524" t="s">
        <v>65</v>
      </c>
      <c r="D524" t="s">
        <v>66</v>
      </c>
      <c r="E524">
        <v>2025</v>
      </c>
      <c r="F524" t="s">
        <v>34</v>
      </c>
      <c r="G524" t="s">
        <v>35</v>
      </c>
      <c r="H524" t="s">
        <v>134</v>
      </c>
      <c r="I524" t="s">
        <v>154</v>
      </c>
      <c r="J524" t="s">
        <v>100</v>
      </c>
      <c r="K524" t="s">
        <v>39</v>
      </c>
      <c r="L524" t="s">
        <v>51</v>
      </c>
      <c r="M524" t="s">
        <v>95</v>
      </c>
      <c r="N524" t="s">
        <v>96</v>
      </c>
      <c r="O524" t="s">
        <v>43</v>
      </c>
      <c r="P524" t="s">
        <v>90</v>
      </c>
      <c r="Q524">
        <v>62654.09</v>
      </c>
      <c r="R524">
        <v>58844.36</v>
      </c>
      <c r="S524">
        <v>34844.519999999997</v>
      </c>
      <c r="T524">
        <v>4545.83</v>
      </c>
      <c r="U524">
        <v>3728.28</v>
      </c>
      <c r="V524">
        <v>2765.23</v>
      </c>
      <c r="W524">
        <v>974.19</v>
      </c>
      <c r="X524">
        <v>46858.06</v>
      </c>
      <c r="Y524">
        <v>27809.57</v>
      </c>
      <c r="Z524">
        <v>-19048.490000000002</v>
      </c>
      <c r="AA524">
        <v>-0.31469999999999998</v>
      </c>
      <c r="AB524">
        <v>3809.73</v>
      </c>
      <c r="AC524">
        <v>5012.33</v>
      </c>
      <c r="AD524">
        <v>2882.09</v>
      </c>
      <c r="AE524">
        <v>60523.85</v>
      </c>
    </row>
    <row r="525" spans="1:31" x14ac:dyDescent="0.25">
      <c r="A525" t="s">
        <v>727</v>
      </c>
      <c r="B525" s="2">
        <v>45827</v>
      </c>
      <c r="C525" t="s">
        <v>156</v>
      </c>
      <c r="D525" t="s">
        <v>66</v>
      </c>
      <c r="E525">
        <v>2025</v>
      </c>
      <c r="F525" t="s">
        <v>67</v>
      </c>
      <c r="G525" t="s">
        <v>35</v>
      </c>
      <c r="H525" t="s">
        <v>168</v>
      </c>
      <c r="I525" t="s">
        <v>251</v>
      </c>
      <c r="J525" t="s">
        <v>38</v>
      </c>
      <c r="K525" t="s">
        <v>101</v>
      </c>
      <c r="L525" t="s">
        <v>72</v>
      </c>
      <c r="M525" t="s">
        <v>130</v>
      </c>
      <c r="N525" t="s">
        <v>131</v>
      </c>
      <c r="O525" t="s">
        <v>43</v>
      </c>
      <c r="P525" t="s">
        <v>132</v>
      </c>
      <c r="Q525">
        <v>38490.35</v>
      </c>
      <c r="R525">
        <v>35676.68</v>
      </c>
      <c r="S525">
        <v>22512.55</v>
      </c>
      <c r="T525">
        <v>3146.63</v>
      </c>
      <c r="U525">
        <v>2822.51</v>
      </c>
      <c r="V525">
        <v>3327.84</v>
      </c>
      <c r="W525">
        <v>907.78</v>
      </c>
      <c r="X525">
        <v>32717.3</v>
      </c>
      <c r="Y525">
        <v>15977.8</v>
      </c>
      <c r="Z525">
        <v>-16739.5</v>
      </c>
      <c r="AA525">
        <v>-0.41420000000000001</v>
      </c>
      <c r="AB525">
        <v>2813.67</v>
      </c>
      <c r="AC525">
        <v>0</v>
      </c>
      <c r="AD525">
        <v>1924.52</v>
      </c>
      <c r="AE525">
        <v>40414.86</v>
      </c>
    </row>
    <row r="526" spans="1:31" x14ac:dyDescent="0.25">
      <c r="A526" t="s">
        <v>728</v>
      </c>
      <c r="B526" s="2">
        <v>45974</v>
      </c>
      <c r="C526" t="s">
        <v>147</v>
      </c>
      <c r="D526" t="s">
        <v>93</v>
      </c>
      <c r="E526">
        <v>2025</v>
      </c>
      <c r="F526" t="s">
        <v>59</v>
      </c>
      <c r="G526" t="s">
        <v>35</v>
      </c>
      <c r="H526" t="s">
        <v>139</v>
      </c>
      <c r="I526" t="s">
        <v>140</v>
      </c>
      <c r="J526" t="s">
        <v>80</v>
      </c>
      <c r="K526" t="s">
        <v>50</v>
      </c>
      <c r="L526" t="s">
        <v>51</v>
      </c>
      <c r="M526" t="s">
        <v>102</v>
      </c>
      <c r="N526" t="s">
        <v>103</v>
      </c>
      <c r="O526" t="s">
        <v>104</v>
      </c>
      <c r="P526" t="s">
        <v>105</v>
      </c>
      <c r="Q526">
        <v>26187.83</v>
      </c>
      <c r="R526">
        <v>28315.54</v>
      </c>
      <c r="S526">
        <v>16989.16</v>
      </c>
      <c r="T526">
        <v>1920.06</v>
      </c>
      <c r="U526">
        <v>1455.37</v>
      </c>
      <c r="V526">
        <v>3050.87</v>
      </c>
      <c r="W526">
        <v>964.62</v>
      </c>
      <c r="X526">
        <v>24380.080000000002</v>
      </c>
      <c r="Y526">
        <v>9198.67</v>
      </c>
      <c r="Z526">
        <v>-15181.41</v>
      </c>
      <c r="AA526">
        <v>-0.54590000000000005</v>
      </c>
      <c r="AB526">
        <v>-2127.71</v>
      </c>
      <c r="AC526">
        <v>2618.7800000000002</v>
      </c>
      <c r="AD526">
        <v>4242.43</v>
      </c>
      <c r="AE526">
        <v>27811.48</v>
      </c>
    </row>
    <row r="527" spans="1:31" x14ac:dyDescent="0.25">
      <c r="A527" t="s">
        <v>729</v>
      </c>
      <c r="B527" s="2">
        <v>46012</v>
      </c>
      <c r="C527" t="s">
        <v>107</v>
      </c>
      <c r="D527" t="s">
        <v>93</v>
      </c>
      <c r="E527">
        <v>2025</v>
      </c>
      <c r="F527" t="s">
        <v>59</v>
      </c>
      <c r="G527" t="s">
        <v>35</v>
      </c>
      <c r="H527" t="s">
        <v>60</v>
      </c>
      <c r="I527" t="s">
        <v>185</v>
      </c>
      <c r="J527" t="s">
        <v>38</v>
      </c>
      <c r="K527" t="s">
        <v>101</v>
      </c>
      <c r="L527" t="s">
        <v>81</v>
      </c>
      <c r="M527" t="s">
        <v>52</v>
      </c>
      <c r="N527" t="s">
        <v>53</v>
      </c>
      <c r="O527" t="s">
        <v>54</v>
      </c>
      <c r="P527" t="s">
        <v>55</v>
      </c>
      <c r="Q527">
        <v>9848.24</v>
      </c>
      <c r="R527">
        <v>9719.32</v>
      </c>
      <c r="S527">
        <v>6694.83</v>
      </c>
      <c r="T527">
        <v>1162.71</v>
      </c>
      <c r="U527">
        <v>517.58000000000004</v>
      </c>
      <c r="V527">
        <v>446.3</v>
      </c>
      <c r="W527">
        <v>99.03</v>
      </c>
      <c r="X527">
        <v>8920.44</v>
      </c>
      <c r="Y527">
        <v>3153.41</v>
      </c>
      <c r="Z527">
        <v>-5767.03</v>
      </c>
      <c r="AA527">
        <v>-0.53900000000000003</v>
      </c>
      <c r="AB527">
        <v>128.91</v>
      </c>
      <c r="AC527">
        <v>295.45</v>
      </c>
      <c r="AD527">
        <v>1146.33</v>
      </c>
      <c r="AE527">
        <v>10699.12</v>
      </c>
    </row>
    <row r="528" spans="1:31" x14ac:dyDescent="0.25">
      <c r="A528" t="s">
        <v>730</v>
      </c>
      <c r="B528" s="2">
        <v>46047</v>
      </c>
      <c r="C528" t="s">
        <v>77</v>
      </c>
      <c r="D528" t="s">
        <v>58</v>
      </c>
      <c r="E528">
        <v>2026</v>
      </c>
      <c r="F528" t="s">
        <v>47</v>
      </c>
      <c r="G528" t="s">
        <v>35</v>
      </c>
      <c r="H528" t="s">
        <v>206</v>
      </c>
      <c r="I528" t="s">
        <v>207</v>
      </c>
      <c r="J528" t="s">
        <v>38</v>
      </c>
      <c r="K528" t="s">
        <v>160</v>
      </c>
      <c r="L528" t="s">
        <v>72</v>
      </c>
      <c r="M528" t="s">
        <v>141</v>
      </c>
      <c r="N528" t="s">
        <v>142</v>
      </c>
      <c r="O528" t="s">
        <v>54</v>
      </c>
      <c r="P528" t="s">
        <v>143</v>
      </c>
      <c r="Q528">
        <v>6817.89</v>
      </c>
      <c r="R528">
        <v>6306.27</v>
      </c>
      <c r="S528">
        <v>4208.2700000000004</v>
      </c>
      <c r="T528">
        <v>479.24</v>
      </c>
      <c r="U528">
        <v>271.52</v>
      </c>
      <c r="V528">
        <v>279</v>
      </c>
      <c r="W528">
        <v>99.28</v>
      </c>
      <c r="X528">
        <v>5337.31</v>
      </c>
      <c r="Y528">
        <v>2609.62</v>
      </c>
      <c r="Z528">
        <v>-2727.68</v>
      </c>
      <c r="AA528">
        <v>-0.38879999999999998</v>
      </c>
      <c r="AB528">
        <v>511.62</v>
      </c>
      <c r="AC528">
        <v>136.36000000000001</v>
      </c>
      <c r="AD528">
        <v>334.08</v>
      </c>
      <c r="AE528">
        <v>7015.61</v>
      </c>
    </row>
    <row r="529" spans="1:31" x14ac:dyDescent="0.25">
      <c r="A529" t="s">
        <v>731</v>
      </c>
      <c r="B529" s="2">
        <v>45752</v>
      </c>
      <c r="C529" t="s">
        <v>128</v>
      </c>
      <c r="D529" t="s">
        <v>66</v>
      </c>
      <c r="E529">
        <v>2025</v>
      </c>
      <c r="F529" t="s">
        <v>59</v>
      </c>
      <c r="G529" t="s">
        <v>35</v>
      </c>
      <c r="H529" t="s">
        <v>60</v>
      </c>
      <c r="I529" t="s">
        <v>61</v>
      </c>
      <c r="J529" t="s">
        <v>80</v>
      </c>
      <c r="K529" t="s">
        <v>50</v>
      </c>
      <c r="L529" t="s">
        <v>51</v>
      </c>
      <c r="M529" t="s">
        <v>141</v>
      </c>
      <c r="N529" t="s">
        <v>142</v>
      </c>
      <c r="O529" t="s">
        <v>54</v>
      </c>
      <c r="P529" t="s">
        <v>143</v>
      </c>
      <c r="Q529">
        <v>3435.05</v>
      </c>
      <c r="R529">
        <v>3455.6</v>
      </c>
      <c r="S529">
        <v>1806.98</v>
      </c>
      <c r="T529">
        <v>263.49</v>
      </c>
      <c r="U529">
        <v>248.36</v>
      </c>
      <c r="V529">
        <v>321.32</v>
      </c>
      <c r="W529">
        <v>42.98</v>
      </c>
      <c r="X529">
        <v>2683.12</v>
      </c>
      <c r="Y529">
        <v>1628.08</v>
      </c>
      <c r="Z529">
        <v>-1055.05</v>
      </c>
      <c r="AA529">
        <v>-0.30790000000000001</v>
      </c>
      <c r="AB529">
        <v>-20.55</v>
      </c>
      <c r="AC529">
        <v>171.75</v>
      </c>
      <c r="AD529">
        <v>163.16</v>
      </c>
      <c r="AE529">
        <v>3426.46</v>
      </c>
    </row>
    <row r="530" spans="1:31" x14ac:dyDescent="0.25">
      <c r="A530" t="s">
        <v>732</v>
      </c>
      <c r="B530" s="2">
        <v>46095</v>
      </c>
      <c r="C530" t="s">
        <v>125</v>
      </c>
      <c r="D530" t="s">
        <v>58</v>
      </c>
      <c r="E530">
        <v>2026</v>
      </c>
      <c r="F530" t="s">
        <v>67</v>
      </c>
      <c r="G530" t="s">
        <v>35</v>
      </c>
      <c r="H530" t="s">
        <v>168</v>
      </c>
      <c r="I530" t="s">
        <v>251</v>
      </c>
      <c r="J530" t="s">
        <v>80</v>
      </c>
      <c r="K530" t="s">
        <v>39</v>
      </c>
      <c r="L530" t="s">
        <v>94</v>
      </c>
      <c r="M530" t="s">
        <v>171</v>
      </c>
      <c r="N530" t="s">
        <v>172</v>
      </c>
      <c r="O530" t="s">
        <v>173</v>
      </c>
      <c r="P530" t="s">
        <v>174</v>
      </c>
      <c r="Q530">
        <v>19056.849999999999</v>
      </c>
      <c r="R530">
        <v>20407.330000000002</v>
      </c>
      <c r="S530">
        <v>12489.18</v>
      </c>
      <c r="T530">
        <v>2352.39</v>
      </c>
      <c r="U530">
        <v>1605.95</v>
      </c>
      <c r="V530">
        <v>1888.83</v>
      </c>
      <c r="W530">
        <v>322.52</v>
      </c>
      <c r="X530">
        <v>18658.87</v>
      </c>
      <c r="Y530">
        <v>6567.67</v>
      </c>
      <c r="Z530">
        <v>-12091.2</v>
      </c>
      <c r="AA530">
        <v>-0.65680000000000005</v>
      </c>
      <c r="AB530">
        <v>-1350.48</v>
      </c>
      <c r="AC530">
        <v>1524.55</v>
      </c>
      <c r="AD530">
        <v>876.62</v>
      </c>
      <c r="AE530">
        <v>18408.919999999998</v>
      </c>
    </row>
    <row r="531" spans="1:31" x14ac:dyDescent="0.25">
      <c r="A531" t="s">
        <v>733</v>
      </c>
      <c r="B531" s="2">
        <v>45962</v>
      </c>
      <c r="C531" t="s">
        <v>147</v>
      </c>
      <c r="D531" t="s">
        <v>93</v>
      </c>
      <c r="E531">
        <v>2025</v>
      </c>
      <c r="F531" t="s">
        <v>34</v>
      </c>
      <c r="G531" t="s">
        <v>35</v>
      </c>
      <c r="H531" t="s">
        <v>134</v>
      </c>
      <c r="I531" t="s">
        <v>176</v>
      </c>
      <c r="J531" t="s">
        <v>100</v>
      </c>
      <c r="K531" t="s">
        <v>71</v>
      </c>
      <c r="L531" t="s">
        <v>51</v>
      </c>
      <c r="M531" t="s">
        <v>161</v>
      </c>
      <c r="N531" t="s">
        <v>162</v>
      </c>
      <c r="O531" t="s">
        <v>43</v>
      </c>
      <c r="P531" t="s">
        <v>163</v>
      </c>
      <c r="Q531">
        <v>36314.129999999997</v>
      </c>
      <c r="R531">
        <v>42459.07</v>
      </c>
      <c r="S531">
        <v>18263.75</v>
      </c>
      <c r="T531">
        <v>1881.22</v>
      </c>
      <c r="U531">
        <v>1039.45</v>
      </c>
      <c r="V531">
        <v>1604.81</v>
      </c>
      <c r="W531">
        <v>1516.97</v>
      </c>
      <c r="X531">
        <v>24306.19</v>
      </c>
      <c r="Y531">
        <v>18050.38</v>
      </c>
      <c r="Z531">
        <v>-6255.81</v>
      </c>
      <c r="AA531">
        <v>-0.1537</v>
      </c>
      <c r="AB531">
        <v>-6144.94</v>
      </c>
      <c r="AC531">
        <v>1815.71</v>
      </c>
      <c r="AD531">
        <v>6209.72</v>
      </c>
      <c r="AE531">
        <v>40708.14</v>
      </c>
    </row>
    <row r="532" spans="1:31" x14ac:dyDescent="0.25">
      <c r="A532" t="s">
        <v>734</v>
      </c>
      <c r="B532" s="2">
        <v>46025</v>
      </c>
      <c r="C532" t="s">
        <v>77</v>
      </c>
      <c r="D532" t="s">
        <v>58</v>
      </c>
      <c r="E532">
        <v>2026</v>
      </c>
      <c r="F532" t="s">
        <v>34</v>
      </c>
      <c r="G532" t="s">
        <v>35</v>
      </c>
      <c r="H532" t="s">
        <v>98</v>
      </c>
      <c r="I532" t="s">
        <v>149</v>
      </c>
      <c r="J532" t="s">
        <v>70</v>
      </c>
      <c r="K532" t="s">
        <v>101</v>
      </c>
      <c r="L532" t="s">
        <v>81</v>
      </c>
      <c r="M532" t="s">
        <v>189</v>
      </c>
      <c r="N532" t="s">
        <v>190</v>
      </c>
      <c r="O532" t="s">
        <v>104</v>
      </c>
      <c r="P532" t="s">
        <v>105</v>
      </c>
      <c r="Q532">
        <v>7552.3</v>
      </c>
      <c r="R532">
        <v>7363.12</v>
      </c>
      <c r="S532">
        <v>3689.6</v>
      </c>
      <c r="T532">
        <v>460.23</v>
      </c>
      <c r="U532">
        <v>563.87</v>
      </c>
      <c r="V532">
        <v>312.99</v>
      </c>
      <c r="W532">
        <v>322.47000000000003</v>
      </c>
      <c r="X532">
        <v>5349.16</v>
      </c>
      <c r="Y532">
        <v>3862.7</v>
      </c>
      <c r="Z532">
        <v>-1486.46</v>
      </c>
      <c r="AA532">
        <v>-0.1668</v>
      </c>
      <c r="AB532">
        <v>189.18</v>
      </c>
      <c r="AC532">
        <v>0</v>
      </c>
      <c r="AD532">
        <v>1359.41</v>
      </c>
      <c r="AE532">
        <v>8911.7099999999991</v>
      </c>
    </row>
    <row r="533" spans="1:31" x14ac:dyDescent="0.25">
      <c r="A533" t="s">
        <v>735</v>
      </c>
      <c r="B533" s="2">
        <v>45992</v>
      </c>
      <c r="C533" t="s">
        <v>107</v>
      </c>
      <c r="D533" t="s">
        <v>93</v>
      </c>
      <c r="E533">
        <v>2025</v>
      </c>
      <c r="F533" t="s">
        <v>85</v>
      </c>
      <c r="G533" t="s">
        <v>35</v>
      </c>
      <c r="H533" t="s">
        <v>60</v>
      </c>
      <c r="I533" t="s">
        <v>61</v>
      </c>
      <c r="J533" t="s">
        <v>38</v>
      </c>
      <c r="K533" t="s">
        <v>50</v>
      </c>
      <c r="L533" t="s">
        <v>81</v>
      </c>
      <c r="M533" t="s">
        <v>82</v>
      </c>
      <c r="N533" t="s">
        <v>83</v>
      </c>
      <c r="O533" t="s">
        <v>43</v>
      </c>
      <c r="P533" t="s">
        <v>75</v>
      </c>
      <c r="Q533">
        <v>24428.14</v>
      </c>
      <c r="R533">
        <v>24607.64</v>
      </c>
      <c r="S533">
        <v>13539</v>
      </c>
      <c r="T533">
        <v>1769.84</v>
      </c>
      <c r="U533">
        <v>2154.44</v>
      </c>
      <c r="V533">
        <v>1276.8399999999999</v>
      </c>
      <c r="W533">
        <v>871.27</v>
      </c>
      <c r="X533">
        <v>19611.38</v>
      </c>
      <c r="Y533">
        <v>10889.14</v>
      </c>
      <c r="Z533">
        <v>-8722.24</v>
      </c>
      <c r="AA533">
        <v>-0.31879999999999997</v>
      </c>
      <c r="AB533">
        <v>-179.49</v>
      </c>
      <c r="AC533">
        <v>0</v>
      </c>
      <c r="AD533">
        <v>2931.38</v>
      </c>
      <c r="AE533">
        <v>27359.52</v>
      </c>
    </row>
    <row r="534" spans="1:31" x14ac:dyDescent="0.25">
      <c r="A534" t="s">
        <v>736</v>
      </c>
      <c r="B534" s="2">
        <v>45872</v>
      </c>
      <c r="C534" t="s">
        <v>117</v>
      </c>
      <c r="D534" t="s">
        <v>33</v>
      </c>
      <c r="E534">
        <v>2025</v>
      </c>
      <c r="F534" t="s">
        <v>85</v>
      </c>
      <c r="G534" t="s">
        <v>35</v>
      </c>
      <c r="H534" t="s">
        <v>60</v>
      </c>
      <c r="I534" t="s">
        <v>185</v>
      </c>
      <c r="J534" t="s">
        <v>70</v>
      </c>
      <c r="K534" t="s">
        <v>71</v>
      </c>
      <c r="L534" t="s">
        <v>40</v>
      </c>
      <c r="M534" t="s">
        <v>161</v>
      </c>
      <c r="N534" t="s">
        <v>162</v>
      </c>
      <c r="O534" t="s">
        <v>43</v>
      </c>
      <c r="P534" t="s">
        <v>163</v>
      </c>
      <c r="Q534">
        <v>29750.720000000001</v>
      </c>
      <c r="R534">
        <v>34712.42</v>
      </c>
      <c r="S534">
        <v>20872.87</v>
      </c>
      <c r="T534">
        <v>2575.98</v>
      </c>
      <c r="U534">
        <v>2380.14</v>
      </c>
      <c r="V534">
        <v>2266.58</v>
      </c>
      <c r="W534">
        <v>739.41</v>
      </c>
      <c r="X534">
        <v>28834.97</v>
      </c>
      <c r="Y534">
        <v>8877.86</v>
      </c>
      <c r="Z534">
        <v>-19957.12</v>
      </c>
      <c r="AA534">
        <v>-0.59889999999999999</v>
      </c>
      <c r="AB534">
        <v>-4961.7</v>
      </c>
      <c r="AC534">
        <v>0</v>
      </c>
      <c r="AD534">
        <v>3570.09</v>
      </c>
      <c r="AE534">
        <v>33320.81</v>
      </c>
    </row>
    <row r="535" spans="1:31" x14ac:dyDescent="0.25">
      <c r="A535" t="s">
        <v>737</v>
      </c>
      <c r="B535" s="2">
        <v>45773</v>
      </c>
      <c r="C535" t="s">
        <v>128</v>
      </c>
      <c r="D535" t="s">
        <v>66</v>
      </c>
      <c r="E535">
        <v>2025</v>
      </c>
      <c r="F535" t="s">
        <v>67</v>
      </c>
      <c r="G535" t="s">
        <v>35</v>
      </c>
      <c r="H535" t="s">
        <v>118</v>
      </c>
      <c r="I535" t="s">
        <v>119</v>
      </c>
      <c r="J535" t="s">
        <v>70</v>
      </c>
      <c r="K535" t="s">
        <v>71</v>
      </c>
      <c r="L535" t="s">
        <v>81</v>
      </c>
      <c r="M535" t="s">
        <v>141</v>
      </c>
      <c r="N535" t="s">
        <v>142</v>
      </c>
      <c r="O535" t="s">
        <v>54</v>
      </c>
      <c r="P535" t="s">
        <v>143</v>
      </c>
      <c r="Q535">
        <v>7065.11</v>
      </c>
      <c r="R535">
        <v>7043.95</v>
      </c>
      <c r="S535">
        <v>4080.7</v>
      </c>
      <c r="T535">
        <v>679.36</v>
      </c>
      <c r="U535">
        <v>246.51</v>
      </c>
      <c r="V535">
        <v>382.44</v>
      </c>
      <c r="W535">
        <v>141.21</v>
      </c>
      <c r="X535">
        <v>5530.24</v>
      </c>
      <c r="Y535">
        <v>2984.41</v>
      </c>
      <c r="Z535">
        <v>-2545.83</v>
      </c>
      <c r="AA535">
        <v>-0.33929999999999999</v>
      </c>
      <c r="AB535">
        <v>21.16</v>
      </c>
      <c r="AC535">
        <v>706.51</v>
      </c>
      <c r="AD535">
        <v>1144.55</v>
      </c>
      <c r="AE535">
        <v>7503.15</v>
      </c>
    </row>
    <row r="536" spans="1:31" x14ac:dyDescent="0.25">
      <c r="A536" t="s">
        <v>738</v>
      </c>
      <c r="B536" s="2">
        <v>46100</v>
      </c>
      <c r="C536" t="s">
        <v>125</v>
      </c>
      <c r="D536" t="s">
        <v>58</v>
      </c>
      <c r="E536">
        <v>2026</v>
      </c>
      <c r="F536" t="s">
        <v>34</v>
      </c>
      <c r="G536" t="s">
        <v>35</v>
      </c>
      <c r="H536" t="s">
        <v>98</v>
      </c>
      <c r="I536" t="s">
        <v>304</v>
      </c>
      <c r="J536" t="s">
        <v>100</v>
      </c>
      <c r="K536" t="s">
        <v>71</v>
      </c>
      <c r="L536" t="s">
        <v>72</v>
      </c>
      <c r="M536" t="s">
        <v>197</v>
      </c>
      <c r="N536" t="s">
        <v>198</v>
      </c>
      <c r="O536" t="s">
        <v>43</v>
      </c>
      <c r="P536" t="s">
        <v>163</v>
      </c>
      <c r="Q536">
        <v>69391.289999999994</v>
      </c>
      <c r="R536">
        <v>78669.78</v>
      </c>
      <c r="S536">
        <v>35231.64</v>
      </c>
      <c r="T536">
        <v>8850.7800000000007</v>
      </c>
      <c r="U536">
        <v>6063.11</v>
      </c>
      <c r="V536">
        <v>4760.07</v>
      </c>
      <c r="W536">
        <v>853.95</v>
      </c>
      <c r="X536">
        <v>55759.56</v>
      </c>
      <c r="Y536">
        <v>34159.65</v>
      </c>
      <c r="Z536">
        <v>-21599.919999999998</v>
      </c>
      <c r="AA536">
        <v>-0.26379999999999998</v>
      </c>
      <c r="AB536">
        <v>-9278.49</v>
      </c>
      <c r="AC536">
        <v>0</v>
      </c>
      <c r="AD536">
        <v>12490.43</v>
      </c>
      <c r="AE536">
        <v>81881.72</v>
      </c>
    </row>
    <row r="537" spans="1:31" x14ac:dyDescent="0.25">
      <c r="A537" t="s">
        <v>739</v>
      </c>
      <c r="B537" s="2">
        <v>45762</v>
      </c>
      <c r="C537" t="s">
        <v>128</v>
      </c>
      <c r="D537" t="s">
        <v>66</v>
      </c>
      <c r="E537">
        <v>2025</v>
      </c>
      <c r="F537" t="s">
        <v>47</v>
      </c>
      <c r="G537" t="s">
        <v>35</v>
      </c>
      <c r="H537" t="s">
        <v>78</v>
      </c>
      <c r="I537" t="s">
        <v>183</v>
      </c>
      <c r="J537" t="s">
        <v>70</v>
      </c>
      <c r="K537" t="s">
        <v>71</v>
      </c>
      <c r="L537" t="s">
        <v>81</v>
      </c>
      <c r="M537" t="s">
        <v>95</v>
      </c>
      <c r="N537" t="s">
        <v>96</v>
      </c>
      <c r="O537" t="s">
        <v>43</v>
      </c>
      <c r="P537" t="s">
        <v>90</v>
      </c>
      <c r="Q537">
        <v>68825.63</v>
      </c>
      <c r="R537">
        <v>78774.820000000007</v>
      </c>
      <c r="S537">
        <v>41052.239999999998</v>
      </c>
      <c r="T537">
        <v>6425.74</v>
      </c>
      <c r="U537">
        <v>5832.11</v>
      </c>
      <c r="V537">
        <v>7707.97</v>
      </c>
      <c r="W537">
        <v>1767.83</v>
      </c>
      <c r="X537">
        <v>62785.9</v>
      </c>
      <c r="Y537">
        <v>27773.39</v>
      </c>
      <c r="Z537">
        <v>-35012.51</v>
      </c>
      <c r="AA537">
        <v>-0.46350000000000002</v>
      </c>
      <c r="AB537">
        <v>-9949.19</v>
      </c>
      <c r="AC537">
        <v>1376.51</v>
      </c>
      <c r="AD537">
        <v>8093.89</v>
      </c>
      <c r="AE537">
        <v>75543.009999999995</v>
      </c>
    </row>
    <row r="538" spans="1:31" x14ac:dyDescent="0.25">
      <c r="A538" t="s">
        <v>740</v>
      </c>
      <c r="B538" s="2">
        <v>46002</v>
      </c>
      <c r="C538" t="s">
        <v>107</v>
      </c>
      <c r="D538" t="s">
        <v>93</v>
      </c>
      <c r="E538">
        <v>2025</v>
      </c>
      <c r="F538" t="s">
        <v>47</v>
      </c>
      <c r="G538" t="s">
        <v>35</v>
      </c>
      <c r="H538" t="s">
        <v>206</v>
      </c>
      <c r="I538" t="s">
        <v>296</v>
      </c>
      <c r="J538" t="s">
        <v>80</v>
      </c>
      <c r="K538" t="s">
        <v>50</v>
      </c>
      <c r="L538" t="s">
        <v>81</v>
      </c>
      <c r="M538" t="s">
        <v>120</v>
      </c>
      <c r="N538" t="s">
        <v>121</v>
      </c>
      <c r="O538" t="s">
        <v>43</v>
      </c>
      <c r="P538" t="s">
        <v>122</v>
      </c>
      <c r="Q538">
        <v>45381.74</v>
      </c>
      <c r="R538">
        <v>42874</v>
      </c>
      <c r="S538">
        <v>23511.05</v>
      </c>
      <c r="T538">
        <v>3404.29</v>
      </c>
      <c r="U538">
        <v>1446.97</v>
      </c>
      <c r="V538">
        <v>1882.97</v>
      </c>
      <c r="W538">
        <v>1731.88</v>
      </c>
      <c r="X538">
        <v>31977.16</v>
      </c>
      <c r="Y538">
        <v>21870.69</v>
      </c>
      <c r="Z538">
        <v>-10106.48</v>
      </c>
      <c r="AA538">
        <v>-0.18870000000000001</v>
      </c>
      <c r="AB538">
        <v>2507.7399999999998</v>
      </c>
      <c r="AC538">
        <v>0</v>
      </c>
      <c r="AD538">
        <v>8168.71</v>
      </c>
      <c r="AE538">
        <v>53550.45</v>
      </c>
    </row>
    <row r="539" spans="1:31" x14ac:dyDescent="0.25">
      <c r="A539" t="s">
        <v>741</v>
      </c>
      <c r="B539" s="2">
        <v>45852</v>
      </c>
      <c r="C539" t="s">
        <v>32</v>
      </c>
      <c r="D539" t="s">
        <v>33</v>
      </c>
      <c r="E539">
        <v>2025</v>
      </c>
      <c r="F539" t="s">
        <v>67</v>
      </c>
      <c r="G539" t="s">
        <v>35</v>
      </c>
      <c r="H539" t="s">
        <v>217</v>
      </c>
      <c r="I539" t="s">
        <v>241</v>
      </c>
      <c r="J539" t="s">
        <v>70</v>
      </c>
      <c r="K539" t="s">
        <v>50</v>
      </c>
      <c r="L539" t="s">
        <v>72</v>
      </c>
      <c r="M539" t="s">
        <v>189</v>
      </c>
      <c r="N539" t="s">
        <v>190</v>
      </c>
      <c r="O539" t="s">
        <v>104</v>
      </c>
      <c r="P539" t="s">
        <v>105</v>
      </c>
      <c r="Q539">
        <v>23694.76</v>
      </c>
      <c r="R539">
        <v>24616.33</v>
      </c>
      <c r="S539">
        <v>13351.17</v>
      </c>
      <c r="T539">
        <v>2171.4299999999998</v>
      </c>
      <c r="U539">
        <v>1601.76</v>
      </c>
      <c r="V539">
        <v>1740.83</v>
      </c>
      <c r="W539">
        <v>829.21</v>
      </c>
      <c r="X539">
        <v>19694.400000000001</v>
      </c>
      <c r="Y539">
        <v>10343.6</v>
      </c>
      <c r="Z539">
        <v>-9350.7999999999993</v>
      </c>
      <c r="AA539">
        <v>-0.40849999999999997</v>
      </c>
      <c r="AB539">
        <v>-921.57</v>
      </c>
      <c r="AC539">
        <v>1895.58</v>
      </c>
      <c r="AD539">
        <v>1089.96</v>
      </c>
      <c r="AE539">
        <v>22889.14</v>
      </c>
    </row>
    <row r="540" spans="1:31" x14ac:dyDescent="0.25">
      <c r="A540" t="s">
        <v>742</v>
      </c>
      <c r="B540" s="2">
        <v>45964</v>
      </c>
      <c r="C540" t="s">
        <v>147</v>
      </c>
      <c r="D540" t="s">
        <v>93</v>
      </c>
      <c r="E540">
        <v>2025</v>
      </c>
      <c r="F540" t="s">
        <v>67</v>
      </c>
      <c r="G540" t="s">
        <v>35</v>
      </c>
      <c r="H540" t="s">
        <v>217</v>
      </c>
      <c r="I540" t="s">
        <v>241</v>
      </c>
      <c r="J540" t="s">
        <v>80</v>
      </c>
      <c r="K540" t="s">
        <v>101</v>
      </c>
      <c r="L540" t="s">
        <v>40</v>
      </c>
      <c r="M540" t="s">
        <v>95</v>
      </c>
      <c r="N540" t="s">
        <v>96</v>
      </c>
      <c r="O540" t="s">
        <v>43</v>
      </c>
      <c r="P540" t="s">
        <v>90</v>
      </c>
      <c r="Q540">
        <v>33519.07</v>
      </c>
      <c r="R540">
        <v>33755.79</v>
      </c>
      <c r="S540">
        <v>20687.73</v>
      </c>
      <c r="T540">
        <v>4097.04</v>
      </c>
      <c r="U540">
        <v>1697.46</v>
      </c>
      <c r="V540">
        <v>3971.69</v>
      </c>
      <c r="W540">
        <v>1225.6600000000001</v>
      </c>
      <c r="X540">
        <v>31679.58</v>
      </c>
      <c r="Y540">
        <v>12831.34</v>
      </c>
      <c r="Z540">
        <v>-18848.23</v>
      </c>
      <c r="AA540">
        <v>-0.49130000000000001</v>
      </c>
      <c r="AB540">
        <v>-236.72</v>
      </c>
      <c r="AC540">
        <v>1005.57</v>
      </c>
      <c r="AD540">
        <v>5852.43</v>
      </c>
      <c r="AE540">
        <v>38365.93</v>
      </c>
    </row>
    <row r="541" spans="1:31" x14ac:dyDescent="0.25">
      <c r="A541" t="s">
        <v>743</v>
      </c>
      <c r="B541" s="2">
        <v>46000</v>
      </c>
      <c r="C541" t="s">
        <v>107</v>
      </c>
      <c r="D541" t="s">
        <v>93</v>
      </c>
      <c r="E541">
        <v>2025</v>
      </c>
      <c r="F541" t="s">
        <v>85</v>
      </c>
      <c r="G541" t="s">
        <v>35</v>
      </c>
      <c r="H541" t="s">
        <v>60</v>
      </c>
      <c r="I541" t="s">
        <v>61</v>
      </c>
      <c r="J541" t="s">
        <v>70</v>
      </c>
      <c r="K541" t="s">
        <v>71</v>
      </c>
      <c r="L541" t="s">
        <v>72</v>
      </c>
      <c r="M541" t="s">
        <v>73</v>
      </c>
      <c r="N541" t="s">
        <v>74</v>
      </c>
      <c r="O541" t="s">
        <v>43</v>
      </c>
      <c r="P541" t="s">
        <v>75</v>
      </c>
      <c r="Q541">
        <v>53213.91</v>
      </c>
      <c r="R541">
        <v>50972.71</v>
      </c>
      <c r="S541">
        <v>31040.66</v>
      </c>
      <c r="T541">
        <v>4649.79</v>
      </c>
      <c r="U541">
        <v>2160.7800000000002</v>
      </c>
      <c r="V541">
        <v>5936.96</v>
      </c>
      <c r="W541">
        <v>1542.63</v>
      </c>
      <c r="X541">
        <v>45330.82</v>
      </c>
      <c r="Y541">
        <v>22173.25</v>
      </c>
      <c r="Z541">
        <v>-23157.56</v>
      </c>
      <c r="AA541">
        <v>-0.4098</v>
      </c>
      <c r="AB541">
        <v>2241.1999999999998</v>
      </c>
      <c r="AC541">
        <v>5321.39</v>
      </c>
      <c r="AD541">
        <v>8620.65</v>
      </c>
      <c r="AE541">
        <v>56513.17</v>
      </c>
    </row>
    <row r="542" spans="1:31" x14ac:dyDescent="0.25">
      <c r="A542" t="s">
        <v>744</v>
      </c>
      <c r="B542" s="2">
        <v>45875</v>
      </c>
      <c r="C542" t="s">
        <v>117</v>
      </c>
      <c r="D542" t="s">
        <v>33</v>
      </c>
      <c r="E542">
        <v>2025</v>
      </c>
      <c r="F542" t="s">
        <v>34</v>
      </c>
      <c r="G542" t="s">
        <v>35</v>
      </c>
      <c r="H542" t="s">
        <v>157</v>
      </c>
      <c r="I542" t="s">
        <v>166</v>
      </c>
      <c r="J542" t="s">
        <v>70</v>
      </c>
      <c r="K542" t="s">
        <v>160</v>
      </c>
      <c r="L542" t="s">
        <v>40</v>
      </c>
      <c r="M542" t="s">
        <v>189</v>
      </c>
      <c r="N542" t="s">
        <v>190</v>
      </c>
      <c r="O542" t="s">
        <v>104</v>
      </c>
      <c r="P542" t="s">
        <v>105</v>
      </c>
      <c r="Q542">
        <v>15756.77</v>
      </c>
      <c r="R542">
        <v>16482.330000000002</v>
      </c>
      <c r="S542">
        <v>9440.4500000000007</v>
      </c>
      <c r="T542">
        <v>1173.57</v>
      </c>
      <c r="U542">
        <v>1343.56</v>
      </c>
      <c r="V542">
        <v>1372.21</v>
      </c>
      <c r="W542">
        <v>382.43</v>
      </c>
      <c r="X542">
        <v>13712.21</v>
      </c>
      <c r="Y542">
        <v>6316.33</v>
      </c>
      <c r="Z542">
        <v>-7395.88</v>
      </c>
      <c r="AA542">
        <v>-0.41870000000000002</v>
      </c>
      <c r="AB542">
        <v>-725.55</v>
      </c>
      <c r="AC542">
        <v>787.84</v>
      </c>
      <c r="AD542">
        <v>2694.41</v>
      </c>
      <c r="AE542">
        <v>17663.34</v>
      </c>
    </row>
    <row r="543" spans="1:31" x14ac:dyDescent="0.25">
      <c r="A543" t="s">
        <v>745</v>
      </c>
      <c r="B543" s="2">
        <v>45933</v>
      </c>
      <c r="C543" t="s">
        <v>92</v>
      </c>
      <c r="D543" t="s">
        <v>93</v>
      </c>
      <c r="E543">
        <v>2025</v>
      </c>
      <c r="F543" t="s">
        <v>47</v>
      </c>
      <c r="G543" t="s">
        <v>35</v>
      </c>
      <c r="H543" t="s">
        <v>48</v>
      </c>
      <c r="I543" t="s">
        <v>126</v>
      </c>
      <c r="J543" t="s">
        <v>100</v>
      </c>
      <c r="K543" t="s">
        <v>101</v>
      </c>
      <c r="L543" t="s">
        <v>72</v>
      </c>
      <c r="M543" t="s">
        <v>95</v>
      </c>
      <c r="N543" t="s">
        <v>96</v>
      </c>
      <c r="O543" t="s">
        <v>43</v>
      </c>
      <c r="P543" t="s">
        <v>90</v>
      </c>
      <c r="Q543">
        <v>23250.71</v>
      </c>
      <c r="R543">
        <v>26601.759999999998</v>
      </c>
      <c r="S543">
        <v>13580.59</v>
      </c>
      <c r="T543">
        <v>1929.05</v>
      </c>
      <c r="U543">
        <v>635.09</v>
      </c>
      <c r="V543">
        <v>1856.29</v>
      </c>
      <c r="W543">
        <v>683.48</v>
      </c>
      <c r="X543">
        <v>18684.509999999998</v>
      </c>
      <c r="Y543">
        <v>9670.1200000000008</v>
      </c>
      <c r="Z543">
        <v>-9014.39</v>
      </c>
      <c r="AA543">
        <v>-0.34589999999999999</v>
      </c>
      <c r="AB543">
        <v>-3351.05</v>
      </c>
      <c r="AC543">
        <v>1162.54</v>
      </c>
      <c r="AD543">
        <v>3975.87</v>
      </c>
      <c r="AE543">
        <v>26064.05</v>
      </c>
    </row>
    <row r="544" spans="1:31" x14ac:dyDescent="0.25">
      <c r="A544" t="s">
        <v>746</v>
      </c>
      <c r="B544" s="2">
        <v>46018</v>
      </c>
      <c r="C544" t="s">
        <v>107</v>
      </c>
      <c r="D544" t="s">
        <v>93</v>
      </c>
      <c r="E544">
        <v>2025</v>
      </c>
      <c r="F544" t="s">
        <v>34</v>
      </c>
      <c r="G544" t="s">
        <v>35</v>
      </c>
      <c r="H544" t="s">
        <v>157</v>
      </c>
      <c r="I544" t="s">
        <v>194</v>
      </c>
      <c r="J544" t="s">
        <v>70</v>
      </c>
      <c r="K544" t="s">
        <v>160</v>
      </c>
      <c r="L544" t="s">
        <v>40</v>
      </c>
      <c r="M544" t="s">
        <v>186</v>
      </c>
      <c r="N544" t="s">
        <v>187</v>
      </c>
      <c r="O544" t="s">
        <v>173</v>
      </c>
      <c r="P544" t="s">
        <v>174</v>
      </c>
      <c r="Q544">
        <v>18390.8</v>
      </c>
      <c r="R544">
        <v>16515.349999999999</v>
      </c>
      <c r="S544">
        <v>10264.290000000001</v>
      </c>
      <c r="T544">
        <v>1130.94</v>
      </c>
      <c r="U544">
        <v>1308.43</v>
      </c>
      <c r="V544">
        <v>1520.88</v>
      </c>
      <c r="W544">
        <v>276.49</v>
      </c>
      <c r="X544">
        <v>14501.03</v>
      </c>
      <c r="Y544">
        <v>8126.51</v>
      </c>
      <c r="Z544">
        <v>-6374.52</v>
      </c>
      <c r="AA544">
        <v>-0.29370000000000002</v>
      </c>
      <c r="AB544">
        <v>1875.46</v>
      </c>
      <c r="AC544">
        <v>0</v>
      </c>
      <c r="AD544">
        <v>3310.34</v>
      </c>
      <c r="AE544">
        <v>21701.15</v>
      </c>
    </row>
    <row r="545" spans="1:31" x14ac:dyDescent="0.25">
      <c r="A545" t="s">
        <v>747</v>
      </c>
      <c r="B545" s="2">
        <v>46053</v>
      </c>
      <c r="C545" t="s">
        <v>77</v>
      </c>
      <c r="D545" t="s">
        <v>58</v>
      </c>
      <c r="E545">
        <v>2026</v>
      </c>
      <c r="F545" t="s">
        <v>34</v>
      </c>
      <c r="G545" t="s">
        <v>35</v>
      </c>
      <c r="H545" t="s">
        <v>134</v>
      </c>
      <c r="I545" t="s">
        <v>135</v>
      </c>
      <c r="J545" t="s">
        <v>100</v>
      </c>
      <c r="K545" t="s">
        <v>50</v>
      </c>
      <c r="L545" t="s">
        <v>40</v>
      </c>
      <c r="M545" t="s">
        <v>82</v>
      </c>
      <c r="N545" t="s">
        <v>83</v>
      </c>
      <c r="O545" t="s">
        <v>43</v>
      </c>
      <c r="P545" t="s">
        <v>75</v>
      </c>
      <c r="Q545">
        <v>43642.73</v>
      </c>
      <c r="R545">
        <v>41859.57</v>
      </c>
      <c r="S545">
        <v>21074.93</v>
      </c>
      <c r="T545">
        <v>3993.96</v>
      </c>
      <c r="U545">
        <v>2809.47</v>
      </c>
      <c r="V545">
        <v>5107.49</v>
      </c>
      <c r="W545">
        <v>1336.84</v>
      </c>
      <c r="X545">
        <v>34322.699999999997</v>
      </c>
      <c r="Y545">
        <v>22567.8</v>
      </c>
      <c r="Z545">
        <v>-11754.91</v>
      </c>
      <c r="AA545">
        <v>-0.24790000000000001</v>
      </c>
      <c r="AB545">
        <v>1783.16</v>
      </c>
      <c r="AC545">
        <v>1309.28</v>
      </c>
      <c r="AD545">
        <v>5080.01</v>
      </c>
      <c r="AE545">
        <v>47413.46</v>
      </c>
    </row>
    <row r="546" spans="1:31" x14ac:dyDescent="0.25">
      <c r="A546" t="s">
        <v>748</v>
      </c>
      <c r="B546" s="2">
        <v>46095</v>
      </c>
      <c r="C546" t="s">
        <v>125</v>
      </c>
      <c r="D546" t="s">
        <v>58</v>
      </c>
      <c r="E546">
        <v>2026</v>
      </c>
      <c r="F546" t="s">
        <v>47</v>
      </c>
      <c r="G546" t="s">
        <v>35</v>
      </c>
      <c r="H546" t="s">
        <v>48</v>
      </c>
      <c r="I546" t="s">
        <v>126</v>
      </c>
      <c r="J546" t="s">
        <v>80</v>
      </c>
      <c r="K546" t="s">
        <v>39</v>
      </c>
      <c r="L546" t="s">
        <v>72</v>
      </c>
      <c r="M546" t="s">
        <v>110</v>
      </c>
      <c r="N546" t="s">
        <v>111</v>
      </c>
      <c r="O546" t="s">
        <v>112</v>
      </c>
      <c r="P546" t="s">
        <v>113</v>
      </c>
      <c r="Q546">
        <v>35420.61</v>
      </c>
      <c r="R546">
        <v>38332.81</v>
      </c>
      <c r="S546">
        <v>18826.52</v>
      </c>
      <c r="T546">
        <v>3578.06</v>
      </c>
      <c r="U546">
        <v>2050.69</v>
      </c>
      <c r="V546">
        <v>3449.17</v>
      </c>
      <c r="W546">
        <v>1386.81</v>
      </c>
      <c r="X546">
        <v>29291.25</v>
      </c>
      <c r="Y546">
        <v>16594.09</v>
      </c>
      <c r="Z546">
        <v>-12697.16</v>
      </c>
      <c r="AA546">
        <v>-0.31979999999999997</v>
      </c>
      <c r="AB546">
        <v>-2912.2</v>
      </c>
      <c r="AC546">
        <v>1771.03</v>
      </c>
      <c r="AD546">
        <v>6056.93</v>
      </c>
      <c r="AE546">
        <v>39706.51</v>
      </c>
    </row>
    <row r="547" spans="1:31" x14ac:dyDescent="0.25">
      <c r="A547" t="s">
        <v>749</v>
      </c>
      <c r="B547" s="2">
        <v>45780</v>
      </c>
      <c r="C547" t="s">
        <v>65</v>
      </c>
      <c r="D547" t="s">
        <v>66</v>
      </c>
      <c r="E547">
        <v>2025</v>
      </c>
      <c r="F547" t="s">
        <v>59</v>
      </c>
      <c r="G547" t="s">
        <v>35</v>
      </c>
      <c r="H547" t="s">
        <v>60</v>
      </c>
      <c r="I547" t="s">
        <v>61</v>
      </c>
      <c r="J547" t="s">
        <v>38</v>
      </c>
      <c r="K547" t="s">
        <v>101</v>
      </c>
      <c r="L547" t="s">
        <v>94</v>
      </c>
      <c r="M547" t="s">
        <v>73</v>
      </c>
      <c r="N547" t="s">
        <v>74</v>
      </c>
      <c r="O547" t="s">
        <v>43</v>
      </c>
      <c r="P547" t="s">
        <v>75</v>
      </c>
      <c r="Q547">
        <v>27864.65</v>
      </c>
      <c r="R547">
        <v>31757.84</v>
      </c>
      <c r="S547">
        <v>18219.61</v>
      </c>
      <c r="T547">
        <v>2293.4</v>
      </c>
      <c r="U547">
        <v>1085.56</v>
      </c>
      <c r="V547">
        <v>1908.1</v>
      </c>
      <c r="W547">
        <v>555.72</v>
      </c>
      <c r="X547">
        <v>24062.400000000001</v>
      </c>
      <c r="Y547">
        <v>9645.0300000000007</v>
      </c>
      <c r="Z547">
        <v>-14417.37</v>
      </c>
      <c r="AA547">
        <v>-0.4385</v>
      </c>
      <c r="AB547">
        <v>-3893.2</v>
      </c>
      <c r="AC547">
        <v>0</v>
      </c>
      <c r="AD547">
        <v>5015.6400000000003</v>
      </c>
      <c r="AE547">
        <v>32880.28</v>
      </c>
    </row>
    <row r="548" spans="1:31" x14ac:dyDescent="0.25">
      <c r="A548" t="s">
        <v>750</v>
      </c>
      <c r="B548" s="2">
        <v>46003</v>
      </c>
      <c r="C548" t="s">
        <v>107</v>
      </c>
      <c r="D548" t="s">
        <v>93</v>
      </c>
      <c r="E548">
        <v>2025</v>
      </c>
      <c r="F548" t="s">
        <v>67</v>
      </c>
      <c r="G548" t="s">
        <v>35</v>
      </c>
      <c r="H548" t="s">
        <v>118</v>
      </c>
      <c r="I548" t="s">
        <v>119</v>
      </c>
      <c r="J548" t="s">
        <v>70</v>
      </c>
      <c r="K548" t="s">
        <v>101</v>
      </c>
      <c r="L548" t="s">
        <v>40</v>
      </c>
      <c r="M548" t="s">
        <v>221</v>
      </c>
      <c r="N548" t="s">
        <v>222</v>
      </c>
      <c r="O548" t="s">
        <v>104</v>
      </c>
      <c r="P548" t="s">
        <v>223</v>
      </c>
      <c r="Q548">
        <v>7804.05</v>
      </c>
      <c r="R548">
        <v>8270.7999999999993</v>
      </c>
      <c r="S548">
        <v>4530.2700000000004</v>
      </c>
      <c r="T548">
        <v>659.81</v>
      </c>
      <c r="U548">
        <v>222.46</v>
      </c>
      <c r="V548">
        <v>634.65</v>
      </c>
      <c r="W548">
        <v>215.91</v>
      </c>
      <c r="X548">
        <v>6263.1</v>
      </c>
      <c r="Y548">
        <v>3273.78</v>
      </c>
      <c r="Z548">
        <v>-2989.32</v>
      </c>
      <c r="AA548">
        <v>-0.36480000000000001</v>
      </c>
      <c r="AB548">
        <v>-466.75</v>
      </c>
      <c r="AC548">
        <v>0</v>
      </c>
      <c r="AD548">
        <v>390.2</v>
      </c>
      <c r="AE548">
        <v>8194.25</v>
      </c>
    </row>
    <row r="549" spans="1:31" x14ac:dyDescent="0.25">
      <c r="A549" t="s">
        <v>751</v>
      </c>
      <c r="B549" s="2">
        <v>45814</v>
      </c>
      <c r="C549" t="s">
        <v>156</v>
      </c>
      <c r="D549" t="s">
        <v>66</v>
      </c>
      <c r="E549">
        <v>2025</v>
      </c>
      <c r="F549" t="s">
        <v>85</v>
      </c>
      <c r="G549" t="s">
        <v>35</v>
      </c>
      <c r="H549" t="s">
        <v>60</v>
      </c>
      <c r="I549" t="s">
        <v>185</v>
      </c>
      <c r="J549" t="s">
        <v>38</v>
      </c>
      <c r="K549" t="s">
        <v>50</v>
      </c>
      <c r="L549" t="s">
        <v>94</v>
      </c>
      <c r="M549" t="s">
        <v>235</v>
      </c>
      <c r="N549" t="s">
        <v>236</v>
      </c>
      <c r="O549" t="s">
        <v>104</v>
      </c>
      <c r="P549" t="s">
        <v>237</v>
      </c>
      <c r="Q549">
        <v>23335.82</v>
      </c>
      <c r="R549">
        <v>22029.22</v>
      </c>
      <c r="S549">
        <v>13357.71</v>
      </c>
      <c r="T549">
        <v>2547.54</v>
      </c>
      <c r="U549">
        <v>1216.8800000000001</v>
      </c>
      <c r="V549">
        <v>2308.66</v>
      </c>
      <c r="W549">
        <v>326.11</v>
      </c>
      <c r="X549">
        <v>19756.91</v>
      </c>
      <c r="Y549">
        <v>9978.11</v>
      </c>
      <c r="Z549">
        <v>-9778.7900000000009</v>
      </c>
      <c r="AA549">
        <v>-0.40670000000000001</v>
      </c>
      <c r="AB549">
        <v>1306.5999999999999</v>
      </c>
      <c r="AC549">
        <v>1866.87</v>
      </c>
      <c r="AD549">
        <v>2576.27</v>
      </c>
      <c r="AE549">
        <v>24045.23</v>
      </c>
    </row>
    <row r="550" spans="1:31" x14ac:dyDescent="0.25">
      <c r="A550" t="s">
        <v>752</v>
      </c>
      <c r="B550" s="2">
        <v>45982</v>
      </c>
      <c r="C550" t="s">
        <v>147</v>
      </c>
      <c r="D550" t="s">
        <v>93</v>
      </c>
      <c r="E550">
        <v>2025</v>
      </c>
      <c r="F550" t="s">
        <v>34</v>
      </c>
      <c r="G550" t="s">
        <v>35</v>
      </c>
      <c r="H550" t="s">
        <v>98</v>
      </c>
      <c r="I550" t="s">
        <v>99</v>
      </c>
      <c r="J550" t="s">
        <v>80</v>
      </c>
      <c r="K550" t="s">
        <v>50</v>
      </c>
      <c r="L550" t="s">
        <v>94</v>
      </c>
      <c r="M550" t="s">
        <v>130</v>
      </c>
      <c r="N550" t="s">
        <v>131</v>
      </c>
      <c r="O550" t="s">
        <v>43</v>
      </c>
      <c r="P550" t="s">
        <v>132</v>
      </c>
      <c r="Q550">
        <v>76299.3</v>
      </c>
      <c r="R550">
        <v>78369.600000000006</v>
      </c>
      <c r="S550">
        <v>37302.15</v>
      </c>
      <c r="T550">
        <v>7082.12</v>
      </c>
      <c r="U550">
        <v>5402.88</v>
      </c>
      <c r="V550">
        <v>5122.21</v>
      </c>
      <c r="W550">
        <v>1059.58</v>
      </c>
      <c r="X550">
        <v>55968.95</v>
      </c>
      <c r="Y550">
        <v>38997.15</v>
      </c>
      <c r="Z550">
        <v>-16971.810000000001</v>
      </c>
      <c r="AA550">
        <v>-0.19239999999999999</v>
      </c>
      <c r="AB550">
        <v>-2070.3000000000002</v>
      </c>
      <c r="AC550">
        <v>1525.99</v>
      </c>
      <c r="AD550">
        <v>13459.2</v>
      </c>
      <c r="AE550">
        <v>88232.51</v>
      </c>
    </row>
    <row r="551" spans="1:31" x14ac:dyDescent="0.25">
      <c r="A551" t="s">
        <v>753</v>
      </c>
      <c r="B551" s="2">
        <v>46109</v>
      </c>
      <c r="C551" t="s">
        <v>125</v>
      </c>
      <c r="D551" t="s">
        <v>58</v>
      </c>
      <c r="E551">
        <v>2026</v>
      </c>
      <c r="F551" t="s">
        <v>34</v>
      </c>
      <c r="G551" t="s">
        <v>35</v>
      </c>
      <c r="H551" t="s">
        <v>134</v>
      </c>
      <c r="I551" t="s">
        <v>135</v>
      </c>
      <c r="J551" t="s">
        <v>80</v>
      </c>
      <c r="K551" t="s">
        <v>39</v>
      </c>
      <c r="L551" t="s">
        <v>51</v>
      </c>
      <c r="M551" t="s">
        <v>186</v>
      </c>
      <c r="N551" t="s">
        <v>187</v>
      </c>
      <c r="O551" t="s">
        <v>173</v>
      </c>
      <c r="P551" t="s">
        <v>174</v>
      </c>
      <c r="Q551">
        <v>21168.94</v>
      </c>
      <c r="R551">
        <v>23278.880000000001</v>
      </c>
      <c r="S551">
        <v>10607.03</v>
      </c>
      <c r="T551">
        <v>2190.02</v>
      </c>
      <c r="U551">
        <v>1761.84</v>
      </c>
      <c r="V551">
        <v>944.62</v>
      </c>
      <c r="W551">
        <v>315.89999999999998</v>
      </c>
      <c r="X551">
        <v>15819.42</v>
      </c>
      <c r="Y551">
        <v>10561.92</v>
      </c>
      <c r="Z551">
        <v>-5257.5</v>
      </c>
      <c r="AA551">
        <v>-0.2334</v>
      </c>
      <c r="AB551">
        <v>-2109.94</v>
      </c>
      <c r="AC551">
        <v>1058.45</v>
      </c>
      <c r="AD551">
        <v>2413.2600000000002</v>
      </c>
      <c r="AE551">
        <v>22523.759999999998</v>
      </c>
    </row>
    <row r="552" spans="1:31" x14ac:dyDescent="0.25">
      <c r="A552" t="s">
        <v>754</v>
      </c>
      <c r="B552" s="2">
        <v>45859</v>
      </c>
      <c r="C552" t="s">
        <v>32</v>
      </c>
      <c r="D552" t="s">
        <v>33</v>
      </c>
      <c r="E552">
        <v>2025</v>
      </c>
      <c r="F552" t="s">
        <v>59</v>
      </c>
      <c r="G552" t="s">
        <v>35</v>
      </c>
      <c r="H552" t="s">
        <v>60</v>
      </c>
      <c r="I552" t="s">
        <v>108</v>
      </c>
      <c r="J552" t="s">
        <v>100</v>
      </c>
      <c r="K552" t="s">
        <v>50</v>
      </c>
      <c r="L552" t="s">
        <v>81</v>
      </c>
      <c r="M552" t="s">
        <v>41</v>
      </c>
      <c r="N552" t="s">
        <v>42</v>
      </c>
      <c r="O552" t="s">
        <v>43</v>
      </c>
      <c r="P552" t="s">
        <v>44</v>
      </c>
      <c r="Q552">
        <v>39237.69</v>
      </c>
      <c r="R552">
        <v>36258.480000000003</v>
      </c>
      <c r="S552">
        <v>24033.81</v>
      </c>
      <c r="T552">
        <v>4324.99</v>
      </c>
      <c r="U552">
        <v>1700.17</v>
      </c>
      <c r="V552">
        <v>2256.31</v>
      </c>
      <c r="W552">
        <v>1109.1600000000001</v>
      </c>
      <c r="X552">
        <v>33424.44</v>
      </c>
      <c r="Y552">
        <v>15203.87</v>
      </c>
      <c r="Z552">
        <v>-18220.560000000001</v>
      </c>
      <c r="AA552">
        <v>-0.39350000000000002</v>
      </c>
      <c r="AB552">
        <v>2979.21</v>
      </c>
      <c r="AC552">
        <v>0</v>
      </c>
      <c r="AD552">
        <v>7062.78</v>
      </c>
      <c r="AE552">
        <v>46300.47</v>
      </c>
    </row>
    <row r="553" spans="1:31" x14ac:dyDescent="0.25">
      <c r="A553" t="s">
        <v>755</v>
      </c>
      <c r="B553" s="2">
        <v>45946</v>
      </c>
      <c r="C553" t="s">
        <v>92</v>
      </c>
      <c r="D553" t="s">
        <v>93</v>
      </c>
      <c r="E553">
        <v>2025</v>
      </c>
      <c r="F553" t="s">
        <v>67</v>
      </c>
      <c r="G553" t="s">
        <v>35</v>
      </c>
      <c r="H553" t="s">
        <v>217</v>
      </c>
      <c r="I553" t="s">
        <v>218</v>
      </c>
      <c r="J553" t="s">
        <v>100</v>
      </c>
      <c r="K553" t="s">
        <v>39</v>
      </c>
      <c r="L553" t="s">
        <v>94</v>
      </c>
      <c r="M553" t="s">
        <v>102</v>
      </c>
      <c r="N553" t="s">
        <v>103</v>
      </c>
      <c r="O553" t="s">
        <v>104</v>
      </c>
      <c r="P553" t="s">
        <v>105</v>
      </c>
      <c r="Q553">
        <v>8425.44</v>
      </c>
      <c r="R553">
        <v>8208.17</v>
      </c>
      <c r="S553">
        <v>4973.57</v>
      </c>
      <c r="T553">
        <v>580.89</v>
      </c>
      <c r="U553">
        <v>554.19000000000005</v>
      </c>
      <c r="V553">
        <v>540.23</v>
      </c>
      <c r="W553">
        <v>369.71</v>
      </c>
      <c r="X553">
        <v>7018.59</v>
      </c>
      <c r="Y553">
        <v>3451.87</v>
      </c>
      <c r="Z553">
        <v>-3566.73</v>
      </c>
      <c r="AA553">
        <v>-0.4244</v>
      </c>
      <c r="AB553">
        <v>217.27</v>
      </c>
      <c r="AC553">
        <v>421.27</v>
      </c>
      <c r="AD553">
        <v>400.21</v>
      </c>
      <c r="AE553">
        <v>8404.3700000000008</v>
      </c>
    </row>
    <row r="554" spans="1:31" x14ac:dyDescent="0.25">
      <c r="A554" t="s">
        <v>756</v>
      </c>
      <c r="B554" s="2">
        <v>46083</v>
      </c>
      <c r="C554" t="s">
        <v>125</v>
      </c>
      <c r="D554" t="s">
        <v>58</v>
      </c>
      <c r="E554">
        <v>2026</v>
      </c>
      <c r="F554" t="s">
        <v>34</v>
      </c>
      <c r="G554" t="s">
        <v>35</v>
      </c>
      <c r="H554" t="s">
        <v>98</v>
      </c>
      <c r="I554" t="s">
        <v>99</v>
      </c>
      <c r="J554" t="s">
        <v>100</v>
      </c>
      <c r="K554" t="s">
        <v>71</v>
      </c>
      <c r="L554" t="s">
        <v>81</v>
      </c>
      <c r="M554" t="s">
        <v>41</v>
      </c>
      <c r="N554" t="s">
        <v>42</v>
      </c>
      <c r="O554" t="s">
        <v>43</v>
      </c>
      <c r="P554" t="s">
        <v>44</v>
      </c>
      <c r="Q554">
        <v>44101.36</v>
      </c>
      <c r="R554">
        <v>45577.03</v>
      </c>
      <c r="S554">
        <v>31155.66</v>
      </c>
      <c r="T554">
        <v>2352.83</v>
      </c>
      <c r="U554">
        <v>2544.62</v>
      </c>
      <c r="V554">
        <v>3825.26</v>
      </c>
      <c r="W554">
        <v>1861.38</v>
      </c>
      <c r="X554">
        <v>41739.75</v>
      </c>
      <c r="Y554">
        <v>12945.71</v>
      </c>
      <c r="Z554">
        <v>-28794.05</v>
      </c>
      <c r="AA554">
        <v>-0.58299999999999996</v>
      </c>
      <c r="AB554">
        <v>-1475.67</v>
      </c>
      <c r="AC554">
        <v>0</v>
      </c>
      <c r="AD554">
        <v>5292.16</v>
      </c>
      <c r="AE554">
        <v>49393.53</v>
      </c>
    </row>
    <row r="555" spans="1:31" x14ac:dyDescent="0.25">
      <c r="A555" t="s">
        <v>757</v>
      </c>
      <c r="B555" s="2">
        <v>46103</v>
      </c>
      <c r="C555" t="s">
        <v>125</v>
      </c>
      <c r="D555" t="s">
        <v>58</v>
      </c>
      <c r="E555">
        <v>2026</v>
      </c>
      <c r="F555" t="s">
        <v>47</v>
      </c>
      <c r="G555" t="s">
        <v>35</v>
      </c>
      <c r="H555" t="s">
        <v>214</v>
      </c>
      <c r="I555" t="s">
        <v>220</v>
      </c>
      <c r="J555" t="s">
        <v>38</v>
      </c>
      <c r="K555" t="s">
        <v>50</v>
      </c>
      <c r="L555" t="s">
        <v>81</v>
      </c>
      <c r="M555" t="s">
        <v>41</v>
      </c>
      <c r="N555" t="s">
        <v>42</v>
      </c>
      <c r="O555" t="s">
        <v>43</v>
      </c>
      <c r="P555" t="s">
        <v>44</v>
      </c>
      <c r="Q555">
        <v>56591.74</v>
      </c>
      <c r="R555">
        <v>60880.49</v>
      </c>
      <c r="S555">
        <v>27996.6</v>
      </c>
      <c r="T555">
        <v>5209.0600000000004</v>
      </c>
      <c r="U555">
        <v>3241.68</v>
      </c>
      <c r="V555">
        <v>2916.37</v>
      </c>
      <c r="W555">
        <v>2388.71</v>
      </c>
      <c r="X555">
        <v>41752.42</v>
      </c>
      <c r="Y555">
        <v>28595.15</v>
      </c>
      <c r="Z555">
        <v>-13157.28</v>
      </c>
      <c r="AA555">
        <v>-0.2031</v>
      </c>
      <c r="AB555">
        <v>-4288.75</v>
      </c>
      <c r="AC555">
        <v>1697.75</v>
      </c>
      <c r="AD555">
        <v>9880.92</v>
      </c>
      <c r="AE555">
        <v>64774.91</v>
      </c>
    </row>
    <row r="556" spans="1:31" x14ac:dyDescent="0.25">
      <c r="A556" t="s">
        <v>758</v>
      </c>
      <c r="B556" s="2">
        <v>45766</v>
      </c>
      <c r="C556" t="s">
        <v>128</v>
      </c>
      <c r="D556" t="s">
        <v>66</v>
      </c>
      <c r="E556">
        <v>2025</v>
      </c>
      <c r="F556" t="s">
        <v>34</v>
      </c>
      <c r="G556" t="s">
        <v>35</v>
      </c>
      <c r="H556" t="s">
        <v>157</v>
      </c>
      <c r="I556" t="s">
        <v>158</v>
      </c>
      <c r="J556" t="s">
        <v>100</v>
      </c>
      <c r="K556" t="s">
        <v>39</v>
      </c>
      <c r="L556" t="s">
        <v>40</v>
      </c>
      <c r="M556" t="s">
        <v>141</v>
      </c>
      <c r="N556" t="s">
        <v>142</v>
      </c>
      <c r="O556" t="s">
        <v>54</v>
      </c>
      <c r="P556" t="s">
        <v>143</v>
      </c>
      <c r="Q556">
        <v>9103.0400000000009</v>
      </c>
      <c r="R556">
        <v>9986.7900000000009</v>
      </c>
      <c r="S556">
        <v>6188.65</v>
      </c>
      <c r="T556">
        <v>601.4</v>
      </c>
      <c r="U556">
        <v>495.05</v>
      </c>
      <c r="V556">
        <v>867.95</v>
      </c>
      <c r="W556">
        <v>294.11</v>
      </c>
      <c r="X556">
        <v>8447.17</v>
      </c>
      <c r="Y556">
        <v>2914.39</v>
      </c>
      <c r="Z556">
        <v>-5532.77</v>
      </c>
      <c r="AA556">
        <v>-0.60929999999999995</v>
      </c>
      <c r="AB556">
        <v>-883.75</v>
      </c>
      <c r="AC556">
        <v>455.15</v>
      </c>
      <c r="AD556">
        <v>432.39</v>
      </c>
      <c r="AE556">
        <v>9080.2900000000009</v>
      </c>
    </row>
    <row r="557" spans="1:31" x14ac:dyDescent="0.25">
      <c r="A557" t="s">
        <v>759</v>
      </c>
      <c r="B557" s="2">
        <v>45861</v>
      </c>
      <c r="C557" t="s">
        <v>32</v>
      </c>
      <c r="D557" t="s">
        <v>33</v>
      </c>
      <c r="E557">
        <v>2025</v>
      </c>
      <c r="F557" t="s">
        <v>59</v>
      </c>
      <c r="G557" t="s">
        <v>35</v>
      </c>
      <c r="H557" t="s">
        <v>139</v>
      </c>
      <c r="I557" t="s">
        <v>140</v>
      </c>
      <c r="J557" t="s">
        <v>70</v>
      </c>
      <c r="K557" t="s">
        <v>50</v>
      </c>
      <c r="L557" t="s">
        <v>40</v>
      </c>
      <c r="M557" t="s">
        <v>186</v>
      </c>
      <c r="N557" t="s">
        <v>187</v>
      </c>
      <c r="O557" t="s">
        <v>173</v>
      </c>
      <c r="P557" t="s">
        <v>174</v>
      </c>
      <c r="Q557">
        <v>15339.88</v>
      </c>
      <c r="R557">
        <v>16191.8</v>
      </c>
      <c r="S557">
        <v>8993.76</v>
      </c>
      <c r="T557">
        <v>808.93</v>
      </c>
      <c r="U557">
        <v>702.22</v>
      </c>
      <c r="V557">
        <v>1608.15</v>
      </c>
      <c r="W557">
        <v>523.70000000000005</v>
      </c>
      <c r="X557">
        <v>12636.76</v>
      </c>
      <c r="Y557">
        <v>6346.12</v>
      </c>
      <c r="Z557">
        <v>-6290.65</v>
      </c>
      <c r="AA557">
        <v>-0.36580000000000001</v>
      </c>
      <c r="AB557">
        <v>-851.92</v>
      </c>
      <c r="AC557">
        <v>766.99</v>
      </c>
      <c r="AD557">
        <v>2623.12</v>
      </c>
      <c r="AE557">
        <v>17196.009999999998</v>
      </c>
    </row>
    <row r="558" spans="1:31" x14ac:dyDescent="0.25">
      <c r="A558" t="s">
        <v>760</v>
      </c>
      <c r="B558" s="2">
        <v>46007</v>
      </c>
      <c r="C558" t="s">
        <v>107</v>
      </c>
      <c r="D558" t="s">
        <v>93</v>
      </c>
      <c r="E558">
        <v>2025</v>
      </c>
      <c r="F558" t="s">
        <v>59</v>
      </c>
      <c r="G558" t="s">
        <v>35</v>
      </c>
      <c r="H558" t="s">
        <v>60</v>
      </c>
      <c r="I558" t="s">
        <v>185</v>
      </c>
      <c r="J558" t="s">
        <v>100</v>
      </c>
      <c r="K558" t="s">
        <v>50</v>
      </c>
      <c r="L558" t="s">
        <v>72</v>
      </c>
      <c r="M558" t="s">
        <v>161</v>
      </c>
      <c r="N558" t="s">
        <v>162</v>
      </c>
      <c r="O558" t="s">
        <v>43</v>
      </c>
      <c r="P558" t="s">
        <v>163</v>
      </c>
      <c r="Q558">
        <v>48517.85</v>
      </c>
      <c r="R558">
        <v>43450.87</v>
      </c>
      <c r="S558">
        <v>34260.199999999997</v>
      </c>
      <c r="T558">
        <v>4472.28</v>
      </c>
      <c r="U558">
        <v>2238.0700000000002</v>
      </c>
      <c r="V558">
        <v>2554.4699999999998</v>
      </c>
      <c r="W558">
        <v>1060.04</v>
      </c>
      <c r="X558">
        <v>44585.06</v>
      </c>
      <c r="Y558">
        <v>14257.64</v>
      </c>
      <c r="Z558">
        <v>-30327.42</v>
      </c>
      <c r="AA558">
        <v>-0.55810000000000004</v>
      </c>
      <c r="AB558">
        <v>5066.9799999999996</v>
      </c>
      <c r="AC558">
        <v>0</v>
      </c>
      <c r="AD558">
        <v>5822.14</v>
      </c>
      <c r="AE558">
        <v>54339.99</v>
      </c>
    </row>
    <row r="559" spans="1:31" x14ac:dyDescent="0.25">
      <c r="A559" t="s">
        <v>761</v>
      </c>
      <c r="B559" s="2">
        <v>45795</v>
      </c>
      <c r="C559" t="s">
        <v>65</v>
      </c>
      <c r="D559" t="s">
        <v>66</v>
      </c>
      <c r="E559">
        <v>2025</v>
      </c>
      <c r="F559" t="s">
        <v>34</v>
      </c>
      <c r="G559" t="s">
        <v>35</v>
      </c>
      <c r="H559" t="s">
        <v>157</v>
      </c>
      <c r="I559" t="s">
        <v>158</v>
      </c>
      <c r="J559" t="s">
        <v>38</v>
      </c>
      <c r="K559" t="s">
        <v>50</v>
      </c>
      <c r="L559" t="s">
        <v>40</v>
      </c>
      <c r="M559" t="s">
        <v>120</v>
      </c>
      <c r="N559" t="s">
        <v>121</v>
      </c>
      <c r="O559" t="s">
        <v>43</v>
      </c>
      <c r="P559" t="s">
        <v>122</v>
      </c>
      <c r="Q559">
        <v>63748.67</v>
      </c>
      <c r="R559">
        <v>72784.33</v>
      </c>
      <c r="S559">
        <v>33898.58</v>
      </c>
      <c r="T559">
        <v>3614.83</v>
      </c>
      <c r="U559">
        <v>3594.67</v>
      </c>
      <c r="V559">
        <v>5171.7</v>
      </c>
      <c r="W559">
        <v>2487.56</v>
      </c>
      <c r="X559">
        <v>48767.34</v>
      </c>
      <c r="Y559">
        <v>29850.09</v>
      </c>
      <c r="Z559">
        <v>-18917.25</v>
      </c>
      <c r="AA559">
        <v>-0.27310000000000001</v>
      </c>
      <c r="AB559">
        <v>-9035.66</v>
      </c>
      <c r="AC559">
        <v>1912.46</v>
      </c>
      <c r="AD559">
        <v>7420.34</v>
      </c>
      <c r="AE559">
        <v>69256.55</v>
      </c>
    </row>
    <row r="560" spans="1:31" x14ac:dyDescent="0.25">
      <c r="A560" t="s">
        <v>762</v>
      </c>
      <c r="B560" s="2">
        <v>45987</v>
      </c>
      <c r="C560" t="s">
        <v>147</v>
      </c>
      <c r="D560" t="s">
        <v>93</v>
      </c>
      <c r="E560">
        <v>2025</v>
      </c>
      <c r="F560" t="s">
        <v>85</v>
      </c>
      <c r="G560" t="s">
        <v>35</v>
      </c>
      <c r="H560" t="s">
        <v>60</v>
      </c>
      <c r="I560" t="s">
        <v>61</v>
      </c>
      <c r="J560" t="s">
        <v>80</v>
      </c>
      <c r="K560" t="s">
        <v>71</v>
      </c>
      <c r="L560" t="s">
        <v>51</v>
      </c>
      <c r="M560" t="s">
        <v>130</v>
      </c>
      <c r="N560" t="s">
        <v>131</v>
      </c>
      <c r="O560" t="s">
        <v>43</v>
      </c>
      <c r="P560" t="s">
        <v>132</v>
      </c>
      <c r="Q560">
        <v>20206.37</v>
      </c>
      <c r="R560">
        <v>22918.51</v>
      </c>
      <c r="S560">
        <v>11429.85</v>
      </c>
      <c r="T560">
        <v>1185.3699999999999</v>
      </c>
      <c r="U560">
        <v>1057.95</v>
      </c>
      <c r="V560">
        <v>1983.63</v>
      </c>
      <c r="W560">
        <v>277.95</v>
      </c>
      <c r="X560">
        <v>15934.75</v>
      </c>
      <c r="Y560">
        <v>8776.52</v>
      </c>
      <c r="Z560">
        <v>-7158.23</v>
      </c>
      <c r="AA560">
        <v>-0.34429999999999999</v>
      </c>
      <c r="AB560">
        <v>-2712.14</v>
      </c>
      <c r="AC560">
        <v>404.13</v>
      </c>
      <c r="AD560">
        <v>990.11</v>
      </c>
      <c r="AE560">
        <v>20792.36</v>
      </c>
    </row>
    <row r="561" spans="1:31" x14ac:dyDescent="0.25">
      <c r="A561" t="s">
        <v>763</v>
      </c>
      <c r="B561" s="2">
        <v>45927</v>
      </c>
      <c r="C561" t="s">
        <v>46</v>
      </c>
      <c r="D561" t="s">
        <v>33</v>
      </c>
      <c r="E561">
        <v>2025</v>
      </c>
      <c r="F561" t="s">
        <v>59</v>
      </c>
      <c r="G561" t="s">
        <v>35</v>
      </c>
      <c r="H561" t="s">
        <v>254</v>
      </c>
      <c r="I561" t="s">
        <v>314</v>
      </c>
      <c r="J561" t="s">
        <v>100</v>
      </c>
      <c r="K561" t="s">
        <v>71</v>
      </c>
      <c r="L561" t="s">
        <v>72</v>
      </c>
      <c r="M561" t="s">
        <v>88</v>
      </c>
      <c r="N561" t="s">
        <v>89</v>
      </c>
      <c r="O561" t="s">
        <v>43</v>
      </c>
      <c r="P561" t="s">
        <v>90</v>
      </c>
      <c r="Q561">
        <v>40513.72</v>
      </c>
      <c r="R561">
        <v>38887</v>
      </c>
      <c r="S561">
        <v>21538.27</v>
      </c>
      <c r="T561">
        <v>4700.82</v>
      </c>
      <c r="U561">
        <v>3612.22</v>
      </c>
      <c r="V561">
        <v>3425.45</v>
      </c>
      <c r="W561">
        <v>799.4</v>
      </c>
      <c r="X561">
        <v>34076.160000000003</v>
      </c>
      <c r="Y561">
        <v>18975.45</v>
      </c>
      <c r="Z561">
        <v>-15100.71</v>
      </c>
      <c r="AA561">
        <v>-0.36599999999999999</v>
      </c>
      <c r="AB561">
        <v>1626.73</v>
      </c>
      <c r="AC561">
        <v>1215.4100000000001</v>
      </c>
      <c r="AD561">
        <v>1964.92</v>
      </c>
      <c r="AE561">
        <v>41263.230000000003</v>
      </c>
    </row>
    <row r="562" spans="1:31" x14ac:dyDescent="0.25">
      <c r="A562" t="s">
        <v>764</v>
      </c>
      <c r="B562" s="2">
        <v>46101</v>
      </c>
      <c r="C562" t="s">
        <v>125</v>
      </c>
      <c r="D562" t="s">
        <v>58</v>
      </c>
      <c r="E562">
        <v>2026</v>
      </c>
      <c r="F562" t="s">
        <v>67</v>
      </c>
      <c r="G562" t="s">
        <v>35</v>
      </c>
      <c r="H562" t="s">
        <v>168</v>
      </c>
      <c r="I562" t="s">
        <v>169</v>
      </c>
      <c r="J562" t="s">
        <v>38</v>
      </c>
      <c r="K562" t="s">
        <v>50</v>
      </c>
      <c r="L562" t="s">
        <v>81</v>
      </c>
      <c r="M562" t="s">
        <v>120</v>
      </c>
      <c r="N562" t="s">
        <v>121</v>
      </c>
      <c r="O562" t="s">
        <v>43</v>
      </c>
      <c r="P562" t="s">
        <v>122</v>
      </c>
      <c r="Q562">
        <v>41539.35</v>
      </c>
      <c r="R562">
        <v>38947.71</v>
      </c>
      <c r="S562">
        <v>26302.799999999999</v>
      </c>
      <c r="T562">
        <v>4252.1899999999996</v>
      </c>
      <c r="U562">
        <v>3614.59</v>
      </c>
      <c r="V562">
        <v>4237.55</v>
      </c>
      <c r="W562">
        <v>1583.78</v>
      </c>
      <c r="X562">
        <v>39990.910000000003</v>
      </c>
      <c r="Y562">
        <v>15236.55</v>
      </c>
      <c r="Z562">
        <v>-24754.36</v>
      </c>
      <c r="AA562">
        <v>-0.59740000000000004</v>
      </c>
      <c r="AB562">
        <v>2591.64</v>
      </c>
      <c r="AC562">
        <v>2076.9699999999998</v>
      </c>
      <c r="AD562">
        <v>1973.12</v>
      </c>
      <c r="AE562">
        <v>41435.5</v>
      </c>
    </row>
    <row r="563" spans="1:31" x14ac:dyDescent="0.25">
      <c r="A563" t="s">
        <v>765</v>
      </c>
      <c r="B563" s="2">
        <v>45897</v>
      </c>
      <c r="C563" t="s">
        <v>117</v>
      </c>
      <c r="D563" t="s">
        <v>33</v>
      </c>
      <c r="E563">
        <v>2025</v>
      </c>
      <c r="F563" t="s">
        <v>59</v>
      </c>
      <c r="G563" t="s">
        <v>35</v>
      </c>
      <c r="H563" t="s">
        <v>254</v>
      </c>
      <c r="I563" t="s">
        <v>314</v>
      </c>
      <c r="J563" t="s">
        <v>70</v>
      </c>
      <c r="K563" t="s">
        <v>50</v>
      </c>
      <c r="L563" t="s">
        <v>81</v>
      </c>
      <c r="M563" t="s">
        <v>95</v>
      </c>
      <c r="N563" t="s">
        <v>96</v>
      </c>
      <c r="O563" t="s">
        <v>43</v>
      </c>
      <c r="P563" t="s">
        <v>90</v>
      </c>
      <c r="Q563">
        <v>30215.35</v>
      </c>
      <c r="R563">
        <v>32439.79</v>
      </c>
      <c r="S563">
        <v>19487.97</v>
      </c>
      <c r="T563">
        <v>2411.25</v>
      </c>
      <c r="U563">
        <v>1270.75</v>
      </c>
      <c r="V563">
        <v>3045.03</v>
      </c>
      <c r="W563">
        <v>1120.31</v>
      </c>
      <c r="X563">
        <v>27335.32</v>
      </c>
      <c r="Y563">
        <v>10727.37</v>
      </c>
      <c r="Z563">
        <v>-16607.95</v>
      </c>
      <c r="AA563">
        <v>-0.48020000000000002</v>
      </c>
      <c r="AB563">
        <v>-2224.44</v>
      </c>
      <c r="AC563">
        <v>906.46</v>
      </c>
      <c r="AD563">
        <v>5275.6</v>
      </c>
      <c r="AE563">
        <v>34584.49</v>
      </c>
    </row>
    <row r="564" spans="1:31" x14ac:dyDescent="0.25">
      <c r="A564" t="s">
        <v>766</v>
      </c>
      <c r="B564" s="2">
        <v>45759</v>
      </c>
      <c r="C564" t="s">
        <v>128</v>
      </c>
      <c r="D564" t="s">
        <v>66</v>
      </c>
      <c r="E564">
        <v>2025</v>
      </c>
      <c r="F564" t="s">
        <v>34</v>
      </c>
      <c r="G564" t="s">
        <v>35</v>
      </c>
      <c r="H564" t="s">
        <v>157</v>
      </c>
      <c r="I564" t="s">
        <v>166</v>
      </c>
      <c r="J564" t="s">
        <v>38</v>
      </c>
      <c r="K564" t="s">
        <v>39</v>
      </c>
      <c r="L564" t="s">
        <v>81</v>
      </c>
      <c r="M564" t="s">
        <v>130</v>
      </c>
      <c r="N564" t="s">
        <v>131</v>
      </c>
      <c r="O564" t="s">
        <v>43</v>
      </c>
      <c r="P564" t="s">
        <v>132</v>
      </c>
      <c r="Q564">
        <v>44912.61</v>
      </c>
      <c r="R564">
        <v>48682.720000000001</v>
      </c>
      <c r="S564">
        <v>27580.61</v>
      </c>
      <c r="T564">
        <v>4491.05</v>
      </c>
      <c r="U564">
        <v>1404.79</v>
      </c>
      <c r="V564">
        <v>5216.21</v>
      </c>
      <c r="W564">
        <v>1692.17</v>
      </c>
      <c r="X564">
        <v>40384.83</v>
      </c>
      <c r="Y564">
        <v>17332</v>
      </c>
      <c r="Z564">
        <v>-23052.84</v>
      </c>
      <c r="AA564">
        <v>-0.47249999999999998</v>
      </c>
      <c r="AB564">
        <v>-3770.11</v>
      </c>
      <c r="AC564">
        <v>1347.38</v>
      </c>
      <c r="AD564">
        <v>5227.83</v>
      </c>
      <c r="AE564">
        <v>48793.06</v>
      </c>
    </row>
    <row r="565" spans="1:31" x14ac:dyDescent="0.25">
      <c r="A565" t="s">
        <v>767</v>
      </c>
      <c r="B565" s="2">
        <v>45826</v>
      </c>
      <c r="C565" t="s">
        <v>156</v>
      </c>
      <c r="D565" t="s">
        <v>66</v>
      </c>
      <c r="E565">
        <v>2025</v>
      </c>
      <c r="F565" t="s">
        <v>47</v>
      </c>
      <c r="G565" t="s">
        <v>35</v>
      </c>
      <c r="H565" t="s">
        <v>214</v>
      </c>
      <c r="I565" t="s">
        <v>321</v>
      </c>
      <c r="J565" t="s">
        <v>70</v>
      </c>
      <c r="K565" t="s">
        <v>39</v>
      </c>
      <c r="L565" t="s">
        <v>94</v>
      </c>
      <c r="M565" t="s">
        <v>171</v>
      </c>
      <c r="N565" t="s">
        <v>172</v>
      </c>
      <c r="O565" t="s">
        <v>173</v>
      </c>
      <c r="P565" t="s">
        <v>174</v>
      </c>
      <c r="Q565">
        <v>16928.439999999999</v>
      </c>
      <c r="R565">
        <v>17426.8</v>
      </c>
      <c r="S565">
        <v>10480.209999999999</v>
      </c>
      <c r="T565">
        <v>1234.6400000000001</v>
      </c>
      <c r="U565">
        <v>826.99</v>
      </c>
      <c r="V565">
        <v>790.76</v>
      </c>
      <c r="W565">
        <v>200.26</v>
      </c>
      <c r="X565">
        <v>13532.86</v>
      </c>
      <c r="Y565">
        <v>6448.23</v>
      </c>
      <c r="Z565">
        <v>-7084.62</v>
      </c>
      <c r="AA565">
        <v>-0.40670000000000001</v>
      </c>
      <c r="AB565">
        <v>-498.35</v>
      </c>
      <c r="AC565">
        <v>338.57</v>
      </c>
      <c r="AD565">
        <v>829.49</v>
      </c>
      <c r="AE565">
        <v>17419.37</v>
      </c>
    </row>
    <row r="566" spans="1:31" x14ac:dyDescent="0.25">
      <c r="A566" t="s">
        <v>768</v>
      </c>
      <c r="B566" s="2">
        <v>45934</v>
      </c>
      <c r="C566" t="s">
        <v>92</v>
      </c>
      <c r="D566" t="s">
        <v>93</v>
      </c>
      <c r="E566">
        <v>2025</v>
      </c>
      <c r="F566" t="s">
        <v>34</v>
      </c>
      <c r="G566" t="s">
        <v>35</v>
      </c>
      <c r="H566" t="s">
        <v>157</v>
      </c>
      <c r="I566" t="s">
        <v>194</v>
      </c>
      <c r="J566" t="s">
        <v>70</v>
      </c>
      <c r="K566" t="s">
        <v>39</v>
      </c>
      <c r="L566" t="s">
        <v>51</v>
      </c>
      <c r="M566" t="s">
        <v>41</v>
      </c>
      <c r="N566" t="s">
        <v>42</v>
      </c>
      <c r="O566" t="s">
        <v>43</v>
      </c>
      <c r="P566" t="s">
        <v>44</v>
      </c>
      <c r="Q566">
        <v>61379.839999999997</v>
      </c>
      <c r="R566">
        <v>59641.13</v>
      </c>
      <c r="S566">
        <v>37087.75</v>
      </c>
      <c r="T566">
        <v>4944.55</v>
      </c>
      <c r="U566">
        <v>3785.88</v>
      </c>
      <c r="V566">
        <v>3017.59</v>
      </c>
      <c r="W566">
        <v>2755.63</v>
      </c>
      <c r="X566">
        <v>51591.41</v>
      </c>
      <c r="Y566">
        <v>24292.1</v>
      </c>
      <c r="Z566">
        <v>-27299.31</v>
      </c>
      <c r="AA566">
        <v>-0.40939999999999999</v>
      </c>
      <c r="AB566">
        <v>1738.71</v>
      </c>
      <c r="AC566">
        <v>1841.4</v>
      </c>
      <c r="AD566">
        <v>7144.61</v>
      </c>
      <c r="AE566">
        <v>66683.06</v>
      </c>
    </row>
    <row r="567" spans="1:31" x14ac:dyDescent="0.25">
      <c r="A567" t="s">
        <v>769</v>
      </c>
      <c r="B567" s="2">
        <v>45773</v>
      </c>
      <c r="C567" t="s">
        <v>128</v>
      </c>
      <c r="D567" t="s">
        <v>66</v>
      </c>
      <c r="E567">
        <v>2025</v>
      </c>
      <c r="F567" t="s">
        <v>47</v>
      </c>
      <c r="G567" t="s">
        <v>35</v>
      </c>
      <c r="H567" t="s">
        <v>206</v>
      </c>
      <c r="I567" t="s">
        <v>344</v>
      </c>
      <c r="J567" t="s">
        <v>80</v>
      </c>
      <c r="K567" t="s">
        <v>101</v>
      </c>
      <c r="L567" t="s">
        <v>81</v>
      </c>
      <c r="M567" t="s">
        <v>120</v>
      </c>
      <c r="N567" t="s">
        <v>121</v>
      </c>
      <c r="O567" t="s">
        <v>43</v>
      </c>
      <c r="P567" t="s">
        <v>122</v>
      </c>
      <c r="Q567">
        <v>28989.71</v>
      </c>
      <c r="R567">
        <v>31909.42</v>
      </c>
      <c r="S567">
        <v>15388.09</v>
      </c>
      <c r="T567">
        <v>1786.43</v>
      </c>
      <c r="U567">
        <v>1320.74</v>
      </c>
      <c r="V567">
        <v>3423.27</v>
      </c>
      <c r="W567">
        <v>550.49</v>
      </c>
      <c r="X567">
        <v>22469.01</v>
      </c>
      <c r="Y567">
        <v>13601.62</v>
      </c>
      <c r="Z567">
        <v>-8867.39</v>
      </c>
      <c r="AA567">
        <v>-0.30030000000000001</v>
      </c>
      <c r="AB567">
        <v>-2919.71</v>
      </c>
      <c r="AC567">
        <v>869.69</v>
      </c>
      <c r="AD567">
        <v>1406</v>
      </c>
      <c r="AE567">
        <v>29526.02</v>
      </c>
    </row>
    <row r="568" spans="1:31" x14ac:dyDescent="0.25">
      <c r="A568" t="s">
        <v>770</v>
      </c>
      <c r="B568" s="2">
        <v>45773</v>
      </c>
      <c r="C568" t="s">
        <v>128</v>
      </c>
      <c r="D568" t="s">
        <v>66</v>
      </c>
      <c r="E568">
        <v>2025</v>
      </c>
      <c r="F568" t="s">
        <v>67</v>
      </c>
      <c r="G568" t="s">
        <v>35</v>
      </c>
      <c r="H568" t="s">
        <v>118</v>
      </c>
      <c r="I568" t="s">
        <v>209</v>
      </c>
      <c r="J568" t="s">
        <v>100</v>
      </c>
      <c r="K568" t="s">
        <v>160</v>
      </c>
      <c r="L568" t="s">
        <v>51</v>
      </c>
      <c r="M568" t="s">
        <v>120</v>
      </c>
      <c r="N568" t="s">
        <v>121</v>
      </c>
      <c r="O568" t="s">
        <v>43</v>
      </c>
      <c r="P568" t="s">
        <v>122</v>
      </c>
      <c r="Q568">
        <v>77485.5</v>
      </c>
      <c r="R568">
        <v>74989.119999999995</v>
      </c>
      <c r="S568">
        <v>43846.59</v>
      </c>
      <c r="T568">
        <v>9711.31</v>
      </c>
      <c r="U568">
        <v>5518.78</v>
      </c>
      <c r="V568">
        <v>4932.03</v>
      </c>
      <c r="W568">
        <v>2350.65</v>
      </c>
      <c r="X568">
        <v>66359.37</v>
      </c>
      <c r="Y568">
        <v>33638.9</v>
      </c>
      <c r="Z568">
        <v>-32720.46</v>
      </c>
      <c r="AA568">
        <v>-0.39760000000000001</v>
      </c>
      <c r="AB568">
        <v>2496.38</v>
      </c>
      <c r="AC568">
        <v>7748.55</v>
      </c>
      <c r="AD568">
        <v>12552.65</v>
      </c>
      <c r="AE568">
        <v>82289.600000000006</v>
      </c>
    </row>
    <row r="569" spans="1:31" x14ac:dyDescent="0.25">
      <c r="A569" t="s">
        <v>771</v>
      </c>
      <c r="B569" s="2">
        <v>45827</v>
      </c>
      <c r="C569" t="s">
        <v>156</v>
      </c>
      <c r="D569" t="s">
        <v>66</v>
      </c>
      <c r="E569">
        <v>2025</v>
      </c>
      <c r="F569" t="s">
        <v>67</v>
      </c>
      <c r="G569" t="s">
        <v>35</v>
      </c>
      <c r="H569" t="s">
        <v>217</v>
      </c>
      <c r="I569" t="s">
        <v>218</v>
      </c>
      <c r="J569" t="s">
        <v>100</v>
      </c>
      <c r="K569" t="s">
        <v>50</v>
      </c>
      <c r="L569" t="s">
        <v>72</v>
      </c>
      <c r="M569" t="s">
        <v>186</v>
      </c>
      <c r="N569" t="s">
        <v>187</v>
      </c>
      <c r="O569" t="s">
        <v>173</v>
      </c>
      <c r="P569" t="s">
        <v>174</v>
      </c>
      <c r="Q569">
        <v>21763.599999999999</v>
      </c>
      <c r="R569">
        <v>20890.23</v>
      </c>
      <c r="S569">
        <v>13134.04</v>
      </c>
      <c r="T569">
        <v>1274.28</v>
      </c>
      <c r="U569">
        <v>1477.92</v>
      </c>
      <c r="V569">
        <v>2326.23</v>
      </c>
      <c r="W569">
        <v>764.9</v>
      </c>
      <c r="X569">
        <v>18977.36</v>
      </c>
      <c r="Y569">
        <v>8629.56</v>
      </c>
      <c r="Z569">
        <v>-10347.799999999999</v>
      </c>
      <c r="AA569">
        <v>-0.46679999999999999</v>
      </c>
      <c r="AB569">
        <v>873.37</v>
      </c>
      <c r="AC569">
        <v>652.91</v>
      </c>
      <c r="AD569">
        <v>1055.53</v>
      </c>
      <c r="AE569">
        <v>22166.23</v>
      </c>
    </row>
    <row r="570" spans="1:31" x14ac:dyDescent="0.25">
      <c r="A570" t="s">
        <v>772</v>
      </c>
      <c r="B570" s="2">
        <v>46100</v>
      </c>
      <c r="C570" t="s">
        <v>125</v>
      </c>
      <c r="D570" t="s">
        <v>58</v>
      </c>
      <c r="E570">
        <v>2026</v>
      </c>
      <c r="F570" t="s">
        <v>47</v>
      </c>
      <c r="G570" t="s">
        <v>35</v>
      </c>
      <c r="H570" t="s">
        <v>206</v>
      </c>
      <c r="I570" t="s">
        <v>296</v>
      </c>
      <c r="J570" t="s">
        <v>38</v>
      </c>
      <c r="K570" t="s">
        <v>71</v>
      </c>
      <c r="L570" t="s">
        <v>51</v>
      </c>
      <c r="M570" t="s">
        <v>82</v>
      </c>
      <c r="N570" t="s">
        <v>83</v>
      </c>
      <c r="O570" t="s">
        <v>43</v>
      </c>
      <c r="P570" t="s">
        <v>75</v>
      </c>
      <c r="Q570">
        <v>46098.33</v>
      </c>
      <c r="R570">
        <v>49210.34</v>
      </c>
      <c r="S570">
        <v>31575.69</v>
      </c>
      <c r="T570">
        <v>5264.28</v>
      </c>
      <c r="U570">
        <v>1276.43</v>
      </c>
      <c r="V570">
        <v>3241.22</v>
      </c>
      <c r="W570">
        <v>517</v>
      </c>
      <c r="X570">
        <v>41874.620000000003</v>
      </c>
      <c r="Y570">
        <v>14522.64</v>
      </c>
      <c r="Z570">
        <v>-27351.98</v>
      </c>
      <c r="AA570">
        <v>-0.50280000000000002</v>
      </c>
      <c r="AB570">
        <v>-3112.01</v>
      </c>
      <c r="AC570">
        <v>0</v>
      </c>
      <c r="AD570">
        <v>8297.7000000000007</v>
      </c>
      <c r="AE570">
        <v>54396.03</v>
      </c>
    </row>
    <row r="571" spans="1:31" x14ac:dyDescent="0.25">
      <c r="A571" t="s">
        <v>773</v>
      </c>
      <c r="B571" s="2">
        <v>46107</v>
      </c>
      <c r="C571" t="s">
        <v>125</v>
      </c>
      <c r="D571" t="s">
        <v>58</v>
      </c>
      <c r="E571">
        <v>2026</v>
      </c>
      <c r="F571" t="s">
        <v>67</v>
      </c>
      <c r="G571" t="s">
        <v>35</v>
      </c>
      <c r="H571" t="s">
        <v>168</v>
      </c>
      <c r="I571" t="s">
        <v>169</v>
      </c>
      <c r="J571" t="s">
        <v>70</v>
      </c>
      <c r="K571" t="s">
        <v>71</v>
      </c>
      <c r="L571" t="s">
        <v>72</v>
      </c>
      <c r="M571" t="s">
        <v>73</v>
      </c>
      <c r="N571" t="s">
        <v>74</v>
      </c>
      <c r="O571" t="s">
        <v>43</v>
      </c>
      <c r="P571" t="s">
        <v>75</v>
      </c>
      <c r="Q571">
        <v>55245.65</v>
      </c>
      <c r="R571">
        <v>53991.25</v>
      </c>
      <c r="S571">
        <v>36013.51</v>
      </c>
      <c r="T571">
        <v>3360.79</v>
      </c>
      <c r="U571">
        <v>2427.17</v>
      </c>
      <c r="V571">
        <v>2849.4</v>
      </c>
      <c r="W571">
        <v>2121.0500000000002</v>
      </c>
      <c r="X571">
        <v>46771.91</v>
      </c>
      <c r="Y571">
        <v>19232.14</v>
      </c>
      <c r="Z571">
        <v>-27539.759999999998</v>
      </c>
      <c r="AA571">
        <v>-0.43109999999999998</v>
      </c>
      <c r="AB571">
        <v>1254.4000000000001</v>
      </c>
      <c r="AC571">
        <v>1104.9100000000001</v>
      </c>
      <c r="AD571">
        <v>9745.33</v>
      </c>
      <c r="AE571">
        <v>63886.07</v>
      </c>
    </row>
    <row r="572" spans="1:31" x14ac:dyDescent="0.25">
      <c r="A572" t="s">
        <v>774</v>
      </c>
      <c r="B572" s="2">
        <v>45994</v>
      </c>
      <c r="C572" t="s">
        <v>107</v>
      </c>
      <c r="D572" t="s">
        <v>93</v>
      </c>
      <c r="E572">
        <v>2025</v>
      </c>
      <c r="F572" t="s">
        <v>34</v>
      </c>
      <c r="G572" t="s">
        <v>35</v>
      </c>
      <c r="H572" t="s">
        <v>134</v>
      </c>
      <c r="I572" t="s">
        <v>154</v>
      </c>
      <c r="J572" t="s">
        <v>70</v>
      </c>
      <c r="K572" t="s">
        <v>101</v>
      </c>
      <c r="L572" t="s">
        <v>94</v>
      </c>
      <c r="M572" t="s">
        <v>171</v>
      </c>
      <c r="N572" t="s">
        <v>172</v>
      </c>
      <c r="O572" t="s">
        <v>173</v>
      </c>
      <c r="P572" t="s">
        <v>174</v>
      </c>
      <c r="Q572">
        <v>22551.93</v>
      </c>
      <c r="R572">
        <v>24202.01</v>
      </c>
      <c r="S572">
        <v>13805.1</v>
      </c>
      <c r="T572">
        <v>1579.68</v>
      </c>
      <c r="U572">
        <v>1146.82</v>
      </c>
      <c r="V572">
        <v>1674.46</v>
      </c>
      <c r="W572">
        <v>920.31</v>
      </c>
      <c r="X572">
        <v>19126.38</v>
      </c>
      <c r="Y572">
        <v>8746.83</v>
      </c>
      <c r="Z572">
        <v>-10379.549999999999</v>
      </c>
      <c r="AA572">
        <v>-0.43340000000000001</v>
      </c>
      <c r="AB572">
        <v>-1650.08</v>
      </c>
      <c r="AC572">
        <v>2255.19</v>
      </c>
      <c r="AD572">
        <v>3653.41</v>
      </c>
      <c r="AE572">
        <v>23950.15</v>
      </c>
    </row>
    <row r="573" spans="1:31" x14ac:dyDescent="0.25">
      <c r="A573" t="s">
        <v>775</v>
      </c>
      <c r="B573" s="2">
        <v>46014</v>
      </c>
      <c r="C573" t="s">
        <v>107</v>
      </c>
      <c r="D573" t="s">
        <v>93</v>
      </c>
      <c r="E573">
        <v>2025</v>
      </c>
      <c r="F573" t="s">
        <v>67</v>
      </c>
      <c r="G573" t="s">
        <v>35</v>
      </c>
      <c r="H573" t="s">
        <v>217</v>
      </c>
      <c r="I573" t="s">
        <v>218</v>
      </c>
      <c r="J573" t="s">
        <v>38</v>
      </c>
      <c r="K573" t="s">
        <v>160</v>
      </c>
      <c r="L573" t="s">
        <v>94</v>
      </c>
      <c r="M573" t="s">
        <v>130</v>
      </c>
      <c r="N573" t="s">
        <v>131</v>
      </c>
      <c r="O573" t="s">
        <v>43</v>
      </c>
      <c r="P573" t="s">
        <v>132</v>
      </c>
      <c r="Q573">
        <v>50217.22</v>
      </c>
      <c r="R573">
        <v>54424.13</v>
      </c>
      <c r="S573">
        <v>27144.77</v>
      </c>
      <c r="T573">
        <v>4867.9799999999996</v>
      </c>
      <c r="U573">
        <v>3853.39</v>
      </c>
      <c r="V573">
        <v>3917.26</v>
      </c>
      <c r="W573">
        <v>1896.48</v>
      </c>
      <c r="X573">
        <v>41679.870000000003</v>
      </c>
      <c r="Y573">
        <v>23072.46</v>
      </c>
      <c r="Z573">
        <v>-18607.419999999998</v>
      </c>
      <c r="AA573">
        <v>-0.32369999999999999</v>
      </c>
      <c r="AB573">
        <v>-4206.8999999999996</v>
      </c>
      <c r="AC573">
        <v>1506.52</v>
      </c>
      <c r="AD573">
        <v>8767.93</v>
      </c>
      <c r="AE573">
        <v>57478.63</v>
      </c>
    </row>
    <row r="574" spans="1:31" x14ac:dyDescent="0.25">
      <c r="A574" t="s">
        <v>776</v>
      </c>
      <c r="B574" s="2">
        <v>45949</v>
      </c>
      <c r="C574" t="s">
        <v>92</v>
      </c>
      <c r="D574" t="s">
        <v>93</v>
      </c>
      <c r="E574">
        <v>2025</v>
      </c>
      <c r="F574" t="s">
        <v>59</v>
      </c>
      <c r="G574" t="s">
        <v>35</v>
      </c>
      <c r="H574" t="s">
        <v>254</v>
      </c>
      <c r="I574" t="s">
        <v>200</v>
      </c>
      <c r="J574" t="s">
        <v>100</v>
      </c>
      <c r="K574" t="s">
        <v>50</v>
      </c>
      <c r="L574" t="s">
        <v>51</v>
      </c>
      <c r="M574" t="s">
        <v>141</v>
      </c>
      <c r="N574" t="s">
        <v>142</v>
      </c>
      <c r="O574" t="s">
        <v>54</v>
      </c>
      <c r="P574" t="s">
        <v>143</v>
      </c>
      <c r="Q574">
        <v>3947.39</v>
      </c>
      <c r="R574">
        <v>3958.28</v>
      </c>
      <c r="S574">
        <v>2410.29</v>
      </c>
      <c r="T574">
        <v>368.99</v>
      </c>
      <c r="U574">
        <v>226.24</v>
      </c>
      <c r="V574">
        <v>200.46</v>
      </c>
      <c r="W574">
        <v>108.01</v>
      </c>
      <c r="X574">
        <v>3314</v>
      </c>
      <c r="Y574">
        <v>1537.1</v>
      </c>
      <c r="Z574">
        <v>-1776.9</v>
      </c>
      <c r="AA574">
        <v>-0.42870000000000003</v>
      </c>
      <c r="AB574">
        <v>-10.89</v>
      </c>
      <c r="AC574">
        <v>0</v>
      </c>
      <c r="AD574">
        <v>197.37</v>
      </c>
      <c r="AE574">
        <v>4144.76</v>
      </c>
    </row>
    <row r="575" spans="1:31" x14ac:dyDescent="0.25">
      <c r="A575" t="s">
        <v>777</v>
      </c>
      <c r="B575" s="2">
        <v>45917</v>
      </c>
      <c r="C575" t="s">
        <v>46</v>
      </c>
      <c r="D575" t="s">
        <v>33</v>
      </c>
      <c r="E575">
        <v>2025</v>
      </c>
      <c r="F575" t="s">
        <v>47</v>
      </c>
      <c r="G575" t="s">
        <v>35</v>
      </c>
      <c r="H575" t="s">
        <v>214</v>
      </c>
      <c r="I575" t="s">
        <v>321</v>
      </c>
      <c r="J575" t="s">
        <v>38</v>
      </c>
      <c r="K575" t="s">
        <v>101</v>
      </c>
      <c r="L575" t="s">
        <v>94</v>
      </c>
      <c r="M575" t="s">
        <v>197</v>
      </c>
      <c r="N575" t="s">
        <v>198</v>
      </c>
      <c r="O575" t="s">
        <v>43</v>
      </c>
      <c r="P575" t="s">
        <v>163</v>
      </c>
      <c r="Q575">
        <v>58131.17</v>
      </c>
      <c r="R575">
        <v>57582.92</v>
      </c>
      <c r="S575">
        <v>41296.550000000003</v>
      </c>
      <c r="T575">
        <v>6722.11</v>
      </c>
      <c r="U575">
        <v>4679.95</v>
      </c>
      <c r="V575">
        <v>3126.04</v>
      </c>
      <c r="W575">
        <v>1132.6099999999999</v>
      </c>
      <c r="X575">
        <v>56957.25</v>
      </c>
      <c r="Y575">
        <v>16834.62</v>
      </c>
      <c r="Z575">
        <v>-40122.629999999997</v>
      </c>
      <c r="AA575">
        <v>-0.62880000000000003</v>
      </c>
      <c r="AB575">
        <v>548.25</v>
      </c>
      <c r="AC575">
        <v>1162.6199999999999</v>
      </c>
      <c r="AD575">
        <v>6836.23</v>
      </c>
      <c r="AE575">
        <v>63804.78</v>
      </c>
    </row>
    <row r="576" spans="1:31" x14ac:dyDescent="0.25">
      <c r="A576" t="s">
        <v>778</v>
      </c>
      <c r="B576" s="2">
        <v>45771</v>
      </c>
      <c r="C576" t="s">
        <v>128</v>
      </c>
      <c r="D576" t="s">
        <v>66</v>
      </c>
      <c r="E576">
        <v>2025</v>
      </c>
      <c r="F576" t="s">
        <v>59</v>
      </c>
      <c r="G576" t="s">
        <v>35</v>
      </c>
      <c r="H576" t="s">
        <v>139</v>
      </c>
      <c r="I576" t="s">
        <v>200</v>
      </c>
      <c r="J576" t="s">
        <v>80</v>
      </c>
      <c r="K576" t="s">
        <v>39</v>
      </c>
      <c r="L576" t="s">
        <v>81</v>
      </c>
      <c r="M576" t="s">
        <v>186</v>
      </c>
      <c r="N576" t="s">
        <v>187</v>
      </c>
      <c r="O576" t="s">
        <v>173</v>
      </c>
      <c r="P576" t="s">
        <v>174</v>
      </c>
      <c r="Q576">
        <v>31920.9</v>
      </c>
      <c r="R576">
        <v>28145.65</v>
      </c>
      <c r="S576">
        <v>18611.080000000002</v>
      </c>
      <c r="T576">
        <v>2637.65</v>
      </c>
      <c r="U576">
        <v>1034.44</v>
      </c>
      <c r="V576">
        <v>3003.48</v>
      </c>
      <c r="W576">
        <v>1103.6099999999999</v>
      </c>
      <c r="X576">
        <v>26390.27</v>
      </c>
      <c r="Y576">
        <v>13309.82</v>
      </c>
      <c r="Z576">
        <v>-13080.45</v>
      </c>
      <c r="AA576">
        <v>-0.36549999999999999</v>
      </c>
      <c r="AB576">
        <v>3775.25</v>
      </c>
      <c r="AC576">
        <v>1596.05</v>
      </c>
      <c r="AD576">
        <v>5458.47</v>
      </c>
      <c r="AE576">
        <v>35783.33</v>
      </c>
    </row>
    <row r="577" spans="1:31" x14ac:dyDescent="0.25">
      <c r="A577" t="s">
        <v>779</v>
      </c>
      <c r="B577" s="2">
        <v>45816</v>
      </c>
      <c r="C577" t="s">
        <v>156</v>
      </c>
      <c r="D577" t="s">
        <v>66</v>
      </c>
      <c r="E577">
        <v>2025</v>
      </c>
      <c r="F577" t="s">
        <v>47</v>
      </c>
      <c r="G577" t="s">
        <v>35</v>
      </c>
      <c r="H577" t="s">
        <v>214</v>
      </c>
      <c r="I577" t="s">
        <v>321</v>
      </c>
      <c r="J577" t="s">
        <v>38</v>
      </c>
      <c r="K577" t="s">
        <v>160</v>
      </c>
      <c r="L577" t="s">
        <v>72</v>
      </c>
      <c r="M577" t="s">
        <v>95</v>
      </c>
      <c r="N577" t="s">
        <v>96</v>
      </c>
      <c r="O577" t="s">
        <v>43</v>
      </c>
      <c r="P577" t="s">
        <v>90</v>
      </c>
      <c r="Q577">
        <v>59853.17</v>
      </c>
      <c r="R577">
        <v>56370.14</v>
      </c>
      <c r="S577">
        <v>40629.93</v>
      </c>
      <c r="T577">
        <v>5567.65</v>
      </c>
      <c r="U577">
        <v>2091.73</v>
      </c>
      <c r="V577">
        <v>4815</v>
      </c>
      <c r="W577">
        <v>1464.14</v>
      </c>
      <c r="X577">
        <v>54568.45</v>
      </c>
      <c r="Y577">
        <v>19223.240000000002</v>
      </c>
      <c r="Z577">
        <v>-35345.21</v>
      </c>
      <c r="AA577">
        <v>-0.61129999999999995</v>
      </c>
      <c r="AB577">
        <v>3483.03</v>
      </c>
      <c r="AC577">
        <v>4788.25</v>
      </c>
      <c r="AD577">
        <v>2753.25</v>
      </c>
      <c r="AE577">
        <v>57818.16</v>
      </c>
    </row>
    <row r="578" spans="1:31" x14ac:dyDescent="0.25">
      <c r="A578" t="s">
        <v>780</v>
      </c>
      <c r="B578" s="2">
        <v>45859</v>
      </c>
      <c r="C578" t="s">
        <v>32</v>
      </c>
      <c r="D578" t="s">
        <v>33</v>
      </c>
      <c r="E578">
        <v>2025</v>
      </c>
      <c r="F578" t="s">
        <v>67</v>
      </c>
      <c r="G578" t="s">
        <v>35</v>
      </c>
      <c r="H578" t="s">
        <v>168</v>
      </c>
      <c r="I578" t="s">
        <v>169</v>
      </c>
      <c r="J578" t="s">
        <v>100</v>
      </c>
      <c r="K578" t="s">
        <v>39</v>
      </c>
      <c r="L578" t="s">
        <v>51</v>
      </c>
      <c r="M578" t="s">
        <v>88</v>
      </c>
      <c r="N578" t="s">
        <v>89</v>
      </c>
      <c r="O578" t="s">
        <v>43</v>
      </c>
      <c r="P578" t="s">
        <v>90</v>
      </c>
      <c r="Q578">
        <v>58811.35</v>
      </c>
      <c r="R578">
        <v>68373.919999999998</v>
      </c>
      <c r="S578">
        <v>29137.3</v>
      </c>
      <c r="T578">
        <v>4833.68</v>
      </c>
      <c r="U578">
        <v>1559.96</v>
      </c>
      <c r="V578">
        <v>3902.33</v>
      </c>
      <c r="W578">
        <v>1693.2</v>
      </c>
      <c r="X578">
        <v>41126.47</v>
      </c>
      <c r="Y578">
        <v>29674.05</v>
      </c>
      <c r="Z578">
        <v>-11452.42</v>
      </c>
      <c r="AA578">
        <v>-0.1794</v>
      </c>
      <c r="AB578">
        <v>-9562.57</v>
      </c>
      <c r="AC578">
        <v>4704.91</v>
      </c>
      <c r="AD578">
        <v>9739.16</v>
      </c>
      <c r="AE578">
        <v>63845.599999999999</v>
      </c>
    </row>
    <row r="579" spans="1:31" x14ac:dyDescent="0.25">
      <c r="A579" t="s">
        <v>781</v>
      </c>
      <c r="B579" s="2">
        <v>45856</v>
      </c>
      <c r="C579" t="s">
        <v>32</v>
      </c>
      <c r="D579" t="s">
        <v>33</v>
      </c>
      <c r="E579">
        <v>2025</v>
      </c>
      <c r="F579" t="s">
        <v>34</v>
      </c>
      <c r="G579" t="s">
        <v>35</v>
      </c>
      <c r="H579" t="s">
        <v>157</v>
      </c>
      <c r="I579" t="s">
        <v>166</v>
      </c>
      <c r="J579" t="s">
        <v>38</v>
      </c>
      <c r="K579" t="s">
        <v>39</v>
      </c>
      <c r="L579" t="s">
        <v>72</v>
      </c>
      <c r="M579" t="s">
        <v>221</v>
      </c>
      <c r="N579" t="s">
        <v>222</v>
      </c>
      <c r="O579" t="s">
        <v>104</v>
      </c>
      <c r="P579" t="s">
        <v>223</v>
      </c>
      <c r="Q579">
        <v>26107.39</v>
      </c>
      <c r="R579">
        <v>29947.54</v>
      </c>
      <c r="S579">
        <v>14937.28</v>
      </c>
      <c r="T579">
        <v>2844.28</v>
      </c>
      <c r="U579">
        <v>1460.35</v>
      </c>
      <c r="V579">
        <v>1300.32</v>
      </c>
      <c r="W579">
        <v>1108.98</v>
      </c>
      <c r="X579">
        <v>21651.21</v>
      </c>
      <c r="Y579">
        <v>11170.1</v>
      </c>
      <c r="Z579">
        <v>-10481.11</v>
      </c>
      <c r="AA579">
        <v>-0.35070000000000001</v>
      </c>
      <c r="AB579">
        <v>-3840.16</v>
      </c>
      <c r="AC579">
        <v>783.22</v>
      </c>
      <c r="AD579">
        <v>4558.3500000000004</v>
      </c>
      <c r="AE579">
        <v>29882.52</v>
      </c>
    </row>
    <row r="580" spans="1:31" x14ac:dyDescent="0.25">
      <c r="A580" t="s">
        <v>782</v>
      </c>
      <c r="B580" s="2">
        <v>45854</v>
      </c>
      <c r="C580" t="s">
        <v>32</v>
      </c>
      <c r="D580" t="s">
        <v>33</v>
      </c>
      <c r="E580">
        <v>2025</v>
      </c>
      <c r="F580" t="s">
        <v>59</v>
      </c>
      <c r="G580" t="s">
        <v>35</v>
      </c>
      <c r="H580" t="s">
        <v>60</v>
      </c>
      <c r="I580" t="s">
        <v>108</v>
      </c>
      <c r="J580" t="s">
        <v>38</v>
      </c>
      <c r="K580" t="s">
        <v>101</v>
      </c>
      <c r="L580" t="s">
        <v>81</v>
      </c>
      <c r="M580" t="s">
        <v>102</v>
      </c>
      <c r="N580" t="s">
        <v>103</v>
      </c>
      <c r="O580" t="s">
        <v>104</v>
      </c>
      <c r="P580" t="s">
        <v>105</v>
      </c>
      <c r="Q580">
        <v>14823.35</v>
      </c>
      <c r="R580">
        <v>16151.39</v>
      </c>
      <c r="S580">
        <v>9619.5300000000007</v>
      </c>
      <c r="T580">
        <v>1325.23</v>
      </c>
      <c r="U580">
        <v>1252.0899999999999</v>
      </c>
      <c r="V580">
        <v>1173.06</v>
      </c>
      <c r="W580">
        <v>381.84</v>
      </c>
      <c r="X580">
        <v>13751.76</v>
      </c>
      <c r="Y580">
        <v>5203.82</v>
      </c>
      <c r="Z580">
        <v>-8547.94</v>
      </c>
      <c r="AA580">
        <v>-0.52539999999999998</v>
      </c>
      <c r="AB580">
        <v>-1328.03</v>
      </c>
      <c r="AC580">
        <v>296.47000000000003</v>
      </c>
      <c r="AD580">
        <v>1743.23</v>
      </c>
      <c r="AE580">
        <v>16270.11</v>
      </c>
    </row>
    <row r="581" spans="1:31" x14ac:dyDescent="0.25">
      <c r="A581" t="s">
        <v>783</v>
      </c>
      <c r="B581" s="2">
        <v>45979</v>
      </c>
      <c r="C581" t="s">
        <v>147</v>
      </c>
      <c r="D581" t="s">
        <v>93</v>
      </c>
      <c r="E581">
        <v>2025</v>
      </c>
      <c r="F581" t="s">
        <v>67</v>
      </c>
      <c r="G581" t="s">
        <v>35</v>
      </c>
      <c r="H581" t="s">
        <v>217</v>
      </c>
      <c r="I581" t="s">
        <v>241</v>
      </c>
      <c r="J581" t="s">
        <v>70</v>
      </c>
      <c r="K581" t="s">
        <v>50</v>
      </c>
      <c r="L581" t="s">
        <v>51</v>
      </c>
      <c r="M581" t="s">
        <v>95</v>
      </c>
      <c r="N581" t="s">
        <v>96</v>
      </c>
      <c r="O581" t="s">
        <v>43</v>
      </c>
      <c r="P581" t="s">
        <v>90</v>
      </c>
      <c r="Q581">
        <v>46729</v>
      </c>
      <c r="R581">
        <v>44802.44</v>
      </c>
      <c r="S581">
        <v>25287.53</v>
      </c>
      <c r="T581">
        <v>5223.3999999999996</v>
      </c>
      <c r="U581">
        <v>2488.4499999999998</v>
      </c>
      <c r="V581">
        <v>3105.78</v>
      </c>
      <c r="W581">
        <v>759.5</v>
      </c>
      <c r="X581">
        <v>36864.65</v>
      </c>
      <c r="Y581">
        <v>21441.47</v>
      </c>
      <c r="Z581">
        <v>-15423.18</v>
      </c>
      <c r="AA581">
        <v>-0.2944</v>
      </c>
      <c r="AB581">
        <v>1926.56</v>
      </c>
      <c r="AC581">
        <v>2336.4499999999998</v>
      </c>
      <c r="AD581">
        <v>7990.66</v>
      </c>
      <c r="AE581">
        <v>52383.21</v>
      </c>
    </row>
    <row r="582" spans="1:31" x14ac:dyDescent="0.25">
      <c r="A582" t="s">
        <v>784</v>
      </c>
      <c r="B582" s="2">
        <v>45923</v>
      </c>
      <c r="C582" t="s">
        <v>46</v>
      </c>
      <c r="D582" t="s">
        <v>33</v>
      </c>
      <c r="E582">
        <v>2025</v>
      </c>
      <c r="F582" t="s">
        <v>47</v>
      </c>
      <c r="G582" t="s">
        <v>35</v>
      </c>
      <c r="H582" t="s">
        <v>78</v>
      </c>
      <c r="I582" t="s">
        <v>115</v>
      </c>
      <c r="J582" t="s">
        <v>100</v>
      </c>
      <c r="K582" t="s">
        <v>50</v>
      </c>
      <c r="L582" t="s">
        <v>81</v>
      </c>
      <c r="M582" t="s">
        <v>161</v>
      </c>
      <c r="N582" t="s">
        <v>162</v>
      </c>
      <c r="O582" t="s">
        <v>43</v>
      </c>
      <c r="P582" t="s">
        <v>163</v>
      </c>
      <c r="Q582">
        <v>48144.32</v>
      </c>
      <c r="R582">
        <v>52758.53</v>
      </c>
      <c r="S582">
        <v>26993.54</v>
      </c>
      <c r="T582">
        <v>3525.26</v>
      </c>
      <c r="U582">
        <v>2897.19</v>
      </c>
      <c r="V582">
        <v>2017.12</v>
      </c>
      <c r="W582">
        <v>615.89</v>
      </c>
      <c r="X582">
        <v>36049</v>
      </c>
      <c r="Y582">
        <v>21150.78</v>
      </c>
      <c r="Z582">
        <v>-14898.22</v>
      </c>
      <c r="AA582">
        <v>-0.27039999999999997</v>
      </c>
      <c r="AB582">
        <v>-4614.2</v>
      </c>
      <c r="AC582">
        <v>1444.33</v>
      </c>
      <c r="AD582">
        <v>8406</v>
      </c>
      <c r="AE582">
        <v>55105.99</v>
      </c>
    </row>
    <row r="583" spans="1:31" x14ac:dyDescent="0.25">
      <c r="A583" t="s">
        <v>785</v>
      </c>
      <c r="B583" s="2">
        <v>45987</v>
      </c>
      <c r="C583" t="s">
        <v>147</v>
      </c>
      <c r="D583" t="s">
        <v>93</v>
      </c>
      <c r="E583">
        <v>2025</v>
      </c>
      <c r="F583" t="s">
        <v>34</v>
      </c>
      <c r="G583" t="s">
        <v>35</v>
      </c>
      <c r="H583" t="s">
        <v>134</v>
      </c>
      <c r="I583" t="s">
        <v>135</v>
      </c>
      <c r="J583" t="s">
        <v>80</v>
      </c>
      <c r="K583" t="s">
        <v>71</v>
      </c>
      <c r="L583" t="s">
        <v>72</v>
      </c>
      <c r="M583" t="s">
        <v>102</v>
      </c>
      <c r="N583" t="s">
        <v>103</v>
      </c>
      <c r="O583" t="s">
        <v>104</v>
      </c>
      <c r="P583" t="s">
        <v>105</v>
      </c>
      <c r="Q583">
        <v>17731.91</v>
      </c>
      <c r="R583">
        <v>19834.29</v>
      </c>
      <c r="S583">
        <v>12635.21</v>
      </c>
      <c r="T583">
        <v>1549.47</v>
      </c>
      <c r="U583">
        <v>1104.48</v>
      </c>
      <c r="V583">
        <v>1340.26</v>
      </c>
      <c r="W583">
        <v>592.19000000000005</v>
      </c>
      <c r="X583">
        <v>17221.599999999999</v>
      </c>
      <c r="Y583">
        <v>5096.7</v>
      </c>
      <c r="Z583">
        <v>-12124.9</v>
      </c>
      <c r="AA583">
        <v>-0.6855</v>
      </c>
      <c r="AB583">
        <v>-2102.38</v>
      </c>
      <c r="AC583">
        <v>886.6</v>
      </c>
      <c r="AD583">
        <v>842.27</v>
      </c>
      <c r="AE583">
        <v>17687.580000000002</v>
      </c>
    </row>
    <row r="584" spans="1:31" x14ac:dyDescent="0.25">
      <c r="A584" t="s">
        <v>786</v>
      </c>
      <c r="B584" s="2">
        <v>45814</v>
      </c>
      <c r="C584" t="s">
        <v>156</v>
      </c>
      <c r="D584" t="s">
        <v>66</v>
      </c>
      <c r="E584">
        <v>2025</v>
      </c>
      <c r="F584" t="s">
        <v>85</v>
      </c>
      <c r="G584" t="s">
        <v>35</v>
      </c>
      <c r="H584" t="s">
        <v>86</v>
      </c>
      <c r="I584" t="s">
        <v>181</v>
      </c>
      <c r="J584" t="s">
        <v>70</v>
      </c>
      <c r="K584" t="s">
        <v>50</v>
      </c>
      <c r="L584" t="s">
        <v>51</v>
      </c>
      <c r="M584" t="s">
        <v>141</v>
      </c>
      <c r="N584" t="s">
        <v>142</v>
      </c>
      <c r="O584" t="s">
        <v>54</v>
      </c>
      <c r="P584" t="s">
        <v>143</v>
      </c>
      <c r="Q584">
        <v>1457.97</v>
      </c>
      <c r="R584">
        <v>1617.88</v>
      </c>
      <c r="S584">
        <v>872.52</v>
      </c>
      <c r="T584">
        <v>175.62</v>
      </c>
      <c r="U584">
        <v>74.099999999999994</v>
      </c>
      <c r="V584">
        <v>89.66</v>
      </c>
      <c r="W584">
        <v>32.32</v>
      </c>
      <c r="X584">
        <v>1244.21</v>
      </c>
      <c r="Y584">
        <v>585.45000000000005</v>
      </c>
      <c r="Z584">
        <v>-658.76</v>
      </c>
      <c r="AA584">
        <v>-0.42470000000000002</v>
      </c>
      <c r="AB584">
        <v>-159.91</v>
      </c>
      <c r="AC584">
        <v>72.900000000000006</v>
      </c>
      <c r="AD584">
        <v>166.21</v>
      </c>
      <c r="AE584">
        <v>1551.28</v>
      </c>
    </row>
    <row r="585" spans="1:31" x14ac:dyDescent="0.25">
      <c r="A585" t="s">
        <v>787</v>
      </c>
      <c r="B585" s="2">
        <v>46045</v>
      </c>
      <c r="C585" t="s">
        <v>77</v>
      </c>
      <c r="D585" t="s">
        <v>58</v>
      </c>
      <c r="E585">
        <v>2026</v>
      </c>
      <c r="F585" t="s">
        <v>67</v>
      </c>
      <c r="G585" t="s">
        <v>35</v>
      </c>
      <c r="H585" t="s">
        <v>168</v>
      </c>
      <c r="I585" t="s">
        <v>278</v>
      </c>
      <c r="J585" t="s">
        <v>38</v>
      </c>
      <c r="K585" t="s">
        <v>71</v>
      </c>
      <c r="L585" t="s">
        <v>51</v>
      </c>
      <c r="M585" t="s">
        <v>189</v>
      </c>
      <c r="N585" t="s">
        <v>190</v>
      </c>
      <c r="O585" t="s">
        <v>104</v>
      </c>
      <c r="P585" t="s">
        <v>105</v>
      </c>
      <c r="Q585">
        <v>18990.740000000002</v>
      </c>
      <c r="R585">
        <v>21752.04</v>
      </c>
      <c r="S585">
        <v>11924.17</v>
      </c>
      <c r="T585">
        <v>1600.88</v>
      </c>
      <c r="U585">
        <v>699.84</v>
      </c>
      <c r="V585">
        <v>2191.23</v>
      </c>
      <c r="W585">
        <v>691.78</v>
      </c>
      <c r="X585">
        <v>17107.900000000001</v>
      </c>
      <c r="Y585">
        <v>7066.57</v>
      </c>
      <c r="Z585">
        <v>-10041.33</v>
      </c>
      <c r="AA585">
        <v>-0.48170000000000002</v>
      </c>
      <c r="AB585">
        <v>-2761.3</v>
      </c>
      <c r="AC585">
        <v>379.81</v>
      </c>
      <c r="AD585">
        <v>2233.31</v>
      </c>
      <c r="AE585">
        <v>20844.23</v>
      </c>
    </row>
    <row r="586" spans="1:31" x14ac:dyDescent="0.25">
      <c r="A586" t="s">
        <v>788</v>
      </c>
      <c r="B586" s="2">
        <v>45954</v>
      </c>
      <c r="C586" t="s">
        <v>92</v>
      </c>
      <c r="D586" t="s">
        <v>93</v>
      </c>
      <c r="E586">
        <v>2025</v>
      </c>
      <c r="F586" t="s">
        <v>34</v>
      </c>
      <c r="G586" t="s">
        <v>35</v>
      </c>
      <c r="H586" t="s">
        <v>134</v>
      </c>
      <c r="I586" t="s">
        <v>176</v>
      </c>
      <c r="J586" t="s">
        <v>70</v>
      </c>
      <c r="K586" t="s">
        <v>39</v>
      </c>
      <c r="L586" t="s">
        <v>94</v>
      </c>
      <c r="M586" t="s">
        <v>110</v>
      </c>
      <c r="N586" t="s">
        <v>111</v>
      </c>
      <c r="O586" t="s">
        <v>112</v>
      </c>
      <c r="P586" t="s">
        <v>113</v>
      </c>
      <c r="Q586">
        <v>14287.02</v>
      </c>
      <c r="R586">
        <v>16755.87</v>
      </c>
      <c r="S586">
        <v>7922.78</v>
      </c>
      <c r="T586">
        <v>1241.22</v>
      </c>
      <c r="U586">
        <v>983.09</v>
      </c>
      <c r="V586">
        <v>1190.4000000000001</v>
      </c>
      <c r="W586">
        <v>564.62</v>
      </c>
      <c r="X586">
        <v>11902.12</v>
      </c>
      <c r="Y586">
        <v>6364.23</v>
      </c>
      <c r="Z586">
        <v>-5537.88</v>
      </c>
      <c r="AA586">
        <v>-0.3886</v>
      </c>
      <c r="AB586">
        <v>-2468.86</v>
      </c>
      <c r="AC586">
        <v>714.35</v>
      </c>
      <c r="AD586">
        <v>678.63</v>
      </c>
      <c r="AE586">
        <v>14251.3</v>
      </c>
    </row>
    <row r="587" spans="1:31" x14ac:dyDescent="0.25">
      <c r="A587" t="s">
        <v>789</v>
      </c>
      <c r="B587" s="2">
        <v>45918</v>
      </c>
      <c r="C587" t="s">
        <v>46</v>
      </c>
      <c r="D587" t="s">
        <v>33</v>
      </c>
      <c r="E587">
        <v>2025</v>
      </c>
      <c r="F587" t="s">
        <v>34</v>
      </c>
      <c r="G587" t="s">
        <v>35</v>
      </c>
      <c r="H587" t="s">
        <v>134</v>
      </c>
      <c r="I587" t="s">
        <v>176</v>
      </c>
      <c r="J587" t="s">
        <v>80</v>
      </c>
      <c r="K587" t="s">
        <v>39</v>
      </c>
      <c r="L587" t="s">
        <v>51</v>
      </c>
      <c r="M587" t="s">
        <v>171</v>
      </c>
      <c r="N587" t="s">
        <v>172</v>
      </c>
      <c r="O587" t="s">
        <v>173</v>
      </c>
      <c r="P587" t="s">
        <v>174</v>
      </c>
      <c r="Q587">
        <v>20138.37</v>
      </c>
      <c r="R587">
        <v>22689.16</v>
      </c>
      <c r="S587">
        <v>11095.12</v>
      </c>
      <c r="T587">
        <v>2143.31</v>
      </c>
      <c r="U587">
        <v>1175.26</v>
      </c>
      <c r="V587">
        <v>1749.46</v>
      </c>
      <c r="W587">
        <v>327.98</v>
      </c>
      <c r="X587">
        <v>16491.12</v>
      </c>
      <c r="Y587">
        <v>9043.24</v>
      </c>
      <c r="Z587">
        <v>-7447.88</v>
      </c>
      <c r="AA587">
        <v>-0.37080000000000002</v>
      </c>
      <c r="AB587">
        <v>-2550.79</v>
      </c>
      <c r="AC587">
        <v>1006.92</v>
      </c>
      <c r="AD587">
        <v>956.57</v>
      </c>
      <c r="AE587">
        <v>20088.02</v>
      </c>
    </row>
    <row r="588" spans="1:31" x14ac:dyDescent="0.25">
      <c r="A588" t="s">
        <v>790</v>
      </c>
      <c r="B588" s="2">
        <v>45958</v>
      </c>
      <c r="C588" t="s">
        <v>92</v>
      </c>
      <c r="D588" t="s">
        <v>93</v>
      </c>
      <c r="E588">
        <v>2025</v>
      </c>
      <c r="F588" t="s">
        <v>67</v>
      </c>
      <c r="G588" t="s">
        <v>35</v>
      </c>
      <c r="H588" t="s">
        <v>168</v>
      </c>
      <c r="I588" t="s">
        <v>278</v>
      </c>
      <c r="J588" t="s">
        <v>100</v>
      </c>
      <c r="K588" t="s">
        <v>39</v>
      </c>
      <c r="L588" t="s">
        <v>81</v>
      </c>
      <c r="M588" t="s">
        <v>52</v>
      </c>
      <c r="N588" t="s">
        <v>53</v>
      </c>
      <c r="O588" t="s">
        <v>54</v>
      </c>
      <c r="P588" t="s">
        <v>55</v>
      </c>
      <c r="Q588">
        <v>6987.52</v>
      </c>
      <c r="R588">
        <v>6551.02</v>
      </c>
      <c r="S588">
        <v>3437.97</v>
      </c>
      <c r="T588">
        <v>837.74</v>
      </c>
      <c r="U588">
        <v>209</v>
      </c>
      <c r="V588">
        <v>417.4</v>
      </c>
      <c r="W588">
        <v>239.92</v>
      </c>
      <c r="X588">
        <v>5142.03</v>
      </c>
      <c r="Y588">
        <v>3549.55</v>
      </c>
      <c r="Z588">
        <v>-1592.48</v>
      </c>
      <c r="AA588">
        <v>-0.1991</v>
      </c>
      <c r="AB588">
        <v>436.5</v>
      </c>
      <c r="AC588">
        <v>209.63</v>
      </c>
      <c r="AD588">
        <v>1220.02</v>
      </c>
      <c r="AE588">
        <v>7997.91</v>
      </c>
    </row>
    <row r="589" spans="1:31" x14ac:dyDescent="0.25">
      <c r="A589" t="s">
        <v>791</v>
      </c>
      <c r="B589" s="2">
        <v>46103</v>
      </c>
      <c r="C589" t="s">
        <v>125</v>
      </c>
      <c r="D589" t="s">
        <v>58</v>
      </c>
      <c r="E589">
        <v>2026</v>
      </c>
      <c r="F589" t="s">
        <v>59</v>
      </c>
      <c r="G589" t="s">
        <v>35</v>
      </c>
      <c r="H589" t="s">
        <v>139</v>
      </c>
      <c r="I589" t="s">
        <v>152</v>
      </c>
      <c r="J589" t="s">
        <v>80</v>
      </c>
      <c r="K589" t="s">
        <v>39</v>
      </c>
      <c r="L589" t="s">
        <v>94</v>
      </c>
      <c r="M589" t="s">
        <v>161</v>
      </c>
      <c r="N589" t="s">
        <v>162</v>
      </c>
      <c r="O589" t="s">
        <v>43</v>
      </c>
      <c r="P589" t="s">
        <v>163</v>
      </c>
      <c r="Q589">
        <v>55043.61</v>
      </c>
      <c r="R589">
        <v>63506.32</v>
      </c>
      <c r="S589">
        <v>29934.58</v>
      </c>
      <c r="T589">
        <v>4787.21</v>
      </c>
      <c r="U589">
        <v>3340.84</v>
      </c>
      <c r="V589">
        <v>6381.15</v>
      </c>
      <c r="W589">
        <v>2474.3000000000002</v>
      </c>
      <c r="X589">
        <v>46918.080000000002</v>
      </c>
      <c r="Y589">
        <v>25109.040000000001</v>
      </c>
      <c r="Z589">
        <v>-21809.040000000001</v>
      </c>
      <c r="AA589">
        <v>-0.34260000000000002</v>
      </c>
      <c r="AB589">
        <v>-8462.7099999999991</v>
      </c>
      <c r="AC589">
        <v>1100.8699999999999</v>
      </c>
      <c r="AD589">
        <v>9709.69</v>
      </c>
      <c r="AE589">
        <v>63652.44</v>
      </c>
    </row>
    <row r="590" spans="1:31" x14ac:dyDescent="0.25">
      <c r="A590" t="s">
        <v>792</v>
      </c>
      <c r="B590" s="2">
        <v>45961</v>
      </c>
      <c r="C590" t="s">
        <v>92</v>
      </c>
      <c r="D590" t="s">
        <v>93</v>
      </c>
      <c r="E590">
        <v>2025</v>
      </c>
      <c r="F590" t="s">
        <v>47</v>
      </c>
      <c r="G590" t="s">
        <v>35</v>
      </c>
      <c r="H590" t="s">
        <v>48</v>
      </c>
      <c r="I590" t="s">
        <v>265</v>
      </c>
      <c r="J590" t="s">
        <v>100</v>
      </c>
      <c r="K590" t="s">
        <v>101</v>
      </c>
      <c r="L590" t="s">
        <v>51</v>
      </c>
      <c r="M590" t="s">
        <v>52</v>
      </c>
      <c r="N590" t="s">
        <v>53</v>
      </c>
      <c r="O590" t="s">
        <v>54</v>
      </c>
      <c r="P590" t="s">
        <v>55</v>
      </c>
      <c r="Q590">
        <v>3271.27</v>
      </c>
      <c r="R590">
        <v>2889.54</v>
      </c>
      <c r="S590">
        <v>1815.26</v>
      </c>
      <c r="T590">
        <v>166.86</v>
      </c>
      <c r="U590">
        <v>102.2</v>
      </c>
      <c r="V590">
        <v>208.6</v>
      </c>
      <c r="W590">
        <v>38.93</v>
      </c>
      <c r="X590">
        <v>2331.85</v>
      </c>
      <c r="Y590">
        <v>1456.01</v>
      </c>
      <c r="Z590">
        <v>-875.84</v>
      </c>
      <c r="AA590">
        <v>-0.26840000000000003</v>
      </c>
      <c r="AB590">
        <v>381.73</v>
      </c>
      <c r="AC590">
        <v>163.56</v>
      </c>
      <c r="AD590">
        <v>155.38999999999999</v>
      </c>
      <c r="AE590">
        <v>3263.09</v>
      </c>
    </row>
    <row r="591" spans="1:31" x14ac:dyDescent="0.25">
      <c r="A591" t="s">
        <v>793</v>
      </c>
      <c r="B591" s="2">
        <v>46057</v>
      </c>
      <c r="C591" t="s">
        <v>57</v>
      </c>
      <c r="D591" t="s">
        <v>58</v>
      </c>
      <c r="E591">
        <v>2026</v>
      </c>
      <c r="F591" t="s">
        <v>34</v>
      </c>
      <c r="G591" t="s">
        <v>35</v>
      </c>
      <c r="H591" t="s">
        <v>98</v>
      </c>
      <c r="I591" t="s">
        <v>99</v>
      </c>
      <c r="J591" t="s">
        <v>100</v>
      </c>
      <c r="K591" t="s">
        <v>50</v>
      </c>
      <c r="L591" t="s">
        <v>81</v>
      </c>
      <c r="M591" t="s">
        <v>189</v>
      </c>
      <c r="N591" t="s">
        <v>190</v>
      </c>
      <c r="O591" t="s">
        <v>104</v>
      </c>
      <c r="P591" t="s">
        <v>105</v>
      </c>
      <c r="Q591">
        <v>17044.5</v>
      </c>
      <c r="R591">
        <v>17697.080000000002</v>
      </c>
      <c r="S591">
        <v>10298.120000000001</v>
      </c>
      <c r="T591">
        <v>2112.64</v>
      </c>
      <c r="U591">
        <v>1034.44</v>
      </c>
      <c r="V591">
        <v>1476.73</v>
      </c>
      <c r="W591">
        <v>410.05</v>
      </c>
      <c r="X591">
        <v>15331.99</v>
      </c>
      <c r="Y591">
        <v>6746.37</v>
      </c>
      <c r="Z591">
        <v>-8585.6200000000008</v>
      </c>
      <c r="AA591">
        <v>-0.4743</v>
      </c>
      <c r="AB591">
        <v>-652.59</v>
      </c>
      <c r="AC591">
        <v>1704.45</v>
      </c>
      <c r="AD591">
        <v>2761.21</v>
      </c>
      <c r="AE591">
        <v>18101.25</v>
      </c>
    </row>
    <row r="592" spans="1:31" x14ac:dyDescent="0.25">
      <c r="A592" t="s">
        <v>794</v>
      </c>
      <c r="B592" s="2">
        <v>45806</v>
      </c>
      <c r="C592" t="s">
        <v>65</v>
      </c>
      <c r="D592" t="s">
        <v>66</v>
      </c>
      <c r="E592">
        <v>2025</v>
      </c>
      <c r="F592" t="s">
        <v>34</v>
      </c>
      <c r="G592" t="s">
        <v>35</v>
      </c>
      <c r="H592" t="s">
        <v>134</v>
      </c>
      <c r="I592" t="s">
        <v>135</v>
      </c>
      <c r="J592" t="s">
        <v>38</v>
      </c>
      <c r="K592" t="s">
        <v>71</v>
      </c>
      <c r="L592" t="s">
        <v>40</v>
      </c>
      <c r="M592" t="s">
        <v>161</v>
      </c>
      <c r="N592" t="s">
        <v>162</v>
      </c>
      <c r="O592" t="s">
        <v>43</v>
      </c>
      <c r="P592" t="s">
        <v>163</v>
      </c>
      <c r="Q592">
        <v>39742.769999999997</v>
      </c>
      <c r="R592">
        <v>46890.46</v>
      </c>
      <c r="S592">
        <v>21585.759999999998</v>
      </c>
      <c r="T592">
        <v>3818.74</v>
      </c>
      <c r="U592">
        <v>2792.66</v>
      </c>
      <c r="V592">
        <v>2113.13</v>
      </c>
      <c r="W592">
        <v>604.23</v>
      </c>
      <c r="X592">
        <v>30914.52</v>
      </c>
      <c r="Y592">
        <v>18157.009999999998</v>
      </c>
      <c r="Z592">
        <v>-12757.51</v>
      </c>
      <c r="AA592">
        <v>-0.29549999999999998</v>
      </c>
      <c r="AB592">
        <v>-7147.69</v>
      </c>
      <c r="AC592">
        <v>1192.28</v>
      </c>
      <c r="AD592">
        <v>4626.0600000000004</v>
      </c>
      <c r="AE592">
        <v>43176.54</v>
      </c>
    </row>
    <row r="593" spans="1:31" x14ac:dyDescent="0.25">
      <c r="A593" t="s">
        <v>795</v>
      </c>
      <c r="B593" s="2">
        <v>45938</v>
      </c>
      <c r="C593" t="s">
        <v>92</v>
      </c>
      <c r="D593" t="s">
        <v>93</v>
      </c>
      <c r="E593">
        <v>2025</v>
      </c>
      <c r="F593" t="s">
        <v>47</v>
      </c>
      <c r="G593" t="s">
        <v>35</v>
      </c>
      <c r="H593" t="s">
        <v>206</v>
      </c>
      <c r="I593" t="s">
        <v>296</v>
      </c>
      <c r="J593" t="s">
        <v>38</v>
      </c>
      <c r="K593" t="s">
        <v>50</v>
      </c>
      <c r="L593" t="s">
        <v>72</v>
      </c>
      <c r="M593" t="s">
        <v>62</v>
      </c>
      <c r="N593" t="s">
        <v>63</v>
      </c>
      <c r="O593" t="s">
        <v>54</v>
      </c>
      <c r="P593" t="s">
        <v>55</v>
      </c>
      <c r="Q593">
        <v>4643.12</v>
      </c>
      <c r="R593">
        <v>4296.16</v>
      </c>
      <c r="S593">
        <v>3112.02</v>
      </c>
      <c r="T593">
        <v>561.84</v>
      </c>
      <c r="U593">
        <v>201.49</v>
      </c>
      <c r="V593">
        <v>348.41</v>
      </c>
      <c r="W593">
        <v>104.12</v>
      </c>
      <c r="X593">
        <v>4327.88</v>
      </c>
      <c r="Y593">
        <v>1531.1</v>
      </c>
      <c r="Z593">
        <v>-2796.77</v>
      </c>
      <c r="AA593">
        <v>-0.51049999999999995</v>
      </c>
      <c r="AB593">
        <v>346.96</v>
      </c>
      <c r="AC593">
        <v>0</v>
      </c>
      <c r="AD593">
        <v>835.76</v>
      </c>
      <c r="AE593">
        <v>5478.88</v>
      </c>
    </row>
    <row r="594" spans="1:31" x14ac:dyDescent="0.25">
      <c r="A594" t="s">
        <v>796</v>
      </c>
      <c r="B594" s="2">
        <v>45778</v>
      </c>
      <c r="C594" t="s">
        <v>65</v>
      </c>
      <c r="D594" t="s">
        <v>66</v>
      </c>
      <c r="E594">
        <v>2025</v>
      </c>
      <c r="F594" t="s">
        <v>85</v>
      </c>
      <c r="G594" t="s">
        <v>35</v>
      </c>
      <c r="H594" t="s">
        <v>86</v>
      </c>
      <c r="I594" t="s">
        <v>181</v>
      </c>
      <c r="J594" t="s">
        <v>70</v>
      </c>
      <c r="K594" t="s">
        <v>50</v>
      </c>
      <c r="L594" t="s">
        <v>40</v>
      </c>
      <c r="M594" t="s">
        <v>211</v>
      </c>
      <c r="N594" t="s">
        <v>212</v>
      </c>
      <c r="O594" t="s">
        <v>112</v>
      </c>
      <c r="P594" t="s">
        <v>113</v>
      </c>
      <c r="Q594">
        <v>25204.94</v>
      </c>
      <c r="R594">
        <v>28329.21</v>
      </c>
      <c r="S594">
        <v>17873.150000000001</v>
      </c>
      <c r="T594">
        <v>3127</v>
      </c>
      <c r="U594">
        <v>2119.79</v>
      </c>
      <c r="V594">
        <v>2040.93</v>
      </c>
      <c r="W594">
        <v>569.76</v>
      </c>
      <c r="X594">
        <v>25730.639999999999</v>
      </c>
      <c r="Y594">
        <v>7331.79</v>
      </c>
      <c r="Z594">
        <v>-18398.849999999999</v>
      </c>
      <c r="AA594">
        <v>-0.63780000000000003</v>
      </c>
      <c r="AB594">
        <v>-3124.27</v>
      </c>
      <c r="AC594">
        <v>756.15</v>
      </c>
      <c r="AD594">
        <v>4400.78</v>
      </c>
      <c r="AE594">
        <v>28849.58</v>
      </c>
    </row>
    <row r="595" spans="1:31" x14ac:dyDescent="0.25">
      <c r="A595" t="s">
        <v>797</v>
      </c>
      <c r="B595" s="2">
        <v>45977</v>
      </c>
      <c r="C595" t="s">
        <v>147</v>
      </c>
      <c r="D595" t="s">
        <v>93</v>
      </c>
      <c r="E595">
        <v>2025</v>
      </c>
      <c r="F595" t="s">
        <v>34</v>
      </c>
      <c r="G595" t="s">
        <v>35</v>
      </c>
      <c r="H595" t="s">
        <v>98</v>
      </c>
      <c r="I595" t="s">
        <v>149</v>
      </c>
      <c r="J595" t="s">
        <v>70</v>
      </c>
      <c r="K595" t="s">
        <v>50</v>
      </c>
      <c r="L595" t="s">
        <v>40</v>
      </c>
      <c r="M595" t="s">
        <v>189</v>
      </c>
      <c r="N595" t="s">
        <v>190</v>
      </c>
      <c r="O595" t="s">
        <v>104</v>
      </c>
      <c r="P595" t="s">
        <v>105</v>
      </c>
      <c r="Q595">
        <v>24022.03</v>
      </c>
      <c r="R595">
        <v>22293.86</v>
      </c>
      <c r="S595">
        <v>11575.45</v>
      </c>
      <c r="T595">
        <v>2648.15</v>
      </c>
      <c r="U595">
        <v>766.64</v>
      </c>
      <c r="V595">
        <v>1119.1400000000001</v>
      </c>
      <c r="W595">
        <v>242.49</v>
      </c>
      <c r="X595">
        <v>16351.87</v>
      </c>
      <c r="Y595">
        <v>12446.58</v>
      </c>
      <c r="Z595">
        <v>-3905.29</v>
      </c>
      <c r="AA595">
        <v>-0.14960000000000001</v>
      </c>
      <c r="AB595">
        <v>1728.17</v>
      </c>
      <c r="AC595">
        <v>720.66</v>
      </c>
      <c r="AD595">
        <v>2796.16</v>
      </c>
      <c r="AE595">
        <v>26097.54</v>
      </c>
    </row>
    <row r="596" spans="1:31" x14ac:dyDescent="0.25">
      <c r="A596" t="s">
        <v>798</v>
      </c>
      <c r="B596" s="2">
        <v>46103</v>
      </c>
      <c r="C596" t="s">
        <v>125</v>
      </c>
      <c r="D596" t="s">
        <v>58</v>
      </c>
      <c r="E596">
        <v>2026</v>
      </c>
      <c r="F596" t="s">
        <v>67</v>
      </c>
      <c r="G596" t="s">
        <v>35</v>
      </c>
      <c r="H596" t="s">
        <v>118</v>
      </c>
      <c r="I596" t="s">
        <v>227</v>
      </c>
      <c r="J596" t="s">
        <v>80</v>
      </c>
      <c r="K596" t="s">
        <v>50</v>
      </c>
      <c r="L596" t="s">
        <v>72</v>
      </c>
      <c r="M596" t="s">
        <v>110</v>
      </c>
      <c r="N596" t="s">
        <v>111</v>
      </c>
      <c r="O596" t="s">
        <v>112</v>
      </c>
      <c r="P596" t="s">
        <v>113</v>
      </c>
      <c r="Q596">
        <v>18257.919999999998</v>
      </c>
      <c r="R596">
        <v>16472.89</v>
      </c>
      <c r="S596">
        <v>10800.18</v>
      </c>
      <c r="T596">
        <v>1812.08</v>
      </c>
      <c r="U596">
        <v>569.25</v>
      </c>
      <c r="V596">
        <v>2118.6999999999998</v>
      </c>
      <c r="W596">
        <v>809.09</v>
      </c>
      <c r="X596">
        <v>16109.29</v>
      </c>
      <c r="Y596">
        <v>7457.74</v>
      </c>
      <c r="Z596">
        <v>-8651.5499999999993</v>
      </c>
      <c r="AA596">
        <v>-0.42270000000000002</v>
      </c>
      <c r="AB596">
        <v>1785.03</v>
      </c>
      <c r="AC596">
        <v>912.9</v>
      </c>
      <c r="AD596">
        <v>3122.1</v>
      </c>
      <c r="AE596">
        <v>20467.12</v>
      </c>
    </row>
    <row r="597" spans="1:31" x14ac:dyDescent="0.25">
      <c r="A597" t="s">
        <v>799</v>
      </c>
      <c r="B597" s="2">
        <v>45754</v>
      </c>
      <c r="C597" t="s">
        <v>128</v>
      </c>
      <c r="D597" t="s">
        <v>66</v>
      </c>
      <c r="E597">
        <v>2025</v>
      </c>
      <c r="F597" t="s">
        <v>59</v>
      </c>
      <c r="G597" t="s">
        <v>35</v>
      </c>
      <c r="H597" t="s">
        <v>254</v>
      </c>
      <c r="I597" t="s">
        <v>200</v>
      </c>
      <c r="J597" t="s">
        <v>70</v>
      </c>
      <c r="K597" t="s">
        <v>50</v>
      </c>
      <c r="L597" t="s">
        <v>51</v>
      </c>
      <c r="M597" t="s">
        <v>189</v>
      </c>
      <c r="N597" t="s">
        <v>190</v>
      </c>
      <c r="O597" t="s">
        <v>104</v>
      </c>
      <c r="P597" t="s">
        <v>105</v>
      </c>
      <c r="Q597">
        <v>7709.37</v>
      </c>
      <c r="R597">
        <v>8686.57</v>
      </c>
      <c r="S597">
        <v>4105.22</v>
      </c>
      <c r="T597">
        <v>535.32000000000005</v>
      </c>
      <c r="U597">
        <v>514.6</v>
      </c>
      <c r="V597">
        <v>478.65</v>
      </c>
      <c r="W597">
        <v>135.77000000000001</v>
      </c>
      <c r="X597">
        <v>5769.56</v>
      </c>
      <c r="Y597">
        <v>3604.15</v>
      </c>
      <c r="Z597">
        <v>-2165.41</v>
      </c>
      <c r="AA597">
        <v>-0.25590000000000002</v>
      </c>
      <c r="AB597">
        <v>-977.2</v>
      </c>
      <c r="AC597">
        <v>154.19</v>
      </c>
      <c r="AD597">
        <v>906.62</v>
      </c>
      <c r="AE597">
        <v>8461.7999999999993</v>
      </c>
    </row>
    <row r="598" spans="1:31" x14ac:dyDescent="0.25">
      <c r="A598" t="s">
        <v>800</v>
      </c>
      <c r="B598" s="2">
        <v>45794</v>
      </c>
      <c r="C598" t="s">
        <v>65</v>
      </c>
      <c r="D598" t="s">
        <v>66</v>
      </c>
      <c r="E598">
        <v>2025</v>
      </c>
      <c r="F598" t="s">
        <v>85</v>
      </c>
      <c r="G598" t="s">
        <v>35</v>
      </c>
      <c r="H598" t="s">
        <v>60</v>
      </c>
      <c r="I598" t="s">
        <v>185</v>
      </c>
      <c r="J598" t="s">
        <v>80</v>
      </c>
      <c r="K598" t="s">
        <v>50</v>
      </c>
      <c r="L598" t="s">
        <v>81</v>
      </c>
      <c r="M598" t="s">
        <v>102</v>
      </c>
      <c r="N598" t="s">
        <v>103</v>
      </c>
      <c r="O598" t="s">
        <v>104</v>
      </c>
      <c r="P598" t="s">
        <v>105</v>
      </c>
      <c r="Q598">
        <v>23482.57</v>
      </c>
      <c r="R598">
        <v>23183.05</v>
      </c>
      <c r="S598">
        <v>15382.55</v>
      </c>
      <c r="T598">
        <v>2985</v>
      </c>
      <c r="U598">
        <v>824.68</v>
      </c>
      <c r="V598">
        <v>1366.46</v>
      </c>
      <c r="W598">
        <v>420.32</v>
      </c>
      <c r="X598">
        <v>20979.01</v>
      </c>
      <c r="Y598">
        <v>8100.02</v>
      </c>
      <c r="Z598">
        <v>-12878.98</v>
      </c>
      <c r="AA598">
        <v>-0.46479999999999999</v>
      </c>
      <c r="AB598">
        <v>299.52</v>
      </c>
      <c r="AC598">
        <v>0</v>
      </c>
      <c r="AD598">
        <v>4226.8599999999997</v>
      </c>
      <c r="AE598">
        <v>27709.43</v>
      </c>
    </row>
    <row r="599" spans="1:31" x14ac:dyDescent="0.25">
      <c r="A599" t="s">
        <v>801</v>
      </c>
      <c r="B599" s="2">
        <v>45825</v>
      </c>
      <c r="C599" t="s">
        <v>156</v>
      </c>
      <c r="D599" t="s">
        <v>66</v>
      </c>
      <c r="E599">
        <v>2025</v>
      </c>
      <c r="F599" t="s">
        <v>34</v>
      </c>
      <c r="G599" t="s">
        <v>35</v>
      </c>
      <c r="H599" t="s">
        <v>36</v>
      </c>
      <c r="I599" t="s">
        <v>37</v>
      </c>
      <c r="J599" t="s">
        <v>80</v>
      </c>
      <c r="K599" t="s">
        <v>50</v>
      </c>
      <c r="L599" t="s">
        <v>72</v>
      </c>
      <c r="M599" t="s">
        <v>102</v>
      </c>
      <c r="N599" t="s">
        <v>103</v>
      </c>
      <c r="O599" t="s">
        <v>104</v>
      </c>
      <c r="P599" t="s">
        <v>105</v>
      </c>
      <c r="Q599">
        <v>6728.74</v>
      </c>
      <c r="R599">
        <v>6716.61</v>
      </c>
      <c r="S599">
        <v>3902.23</v>
      </c>
      <c r="T599">
        <v>579.16</v>
      </c>
      <c r="U599">
        <v>529.88</v>
      </c>
      <c r="V599">
        <v>321.91000000000003</v>
      </c>
      <c r="W599">
        <v>233.07</v>
      </c>
      <c r="X599">
        <v>5566.24</v>
      </c>
      <c r="Y599">
        <v>2826.52</v>
      </c>
      <c r="Z599">
        <v>-2739.73</v>
      </c>
      <c r="AA599">
        <v>-0.37480000000000002</v>
      </c>
      <c r="AB599">
        <v>12.14</v>
      </c>
      <c r="AC599">
        <v>201.86</v>
      </c>
      <c r="AD599">
        <v>783.23</v>
      </c>
      <c r="AE599">
        <v>7310.11</v>
      </c>
    </row>
    <row r="600" spans="1:31" x14ac:dyDescent="0.25">
      <c r="A600" t="s">
        <v>802</v>
      </c>
      <c r="B600" s="2">
        <v>45813</v>
      </c>
      <c r="C600" t="s">
        <v>156</v>
      </c>
      <c r="D600" t="s">
        <v>66</v>
      </c>
      <c r="E600">
        <v>2025</v>
      </c>
      <c r="F600" t="s">
        <v>47</v>
      </c>
      <c r="G600" t="s">
        <v>35</v>
      </c>
      <c r="H600" t="s">
        <v>214</v>
      </c>
      <c r="I600" t="s">
        <v>220</v>
      </c>
      <c r="J600" t="s">
        <v>38</v>
      </c>
      <c r="K600" t="s">
        <v>39</v>
      </c>
      <c r="L600" t="s">
        <v>81</v>
      </c>
      <c r="M600" t="s">
        <v>120</v>
      </c>
      <c r="N600" t="s">
        <v>121</v>
      </c>
      <c r="O600" t="s">
        <v>43</v>
      </c>
      <c r="P600" t="s">
        <v>122</v>
      </c>
      <c r="Q600">
        <v>56960.54</v>
      </c>
      <c r="R600">
        <v>51360.27</v>
      </c>
      <c r="S600">
        <v>36783.31</v>
      </c>
      <c r="T600">
        <v>5281.51</v>
      </c>
      <c r="U600">
        <v>2827.83</v>
      </c>
      <c r="V600">
        <v>3829</v>
      </c>
      <c r="W600">
        <v>1807.31</v>
      </c>
      <c r="X600">
        <v>50528.959999999999</v>
      </c>
      <c r="Y600">
        <v>20177.23</v>
      </c>
      <c r="Z600">
        <v>-30351.73</v>
      </c>
      <c r="AA600">
        <v>-0.5171</v>
      </c>
      <c r="AB600">
        <v>5600.27</v>
      </c>
      <c r="AC600">
        <v>4556.84</v>
      </c>
      <c r="AD600">
        <v>6288.44</v>
      </c>
      <c r="AE600">
        <v>58692.14</v>
      </c>
    </row>
    <row r="601" spans="1:31" x14ac:dyDescent="0.25">
      <c r="A601" t="s">
        <v>803</v>
      </c>
      <c r="B601" s="2">
        <v>45934</v>
      </c>
      <c r="C601" t="s">
        <v>92</v>
      </c>
      <c r="D601" t="s">
        <v>93</v>
      </c>
      <c r="E601">
        <v>2025</v>
      </c>
      <c r="F601" t="s">
        <v>47</v>
      </c>
      <c r="G601" t="s">
        <v>35</v>
      </c>
      <c r="H601" t="s">
        <v>214</v>
      </c>
      <c r="I601" t="s">
        <v>215</v>
      </c>
      <c r="J601" t="s">
        <v>70</v>
      </c>
      <c r="K601" t="s">
        <v>50</v>
      </c>
      <c r="L601" t="s">
        <v>72</v>
      </c>
      <c r="M601" t="s">
        <v>171</v>
      </c>
      <c r="N601" t="s">
        <v>172</v>
      </c>
      <c r="O601" t="s">
        <v>173</v>
      </c>
      <c r="P601" t="s">
        <v>174</v>
      </c>
      <c r="Q601">
        <v>19867.54</v>
      </c>
      <c r="R601">
        <v>18423.39</v>
      </c>
      <c r="S601">
        <v>10739.29</v>
      </c>
      <c r="T601">
        <v>1242.3499999999999</v>
      </c>
      <c r="U601">
        <v>1727.27</v>
      </c>
      <c r="V601">
        <v>1439.05</v>
      </c>
      <c r="W601">
        <v>433.17</v>
      </c>
      <c r="X601">
        <v>15581.13</v>
      </c>
      <c r="Y601">
        <v>9128.25</v>
      </c>
      <c r="Z601">
        <v>-6452.88</v>
      </c>
      <c r="AA601">
        <v>-0.30930000000000002</v>
      </c>
      <c r="AB601">
        <v>1444.15</v>
      </c>
      <c r="AC601">
        <v>0</v>
      </c>
      <c r="AD601">
        <v>993.38</v>
      </c>
      <c r="AE601">
        <v>20860.919999999998</v>
      </c>
    </row>
    <row r="602" spans="1:31" x14ac:dyDescent="0.25">
      <c r="A602" t="s">
        <v>804</v>
      </c>
      <c r="B602" s="2">
        <v>46061</v>
      </c>
      <c r="C602" t="s">
        <v>57</v>
      </c>
      <c r="D602" t="s">
        <v>58</v>
      </c>
      <c r="E602">
        <v>2026</v>
      </c>
      <c r="F602" t="s">
        <v>34</v>
      </c>
      <c r="G602" t="s">
        <v>35</v>
      </c>
      <c r="H602" t="s">
        <v>134</v>
      </c>
      <c r="I602" t="s">
        <v>154</v>
      </c>
      <c r="J602" t="s">
        <v>100</v>
      </c>
      <c r="K602" t="s">
        <v>101</v>
      </c>
      <c r="L602" t="s">
        <v>81</v>
      </c>
      <c r="M602" t="s">
        <v>52</v>
      </c>
      <c r="N602" t="s">
        <v>53</v>
      </c>
      <c r="O602" t="s">
        <v>54</v>
      </c>
      <c r="P602" t="s">
        <v>55</v>
      </c>
      <c r="Q602">
        <v>4139.42</v>
      </c>
      <c r="R602">
        <v>4545.33</v>
      </c>
      <c r="S602">
        <v>2690.16</v>
      </c>
      <c r="T602">
        <v>257.74</v>
      </c>
      <c r="U602">
        <v>349.61</v>
      </c>
      <c r="V602">
        <v>186.9</v>
      </c>
      <c r="W602">
        <v>49.37</v>
      </c>
      <c r="X602">
        <v>3533.78</v>
      </c>
      <c r="Y602">
        <v>1449.27</v>
      </c>
      <c r="Z602">
        <v>-2084.5100000000002</v>
      </c>
      <c r="AA602">
        <v>-0.4355</v>
      </c>
      <c r="AB602">
        <v>-405.91</v>
      </c>
      <c r="AC602">
        <v>82.79</v>
      </c>
      <c r="AD602">
        <v>730.19</v>
      </c>
      <c r="AE602">
        <v>4786.83</v>
      </c>
    </row>
    <row r="603" spans="1:31" x14ac:dyDescent="0.25">
      <c r="A603" t="s">
        <v>805</v>
      </c>
      <c r="B603" s="2">
        <v>45943</v>
      </c>
      <c r="C603" t="s">
        <v>92</v>
      </c>
      <c r="D603" t="s">
        <v>93</v>
      </c>
      <c r="E603">
        <v>2025</v>
      </c>
      <c r="F603" t="s">
        <v>34</v>
      </c>
      <c r="G603" t="s">
        <v>35</v>
      </c>
      <c r="H603" t="s">
        <v>98</v>
      </c>
      <c r="I603" t="s">
        <v>304</v>
      </c>
      <c r="J603" t="s">
        <v>100</v>
      </c>
      <c r="K603" t="s">
        <v>101</v>
      </c>
      <c r="L603" t="s">
        <v>94</v>
      </c>
      <c r="M603" t="s">
        <v>110</v>
      </c>
      <c r="N603" t="s">
        <v>111</v>
      </c>
      <c r="O603" t="s">
        <v>112</v>
      </c>
      <c r="P603" t="s">
        <v>113</v>
      </c>
      <c r="Q603">
        <v>20014.68</v>
      </c>
      <c r="R603">
        <v>19077.05</v>
      </c>
      <c r="S603">
        <v>10339.94</v>
      </c>
      <c r="T603">
        <v>2376.4499999999998</v>
      </c>
      <c r="U603">
        <v>1108.6199999999999</v>
      </c>
      <c r="V603">
        <v>1447.81</v>
      </c>
      <c r="W603">
        <v>515.02</v>
      </c>
      <c r="X603">
        <v>15787.84</v>
      </c>
      <c r="Y603">
        <v>9674.74</v>
      </c>
      <c r="Z603">
        <v>-6113.1</v>
      </c>
      <c r="AA603">
        <v>-0.28760000000000002</v>
      </c>
      <c r="AB603">
        <v>937.63</v>
      </c>
      <c r="AC603">
        <v>2001.47</v>
      </c>
      <c r="AD603">
        <v>3242.38</v>
      </c>
      <c r="AE603">
        <v>21255.59</v>
      </c>
    </row>
    <row r="604" spans="1:31" x14ac:dyDescent="0.25">
      <c r="A604" t="s">
        <v>806</v>
      </c>
      <c r="B604" s="2">
        <v>46104</v>
      </c>
      <c r="C604" t="s">
        <v>125</v>
      </c>
      <c r="D604" t="s">
        <v>58</v>
      </c>
      <c r="E604">
        <v>2026</v>
      </c>
      <c r="F604" t="s">
        <v>34</v>
      </c>
      <c r="G604" t="s">
        <v>35</v>
      </c>
      <c r="H604" t="s">
        <v>157</v>
      </c>
      <c r="I604" t="s">
        <v>194</v>
      </c>
      <c r="J604" t="s">
        <v>80</v>
      </c>
      <c r="K604" t="s">
        <v>160</v>
      </c>
      <c r="L604" t="s">
        <v>72</v>
      </c>
      <c r="M604" t="s">
        <v>186</v>
      </c>
      <c r="N604" t="s">
        <v>187</v>
      </c>
      <c r="O604" t="s">
        <v>173</v>
      </c>
      <c r="P604" t="s">
        <v>174</v>
      </c>
      <c r="Q604">
        <v>26255.82</v>
      </c>
      <c r="R604">
        <v>26153.95</v>
      </c>
      <c r="S604">
        <v>16148.22</v>
      </c>
      <c r="T604">
        <v>2999.39</v>
      </c>
      <c r="U604">
        <v>1385.35</v>
      </c>
      <c r="V604">
        <v>1540.78</v>
      </c>
      <c r="W604">
        <v>1176.48</v>
      </c>
      <c r="X604">
        <v>23250.22</v>
      </c>
      <c r="Y604">
        <v>10107.6</v>
      </c>
      <c r="Z604">
        <v>-13142.62</v>
      </c>
      <c r="AA604">
        <v>-0.4713</v>
      </c>
      <c r="AB604">
        <v>101.87</v>
      </c>
      <c r="AC604">
        <v>2625.58</v>
      </c>
      <c r="AD604">
        <v>4253.4399999999996</v>
      </c>
      <c r="AE604">
        <v>27883.68</v>
      </c>
    </row>
    <row r="605" spans="1:31" x14ac:dyDescent="0.25">
      <c r="A605" t="s">
        <v>807</v>
      </c>
      <c r="B605" s="2">
        <v>46069</v>
      </c>
      <c r="C605" t="s">
        <v>57</v>
      </c>
      <c r="D605" t="s">
        <v>58</v>
      </c>
      <c r="E605">
        <v>2026</v>
      </c>
      <c r="F605" t="s">
        <v>59</v>
      </c>
      <c r="G605" t="s">
        <v>35</v>
      </c>
      <c r="H605" t="s">
        <v>139</v>
      </c>
      <c r="I605" t="s">
        <v>200</v>
      </c>
      <c r="J605" t="s">
        <v>70</v>
      </c>
      <c r="K605" t="s">
        <v>50</v>
      </c>
      <c r="L605" t="s">
        <v>81</v>
      </c>
      <c r="M605" t="s">
        <v>88</v>
      </c>
      <c r="N605" t="s">
        <v>89</v>
      </c>
      <c r="O605" t="s">
        <v>43</v>
      </c>
      <c r="P605" t="s">
        <v>90</v>
      </c>
      <c r="Q605">
        <v>67995.75</v>
      </c>
      <c r="R605">
        <v>76217.59</v>
      </c>
      <c r="S605">
        <v>45557.62</v>
      </c>
      <c r="T605">
        <v>4450.5</v>
      </c>
      <c r="U605">
        <v>4651.9399999999996</v>
      </c>
      <c r="V605">
        <v>3228.26</v>
      </c>
      <c r="W605">
        <v>1888.57</v>
      </c>
      <c r="X605">
        <v>59776.88</v>
      </c>
      <c r="Y605">
        <v>22438.13</v>
      </c>
      <c r="Z605">
        <v>-37338.75</v>
      </c>
      <c r="AA605">
        <v>-0.49030000000000001</v>
      </c>
      <c r="AB605">
        <v>-8221.83</v>
      </c>
      <c r="AC605">
        <v>0</v>
      </c>
      <c r="AD605">
        <v>8159.49</v>
      </c>
      <c r="AE605">
        <v>76155.240000000005</v>
      </c>
    </row>
    <row r="606" spans="1:31" x14ac:dyDescent="0.25">
      <c r="A606" t="s">
        <v>808</v>
      </c>
      <c r="B606" s="2">
        <v>45782</v>
      </c>
      <c r="C606" t="s">
        <v>65</v>
      </c>
      <c r="D606" t="s">
        <v>66</v>
      </c>
      <c r="E606">
        <v>2025</v>
      </c>
      <c r="F606" t="s">
        <v>67</v>
      </c>
      <c r="G606" t="s">
        <v>35</v>
      </c>
      <c r="H606" t="s">
        <v>217</v>
      </c>
      <c r="I606" t="s">
        <v>284</v>
      </c>
      <c r="J606" t="s">
        <v>80</v>
      </c>
      <c r="K606" t="s">
        <v>39</v>
      </c>
      <c r="L606" t="s">
        <v>94</v>
      </c>
      <c r="M606" t="s">
        <v>141</v>
      </c>
      <c r="N606" t="s">
        <v>142</v>
      </c>
      <c r="O606" t="s">
        <v>54</v>
      </c>
      <c r="P606" t="s">
        <v>143</v>
      </c>
      <c r="Q606">
        <v>8965.4699999999993</v>
      </c>
      <c r="R606">
        <v>9769.9599999999991</v>
      </c>
      <c r="S606">
        <v>6286.85</v>
      </c>
      <c r="T606">
        <v>716.07</v>
      </c>
      <c r="U606">
        <v>749.85</v>
      </c>
      <c r="V606">
        <v>1016.65</v>
      </c>
      <c r="W606">
        <v>381.69</v>
      </c>
      <c r="X606">
        <v>9151.1200000000008</v>
      </c>
      <c r="Y606">
        <v>2678.62</v>
      </c>
      <c r="Z606">
        <v>-6472.5</v>
      </c>
      <c r="AA606">
        <v>-0.65769999999999995</v>
      </c>
      <c r="AB606">
        <v>-804.49</v>
      </c>
      <c r="AC606">
        <v>179.31</v>
      </c>
      <c r="AD606">
        <v>1054.3399999999999</v>
      </c>
      <c r="AE606">
        <v>9840.5</v>
      </c>
    </row>
    <row r="607" spans="1:31" x14ac:dyDescent="0.25">
      <c r="A607" t="s">
        <v>809</v>
      </c>
      <c r="B607" s="2">
        <v>45783</v>
      </c>
      <c r="C607" t="s">
        <v>65</v>
      </c>
      <c r="D607" t="s">
        <v>66</v>
      </c>
      <c r="E607">
        <v>2025</v>
      </c>
      <c r="F607" t="s">
        <v>47</v>
      </c>
      <c r="G607" t="s">
        <v>35</v>
      </c>
      <c r="H607" t="s">
        <v>214</v>
      </c>
      <c r="I607" t="s">
        <v>220</v>
      </c>
      <c r="J607" t="s">
        <v>80</v>
      </c>
      <c r="K607" t="s">
        <v>71</v>
      </c>
      <c r="L607" t="s">
        <v>81</v>
      </c>
      <c r="M607" t="s">
        <v>102</v>
      </c>
      <c r="N607" t="s">
        <v>103</v>
      </c>
      <c r="O607" t="s">
        <v>104</v>
      </c>
      <c r="P607" t="s">
        <v>105</v>
      </c>
      <c r="Q607">
        <v>11788.79</v>
      </c>
      <c r="R607">
        <v>13142.1</v>
      </c>
      <c r="S607">
        <v>6946.86</v>
      </c>
      <c r="T607">
        <v>1247.8</v>
      </c>
      <c r="U607">
        <v>592</v>
      </c>
      <c r="V607">
        <v>622.37</v>
      </c>
      <c r="W607">
        <v>282.17</v>
      </c>
      <c r="X607">
        <v>9691.19</v>
      </c>
      <c r="Y607">
        <v>4841.9399999999996</v>
      </c>
      <c r="Z607">
        <v>-4849.25</v>
      </c>
      <c r="AA607">
        <v>-0.3669</v>
      </c>
      <c r="AB607">
        <v>-1353.3</v>
      </c>
      <c r="AC607">
        <v>589.44000000000005</v>
      </c>
      <c r="AD607">
        <v>2015.88</v>
      </c>
      <c r="AE607">
        <v>13215.24</v>
      </c>
    </row>
    <row r="608" spans="1:31" x14ac:dyDescent="0.25">
      <c r="A608" t="s">
        <v>810</v>
      </c>
      <c r="B608" s="2">
        <v>46030</v>
      </c>
      <c r="C608" t="s">
        <v>77</v>
      </c>
      <c r="D608" t="s">
        <v>58</v>
      </c>
      <c r="E608">
        <v>2026</v>
      </c>
      <c r="F608" t="s">
        <v>67</v>
      </c>
      <c r="G608" t="s">
        <v>35</v>
      </c>
      <c r="H608" t="s">
        <v>68</v>
      </c>
      <c r="I608" t="s">
        <v>260</v>
      </c>
      <c r="J608" t="s">
        <v>70</v>
      </c>
      <c r="K608" t="s">
        <v>71</v>
      </c>
      <c r="L608" t="s">
        <v>72</v>
      </c>
      <c r="M608" t="s">
        <v>235</v>
      </c>
      <c r="N608" t="s">
        <v>236</v>
      </c>
      <c r="O608" t="s">
        <v>104</v>
      </c>
      <c r="P608" t="s">
        <v>237</v>
      </c>
      <c r="Q608">
        <v>25821.95</v>
      </c>
      <c r="R608">
        <v>26213.79</v>
      </c>
      <c r="S608">
        <v>14164.01</v>
      </c>
      <c r="T608">
        <v>1906.78</v>
      </c>
      <c r="U608">
        <v>1288.56</v>
      </c>
      <c r="V608">
        <v>2758.96</v>
      </c>
      <c r="W608">
        <v>1132.3599999999999</v>
      </c>
      <c r="X608">
        <v>21250.67</v>
      </c>
      <c r="Y608">
        <v>11657.94</v>
      </c>
      <c r="Z608">
        <v>-9592.73</v>
      </c>
      <c r="AA608">
        <v>-0.34200000000000003</v>
      </c>
      <c r="AB608">
        <v>-391.84</v>
      </c>
      <c r="AC608">
        <v>774.66</v>
      </c>
      <c r="AD608">
        <v>3005.67</v>
      </c>
      <c r="AE608">
        <v>28052.959999999999</v>
      </c>
    </row>
    <row r="609" spans="1:31" x14ac:dyDescent="0.25">
      <c r="A609" t="s">
        <v>811</v>
      </c>
      <c r="B609" s="2">
        <v>46053</v>
      </c>
      <c r="C609" t="s">
        <v>77</v>
      </c>
      <c r="D609" t="s">
        <v>58</v>
      </c>
      <c r="E609">
        <v>2026</v>
      </c>
      <c r="F609" t="s">
        <v>34</v>
      </c>
      <c r="G609" t="s">
        <v>35</v>
      </c>
      <c r="H609" t="s">
        <v>157</v>
      </c>
      <c r="I609" t="s">
        <v>166</v>
      </c>
      <c r="J609" t="s">
        <v>70</v>
      </c>
      <c r="K609" t="s">
        <v>50</v>
      </c>
      <c r="L609" t="s">
        <v>72</v>
      </c>
      <c r="M609" t="s">
        <v>41</v>
      </c>
      <c r="N609" t="s">
        <v>42</v>
      </c>
      <c r="O609" t="s">
        <v>43</v>
      </c>
      <c r="P609" t="s">
        <v>44</v>
      </c>
      <c r="Q609">
        <v>53127.35</v>
      </c>
      <c r="R609">
        <v>59195.55</v>
      </c>
      <c r="S609">
        <v>28242.560000000001</v>
      </c>
      <c r="T609">
        <v>5697.95</v>
      </c>
      <c r="U609">
        <v>4090.99</v>
      </c>
      <c r="V609">
        <v>3596.12</v>
      </c>
      <c r="W609">
        <v>852.23</v>
      </c>
      <c r="X609">
        <v>42479.86</v>
      </c>
      <c r="Y609">
        <v>24884.79</v>
      </c>
      <c r="Z609">
        <v>-17595.07</v>
      </c>
      <c r="AA609">
        <v>-0.29570000000000002</v>
      </c>
      <c r="AB609">
        <v>-6068.2</v>
      </c>
      <c r="AC609">
        <v>0</v>
      </c>
      <c r="AD609">
        <v>6375.28</v>
      </c>
      <c r="AE609">
        <v>59502.64</v>
      </c>
    </row>
    <row r="610" spans="1:31" x14ac:dyDescent="0.25">
      <c r="A610" t="s">
        <v>812</v>
      </c>
      <c r="B610" s="2">
        <v>45757</v>
      </c>
      <c r="C610" t="s">
        <v>128</v>
      </c>
      <c r="D610" t="s">
        <v>66</v>
      </c>
      <c r="E610">
        <v>2025</v>
      </c>
      <c r="F610" t="s">
        <v>67</v>
      </c>
      <c r="G610" t="s">
        <v>35</v>
      </c>
      <c r="H610" t="s">
        <v>68</v>
      </c>
      <c r="I610" t="s">
        <v>204</v>
      </c>
      <c r="J610" t="s">
        <v>100</v>
      </c>
      <c r="K610" t="s">
        <v>71</v>
      </c>
      <c r="L610" t="s">
        <v>40</v>
      </c>
      <c r="M610" t="s">
        <v>189</v>
      </c>
      <c r="N610" t="s">
        <v>190</v>
      </c>
      <c r="O610" t="s">
        <v>104</v>
      </c>
      <c r="P610" t="s">
        <v>105</v>
      </c>
      <c r="Q610">
        <v>12180.15</v>
      </c>
      <c r="R610">
        <v>13400.22</v>
      </c>
      <c r="S610">
        <v>6061.57</v>
      </c>
      <c r="T610">
        <v>1222.02</v>
      </c>
      <c r="U610">
        <v>932.34</v>
      </c>
      <c r="V610">
        <v>616.46</v>
      </c>
      <c r="W610">
        <v>342.9</v>
      </c>
      <c r="X610">
        <v>9175.2900000000009</v>
      </c>
      <c r="Y610">
        <v>6118.58</v>
      </c>
      <c r="Z610">
        <v>-3056.7</v>
      </c>
      <c r="AA610">
        <v>-0.2359</v>
      </c>
      <c r="AB610">
        <v>-1220.07</v>
      </c>
      <c r="AC610">
        <v>609.01</v>
      </c>
      <c r="AD610">
        <v>1388.54</v>
      </c>
      <c r="AE610">
        <v>12959.68</v>
      </c>
    </row>
    <row r="611" spans="1:31" x14ac:dyDescent="0.25">
      <c r="A611" t="s">
        <v>813</v>
      </c>
      <c r="B611" s="2">
        <v>45944</v>
      </c>
      <c r="C611" t="s">
        <v>92</v>
      </c>
      <c r="D611" t="s">
        <v>93</v>
      </c>
      <c r="E611">
        <v>2025</v>
      </c>
      <c r="F611" t="s">
        <v>85</v>
      </c>
      <c r="G611" t="s">
        <v>35</v>
      </c>
      <c r="H611" t="s">
        <v>86</v>
      </c>
      <c r="I611" t="s">
        <v>87</v>
      </c>
      <c r="J611" t="s">
        <v>100</v>
      </c>
      <c r="K611" t="s">
        <v>50</v>
      </c>
      <c r="L611" t="s">
        <v>72</v>
      </c>
      <c r="M611" t="s">
        <v>102</v>
      </c>
      <c r="N611" t="s">
        <v>103</v>
      </c>
      <c r="O611" t="s">
        <v>104</v>
      </c>
      <c r="P611" t="s">
        <v>105</v>
      </c>
      <c r="Q611">
        <v>14021.36</v>
      </c>
      <c r="R611">
        <v>13657.82</v>
      </c>
      <c r="S611">
        <v>9552.6</v>
      </c>
      <c r="T611">
        <v>1181.79</v>
      </c>
      <c r="U611">
        <v>1012.74</v>
      </c>
      <c r="V611">
        <v>1132.99</v>
      </c>
      <c r="W611">
        <v>445.44</v>
      </c>
      <c r="X611">
        <v>13325.56</v>
      </c>
      <c r="Y611">
        <v>4468.76</v>
      </c>
      <c r="Z611">
        <v>-8856.7999999999993</v>
      </c>
      <c r="AA611">
        <v>-0.55189999999999995</v>
      </c>
      <c r="AB611">
        <v>363.54</v>
      </c>
      <c r="AC611">
        <v>420.64</v>
      </c>
      <c r="AD611">
        <v>2448.13</v>
      </c>
      <c r="AE611">
        <v>16048.85</v>
      </c>
    </row>
    <row r="612" spans="1:31" x14ac:dyDescent="0.25">
      <c r="A612" t="s">
        <v>814</v>
      </c>
      <c r="B612" s="2">
        <v>45785</v>
      </c>
      <c r="C612" t="s">
        <v>65</v>
      </c>
      <c r="D612" t="s">
        <v>66</v>
      </c>
      <c r="E612">
        <v>2025</v>
      </c>
      <c r="F612" t="s">
        <v>59</v>
      </c>
      <c r="G612" t="s">
        <v>35</v>
      </c>
      <c r="H612" t="s">
        <v>60</v>
      </c>
      <c r="I612" t="s">
        <v>108</v>
      </c>
      <c r="J612" t="s">
        <v>80</v>
      </c>
      <c r="K612" t="s">
        <v>71</v>
      </c>
      <c r="L612" t="s">
        <v>40</v>
      </c>
      <c r="M612" t="s">
        <v>235</v>
      </c>
      <c r="N612" t="s">
        <v>236</v>
      </c>
      <c r="O612" t="s">
        <v>104</v>
      </c>
      <c r="P612" t="s">
        <v>237</v>
      </c>
      <c r="Q612">
        <v>9302.89</v>
      </c>
      <c r="R612">
        <v>10789.8</v>
      </c>
      <c r="S612">
        <v>5236.07</v>
      </c>
      <c r="T612">
        <v>544.39</v>
      </c>
      <c r="U612">
        <v>529.99</v>
      </c>
      <c r="V612">
        <v>944.03</v>
      </c>
      <c r="W612">
        <v>165.2</v>
      </c>
      <c r="X612">
        <v>7419.68</v>
      </c>
      <c r="Y612">
        <v>4066.82</v>
      </c>
      <c r="Z612">
        <v>-3352.86</v>
      </c>
      <c r="AA612">
        <v>-0.3503</v>
      </c>
      <c r="AB612">
        <v>-1486.92</v>
      </c>
      <c r="AC612">
        <v>186.06</v>
      </c>
      <c r="AD612">
        <v>455.84</v>
      </c>
      <c r="AE612">
        <v>9572.67</v>
      </c>
    </row>
    <row r="613" spans="1:31" x14ac:dyDescent="0.25">
      <c r="A613" t="s">
        <v>815</v>
      </c>
      <c r="B613" s="2">
        <v>46004</v>
      </c>
      <c r="C613" t="s">
        <v>107</v>
      </c>
      <c r="D613" t="s">
        <v>93</v>
      </c>
      <c r="E613">
        <v>2025</v>
      </c>
      <c r="F613" t="s">
        <v>59</v>
      </c>
      <c r="G613" t="s">
        <v>35</v>
      </c>
      <c r="H613" t="s">
        <v>254</v>
      </c>
      <c r="I613" t="s">
        <v>314</v>
      </c>
      <c r="J613" t="s">
        <v>80</v>
      </c>
      <c r="K613" t="s">
        <v>160</v>
      </c>
      <c r="L613" t="s">
        <v>94</v>
      </c>
      <c r="M613" t="s">
        <v>102</v>
      </c>
      <c r="N613" t="s">
        <v>103</v>
      </c>
      <c r="O613" t="s">
        <v>104</v>
      </c>
      <c r="P613" t="s">
        <v>105</v>
      </c>
      <c r="Q613">
        <v>23921.45</v>
      </c>
      <c r="R613">
        <v>23601.42</v>
      </c>
      <c r="S613">
        <v>16192.89</v>
      </c>
      <c r="T613">
        <v>1281.6300000000001</v>
      </c>
      <c r="U613">
        <v>1772.65</v>
      </c>
      <c r="V613">
        <v>1467.96</v>
      </c>
      <c r="W613">
        <v>638.45000000000005</v>
      </c>
      <c r="X613">
        <v>21353.58</v>
      </c>
      <c r="Y613">
        <v>7728.56</v>
      </c>
      <c r="Z613">
        <v>-13625.01</v>
      </c>
      <c r="AA613">
        <v>-0.55279999999999996</v>
      </c>
      <c r="AB613">
        <v>320.02999999999997</v>
      </c>
      <c r="AC613">
        <v>1913.72</v>
      </c>
      <c r="AD613">
        <v>2640.93</v>
      </c>
      <c r="AE613">
        <v>24648.67</v>
      </c>
    </row>
    <row r="614" spans="1:31" x14ac:dyDescent="0.25">
      <c r="A614" t="s">
        <v>816</v>
      </c>
      <c r="B614" s="2">
        <v>45864</v>
      </c>
      <c r="C614" t="s">
        <v>32</v>
      </c>
      <c r="D614" t="s">
        <v>33</v>
      </c>
      <c r="E614">
        <v>2025</v>
      </c>
      <c r="F614" t="s">
        <v>67</v>
      </c>
      <c r="G614" t="s">
        <v>35</v>
      </c>
      <c r="H614" t="s">
        <v>217</v>
      </c>
      <c r="I614" t="s">
        <v>241</v>
      </c>
      <c r="J614" t="s">
        <v>70</v>
      </c>
      <c r="K614" t="s">
        <v>39</v>
      </c>
      <c r="L614" t="s">
        <v>72</v>
      </c>
      <c r="M614" t="s">
        <v>211</v>
      </c>
      <c r="N614" t="s">
        <v>212</v>
      </c>
      <c r="O614" t="s">
        <v>112</v>
      </c>
      <c r="P614" t="s">
        <v>113</v>
      </c>
      <c r="Q614">
        <v>15805.61</v>
      </c>
      <c r="R614">
        <v>17207.439999999999</v>
      </c>
      <c r="S614">
        <v>11144.42</v>
      </c>
      <c r="T614">
        <v>1476.07</v>
      </c>
      <c r="U614">
        <v>1184.57</v>
      </c>
      <c r="V614">
        <v>745.02</v>
      </c>
      <c r="W614">
        <v>274.87</v>
      </c>
      <c r="X614">
        <v>14824.94</v>
      </c>
      <c r="Y614">
        <v>4661.1899999999996</v>
      </c>
      <c r="Z614">
        <v>-10163.76</v>
      </c>
      <c r="AA614">
        <v>-0.63139999999999996</v>
      </c>
      <c r="AB614">
        <v>-1401.83</v>
      </c>
      <c r="AC614">
        <v>474.17</v>
      </c>
      <c r="AD614">
        <v>766.57</v>
      </c>
      <c r="AE614">
        <v>16098.01</v>
      </c>
    </row>
    <row r="615" spans="1:31" x14ac:dyDescent="0.25">
      <c r="A615" t="s">
        <v>817</v>
      </c>
      <c r="B615" s="2">
        <v>45884</v>
      </c>
      <c r="C615" t="s">
        <v>117</v>
      </c>
      <c r="D615" t="s">
        <v>33</v>
      </c>
      <c r="E615">
        <v>2025</v>
      </c>
      <c r="F615" t="s">
        <v>34</v>
      </c>
      <c r="G615" t="s">
        <v>35</v>
      </c>
      <c r="H615" t="s">
        <v>134</v>
      </c>
      <c r="I615" t="s">
        <v>135</v>
      </c>
      <c r="J615" t="s">
        <v>38</v>
      </c>
      <c r="K615" t="s">
        <v>50</v>
      </c>
      <c r="L615" t="s">
        <v>72</v>
      </c>
      <c r="M615" t="s">
        <v>197</v>
      </c>
      <c r="N615" t="s">
        <v>198</v>
      </c>
      <c r="O615" t="s">
        <v>43</v>
      </c>
      <c r="P615" t="s">
        <v>163</v>
      </c>
      <c r="Q615">
        <v>77106.16</v>
      </c>
      <c r="R615">
        <v>75427.73</v>
      </c>
      <c r="S615">
        <v>39524.6</v>
      </c>
      <c r="T615">
        <v>5316.78</v>
      </c>
      <c r="U615">
        <v>5817.75</v>
      </c>
      <c r="V615">
        <v>9076.84</v>
      </c>
      <c r="W615">
        <v>2029.73</v>
      </c>
      <c r="X615">
        <v>61765.7</v>
      </c>
      <c r="Y615">
        <v>37581.56</v>
      </c>
      <c r="Z615">
        <v>-24184.14</v>
      </c>
      <c r="AA615">
        <v>-0.2858</v>
      </c>
      <c r="AB615">
        <v>1678.43</v>
      </c>
      <c r="AC615">
        <v>1542.12</v>
      </c>
      <c r="AD615">
        <v>9067.68</v>
      </c>
      <c r="AE615">
        <v>84631.72</v>
      </c>
    </row>
    <row r="616" spans="1:31" x14ac:dyDescent="0.25">
      <c r="A616" t="s">
        <v>818</v>
      </c>
      <c r="B616" s="2">
        <v>45882</v>
      </c>
      <c r="C616" t="s">
        <v>117</v>
      </c>
      <c r="D616" t="s">
        <v>33</v>
      </c>
      <c r="E616">
        <v>2025</v>
      </c>
      <c r="F616" t="s">
        <v>34</v>
      </c>
      <c r="G616" t="s">
        <v>35</v>
      </c>
      <c r="H616" t="s">
        <v>134</v>
      </c>
      <c r="I616" t="s">
        <v>135</v>
      </c>
      <c r="J616" t="s">
        <v>70</v>
      </c>
      <c r="K616" t="s">
        <v>50</v>
      </c>
      <c r="L616" t="s">
        <v>40</v>
      </c>
      <c r="M616" t="s">
        <v>141</v>
      </c>
      <c r="N616" t="s">
        <v>142</v>
      </c>
      <c r="O616" t="s">
        <v>54</v>
      </c>
      <c r="P616" t="s">
        <v>143</v>
      </c>
      <c r="Q616">
        <v>1712.22</v>
      </c>
      <c r="R616">
        <v>1957.65</v>
      </c>
      <c r="S616">
        <v>1136.18</v>
      </c>
      <c r="T616">
        <v>88.65</v>
      </c>
      <c r="U616">
        <v>98.64</v>
      </c>
      <c r="V616">
        <v>106.11</v>
      </c>
      <c r="W616">
        <v>55.99</v>
      </c>
      <c r="X616">
        <v>1485.58</v>
      </c>
      <c r="Y616">
        <v>576.04</v>
      </c>
      <c r="Z616">
        <v>-909.54</v>
      </c>
      <c r="AA616">
        <v>-0.47389999999999999</v>
      </c>
      <c r="AB616">
        <v>-245.43</v>
      </c>
      <c r="AC616">
        <v>85.61</v>
      </c>
      <c r="AD616">
        <v>292.79000000000002</v>
      </c>
      <c r="AE616">
        <v>1919.4</v>
      </c>
    </row>
    <row r="617" spans="1:31" x14ac:dyDescent="0.25">
      <c r="A617" t="s">
        <v>819</v>
      </c>
      <c r="B617" s="2">
        <v>45993</v>
      </c>
      <c r="C617" t="s">
        <v>107</v>
      </c>
      <c r="D617" t="s">
        <v>93</v>
      </c>
      <c r="E617">
        <v>2025</v>
      </c>
      <c r="F617" t="s">
        <v>59</v>
      </c>
      <c r="G617" t="s">
        <v>35</v>
      </c>
      <c r="H617" t="s">
        <v>139</v>
      </c>
      <c r="I617" t="s">
        <v>200</v>
      </c>
      <c r="J617" t="s">
        <v>38</v>
      </c>
      <c r="K617" t="s">
        <v>160</v>
      </c>
      <c r="L617" t="s">
        <v>40</v>
      </c>
      <c r="M617" t="s">
        <v>102</v>
      </c>
      <c r="N617" t="s">
        <v>103</v>
      </c>
      <c r="O617" t="s">
        <v>104</v>
      </c>
      <c r="P617" t="s">
        <v>105</v>
      </c>
      <c r="Q617">
        <v>13710.16</v>
      </c>
      <c r="R617">
        <v>12114.81</v>
      </c>
      <c r="S617">
        <v>7400.77</v>
      </c>
      <c r="T617">
        <v>1473.91</v>
      </c>
      <c r="U617">
        <v>880.69</v>
      </c>
      <c r="V617">
        <v>1553.55</v>
      </c>
      <c r="W617">
        <v>161.11000000000001</v>
      </c>
      <c r="X617">
        <v>11470.02</v>
      </c>
      <c r="Y617">
        <v>6309.39</v>
      </c>
      <c r="Z617">
        <v>-5160.63</v>
      </c>
      <c r="AA617">
        <v>-0.31900000000000001</v>
      </c>
      <c r="AB617">
        <v>1595.35</v>
      </c>
      <c r="AC617">
        <v>0</v>
      </c>
      <c r="AD617">
        <v>2467.83</v>
      </c>
      <c r="AE617">
        <v>16177.99</v>
      </c>
    </row>
    <row r="618" spans="1:31" x14ac:dyDescent="0.25">
      <c r="A618" t="s">
        <v>820</v>
      </c>
      <c r="B618" s="2">
        <v>45833</v>
      </c>
      <c r="C618" t="s">
        <v>156</v>
      </c>
      <c r="D618" t="s">
        <v>66</v>
      </c>
      <c r="E618">
        <v>2025</v>
      </c>
      <c r="F618" t="s">
        <v>59</v>
      </c>
      <c r="G618" t="s">
        <v>35</v>
      </c>
      <c r="H618" t="s">
        <v>60</v>
      </c>
      <c r="I618" t="s">
        <v>108</v>
      </c>
      <c r="J618" t="s">
        <v>70</v>
      </c>
      <c r="K618" t="s">
        <v>160</v>
      </c>
      <c r="L618" t="s">
        <v>72</v>
      </c>
      <c r="M618" t="s">
        <v>52</v>
      </c>
      <c r="N618" t="s">
        <v>53</v>
      </c>
      <c r="O618" t="s">
        <v>54</v>
      </c>
      <c r="P618" t="s">
        <v>55</v>
      </c>
      <c r="Q618">
        <v>5521.59</v>
      </c>
      <c r="R618">
        <v>5532.87</v>
      </c>
      <c r="S618">
        <v>3774.08</v>
      </c>
      <c r="T618">
        <v>438.48</v>
      </c>
      <c r="U618">
        <v>350.19</v>
      </c>
      <c r="V618">
        <v>443.39</v>
      </c>
      <c r="W618">
        <v>180.05</v>
      </c>
      <c r="X618">
        <v>5186.2</v>
      </c>
      <c r="Y618">
        <v>1747.51</v>
      </c>
      <c r="Z618">
        <v>-3438.69</v>
      </c>
      <c r="AA618">
        <v>-0.65900000000000003</v>
      </c>
      <c r="AB618">
        <v>-11.28</v>
      </c>
      <c r="AC618">
        <v>552.16</v>
      </c>
      <c r="AD618">
        <v>248.47</v>
      </c>
      <c r="AE618">
        <v>5217.91</v>
      </c>
    </row>
    <row r="619" spans="1:31" x14ac:dyDescent="0.25">
      <c r="A619" t="s">
        <v>821</v>
      </c>
      <c r="B619" s="2">
        <v>45818</v>
      </c>
      <c r="C619" t="s">
        <v>156</v>
      </c>
      <c r="D619" t="s">
        <v>66</v>
      </c>
      <c r="E619">
        <v>2025</v>
      </c>
      <c r="F619" t="s">
        <v>34</v>
      </c>
      <c r="G619" t="s">
        <v>35</v>
      </c>
      <c r="H619" t="s">
        <v>36</v>
      </c>
      <c r="I619" t="s">
        <v>245</v>
      </c>
      <c r="J619" t="s">
        <v>80</v>
      </c>
      <c r="K619" t="s">
        <v>50</v>
      </c>
      <c r="L619" t="s">
        <v>81</v>
      </c>
      <c r="M619" t="s">
        <v>197</v>
      </c>
      <c r="N619" t="s">
        <v>198</v>
      </c>
      <c r="O619" t="s">
        <v>43</v>
      </c>
      <c r="P619" t="s">
        <v>163</v>
      </c>
      <c r="Q619">
        <v>35706.83</v>
      </c>
      <c r="R619">
        <v>37416.21</v>
      </c>
      <c r="S619">
        <v>22842.46</v>
      </c>
      <c r="T619">
        <v>4579.97</v>
      </c>
      <c r="U619">
        <v>2583.21</v>
      </c>
      <c r="V619">
        <v>3267.17</v>
      </c>
      <c r="W619">
        <v>775.85</v>
      </c>
      <c r="X619">
        <v>34048.660000000003</v>
      </c>
      <c r="Y619">
        <v>12864.38</v>
      </c>
      <c r="Z619">
        <v>-21184.28</v>
      </c>
      <c r="AA619">
        <v>-0.52969999999999995</v>
      </c>
      <c r="AB619">
        <v>-1709.37</v>
      </c>
      <c r="AC619">
        <v>0</v>
      </c>
      <c r="AD619">
        <v>4284.82</v>
      </c>
      <c r="AE619">
        <v>39991.65</v>
      </c>
    </row>
    <row r="620" spans="1:31" x14ac:dyDescent="0.25">
      <c r="A620" t="s">
        <v>822</v>
      </c>
      <c r="B620" s="2">
        <v>45854</v>
      </c>
      <c r="C620" t="s">
        <v>32</v>
      </c>
      <c r="D620" t="s">
        <v>33</v>
      </c>
      <c r="E620">
        <v>2025</v>
      </c>
      <c r="F620" t="s">
        <v>47</v>
      </c>
      <c r="G620" t="s">
        <v>35</v>
      </c>
      <c r="H620" t="s">
        <v>48</v>
      </c>
      <c r="I620" t="s">
        <v>49</v>
      </c>
      <c r="J620" t="s">
        <v>70</v>
      </c>
      <c r="K620" t="s">
        <v>39</v>
      </c>
      <c r="L620" t="s">
        <v>40</v>
      </c>
      <c r="M620" t="s">
        <v>189</v>
      </c>
      <c r="N620" t="s">
        <v>190</v>
      </c>
      <c r="O620" t="s">
        <v>104</v>
      </c>
      <c r="P620" t="s">
        <v>105</v>
      </c>
      <c r="Q620">
        <v>16431.810000000001</v>
      </c>
      <c r="R620">
        <v>18297.95</v>
      </c>
      <c r="S620">
        <v>10783.49</v>
      </c>
      <c r="T620">
        <v>1576.89</v>
      </c>
      <c r="U620">
        <v>1289.04</v>
      </c>
      <c r="V620">
        <v>1396.93</v>
      </c>
      <c r="W620">
        <v>718.95</v>
      </c>
      <c r="X620">
        <v>15765.3</v>
      </c>
      <c r="Y620">
        <v>5648.32</v>
      </c>
      <c r="Z620">
        <v>-10116.98</v>
      </c>
      <c r="AA620">
        <v>-0.53239999999999998</v>
      </c>
      <c r="AB620">
        <v>-1866.15</v>
      </c>
      <c r="AC620">
        <v>328.64</v>
      </c>
      <c r="AD620">
        <v>2898.57</v>
      </c>
      <c r="AE620">
        <v>19001.740000000002</v>
      </c>
    </row>
    <row r="621" spans="1:31" x14ac:dyDescent="0.25">
      <c r="A621" t="s">
        <v>823</v>
      </c>
      <c r="B621" s="2">
        <v>45888</v>
      </c>
      <c r="C621" t="s">
        <v>117</v>
      </c>
      <c r="D621" t="s">
        <v>33</v>
      </c>
      <c r="E621">
        <v>2025</v>
      </c>
      <c r="F621" t="s">
        <v>85</v>
      </c>
      <c r="G621" t="s">
        <v>35</v>
      </c>
      <c r="H621" t="s">
        <v>60</v>
      </c>
      <c r="I621" t="s">
        <v>108</v>
      </c>
      <c r="J621" t="s">
        <v>38</v>
      </c>
      <c r="K621" t="s">
        <v>50</v>
      </c>
      <c r="L621" t="s">
        <v>81</v>
      </c>
      <c r="M621" t="s">
        <v>102</v>
      </c>
      <c r="N621" t="s">
        <v>103</v>
      </c>
      <c r="O621" t="s">
        <v>104</v>
      </c>
      <c r="P621" t="s">
        <v>105</v>
      </c>
      <c r="Q621">
        <v>8583.39</v>
      </c>
      <c r="R621">
        <v>9404.58</v>
      </c>
      <c r="S621">
        <v>5623.03</v>
      </c>
      <c r="T621">
        <v>498</v>
      </c>
      <c r="U621">
        <v>615.04</v>
      </c>
      <c r="V621">
        <v>810.15</v>
      </c>
      <c r="W621">
        <v>335.46</v>
      </c>
      <c r="X621">
        <v>7881.68</v>
      </c>
      <c r="Y621">
        <v>2960.36</v>
      </c>
      <c r="Z621">
        <v>-4921.3100000000004</v>
      </c>
      <c r="AA621">
        <v>-0.54610000000000003</v>
      </c>
      <c r="AB621">
        <v>-821.19</v>
      </c>
      <c r="AC621">
        <v>0</v>
      </c>
      <c r="AD621">
        <v>429.17</v>
      </c>
      <c r="AE621">
        <v>9012.56</v>
      </c>
    </row>
    <row r="622" spans="1:31" x14ac:dyDescent="0.25">
      <c r="A622" t="s">
        <v>824</v>
      </c>
      <c r="B622" s="2">
        <v>45922</v>
      </c>
      <c r="C622" t="s">
        <v>46</v>
      </c>
      <c r="D622" t="s">
        <v>33</v>
      </c>
      <c r="E622">
        <v>2025</v>
      </c>
      <c r="F622" t="s">
        <v>67</v>
      </c>
      <c r="G622" t="s">
        <v>35</v>
      </c>
      <c r="H622" t="s">
        <v>118</v>
      </c>
      <c r="I622" t="s">
        <v>119</v>
      </c>
      <c r="J622" t="s">
        <v>100</v>
      </c>
      <c r="K622" t="s">
        <v>160</v>
      </c>
      <c r="L622" t="s">
        <v>51</v>
      </c>
      <c r="M622" t="s">
        <v>95</v>
      </c>
      <c r="N622" t="s">
        <v>96</v>
      </c>
      <c r="O622" t="s">
        <v>43</v>
      </c>
      <c r="P622" t="s">
        <v>90</v>
      </c>
      <c r="Q622">
        <v>19913.29</v>
      </c>
      <c r="R622">
        <v>19484.04</v>
      </c>
      <c r="S622">
        <v>13898.79</v>
      </c>
      <c r="T622">
        <v>1150.1199999999999</v>
      </c>
      <c r="U622">
        <v>1282.75</v>
      </c>
      <c r="V622">
        <v>1515.79</v>
      </c>
      <c r="W622">
        <v>853.21</v>
      </c>
      <c r="X622">
        <v>18700.66</v>
      </c>
      <c r="Y622">
        <v>6014.5</v>
      </c>
      <c r="Z622">
        <v>-12686.16</v>
      </c>
      <c r="AA622">
        <v>-0.60670000000000002</v>
      </c>
      <c r="AB622">
        <v>429.25</v>
      </c>
      <c r="AC622">
        <v>0</v>
      </c>
      <c r="AD622">
        <v>995.66</v>
      </c>
      <c r="AE622">
        <v>20908.96</v>
      </c>
    </row>
    <row r="623" spans="1:31" x14ac:dyDescent="0.25">
      <c r="A623" t="s">
        <v>825</v>
      </c>
      <c r="B623" s="2">
        <v>45762</v>
      </c>
      <c r="C623" t="s">
        <v>128</v>
      </c>
      <c r="D623" t="s">
        <v>66</v>
      </c>
      <c r="E623">
        <v>2025</v>
      </c>
      <c r="F623" t="s">
        <v>67</v>
      </c>
      <c r="G623" t="s">
        <v>35</v>
      </c>
      <c r="H623" t="s">
        <v>118</v>
      </c>
      <c r="I623" t="s">
        <v>119</v>
      </c>
      <c r="J623" t="s">
        <v>80</v>
      </c>
      <c r="K623" t="s">
        <v>50</v>
      </c>
      <c r="L623" t="s">
        <v>94</v>
      </c>
      <c r="M623" t="s">
        <v>88</v>
      </c>
      <c r="N623" t="s">
        <v>89</v>
      </c>
      <c r="O623" t="s">
        <v>43</v>
      </c>
      <c r="P623" t="s">
        <v>90</v>
      </c>
      <c r="Q623">
        <v>51462.63</v>
      </c>
      <c r="R623">
        <v>55891.8</v>
      </c>
      <c r="S623">
        <v>34291.440000000002</v>
      </c>
      <c r="T623">
        <v>3854.92</v>
      </c>
      <c r="U623">
        <v>3185.82</v>
      </c>
      <c r="V623">
        <v>6099.68</v>
      </c>
      <c r="W623">
        <v>2132.36</v>
      </c>
      <c r="X623">
        <v>49564.21</v>
      </c>
      <c r="Y623">
        <v>17171.18</v>
      </c>
      <c r="Z623">
        <v>-32393.03</v>
      </c>
      <c r="AA623">
        <v>-0.62450000000000006</v>
      </c>
      <c r="AB623">
        <v>-4429.17</v>
      </c>
      <c r="AC623">
        <v>5146.26</v>
      </c>
      <c r="AD623">
        <v>5557.96</v>
      </c>
      <c r="AE623">
        <v>51874.33</v>
      </c>
    </row>
    <row r="624" spans="1:31" x14ac:dyDescent="0.25">
      <c r="A624" t="s">
        <v>826</v>
      </c>
      <c r="B624" s="2">
        <v>45965</v>
      </c>
      <c r="C624" t="s">
        <v>147</v>
      </c>
      <c r="D624" t="s">
        <v>93</v>
      </c>
      <c r="E624">
        <v>2025</v>
      </c>
      <c r="F624" t="s">
        <v>67</v>
      </c>
      <c r="G624" t="s">
        <v>35</v>
      </c>
      <c r="H624" t="s">
        <v>168</v>
      </c>
      <c r="I624" t="s">
        <v>278</v>
      </c>
      <c r="J624" t="s">
        <v>38</v>
      </c>
      <c r="K624" t="s">
        <v>71</v>
      </c>
      <c r="L624" t="s">
        <v>94</v>
      </c>
      <c r="M624" t="s">
        <v>102</v>
      </c>
      <c r="N624" t="s">
        <v>103</v>
      </c>
      <c r="O624" t="s">
        <v>104</v>
      </c>
      <c r="P624" t="s">
        <v>105</v>
      </c>
      <c r="Q624">
        <v>4725.34</v>
      </c>
      <c r="R624">
        <v>5095.82</v>
      </c>
      <c r="S624">
        <v>2596.31</v>
      </c>
      <c r="T624">
        <v>332.1</v>
      </c>
      <c r="U624">
        <v>219.76</v>
      </c>
      <c r="V624">
        <v>291</v>
      </c>
      <c r="W624">
        <v>131.84</v>
      </c>
      <c r="X624">
        <v>3571.02</v>
      </c>
      <c r="Y624">
        <v>2129.0300000000002</v>
      </c>
      <c r="Z624">
        <v>-1441.99</v>
      </c>
      <c r="AA624">
        <v>-0.28089999999999998</v>
      </c>
      <c r="AB624">
        <v>-370.47</v>
      </c>
      <c r="AC624">
        <v>141.76</v>
      </c>
      <c r="AD624">
        <v>550.03</v>
      </c>
      <c r="AE624">
        <v>5133.6099999999997</v>
      </c>
    </row>
    <row r="625" spans="1:31" x14ac:dyDescent="0.25">
      <c r="A625" t="s">
        <v>827</v>
      </c>
      <c r="B625" s="2">
        <v>45926</v>
      </c>
      <c r="C625" t="s">
        <v>46</v>
      </c>
      <c r="D625" t="s">
        <v>33</v>
      </c>
      <c r="E625">
        <v>2025</v>
      </c>
      <c r="F625" t="s">
        <v>47</v>
      </c>
      <c r="G625" t="s">
        <v>35</v>
      </c>
      <c r="H625" t="s">
        <v>78</v>
      </c>
      <c r="I625" t="s">
        <v>115</v>
      </c>
      <c r="J625" t="s">
        <v>38</v>
      </c>
      <c r="K625" t="s">
        <v>101</v>
      </c>
      <c r="L625" t="s">
        <v>51</v>
      </c>
      <c r="M625" t="s">
        <v>52</v>
      </c>
      <c r="N625" t="s">
        <v>53</v>
      </c>
      <c r="O625" t="s">
        <v>54</v>
      </c>
      <c r="P625" t="s">
        <v>55</v>
      </c>
      <c r="Q625">
        <v>8168.66</v>
      </c>
      <c r="R625">
        <v>7761.93</v>
      </c>
      <c r="S625">
        <v>5073.8900000000003</v>
      </c>
      <c r="T625">
        <v>781.37</v>
      </c>
      <c r="U625">
        <v>461.34</v>
      </c>
      <c r="V625">
        <v>686.15</v>
      </c>
      <c r="W625">
        <v>222.29</v>
      </c>
      <c r="X625">
        <v>7225.05</v>
      </c>
      <c r="Y625">
        <v>3094.77</v>
      </c>
      <c r="Z625">
        <v>-4130.28</v>
      </c>
      <c r="AA625">
        <v>-0.45100000000000001</v>
      </c>
      <c r="AB625">
        <v>406.73</v>
      </c>
      <c r="AC625">
        <v>408.43</v>
      </c>
      <c r="AD625">
        <v>1396.84</v>
      </c>
      <c r="AE625">
        <v>9157.07</v>
      </c>
    </row>
    <row r="626" spans="1:31" x14ac:dyDescent="0.25">
      <c r="A626" t="s">
        <v>828</v>
      </c>
      <c r="B626" s="2">
        <v>46064</v>
      </c>
      <c r="C626" t="s">
        <v>57</v>
      </c>
      <c r="D626" t="s">
        <v>58</v>
      </c>
      <c r="E626">
        <v>2026</v>
      </c>
      <c r="F626" t="s">
        <v>47</v>
      </c>
      <c r="G626" t="s">
        <v>35</v>
      </c>
      <c r="H626" t="s">
        <v>48</v>
      </c>
      <c r="I626" t="s">
        <v>265</v>
      </c>
      <c r="J626" t="s">
        <v>100</v>
      </c>
      <c r="K626" t="s">
        <v>160</v>
      </c>
      <c r="L626" t="s">
        <v>40</v>
      </c>
      <c r="M626" t="s">
        <v>186</v>
      </c>
      <c r="N626" t="s">
        <v>187</v>
      </c>
      <c r="O626" t="s">
        <v>173</v>
      </c>
      <c r="P626" t="s">
        <v>174</v>
      </c>
      <c r="Q626">
        <v>8830.8799999999992</v>
      </c>
      <c r="R626">
        <v>8264.59</v>
      </c>
      <c r="S626">
        <v>5267.47</v>
      </c>
      <c r="T626">
        <v>1028.04</v>
      </c>
      <c r="U626">
        <v>766.43</v>
      </c>
      <c r="V626">
        <v>801.32</v>
      </c>
      <c r="W626">
        <v>197.69</v>
      </c>
      <c r="X626">
        <v>8060.95</v>
      </c>
      <c r="Y626">
        <v>3563.41</v>
      </c>
      <c r="Z626">
        <v>-4497.54</v>
      </c>
      <c r="AA626">
        <v>-0.47870000000000001</v>
      </c>
      <c r="AB626">
        <v>566.29</v>
      </c>
      <c r="AC626">
        <v>441.54</v>
      </c>
      <c r="AD626">
        <v>1006.72</v>
      </c>
      <c r="AE626">
        <v>9396.06</v>
      </c>
    </row>
    <row r="627" spans="1:31" x14ac:dyDescent="0.25">
      <c r="A627" t="s">
        <v>829</v>
      </c>
      <c r="B627" s="2">
        <v>45894</v>
      </c>
      <c r="C627" t="s">
        <v>117</v>
      </c>
      <c r="D627" t="s">
        <v>33</v>
      </c>
      <c r="E627">
        <v>2025</v>
      </c>
      <c r="F627" t="s">
        <v>34</v>
      </c>
      <c r="G627" t="s">
        <v>35</v>
      </c>
      <c r="H627" t="s">
        <v>36</v>
      </c>
      <c r="I627" t="s">
        <v>37</v>
      </c>
      <c r="J627" t="s">
        <v>100</v>
      </c>
      <c r="K627" t="s">
        <v>39</v>
      </c>
      <c r="L627" t="s">
        <v>94</v>
      </c>
      <c r="M627" t="s">
        <v>88</v>
      </c>
      <c r="N627" t="s">
        <v>89</v>
      </c>
      <c r="O627" t="s">
        <v>43</v>
      </c>
      <c r="P627" t="s">
        <v>90</v>
      </c>
      <c r="Q627">
        <v>34368.42</v>
      </c>
      <c r="R627">
        <v>38685.83</v>
      </c>
      <c r="S627">
        <v>17524.71</v>
      </c>
      <c r="T627">
        <v>4076.52</v>
      </c>
      <c r="U627">
        <v>2864.2</v>
      </c>
      <c r="V627">
        <v>3977.69</v>
      </c>
      <c r="W627">
        <v>821.82</v>
      </c>
      <c r="X627">
        <v>29264.94</v>
      </c>
      <c r="Y627">
        <v>16843.71</v>
      </c>
      <c r="Z627">
        <v>-12421.23</v>
      </c>
      <c r="AA627">
        <v>-0.32929999999999998</v>
      </c>
      <c r="AB627">
        <v>-4317.41</v>
      </c>
      <c r="AC627">
        <v>687.37</v>
      </c>
      <c r="AD627">
        <v>4041.73</v>
      </c>
      <c r="AE627">
        <v>37722.78</v>
      </c>
    </row>
    <row r="628" spans="1:31" x14ac:dyDescent="0.25">
      <c r="A628" t="s">
        <v>830</v>
      </c>
      <c r="B628" s="2">
        <v>45783</v>
      </c>
      <c r="C628" t="s">
        <v>65</v>
      </c>
      <c r="D628" t="s">
        <v>66</v>
      </c>
      <c r="E628">
        <v>2025</v>
      </c>
      <c r="F628" t="s">
        <v>59</v>
      </c>
      <c r="G628" t="s">
        <v>35</v>
      </c>
      <c r="H628" t="s">
        <v>60</v>
      </c>
      <c r="I628" t="s">
        <v>185</v>
      </c>
      <c r="J628" t="s">
        <v>70</v>
      </c>
      <c r="K628" t="s">
        <v>101</v>
      </c>
      <c r="L628" t="s">
        <v>94</v>
      </c>
      <c r="M628" t="s">
        <v>197</v>
      </c>
      <c r="N628" t="s">
        <v>198</v>
      </c>
      <c r="O628" t="s">
        <v>43</v>
      </c>
      <c r="P628" t="s">
        <v>163</v>
      </c>
      <c r="Q628">
        <v>58289.11</v>
      </c>
      <c r="R628">
        <v>64575.360000000001</v>
      </c>
      <c r="S628">
        <v>40374.410000000003</v>
      </c>
      <c r="T628">
        <v>6314.03</v>
      </c>
      <c r="U628">
        <v>4972.51</v>
      </c>
      <c r="V628">
        <v>3882.79</v>
      </c>
      <c r="W628">
        <v>1609.5</v>
      </c>
      <c r="X628">
        <v>57153.23</v>
      </c>
      <c r="Y628">
        <v>17914.71</v>
      </c>
      <c r="Z628">
        <v>-39238.519999999997</v>
      </c>
      <c r="AA628">
        <v>-0.6411</v>
      </c>
      <c r="AB628">
        <v>-6286.25</v>
      </c>
      <c r="AC628">
        <v>0</v>
      </c>
      <c r="AD628">
        <v>2914.46</v>
      </c>
      <c r="AE628">
        <v>61203.57</v>
      </c>
    </row>
    <row r="629" spans="1:31" x14ac:dyDescent="0.25">
      <c r="A629" t="s">
        <v>831</v>
      </c>
      <c r="B629" s="2">
        <v>45785</v>
      </c>
      <c r="C629" t="s">
        <v>65</v>
      </c>
      <c r="D629" t="s">
        <v>66</v>
      </c>
      <c r="E629">
        <v>2025</v>
      </c>
      <c r="F629" t="s">
        <v>67</v>
      </c>
      <c r="G629" t="s">
        <v>35</v>
      </c>
      <c r="H629" t="s">
        <v>68</v>
      </c>
      <c r="I629" t="s">
        <v>204</v>
      </c>
      <c r="J629" t="s">
        <v>100</v>
      </c>
      <c r="K629" t="s">
        <v>50</v>
      </c>
      <c r="L629" t="s">
        <v>72</v>
      </c>
      <c r="M629" t="s">
        <v>141</v>
      </c>
      <c r="N629" t="s">
        <v>142</v>
      </c>
      <c r="O629" t="s">
        <v>54</v>
      </c>
      <c r="P629" t="s">
        <v>143</v>
      </c>
      <c r="Q629">
        <v>997.19</v>
      </c>
      <c r="R629">
        <v>1087.6400000000001</v>
      </c>
      <c r="S629">
        <v>545.44000000000005</v>
      </c>
      <c r="T629">
        <v>96.08</v>
      </c>
      <c r="U629">
        <v>38.04</v>
      </c>
      <c r="V629">
        <v>61.45</v>
      </c>
      <c r="W629">
        <v>27.58</v>
      </c>
      <c r="X629">
        <v>768.6</v>
      </c>
      <c r="Y629">
        <v>451.75</v>
      </c>
      <c r="Z629">
        <v>-316.85000000000002</v>
      </c>
      <c r="AA629">
        <v>-0.29920000000000002</v>
      </c>
      <c r="AB629">
        <v>-90.45</v>
      </c>
      <c r="AC629">
        <v>99.72</v>
      </c>
      <c r="AD629">
        <v>161.55000000000001</v>
      </c>
      <c r="AE629">
        <v>1059.02</v>
      </c>
    </row>
    <row r="630" spans="1:31" x14ac:dyDescent="0.25">
      <c r="A630" t="s">
        <v>832</v>
      </c>
      <c r="B630" s="2">
        <v>46003</v>
      </c>
      <c r="C630" t="s">
        <v>107</v>
      </c>
      <c r="D630" t="s">
        <v>93</v>
      </c>
      <c r="E630">
        <v>2025</v>
      </c>
      <c r="F630" t="s">
        <v>34</v>
      </c>
      <c r="G630" t="s">
        <v>35</v>
      </c>
      <c r="H630" t="s">
        <v>134</v>
      </c>
      <c r="I630" t="s">
        <v>154</v>
      </c>
      <c r="J630" t="s">
        <v>70</v>
      </c>
      <c r="K630" t="s">
        <v>50</v>
      </c>
      <c r="L630" t="s">
        <v>72</v>
      </c>
      <c r="M630" t="s">
        <v>189</v>
      </c>
      <c r="N630" t="s">
        <v>190</v>
      </c>
      <c r="O630" t="s">
        <v>104</v>
      </c>
      <c r="P630" t="s">
        <v>105</v>
      </c>
      <c r="Q630">
        <v>9505.1</v>
      </c>
      <c r="R630">
        <v>8765.9</v>
      </c>
      <c r="S630">
        <v>5075.49</v>
      </c>
      <c r="T630">
        <v>899.66</v>
      </c>
      <c r="U630">
        <v>709.71</v>
      </c>
      <c r="V630">
        <v>851.16</v>
      </c>
      <c r="W630">
        <v>172.28</v>
      </c>
      <c r="X630">
        <v>7708.3</v>
      </c>
      <c r="Y630">
        <v>4429.6099999999997</v>
      </c>
      <c r="Z630">
        <v>-3278.69</v>
      </c>
      <c r="AA630">
        <v>-0.2923</v>
      </c>
      <c r="AB630">
        <v>739.2</v>
      </c>
      <c r="AC630">
        <v>0</v>
      </c>
      <c r="AD630">
        <v>1710.92</v>
      </c>
      <c r="AE630">
        <v>11216.02</v>
      </c>
    </row>
    <row r="631" spans="1:31" x14ac:dyDescent="0.25">
      <c r="A631" t="s">
        <v>833</v>
      </c>
      <c r="B631" s="2">
        <v>45751</v>
      </c>
      <c r="C631" t="s">
        <v>128</v>
      </c>
      <c r="D631" t="s">
        <v>66</v>
      </c>
      <c r="E631">
        <v>2025</v>
      </c>
      <c r="F631" t="s">
        <v>85</v>
      </c>
      <c r="G631" t="s">
        <v>35</v>
      </c>
      <c r="H631" t="s">
        <v>86</v>
      </c>
      <c r="I631" t="s">
        <v>262</v>
      </c>
      <c r="J631" t="s">
        <v>80</v>
      </c>
      <c r="K631" t="s">
        <v>101</v>
      </c>
      <c r="L631" t="s">
        <v>72</v>
      </c>
      <c r="M631" t="s">
        <v>211</v>
      </c>
      <c r="N631" t="s">
        <v>212</v>
      </c>
      <c r="O631" t="s">
        <v>112</v>
      </c>
      <c r="P631" t="s">
        <v>113</v>
      </c>
      <c r="Q631">
        <v>18840.419999999998</v>
      </c>
      <c r="R631">
        <v>20961.05</v>
      </c>
      <c r="S631">
        <v>11425.29</v>
      </c>
      <c r="T631">
        <v>1419.39</v>
      </c>
      <c r="U631">
        <v>787.16</v>
      </c>
      <c r="V631">
        <v>810.51</v>
      </c>
      <c r="W631">
        <v>572.97</v>
      </c>
      <c r="X631">
        <v>15015.32</v>
      </c>
      <c r="Y631">
        <v>7415.13</v>
      </c>
      <c r="Z631">
        <v>-7600.19</v>
      </c>
      <c r="AA631">
        <v>-0.39200000000000002</v>
      </c>
      <c r="AB631">
        <v>-2120.63</v>
      </c>
      <c r="AC631">
        <v>376.81</v>
      </c>
      <c r="AD631">
        <v>923.18</v>
      </c>
      <c r="AE631">
        <v>19386.79</v>
      </c>
    </row>
    <row r="632" spans="1:31" x14ac:dyDescent="0.25">
      <c r="A632" t="s">
        <v>834</v>
      </c>
      <c r="B632" s="2">
        <v>45888</v>
      </c>
      <c r="C632" t="s">
        <v>117</v>
      </c>
      <c r="D632" t="s">
        <v>33</v>
      </c>
      <c r="E632">
        <v>2025</v>
      </c>
      <c r="F632" t="s">
        <v>47</v>
      </c>
      <c r="G632" t="s">
        <v>35</v>
      </c>
      <c r="H632" t="s">
        <v>78</v>
      </c>
      <c r="I632" t="s">
        <v>79</v>
      </c>
      <c r="J632" t="s">
        <v>38</v>
      </c>
      <c r="K632" t="s">
        <v>39</v>
      </c>
      <c r="L632" t="s">
        <v>51</v>
      </c>
      <c r="M632" t="s">
        <v>189</v>
      </c>
      <c r="N632" t="s">
        <v>190</v>
      </c>
      <c r="O632" t="s">
        <v>104</v>
      </c>
      <c r="P632" t="s">
        <v>105</v>
      </c>
      <c r="Q632">
        <v>26665.53</v>
      </c>
      <c r="R632">
        <v>25895.33</v>
      </c>
      <c r="S632">
        <v>19090.04</v>
      </c>
      <c r="T632">
        <v>1918.08</v>
      </c>
      <c r="U632">
        <v>1017.9</v>
      </c>
      <c r="V632">
        <v>2009.84</v>
      </c>
      <c r="W632">
        <v>319.7</v>
      </c>
      <c r="X632">
        <v>24355.55</v>
      </c>
      <c r="Y632">
        <v>7575.5</v>
      </c>
      <c r="Z632">
        <v>-16780.060000000001</v>
      </c>
      <c r="AA632">
        <v>-0.62429999999999997</v>
      </c>
      <c r="AB632">
        <v>770.2</v>
      </c>
      <c r="AC632">
        <v>2666.55</v>
      </c>
      <c r="AD632">
        <v>2879.88</v>
      </c>
      <c r="AE632">
        <v>26878.86</v>
      </c>
    </row>
    <row r="633" spans="1:31" x14ac:dyDescent="0.25">
      <c r="A633" t="s">
        <v>835</v>
      </c>
      <c r="B633" s="2">
        <v>46063</v>
      </c>
      <c r="C633" t="s">
        <v>57</v>
      </c>
      <c r="D633" t="s">
        <v>58</v>
      </c>
      <c r="E633">
        <v>2026</v>
      </c>
      <c r="F633" t="s">
        <v>34</v>
      </c>
      <c r="G633" t="s">
        <v>35</v>
      </c>
      <c r="H633" t="s">
        <v>36</v>
      </c>
      <c r="I633" t="s">
        <v>37</v>
      </c>
      <c r="J633" t="s">
        <v>100</v>
      </c>
      <c r="K633" t="s">
        <v>101</v>
      </c>
      <c r="L633" t="s">
        <v>94</v>
      </c>
      <c r="M633" t="s">
        <v>120</v>
      </c>
      <c r="N633" t="s">
        <v>121</v>
      </c>
      <c r="O633" t="s">
        <v>43</v>
      </c>
      <c r="P633" t="s">
        <v>122</v>
      </c>
      <c r="Q633">
        <v>17080.830000000002</v>
      </c>
      <c r="R633">
        <v>18363.18</v>
      </c>
      <c r="S633">
        <v>9479.82</v>
      </c>
      <c r="T633">
        <v>1329.61</v>
      </c>
      <c r="U633">
        <v>967.5</v>
      </c>
      <c r="V633">
        <v>2020.43</v>
      </c>
      <c r="W633">
        <v>747.98</v>
      </c>
      <c r="X633">
        <v>14545.34</v>
      </c>
      <c r="Y633">
        <v>7601.02</v>
      </c>
      <c r="Z633">
        <v>-6944.32</v>
      </c>
      <c r="AA633">
        <v>-0.37419999999999998</v>
      </c>
      <c r="AB633">
        <v>-1282.3499999999999</v>
      </c>
      <c r="AC633">
        <v>512.42999999999995</v>
      </c>
      <c r="AD633">
        <v>1988.21</v>
      </c>
      <c r="AE633">
        <v>18556.62</v>
      </c>
    </row>
    <row r="634" spans="1:31" x14ac:dyDescent="0.25">
      <c r="A634" t="s">
        <v>836</v>
      </c>
      <c r="B634" s="2">
        <v>45796</v>
      </c>
      <c r="C634" t="s">
        <v>65</v>
      </c>
      <c r="D634" t="s">
        <v>66</v>
      </c>
      <c r="E634">
        <v>2025</v>
      </c>
      <c r="F634" t="s">
        <v>47</v>
      </c>
      <c r="G634" t="s">
        <v>35</v>
      </c>
      <c r="H634" t="s">
        <v>48</v>
      </c>
      <c r="I634" t="s">
        <v>265</v>
      </c>
      <c r="J634" t="s">
        <v>100</v>
      </c>
      <c r="K634" t="s">
        <v>101</v>
      </c>
      <c r="L634" t="s">
        <v>94</v>
      </c>
      <c r="M634" t="s">
        <v>95</v>
      </c>
      <c r="N634" t="s">
        <v>96</v>
      </c>
      <c r="O634" t="s">
        <v>43</v>
      </c>
      <c r="P634" t="s">
        <v>90</v>
      </c>
      <c r="Q634">
        <v>25807.4</v>
      </c>
      <c r="R634">
        <v>26673.77</v>
      </c>
      <c r="S634">
        <v>14367.2</v>
      </c>
      <c r="T634">
        <v>1636.44</v>
      </c>
      <c r="U634">
        <v>1086.1600000000001</v>
      </c>
      <c r="V634">
        <v>1106.0999999999999</v>
      </c>
      <c r="W634">
        <v>894.35</v>
      </c>
      <c r="X634">
        <v>19090.25</v>
      </c>
      <c r="Y634">
        <v>11440.21</v>
      </c>
      <c r="Z634">
        <v>-7650.05</v>
      </c>
      <c r="AA634">
        <v>-0.29099999999999998</v>
      </c>
      <c r="AB634">
        <v>-866.37</v>
      </c>
      <c r="AC634">
        <v>774.22</v>
      </c>
      <c r="AD634">
        <v>1251.6600000000001</v>
      </c>
      <c r="AE634">
        <v>26284.84</v>
      </c>
    </row>
    <row r="635" spans="1:31" x14ac:dyDescent="0.25">
      <c r="A635" t="s">
        <v>837</v>
      </c>
      <c r="B635" s="2">
        <v>46042</v>
      </c>
      <c r="C635" t="s">
        <v>77</v>
      </c>
      <c r="D635" t="s">
        <v>58</v>
      </c>
      <c r="E635">
        <v>2026</v>
      </c>
      <c r="F635" t="s">
        <v>34</v>
      </c>
      <c r="G635" t="s">
        <v>35</v>
      </c>
      <c r="H635" t="s">
        <v>134</v>
      </c>
      <c r="I635" t="s">
        <v>135</v>
      </c>
      <c r="J635" t="s">
        <v>70</v>
      </c>
      <c r="K635" t="s">
        <v>50</v>
      </c>
      <c r="L635" t="s">
        <v>72</v>
      </c>
      <c r="M635" t="s">
        <v>73</v>
      </c>
      <c r="N635" t="s">
        <v>74</v>
      </c>
      <c r="O635" t="s">
        <v>43</v>
      </c>
      <c r="P635" t="s">
        <v>75</v>
      </c>
      <c r="Q635">
        <v>38173.22</v>
      </c>
      <c r="R635">
        <v>41821.03</v>
      </c>
      <c r="S635">
        <v>18991.650000000001</v>
      </c>
      <c r="T635">
        <v>4416.26</v>
      </c>
      <c r="U635">
        <v>2177.6799999999998</v>
      </c>
      <c r="V635">
        <v>4112.88</v>
      </c>
      <c r="W635">
        <v>1184.3599999999999</v>
      </c>
      <c r="X635">
        <v>30882.83</v>
      </c>
      <c r="Y635">
        <v>19181.57</v>
      </c>
      <c r="Z635">
        <v>-11701.26</v>
      </c>
      <c r="AA635">
        <v>-0.27339999999999998</v>
      </c>
      <c r="AB635">
        <v>-3647.81</v>
      </c>
      <c r="AC635">
        <v>1908.66</v>
      </c>
      <c r="AD635">
        <v>6527.62</v>
      </c>
      <c r="AE635">
        <v>42792.18</v>
      </c>
    </row>
    <row r="636" spans="1:31" x14ac:dyDescent="0.25">
      <c r="A636" t="s">
        <v>838</v>
      </c>
      <c r="B636" s="2">
        <v>45931</v>
      </c>
      <c r="C636" t="s">
        <v>92</v>
      </c>
      <c r="D636" t="s">
        <v>93</v>
      </c>
      <c r="E636">
        <v>2025</v>
      </c>
      <c r="F636" t="s">
        <v>34</v>
      </c>
      <c r="G636" t="s">
        <v>35</v>
      </c>
      <c r="H636" t="s">
        <v>134</v>
      </c>
      <c r="I636" t="s">
        <v>176</v>
      </c>
      <c r="J636" t="s">
        <v>38</v>
      </c>
      <c r="K636" t="s">
        <v>101</v>
      </c>
      <c r="L636" t="s">
        <v>94</v>
      </c>
      <c r="M636" t="s">
        <v>95</v>
      </c>
      <c r="N636" t="s">
        <v>96</v>
      </c>
      <c r="O636" t="s">
        <v>43</v>
      </c>
      <c r="P636" t="s">
        <v>90</v>
      </c>
      <c r="Q636">
        <v>39374.339999999997</v>
      </c>
      <c r="R636">
        <v>38280.9</v>
      </c>
      <c r="S636">
        <v>21621.03</v>
      </c>
      <c r="T636">
        <v>4851.0200000000004</v>
      </c>
      <c r="U636">
        <v>3205.3</v>
      </c>
      <c r="V636">
        <v>2740.92</v>
      </c>
      <c r="W636">
        <v>491.8</v>
      </c>
      <c r="X636">
        <v>32910.080000000002</v>
      </c>
      <c r="Y636">
        <v>17753.3</v>
      </c>
      <c r="Z636">
        <v>-15156.77</v>
      </c>
      <c r="AA636">
        <v>-0.35460000000000003</v>
      </c>
      <c r="AB636">
        <v>1093.43</v>
      </c>
      <c r="AC636">
        <v>3149.95</v>
      </c>
      <c r="AD636">
        <v>6520.39</v>
      </c>
      <c r="AE636">
        <v>42744.78</v>
      </c>
    </row>
    <row r="637" spans="1:31" x14ac:dyDescent="0.25">
      <c r="A637" t="s">
        <v>839</v>
      </c>
      <c r="B637" s="2">
        <v>45867</v>
      </c>
      <c r="C637" t="s">
        <v>32</v>
      </c>
      <c r="D637" t="s">
        <v>33</v>
      </c>
      <c r="E637">
        <v>2025</v>
      </c>
      <c r="F637" t="s">
        <v>85</v>
      </c>
      <c r="G637" t="s">
        <v>35</v>
      </c>
      <c r="H637" t="s">
        <v>86</v>
      </c>
      <c r="I637" t="s">
        <v>87</v>
      </c>
      <c r="J637" t="s">
        <v>70</v>
      </c>
      <c r="K637" t="s">
        <v>50</v>
      </c>
      <c r="L637" t="s">
        <v>72</v>
      </c>
      <c r="M637" t="s">
        <v>141</v>
      </c>
      <c r="N637" t="s">
        <v>142</v>
      </c>
      <c r="O637" t="s">
        <v>54</v>
      </c>
      <c r="P637" t="s">
        <v>143</v>
      </c>
      <c r="Q637">
        <v>4887</v>
      </c>
      <c r="R637">
        <v>4837.51</v>
      </c>
      <c r="S637">
        <v>2855.01</v>
      </c>
      <c r="T637">
        <v>295.61</v>
      </c>
      <c r="U637">
        <v>266.82</v>
      </c>
      <c r="V637">
        <v>512.34</v>
      </c>
      <c r="W637">
        <v>190.51</v>
      </c>
      <c r="X637">
        <v>4120.3</v>
      </c>
      <c r="Y637">
        <v>2031.99</v>
      </c>
      <c r="Z637">
        <v>-2088.3000000000002</v>
      </c>
      <c r="AA637">
        <v>-0.39329999999999998</v>
      </c>
      <c r="AB637">
        <v>49.49</v>
      </c>
      <c r="AC637">
        <v>146.61000000000001</v>
      </c>
      <c r="AD637">
        <v>568.85</v>
      </c>
      <c r="AE637">
        <v>5309.24</v>
      </c>
    </row>
    <row r="638" spans="1:31" x14ac:dyDescent="0.25">
      <c r="A638" t="s">
        <v>840</v>
      </c>
      <c r="B638" s="2">
        <v>45995</v>
      </c>
      <c r="C638" t="s">
        <v>107</v>
      </c>
      <c r="D638" t="s">
        <v>93</v>
      </c>
      <c r="E638">
        <v>2025</v>
      </c>
      <c r="F638" t="s">
        <v>59</v>
      </c>
      <c r="G638" t="s">
        <v>35</v>
      </c>
      <c r="H638" t="s">
        <v>60</v>
      </c>
      <c r="I638" t="s">
        <v>108</v>
      </c>
      <c r="J638" t="s">
        <v>80</v>
      </c>
      <c r="K638" t="s">
        <v>101</v>
      </c>
      <c r="L638" t="s">
        <v>94</v>
      </c>
      <c r="M638" t="s">
        <v>73</v>
      </c>
      <c r="N638" t="s">
        <v>74</v>
      </c>
      <c r="O638" t="s">
        <v>43</v>
      </c>
      <c r="P638" t="s">
        <v>75</v>
      </c>
      <c r="Q638">
        <v>16839.88</v>
      </c>
      <c r="R638">
        <v>17221.91</v>
      </c>
      <c r="S638">
        <v>9798.3700000000008</v>
      </c>
      <c r="T638">
        <v>2001.08</v>
      </c>
      <c r="U638">
        <v>1014.42</v>
      </c>
      <c r="V638">
        <v>1602.67</v>
      </c>
      <c r="W638">
        <v>445.02</v>
      </c>
      <c r="X638">
        <v>14861.55</v>
      </c>
      <c r="Y638">
        <v>7041.51</v>
      </c>
      <c r="Z638">
        <v>-7820.04</v>
      </c>
      <c r="AA638">
        <v>-0.4274</v>
      </c>
      <c r="AB638">
        <v>-382.03</v>
      </c>
      <c r="AC638">
        <v>505.2</v>
      </c>
      <c r="AD638">
        <v>1960.16</v>
      </c>
      <c r="AE638">
        <v>18294.849999999999</v>
      </c>
    </row>
    <row r="639" spans="1:31" x14ac:dyDescent="0.25">
      <c r="A639" t="s">
        <v>841</v>
      </c>
      <c r="B639" s="2">
        <v>45786</v>
      </c>
      <c r="C639" t="s">
        <v>65</v>
      </c>
      <c r="D639" t="s">
        <v>66</v>
      </c>
      <c r="E639">
        <v>2025</v>
      </c>
      <c r="F639" t="s">
        <v>67</v>
      </c>
      <c r="G639" t="s">
        <v>35</v>
      </c>
      <c r="H639" t="s">
        <v>168</v>
      </c>
      <c r="I639" t="s">
        <v>278</v>
      </c>
      <c r="J639" t="s">
        <v>100</v>
      </c>
      <c r="K639" t="s">
        <v>39</v>
      </c>
      <c r="L639" t="s">
        <v>72</v>
      </c>
      <c r="M639" t="s">
        <v>88</v>
      </c>
      <c r="N639" t="s">
        <v>89</v>
      </c>
      <c r="O639" t="s">
        <v>43</v>
      </c>
      <c r="P639" t="s">
        <v>90</v>
      </c>
      <c r="Q639">
        <v>73823.899999999994</v>
      </c>
      <c r="R639">
        <v>68742.460000000006</v>
      </c>
      <c r="S639">
        <v>37849.22</v>
      </c>
      <c r="T639">
        <v>7414.29</v>
      </c>
      <c r="U639">
        <v>3291.05</v>
      </c>
      <c r="V639">
        <v>3062.63</v>
      </c>
      <c r="W639">
        <v>3034.35</v>
      </c>
      <c r="X639">
        <v>54651.53</v>
      </c>
      <c r="Y639">
        <v>35974.67</v>
      </c>
      <c r="Z639">
        <v>-18676.86</v>
      </c>
      <c r="AA639">
        <v>-0.21879999999999999</v>
      </c>
      <c r="AB639">
        <v>5081.4399999999996</v>
      </c>
      <c r="AC639">
        <v>1476.48</v>
      </c>
      <c r="AD639">
        <v>13022.54</v>
      </c>
      <c r="AE639">
        <v>85369.95</v>
      </c>
    </row>
    <row r="640" spans="1:31" x14ac:dyDescent="0.25">
      <c r="A640" t="s">
        <v>842</v>
      </c>
      <c r="B640" s="2">
        <v>45928</v>
      </c>
      <c r="C640" t="s">
        <v>46</v>
      </c>
      <c r="D640" t="s">
        <v>33</v>
      </c>
      <c r="E640">
        <v>2025</v>
      </c>
      <c r="F640" t="s">
        <v>85</v>
      </c>
      <c r="G640" t="s">
        <v>35</v>
      </c>
      <c r="H640" t="s">
        <v>60</v>
      </c>
      <c r="I640" t="s">
        <v>108</v>
      </c>
      <c r="J640" t="s">
        <v>70</v>
      </c>
      <c r="K640" t="s">
        <v>50</v>
      </c>
      <c r="L640" t="s">
        <v>51</v>
      </c>
      <c r="M640" t="s">
        <v>221</v>
      </c>
      <c r="N640" t="s">
        <v>222</v>
      </c>
      <c r="O640" t="s">
        <v>104</v>
      </c>
      <c r="P640" t="s">
        <v>223</v>
      </c>
      <c r="Q640">
        <v>8360.41</v>
      </c>
      <c r="R640">
        <v>8163.43</v>
      </c>
      <c r="S640">
        <v>4333.29</v>
      </c>
      <c r="T640">
        <v>555.25</v>
      </c>
      <c r="U640">
        <v>637.53</v>
      </c>
      <c r="V640">
        <v>446.24</v>
      </c>
      <c r="W640">
        <v>91.93</v>
      </c>
      <c r="X640">
        <v>6064.25</v>
      </c>
      <c r="Y640">
        <v>4027.12</v>
      </c>
      <c r="Z640">
        <v>-2037.14</v>
      </c>
      <c r="AA640">
        <v>-0.21740000000000001</v>
      </c>
      <c r="AB640">
        <v>196.98</v>
      </c>
      <c r="AC640">
        <v>418.02</v>
      </c>
      <c r="AD640">
        <v>1429.63</v>
      </c>
      <c r="AE640">
        <v>9372.02</v>
      </c>
    </row>
    <row r="641" spans="1:31" x14ac:dyDescent="0.25">
      <c r="A641" t="s">
        <v>843</v>
      </c>
      <c r="B641" s="2">
        <v>46050</v>
      </c>
      <c r="C641" t="s">
        <v>77</v>
      </c>
      <c r="D641" t="s">
        <v>58</v>
      </c>
      <c r="E641">
        <v>2026</v>
      </c>
      <c r="F641" t="s">
        <v>59</v>
      </c>
      <c r="G641" t="s">
        <v>35</v>
      </c>
      <c r="H641" t="s">
        <v>230</v>
      </c>
      <c r="I641" t="s">
        <v>301</v>
      </c>
      <c r="J641" t="s">
        <v>80</v>
      </c>
      <c r="K641" t="s">
        <v>160</v>
      </c>
      <c r="L641" t="s">
        <v>81</v>
      </c>
      <c r="M641" t="s">
        <v>197</v>
      </c>
      <c r="N641" t="s">
        <v>198</v>
      </c>
      <c r="O641" t="s">
        <v>43</v>
      </c>
      <c r="P641" t="s">
        <v>163</v>
      </c>
      <c r="Q641">
        <v>35358.089999999997</v>
      </c>
      <c r="R641">
        <v>38597.39</v>
      </c>
      <c r="S641">
        <v>19446.2</v>
      </c>
      <c r="T641">
        <v>2568.2600000000002</v>
      </c>
      <c r="U641">
        <v>1431.6</v>
      </c>
      <c r="V641">
        <v>3889.74</v>
      </c>
      <c r="W641">
        <v>1427.72</v>
      </c>
      <c r="X641">
        <v>28763.51</v>
      </c>
      <c r="Y641">
        <v>15911.9</v>
      </c>
      <c r="Z641">
        <v>-12851.62</v>
      </c>
      <c r="AA641">
        <v>-0.34160000000000001</v>
      </c>
      <c r="AB641">
        <v>-3239.3</v>
      </c>
      <c r="AC641">
        <v>1767.9</v>
      </c>
      <c r="AD641">
        <v>4030.82</v>
      </c>
      <c r="AE641">
        <v>37621.01</v>
      </c>
    </row>
    <row r="642" spans="1:31" x14ac:dyDescent="0.25">
      <c r="A642" t="s">
        <v>844</v>
      </c>
      <c r="B642" s="2">
        <v>45998</v>
      </c>
      <c r="C642" t="s">
        <v>107</v>
      </c>
      <c r="D642" t="s">
        <v>93</v>
      </c>
      <c r="E642">
        <v>2025</v>
      </c>
      <c r="F642" t="s">
        <v>34</v>
      </c>
      <c r="G642" t="s">
        <v>35</v>
      </c>
      <c r="H642" t="s">
        <v>98</v>
      </c>
      <c r="I642" t="s">
        <v>99</v>
      </c>
      <c r="J642" t="s">
        <v>80</v>
      </c>
      <c r="K642" t="s">
        <v>39</v>
      </c>
      <c r="L642" t="s">
        <v>51</v>
      </c>
      <c r="M642" t="s">
        <v>88</v>
      </c>
      <c r="N642" t="s">
        <v>89</v>
      </c>
      <c r="O642" t="s">
        <v>43</v>
      </c>
      <c r="P642" t="s">
        <v>90</v>
      </c>
      <c r="Q642">
        <v>61047.72</v>
      </c>
      <c r="R642">
        <v>67880.61</v>
      </c>
      <c r="S642">
        <v>34177.050000000003</v>
      </c>
      <c r="T642">
        <v>7112.87</v>
      </c>
      <c r="U642">
        <v>2615.7199999999998</v>
      </c>
      <c r="V642">
        <v>5108.96</v>
      </c>
      <c r="W642">
        <v>1067.74</v>
      </c>
      <c r="X642">
        <v>50082.34</v>
      </c>
      <c r="Y642">
        <v>26870.67</v>
      </c>
      <c r="Z642">
        <v>-23211.67</v>
      </c>
      <c r="AA642">
        <v>-0.35</v>
      </c>
      <c r="AB642">
        <v>-6832.89</v>
      </c>
      <c r="AC642">
        <v>1831.43</v>
      </c>
      <c r="AD642">
        <v>7105.95</v>
      </c>
      <c r="AE642">
        <v>66322.25</v>
      </c>
    </row>
    <row r="643" spans="1:31" x14ac:dyDescent="0.25">
      <c r="A643" t="s">
        <v>845</v>
      </c>
      <c r="B643" s="2">
        <v>46009</v>
      </c>
      <c r="C643" t="s">
        <v>107</v>
      </c>
      <c r="D643" t="s">
        <v>93</v>
      </c>
      <c r="E643">
        <v>2025</v>
      </c>
      <c r="F643" t="s">
        <v>67</v>
      </c>
      <c r="G643" t="s">
        <v>35</v>
      </c>
      <c r="H643" t="s">
        <v>168</v>
      </c>
      <c r="I643" t="s">
        <v>251</v>
      </c>
      <c r="J643" t="s">
        <v>80</v>
      </c>
      <c r="K643" t="s">
        <v>50</v>
      </c>
      <c r="L643" t="s">
        <v>94</v>
      </c>
      <c r="M643" t="s">
        <v>73</v>
      </c>
      <c r="N643" t="s">
        <v>74</v>
      </c>
      <c r="O643" t="s">
        <v>43</v>
      </c>
      <c r="P643" t="s">
        <v>75</v>
      </c>
      <c r="Q643">
        <v>45857.71</v>
      </c>
      <c r="R643">
        <v>40911.79</v>
      </c>
      <c r="S643">
        <v>26445.84</v>
      </c>
      <c r="T643">
        <v>5723.84</v>
      </c>
      <c r="U643">
        <v>1181.51</v>
      </c>
      <c r="V643">
        <v>3991.04</v>
      </c>
      <c r="W643">
        <v>1263.33</v>
      </c>
      <c r="X643">
        <v>38605.56</v>
      </c>
      <c r="Y643">
        <v>19411.87</v>
      </c>
      <c r="Z643">
        <v>-19193.689999999999</v>
      </c>
      <c r="AA643">
        <v>-0.43330000000000002</v>
      </c>
      <c r="AB643">
        <v>4945.92</v>
      </c>
      <c r="AC643">
        <v>3668.62</v>
      </c>
      <c r="AD643">
        <v>2109.4499999999998</v>
      </c>
      <c r="AE643">
        <v>44298.54</v>
      </c>
    </row>
    <row r="644" spans="1:31" x14ac:dyDescent="0.25">
      <c r="A644" t="s">
        <v>846</v>
      </c>
      <c r="B644" s="2">
        <v>46103</v>
      </c>
      <c r="C644" t="s">
        <v>125</v>
      </c>
      <c r="D644" t="s">
        <v>58</v>
      </c>
      <c r="E644">
        <v>2026</v>
      </c>
      <c r="F644" t="s">
        <v>47</v>
      </c>
      <c r="G644" t="s">
        <v>35</v>
      </c>
      <c r="H644" t="s">
        <v>78</v>
      </c>
      <c r="I644" t="s">
        <v>79</v>
      </c>
      <c r="J644" t="s">
        <v>80</v>
      </c>
      <c r="K644" t="s">
        <v>160</v>
      </c>
      <c r="L644" t="s">
        <v>72</v>
      </c>
      <c r="M644" t="s">
        <v>88</v>
      </c>
      <c r="N644" t="s">
        <v>89</v>
      </c>
      <c r="O644" t="s">
        <v>43</v>
      </c>
      <c r="P644" t="s">
        <v>90</v>
      </c>
      <c r="Q644">
        <v>81887.570000000007</v>
      </c>
      <c r="R644">
        <v>73387.62</v>
      </c>
      <c r="S644">
        <v>46387.43</v>
      </c>
      <c r="T644">
        <v>9421.2900000000009</v>
      </c>
      <c r="U644">
        <v>5302.42</v>
      </c>
      <c r="V644">
        <v>8379.35</v>
      </c>
      <c r="W644">
        <v>2879.67</v>
      </c>
      <c r="X644">
        <v>72370.16</v>
      </c>
      <c r="Y644">
        <v>35500.14</v>
      </c>
      <c r="Z644">
        <v>-36870.019999999997</v>
      </c>
      <c r="AA644">
        <v>-0.44209999999999999</v>
      </c>
      <c r="AB644">
        <v>8499.9500000000007</v>
      </c>
      <c r="AC644">
        <v>2456.63</v>
      </c>
      <c r="AD644">
        <v>3971.55</v>
      </c>
      <c r="AE644">
        <v>83402.490000000005</v>
      </c>
    </row>
    <row r="645" spans="1:31" x14ac:dyDescent="0.25">
      <c r="A645" t="s">
        <v>847</v>
      </c>
      <c r="B645" s="2">
        <v>45863</v>
      </c>
      <c r="C645" t="s">
        <v>32</v>
      </c>
      <c r="D645" t="s">
        <v>33</v>
      </c>
      <c r="E645">
        <v>2025</v>
      </c>
      <c r="F645" t="s">
        <v>59</v>
      </c>
      <c r="G645" t="s">
        <v>35</v>
      </c>
      <c r="H645" t="s">
        <v>254</v>
      </c>
      <c r="I645" t="s">
        <v>314</v>
      </c>
      <c r="J645" t="s">
        <v>100</v>
      </c>
      <c r="K645" t="s">
        <v>101</v>
      </c>
      <c r="L645" t="s">
        <v>40</v>
      </c>
      <c r="M645" t="s">
        <v>186</v>
      </c>
      <c r="N645" t="s">
        <v>187</v>
      </c>
      <c r="O645" t="s">
        <v>173</v>
      </c>
      <c r="P645" t="s">
        <v>174</v>
      </c>
      <c r="Q645">
        <v>23703.21</v>
      </c>
      <c r="R645">
        <v>25603.35</v>
      </c>
      <c r="S645">
        <v>17017.57</v>
      </c>
      <c r="T645">
        <v>2537.61</v>
      </c>
      <c r="U645">
        <v>845.3</v>
      </c>
      <c r="V645">
        <v>2760.04</v>
      </c>
      <c r="W645">
        <v>791.03</v>
      </c>
      <c r="X645">
        <v>23951.54</v>
      </c>
      <c r="Y645">
        <v>6685.64</v>
      </c>
      <c r="Z645">
        <v>-17265.900000000001</v>
      </c>
      <c r="AA645">
        <v>-0.61729999999999996</v>
      </c>
      <c r="AB645">
        <v>-1900.14</v>
      </c>
      <c r="AC645">
        <v>0</v>
      </c>
      <c r="AD645">
        <v>4266.58</v>
      </c>
      <c r="AE645">
        <v>27969.79</v>
      </c>
    </row>
    <row r="646" spans="1:31" x14ac:dyDescent="0.25">
      <c r="A646" t="s">
        <v>848</v>
      </c>
      <c r="B646" s="2">
        <v>46014</v>
      </c>
      <c r="C646" t="s">
        <v>107</v>
      </c>
      <c r="D646" t="s">
        <v>93</v>
      </c>
      <c r="E646">
        <v>2025</v>
      </c>
      <c r="F646" t="s">
        <v>47</v>
      </c>
      <c r="G646" t="s">
        <v>35</v>
      </c>
      <c r="H646" t="s">
        <v>78</v>
      </c>
      <c r="I646" t="s">
        <v>115</v>
      </c>
      <c r="J646" t="s">
        <v>100</v>
      </c>
      <c r="K646" t="s">
        <v>71</v>
      </c>
      <c r="L646" t="s">
        <v>72</v>
      </c>
      <c r="M646" t="s">
        <v>130</v>
      </c>
      <c r="N646" t="s">
        <v>131</v>
      </c>
      <c r="O646" t="s">
        <v>43</v>
      </c>
      <c r="P646" t="s">
        <v>132</v>
      </c>
      <c r="Q646">
        <v>27109.09</v>
      </c>
      <c r="R646">
        <v>30733.24</v>
      </c>
      <c r="S646">
        <v>18941.02</v>
      </c>
      <c r="T646">
        <v>3135.17</v>
      </c>
      <c r="U646">
        <v>903.19</v>
      </c>
      <c r="V646">
        <v>3248.57</v>
      </c>
      <c r="W646">
        <v>516.44000000000005</v>
      </c>
      <c r="X646">
        <v>26744.38</v>
      </c>
      <c r="Y646">
        <v>8168.07</v>
      </c>
      <c r="Z646">
        <v>-18576.310000000001</v>
      </c>
      <c r="AA646">
        <v>-0.61129999999999995</v>
      </c>
      <c r="AB646">
        <v>-3624.16</v>
      </c>
      <c r="AC646">
        <v>1355.45</v>
      </c>
      <c r="AD646">
        <v>4635.6499999999996</v>
      </c>
      <c r="AE646">
        <v>30389.29</v>
      </c>
    </row>
    <row r="647" spans="1:31" x14ac:dyDescent="0.25">
      <c r="A647" t="s">
        <v>849</v>
      </c>
      <c r="B647" s="2">
        <v>46098</v>
      </c>
      <c r="C647" t="s">
        <v>125</v>
      </c>
      <c r="D647" t="s">
        <v>58</v>
      </c>
      <c r="E647">
        <v>2026</v>
      </c>
      <c r="F647" t="s">
        <v>85</v>
      </c>
      <c r="G647" t="s">
        <v>35</v>
      </c>
      <c r="H647" t="s">
        <v>178</v>
      </c>
      <c r="I647" t="s">
        <v>249</v>
      </c>
      <c r="J647" t="s">
        <v>80</v>
      </c>
      <c r="K647" t="s">
        <v>160</v>
      </c>
      <c r="L647" t="s">
        <v>94</v>
      </c>
      <c r="M647" t="s">
        <v>141</v>
      </c>
      <c r="N647" t="s">
        <v>142</v>
      </c>
      <c r="O647" t="s">
        <v>54</v>
      </c>
      <c r="P647" t="s">
        <v>143</v>
      </c>
      <c r="Q647">
        <v>5546.97</v>
      </c>
      <c r="R647">
        <v>5253.25</v>
      </c>
      <c r="S647">
        <v>3601.89</v>
      </c>
      <c r="T647">
        <v>362.02</v>
      </c>
      <c r="U647">
        <v>338</v>
      </c>
      <c r="V647">
        <v>334.26</v>
      </c>
      <c r="W647">
        <v>241</v>
      </c>
      <c r="X647">
        <v>4877.17</v>
      </c>
      <c r="Y647">
        <v>1945.08</v>
      </c>
      <c r="Z647">
        <v>-2932.08</v>
      </c>
      <c r="AA647">
        <v>-0.50339999999999996</v>
      </c>
      <c r="AB647">
        <v>293.72000000000003</v>
      </c>
      <c r="AC647">
        <v>0</v>
      </c>
      <c r="AD647">
        <v>277.35000000000002</v>
      </c>
      <c r="AE647">
        <v>5824.32</v>
      </c>
    </row>
    <row r="648" spans="1:31" x14ac:dyDescent="0.25">
      <c r="A648" t="s">
        <v>850</v>
      </c>
      <c r="B648" s="2">
        <v>46106</v>
      </c>
      <c r="C648" t="s">
        <v>125</v>
      </c>
      <c r="D648" t="s">
        <v>58</v>
      </c>
      <c r="E648">
        <v>2026</v>
      </c>
      <c r="F648" t="s">
        <v>59</v>
      </c>
      <c r="G648" t="s">
        <v>35</v>
      </c>
      <c r="H648" t="s">
        <v>254</v>
      </c>
      <c r="I648" t="s">
        <v>314</v>
      </c>
      <c r="J648" t="s">
        <v>70</v>
      </c>
      <c r="K648" t="s">
        <v>39</v>
      </c>
      <c r="L648" t="s">
        <v>40</v>
      </c>
      <c r="M648" t="s">
        <v>189</v>
      </c>
      <c r="N648" t="s">
        <v>190</v>
      </c>
      <c r="O648" t="s">
        <v>104</v>
      </c>
      <c r="P648" t="s">
        <v>105</v>
      </c>
      <c r="Q648">
        <v>8219.67</v>
      </c>
      <c r="R648">
        <v>7643.67</v>
      </c>
      <c r="S648">
        <v>5496.73</v>
      </c>
      <c r="T648">
        <v>575.41</v>
      </c>
      <c r="U648">
        <v>428.31</v>
      </c>
      <c r="V648">
        <v>559.25</v>
      </c>
      <c r="W648">
        <v>329.27</v>
      </c>
      <c r="X648">
        <v>7388.97</v>
      </c>
      <c r="Y648">
        <v>2722.95</v>
      </c>
      <c r="Z648">
        <v>-4666.0200000000004</v>
      </c>
      <c r="AA648">
        <v>-0.50680000000000003</v>
      </c>
      <c r="AB648">
        <v>576</v>
      </c>
      <c r="AC648">
        <v>0</v>
      </c>
      <c r="AD648">
        <v>986.36</v>
      </c>
      <c r="AE648">
        <v>9206.0300000000007</v>
      </c>
    </row>
    <row r="649" spans="1:31" x14ac:dyDescent="0.25">
      <c r="A649" t="s">
        <v>851</v>
      </c>
      <c r="B649" s="2">
        <v>45841</v>
      </c>
      <c r="C649" t="s">
        <v>32</v>
      </c>
      <c r="D649" t="s">
        <v>33</v>
      </c>
      <c r="E649">
        <v>2025</v>
      </c>
      <c r="F649" t="s">
        <v>67</v>
      </c>
      <c r="G649" t="s">
        <v>35</v>
      </c>
      <c r="H649" t="s">
        <v>118</v>
      </c>
      <c r="I649" t="s">
        <v>119</v>
      </c>
      <c r="J649" t="s">
        <v>100</v>
      </c>
      <c r="K649" t="s">
        <v>71</v>
      </c>
      <c r="L649" t="s">
        <v>40</v>
      </c>
      <c r="M649" t="s">
        <v>141</v>
      </c>
      <c r="N649" t="s">
        <v>142</v>
      </c>
      <c r="O649" t="s">
        <v>54</v>
      </c>
      <c r="P649" t="s">
        <v>143</v>
      </c>
      <c r="Q649">
        <v>5487.75</v>
      </c>
      <c r="R649">
        <v>5781.34</v>
      </c>
      <c r="S649">
        <v>3541.88</v>
      </c>
      <c r="T649">
        <v>321.31</v>
      </c>
      <c r="U649">
        <v>430.09</v>
      </c>
      <c r="V649">
        <v>410.71</v>
      </c>
      <c r="W649">
        <v>68.77</v>
      </c>
      <c r="X649">
        <v>4772.76</v>
      </c>
      <c r="Y649">
        <v>1945.87</v>
      </c>
      <c r="Z649">
        <v>-2826.88</v>
      </c>
      <c r="AA649">
        <v>-0.49990000000000001</v>
      </c>
      <c r="AB649">
        <v>-293.58999999999997</v>
      </c>
      <c r="AC649">
        <v>439.02</v>
      </c>
      <c r="AD649">
        <v>605.85</v>
      </c>
      <c r="AE649">
        <v>5654.58</v>
      </c>
    </row>
    <row r="650" spans="1:31" x14ac:dyDescent="0.25">
      <c r="A650" t="s">
        <v>852</v>
      </c>
      <c r="B650" s="2">
        <v>46041</v>
      </c>
      <c r="C650" t="s">
        <v>77</v>
      </c>
      <c r="D650" t="s">
        <v>58</v>
      </c>
      <c r="E650">
        <v>2026</v>
      </c>
      <c r="F650" t="s">
        <v>59</v>
      </c>
      <c r="G650" t="s">
        <v>35</v>
      </c>
      <c r="H650" t="s">
        <v>139</v>
      </c>
      <c r="I650" t="s">
        <v>140</v>
      </c>
      <c r="J650" t="s">
        <v>100</v>
      </c>
      <c r="K650" t="s">
        <v>160</v>
      </c>
      <c r="L650" t="s">
        <v>51</v>
      </c>
      <c r="M650" t="s">
        <v>141</v>
      </c>
      <c r="N650" t="s">
        <v>142</v>
      </c>
      <c r="O650" t="s">
        <v>54</v>
      </c>
      <c r="P650" t="s">
        <v>143</v>
      </c>
      <c r="Q650">
        <v>3971.21</v>
      </c>
      <c r="R650">
        <v>4028.48</v>
      </c>
      <c r="S650">
        <v>2236.11</v>
      </c>
      <c r="T650">
        <v>306.02999999999997</v>
      </c>
      <c r="U650">
        <v>307.87</v>
      </c>
      <c r="V650">
        <v>198.4</v>
      </c>
      <c r="W650">
        <v>174.62</v>
      </c>
      <c r="X650">
        <v>3223.04</v>
      </c>
      <c r="Y650">
        <v>1735.09</v>
      </c>
      <c r="Z650">
        <v>-1487.94</v>
      </c>
      <c r="AA650">
        <v>-0.37559999999999999</v>
      </c>
      <c r="AB650">
        <v>-57.27</v>
      </c>
      <c r="AC650">
        <v>198.56</v>
      </c>
      <c r="AD650">
        <v>188.63</v>
      </c>
      <c r="AE650">
        <v>3961.28</v>
      </c>
    </row>
    <row r="651" spans="1:31" x14ac:dyDescent="0.25">
      <c r="A651" t="s">
        <v>853</v>
      </c>
      <c r="B651" s="2">
        <v>45855</v>
      </c>
      <c r="C651" t="s">
        <v>32</v>
      </c>
      <c r="D651" t="s">
        <v>33</v>
      </c>
      <c r="E651">
        <v>2025</v>
      </c>
      <c r="F651" t="s">
        <v>85</v>
      </c>
      <c r="G651" t="s">
        <v>35</v>
      </c>
      <c r="H651" t="s">
        <v>60</v>
      </c>
      <c r="I651" t="s">
        <v>108</v>
      </c>
      <c r="J651" t="s">
        <v>100</v>
      </c>
      <c r="K651" t="s">
        <v>50</v>
      </c>
      <c r="L651" t="s">
        <v>72</v>
      </c>
      <c r="M651" t="s">
        <v>41</v>
      </c>
      <c r="N651" t="s">
        <v>42</v>
      </c>
      <c r="O651" t="s">
        <v>43</v>
      </c>
      <c r="P651" t="s">
        <v>44</v>
      </c>
      <c r="Q651">
        <v>66676.83</v>
      </c>
      <c r="R651">
        <v>72838.25</v>
      </c>
      <c r="S651">
        <v>36072.99</v>
      </c>
      <c r="T651">
        <v>7932.32</v>
      </c>
      <c r="U651">
        <v>5539.1</v>
      </c>
      <c r="V651">
        <v>3702.71</v>
      </c>
      <c r="W651">
        <v>971.21</v>
      </c>
      <c r="X651">
        <v>54218.33</v>
      </c>
      <c r="Y651">
        <v>30603.85</v>
      </c>
      <c r="Z651">
        <v>-23614.49</v>
      </c>
      <c r="AA651">
        <v>-0.33350000000000002</v>
      </c>
      <c r="AB651">
        <v>-6161.42</v>
      </c>
      <c r="AC651">
        <v>6667.68</v>
      </c>
      <c r="AD651">
        <v>10801.65</v>
      </c>
      <c r="AE651">
        <v>70810.8</v>
      </c>
    </row>
    <row r="652" spans="1:31" x14ac:dyDescent="0.25">
      <c r="A652" t="s">
        <v>854</v>
      </c>
      <c r="B652" s="2">
        <v>45994</v>
      </c>
      <c r="C652" t="s">
        <v>107</v>
      </c>
      <c r="D652" t="s">
        <v>93</v>
      </c>
      <c r="E652">
        <v>2025</v>
      </c>
      <c r="F652" t="s">
        <v>85</v>
      </c>
      <c r="G652" t="s">
        <v>35</v>
      </c>
      <c r="H652" t="s">
        <v>86</v>
      </c>
      <c r="I652" t="s">
        <v>181</v>
      </c>
      <c r="J652" t="s">
        <v>100</v>
      </c>
      <c r="K652" t="s">
        <v>101</v>
      </c>
      <c r="L652" t="s">
        <v>72</v>
      </c>
      <c r="M652" t="s">
        <v>95</v>
      </c>
      <c r="N652" t="s">
        <v>96</v>
      </c>
      <c r="O652" t="s">
        <v>43</v>
      </c>
      <c r="P652" t="s">
        <v>90</v>
      </c>
      <c r="Q652">
        <v>54930.7</v>
      </c>
      <c r="R652">
        <v>54930.07</v>
      </c>
      <c r="S652">
        <v>31947.61</v>
      </c>
      <c r="T652">
        <v>5498.25</v>
      </c>
      <c r="U652">
        <v>2397.27</v>
      </c>
      <c r="V652">
        <v>6456.55</v>
      </c>
      <c r="W652">
        <v>1719.55</v>
      </c>
      <c r="X652">
        <v>48019.23</v>
      </c>
      <c r="Y652">
        <v>22983.09</v>
      </c>
      <c r="Z652">
        <v>-25036.14</v>
      </c>
      <c r="AA652">
        <v>-0.3982</v>
      </c>
      <c r="AB652">
        <v>0.62</v>
      </c>
      <c r="AC652">
        <v>1647.92</v>
      </c>
      <c r="AD652">
        <v>9590.9</v>
      </c>
      <c r="AE652">
        <v>62873.68</v>
      </c>
    </row>
    <row r="653" spans="1:31" x14ac:dyDescent="0.25">
      <c r="A653" t="s">
        <v>855</v>
      </c>
      <c r="B653" s="2">
        <v>46078</v>
      </c>
      <c r="C653" t="s">
        <v>57</v>
      </c>
      <c r="D653" t="s">
        <v>58</v>
      </c>
      <c r="E653">
        <v>2026</v>
      </c>
      <c r="F653" t="s">
        <v>59</v>
      </c>
      <c r="G653" t="s">
        <v>35</v>
      </c>
      <c r="H653" t="s">
        <v>139</v>
      </c>
      <c r="I653" t="s">
        <v>140</v>
      </c>
      <c r="J653" t="s">
        <v>70</v>
      </c>
      <c r="K653" t="s">
        <v>39</v>
      </c>
      <c r="L653" t="s">
        <v>94</v>
      </c>
      <c r="M653" t="s">
        <v>186</v>
      </c>
      <c r="N653" t="s">
        <v>187</v>
      </c>
      <c r="O653" t="s">
        <v>173</v>
      </c>
      <c r="P653" t="s">
        <v>174</v>
      </c>
      <c r="Q653">
        <v>30049.47</v>
      </c>
      <c r="R653">
        <v>27096.41</v>
      </c>
      <c r="S653">
        <v>16553.13</v>
      </c>
      <c r="T653">
        <v>1967.74</v>
      </c>
      <c r="U653">
        <v>1833.01</v>
      </c>
      <c r="V653">
        <v>2122.1999999999998</v>
      </c>
      <c r="W653">
        <v>465.9</v>
      </c>
      <c r="X653">
        <v>22941.98</v>
      </c>
      <c r="Y653">
        <v>13496.34</v>
      </c>
      <c r="Z653">
        <v>-9445.64</v>
      </c>
      <c r="AA653">
        <v>-0.2954</v>
      </c>
      <c r="AB653">
        <v>2953.06</v>
      </c>
      <c r="AC653">
        <v>1502.47</v>
      </c>
      <c r="AD653">
        <v>3425.64</v>
      </c>
      <c r="AE653">
        <v>31972.63</v>
      </c>
    </row>
    <row r="654" spans="1:31" x14ac:dyDescent="0.25">
      <c r="A654" t="s">
        <v>856</v>
      </c>
      <c r="B654" s="2">
        <v>46106</v>
      </c>
      <c r="C654" t="s">
        <v>125</v>
      </c>
      <c r="D654" t="s">
        <v>58</v>
      </c>
      <c r="E654">
        <v>2026</v>
      </c>
      <c r="F654" t="s">
        <v>67</v>
      </c>
      <c r="G654" t="s">
        <v>35</v>
      </c>
      <c r="H654" t="s">
        <v>118</v>
      </c>
      <c r="I654" t="s">
        <v>209</v>
      </c>
      <c r="J654" t="s">
        <v>100</v>
      </c>
      <c r="K654" t="s">
        <v>50</v>
      </c>
      <c r="L654" t="s">
        <v>81</v>
      </c>
      <c r="M654" t="s">
        <v>95</v>
      </c>
      <c r="N654" t="s">
        <v>96</v>
      </c>
      <c r="O654" t="s">
        <v>43</v>
      </c>
      <c r="P654" t="s">
        <v>90</v>
      </c>
      <c r="Q654">
        <v>66803.100000000006</v>
      </c>
      <c r="R654">
        <v>66329.899999999994</v>
      </c>
      <c r="S654">
        <v>36821.129999999997</v>
      </c>
      <c r="T654">
        <v>8093.58</v>
      </c>
      <c r="U654">
        <v>6009.52</v>
      </c>
      <c r="V654">
        <v>6254.66</v>
      </c>
      <c r="W654">
        <v>2982.71</v>
      </c>
      <c r="X654">
        <v>60161.61</v>
      </c>
      <c r="Y654">
        <v>29981.97</v>
      </c>
      <c r="Z654">
        <v>-30179.64</v>
      </c>
      <c r="AA654">
        <v>-0.40300000000000002</v>
      </c>
      <c r="AB654">
        <v>473.2</v>
      </c>
      <c r="AC654">
        <v>3340.16</v>
      </c>
      <c r="AD654">
        <v>11423.33</v>
      </c>
      <c r="AE654">
        <v>74886.28</v>
      </c>
    </row>
    <row r="655" spans="1:31" x14ac:dyDescent="0.25">
      <c r="A655" t="s">
        <v>857</v>
      </c>
      <c r="B655" s="2">
        <v>45773</v>
      </c>
      <c r="C655" t="s">
        <v>128</v>
      </c>
      <c r="D655" t="s">
        <v>66</v>
      </c>
      <c r="E655">
        <v>2025</v>
      </c>
      <c r="F655" t="s">
        <v>67</v>
      </c>
      <c r="G655" t="s">
        <v>35</v>
      </c>
      <c r="H655" t="s">
        <v>217</v>
      </c>
      <c r="I655" t="s">
        <v>284</v>
      </c>
      <c r="J655" t="s">
        <v>38</v>
      </c>
      <c r="K655" t="s">
        <v>160</v>
      </c>
      <c r="L655" t="s">
        <v>51</v>
      </c>
      <c r="M655" t="s">
        <v>197</v>
      </c>
      <c r="N655" t="s">
        <v>198</v>
      </c>
      <c r="O655" t="s">
        <v>43</v>
      </c>
      <c r="P655" t="s">
        <v>163</v>
      </c>
      <c r="Q655">
        <v>57988.68</v>
      </c>
      <c r="R655">
        <v>63487.63</v>
      </c>
      <c r="S655">
        <v>33321.57</v>
      </c>
      <c r="T655">
        <v>6040.48</v>
      </c>
      <c r="U655">
        <v>3243.82</v>
      </c>
      <c r="V655">
        <v>6929.75</v>
      </c>
      <c r="W655">
        <v>2059.27</v>
      </c>
      <c r="X655">
        <v>51594.89</v>
      </c>
      <c r="Y655">
        <v>24667.11</v>
      </c>
      <c r="Z655">
        <v>-26927.78</v>
      </c>
      <c r="AA655">
        <v>-0.43730000000000002</v>
      </c>
      <c r="AB655">
        <v>-5498.95</v>
      </c>
      <c r="AC655">
        <v>5798.87</v>
      </c>
      <c r="AD655">
        <v>9394.17</v>
      </c>
      <c r="AE655">
        <v>61583.97</v>
      </c>
    </row>
    <row r="656" spans="1:31" x14ac:dyDescent="0.25">
      <c r="A656" t="s">
        <v>858</v>
      </c>
      <c r="B656" s="2">
        <v>46092</v>
      </c>
      <c r="C656" t="s">
        <v>125</v>
      </c>
      <c r="D656" t="s">
        <v>58</v>
      </c>
      <c r="E656">
        <v>2026</v>
      </c>
      <c r="F656" t="s">
        <v>47</v>
      </c>
      <c r="G656" t="s">
        <v>35</v>
      </c>
      <c r="H656" t="s">
        <v>48</v>
      </c>
      <c r="I656" t="s">
        <v>126</v>
      </c>
      <c r="J656" t="s">
        <v>100</v>
      </c>
      <c r="K656" t="s">
        <v>50</v>
      </c>
      <c r="L656" t="s">
        <v>81</v>
      </c>
      <c r="M656" t="s">
        <v>197</v>
      </c>
      <c r="N656" t="s">
        <v>198</v>
      </c>
      <c r="O656" t="s">
        <v>43</v>
      </c>
      <c r="P656" t="s">
        <v>163</v>
      </c>
      <c r="Q656">
        <v>20171.48</v>
      </c>
      <c r="R656">
        <v>20807.23</v>
      </c>
      <c r="S656">
        <v>12225.13</v>
      </c>
      <c r="T656">
        <v>2580.39</v>
      </c>
      <c r="U656">
        <v>1699.34</v>
      </c>
      <c r="V656">
        <v>1067.82</v>
      </c>
      <c r="W656">
        <v>462.15</v>
      </c>
      <c r="X656">
        <v>18034.810000000001</v>
      </c>
      <c r="Y656">
        <v>7946.35</v>
      </c>
      <c r="Z656">
        <v>-10088.459999999999</v>
      </c>
      <c r="AA656">
        <v>-0.46039999999999998</v>
      </c>
      <c r="AB656">
        <v>-635.75</v>
      </c>
      <c r="AC656">
        <v>605.14</v>
      </c>
      <c r="AD656">
        <v>2347.96</v>
      </c>
      <c r="AE656">
        <v>21914.29</v>
      </c>
    </row>
    <row r="657" spans="1:31" x14ac:dyDescent="0.25">
      <c r="A657" t="s">
        <v>859</v>
      </c>
      <c r="B657" s="2">
        <v>46074</v>
      </c>
      <c r="C657" t="s">
        <v>57</v>
      </c>
      <c r="D657" t="s">
        <v>58</v>
      </c>
      <c r="E657">
        <v>2026</v>
      </c>
      <c r="F657" t="s">
        <v>59</v>
      </c>
      <c r="G657" t="s">
        <v>35</v>
      </c>
      <c r="H657" t="s">
        <v>230</v>
      </c>
      <c r="I657" t="s">
        <v>301</v>
      </c>
      <c r="J657" t="s">
        <v>100</v>
      </c>
      <c r="K657" t="s">
        <v>71</v>
      </c>
      <c r="L657" t="s">
        <v>94</v>
      </c>
      <c r="M657" t="s">
        <v>41</v>
      </c>
      <c r="N657" t="s">
        <v>42</v>
      </c>
      <c r="O657" t="s">
        <v>43</v>
      </c>
      <c r="P657" t="s">
        <v>44</v>
      </c>
      <c r="Q657">
        <v>28545.1</v>
      </c>
      <c r="R657">
        <v>32915.46</v>
      </c>
      <c r="S657">
        <v>15940.09</v>
      </c>
      <c r="T657">
        <v>2566.16</v>
      </c>
      <c r="U657">
        <v>2492.1799999999998</v>
      </c>
      <c r="V657">
        <v>2819.59</v>
      </c>
      <c r="W657">
        <v>1032.5</v>
      </c>
      <c r="X657">
        <v>24850.52</v>
      </c>
      <c r="Y657">
        <v>12605</v>
      </c>
      <c r="Z657">
        <v>-12245.52</v>
      </c>
      <c r="AA657">
        <v>-0.39079999999999998</v>
      </c>
      <c r="AB657">
        <v>-4370.37</v>
      </c>
      <c r="AC657">
        <v>570.9</v>
      </c>
      <c r="AD657">
        <v>3356.9</v>
      </c>
      <c r="AE657">
        <v>31331.1</v>
      </c>
    </row>
    <row r="658" spans="1:31" x14ac:dyDescent="0.25">
      <c r="A658" t="s">
        <v>860</v>
      </c>
      <c r="B658" s="2">
        <v>45816</v>
      </c>
      <c r="C658" t="s">
        <v>156</v>
      </c>
      <c r="D658" t="s">
        <v>66</v>
      </c>
      <c r="E658">
        <v>2025</v>
      </c>
      <c r="F658" t="s">
        <v>59</v>
      </c>
      <c r="G658" t="s">
        <v>35</v>
      </c>
      <c r="H658" t="s">
        <v>139</v>
      </c>
      <c r="I658" t="s">
        <v>140</v>
      </c>
      <c r="J658" t="s">
        <v>38</v>
      </c>
      <c r="K658" t="s">
        <v>160</v>
      </c>
      <c r="L658" t="s">
        <v>40</v>
      </c>
      <c r="M658" t="s">
        <v>189</v>
      </c>
      <c r="N658" t="s">
        <v>190</v>
      </c>
      <c r="O658" t="s">
        <v>104</v>
      </c>
      <c r="P658" t="s">
        <v>105</v>
      </c>
      <c r="Q658">
        <v>11136.02</v>
      </c>
      <c r="R658">
        <v>9829.7800000000007</v>
      </c>
      <c r="S658">
        <v>5974.62</v>
      </c>
      <c r="T658">
        <v>679.5</v>
      </c>
      <c r="U658">
        <v>721.51</v>
      </c>
      <c r="V658">
        <v>593.80999999999995</v>
      </c>
      <c r="W658">
        <v>317.39999999999998</v>
      </c>
      <c r="X658">
        <v>8286.84</v>
      </c>
      <c r="Y658">
        <v>5161.3999999999996</v>
      </c>
      <c r="Z658">
        <v>-3125.45</v>
      </c>
      <c r="AA658">
        <v>-0.26379999999999998</v>
      </c>
      <c r="AB658">
        <v>1306.24</v>
      </c>
      <c r="AC658">
        <v>556.79999999999995</v>
      </c>
      <c r="AD658">
        <v>1269.51</v>
      </c>
      <c r="AE658">
        <v>11848.72</v>
      </c>
    </row>
    <row r="659" spans="1:31" x14ac:dyDescent="0.25">
      <c r="A659" t="s">
        <v>861</v>
      </c>
      <c r="B659" s="2">
        <v>45806</v>
      </c>
      <c r="C659" t="s">
        <v>65</v>
      </c>
      <c r="D659" t="s">
        <v>66</v>
      </c>
      <c r="E659">
        <v>2025</v>
      </c>
      <c r="F659" t="s">
        <v>34</v>
      </c>
      <c r="G659" t="s">
        <v>35</v>
      </c>
      <c r="H659" t="s">
        <v>134</v>
      </c>
      <c r="I659" t="s">
        <v>154</v>
      </c>
      <c r="J659" t="s">
        <v>100</v>
      </c>
      <c r="K659" t="s">
        <v>71</v>
      </c>
      <c r="L659" t="s">
        <v>72</v>
      </c>
      <c r="M659" t="s">
        <v>62</v>
      </c>
      <c r="N659" t="s">
        <v>63</v>
      </c>
      <c r="O659" t="s">
        <v>54</v>
      </c>
      <c r="P659" t="s">
        <v>55</v>
      </c>
      <c r="Q659">
        <v>4667.08</v>
      </c>
      <c r="R659">
        <v>4825.13</v>
      </c>
      <c r="S659">
        <v>3038.87</v>
      </c>
      <c r="T659">
        <v>335.47</v>
      </c>
      <c r="U659">
        <v>153.56</v>
      </c>
      <c r="V659">
        <v>394.3</v>
      </c>
      <c r="W659">
        <v>100.08</v>
      </c>
      <c r="X659">
        <v>4022.28</v>
      </c>
      <c r="Y659">
        <v>1628.22</v>
      </c>
      <c r="Z659">
        <v>-2394.06</v>
      </c>
      <c r="AA659">
        <v>-0.44819999999999999</v>
      </c>
      <c r="AB659">
        <v>-158.05000000000001</v>
      </c>
      <c r="AC659">
        <v>140.01</v>
      </c>
      <c r="AD659">
        <v>814.87</v>
      </c>
      <c r="AE659">
        <v>5341.94</v>
      </c>
    </row>
    <row r="660" spans="1:31" x14ac:dyDescent="0.25">
      <c r="A660" t="s">
        <v>862</v>
      </c>
      <c r="B660" s="2">
        <v>45812</v>
      </c>
      <c r="C660" t="s">
        <v>156</v>
      </c>
      <c r="D660" t="s">
        <v>66</v>
      </c>
      <c r="E660">
        <v>2025</v>
      </c>
      <c r="F660" t="s">
        <v>47</v>
      </c>
      <c r="G660" t="s">
        <v>35</v>
      </c>
      <c r="H660" t="s">
        <v>214</v>
      </c>
      <c r="I660" t="s">
        <v>220</v>
      </c>
      <c r="J660" t="s">
        <v>38</v>
      </c>
      <c r="K660" t="s">
        <v>50</v>
      </c>
      <c r="L660" t="s">
        <v>72</v>
      </c>
      <c r="M660" t="s">
        <v>141</v>
      </c>
      <c r="N660" t="s">
        <v>142</v>
      </c>
      <c r="O660" t="s">
        <v>54</v>
      </c>
      <c r="P660" t="s">
        <v>143</v>
      </c>
      <c r="Q660">
        <v>7900.97</v>
      </c>
      <c r="R660">
        <v>7165.27</v>
      </c>
      <c r="S660">
        <v>4032.46</v>
      </c>
      <c r="T660">
        <v>917.55</v>
      </c>
      <c r="U660">
        <v>641.63</v>
      </c>
      <c r="V660">
        <v>597.6</v>
      </c>
      <c r="W660">
        <v>276.47000000000003</v>
      </c>
      <c r="X660">
        <v>6465.72</v>
      </c>
      <c r="Y660">
        <v>3868.52</v>
      </c>
      <c r="Z660">
        <v>-2597.1999999999998</v>
      </c>
      <c r="AA660">
        <v>-0.34029999999999999</v>
      </c>
      <c r="AB660">
        <v>735.71</v>
      </c>
      <c r="AC660">
        <v>632.08000000000004</v>
      </c>
      <c r="AD660">
        <v>363.44</v>
      </c>
      <c r="AE660">
        <v>7632.34</v>
      </c>
    </row>
    <row r="661" spans="1:31" x14ac:dyDescent="0.25">
      <c r="A661" t="s">
        <v>863</v>
      </c>
      <c r="B661" s="2">
        <v>45807</v>
      </c>
      <c r="C661" t="s">
        <v>65</v>
      </c>
      <c r="D661" t="s">
        <v>66</v>
      </c>
      <c r="E661">
        <v>2025</v>
      </c>
      <c r="F661" t="s">
        <v>34</v>
      </c>
      <c r="G661" t="s">
        <v>35</v>
      </c>
      <c r="H661" t="s">
        <v>36</v>
      </c>
      <c r="I661" t="s">
        <v>245</v>
      </c>
      <c r="J661" t="s">
        <v>38</v>
      </c>
      <c r="K661" t="s">
        <v>50</v>
      </c>
      <c r="L661" t="s">
        <v>72</v>
      </c>
      <c r="M661" t="s">
        <v>130</v>
      </c>
      <c r="N661" t="s">
        <v>131</v>
      </c>
      <c r="O661" t="s">
        <v>43</v>
      </c>
      <c r="P661" t="s">
        <v>132</v>
      </c>
      <c r="Q661">
        <v>24061.17</v>
      </c>
      <c r="R661">
        <v>25447.99</v>
      </c>
      <c r="S661">
        <v>16281.82</v>
      </c>
      <c r="T661">
        <v>2791.68</v>
      </c>
      <c r="U661">
        <v>705.39</v>
      </c>
      <c r="V661">
        <v>1291.33</v>
      </c>
      <c r="W661">
        <v>502.62</v>
      </c>
      <c r="X661">
        <v>21572.84</v>
      </c>
      <c r="Y661">
        <v>7779.36</v>
      </c>
      <c r="Z661">
        <v>-13793.49</v>
      </c>
      <c r="AA661">
        <v>-0.49569999999999997</v>
      </c>
      <c r="AB661">
        <v>-1386.81</v>
      </c>
      <c r="AC661">
        <v>481.22</v>
      </c>
      <c r="AD661">
        <v>4244.3900000000003</v>
      </c>
      <c r="AE661">
        <v>27824.34</v>
      </c>
    </row>
    <row r="662" spans="1:31" x14ac:dyDescent="0.25">
      <c r="A662" t="s">
        <v>864</v>
      </c>
      <c r="B662" s="2">
        <v>45770</v>
      </c>
      <c r="C662" t="s">
        <v>128</v>
      </c>
      <c r="D662" t="s">
        <v>66</v>
      </c>
      <c r="E662">
        <v>2025</v>
      </c>
      <c r="F662" t="s">
        <v>67</v>
      </c>
      <c r="G662" t="s">
        <v>35</v>
      </c>
      <c r="H662" t="s">
        <v>217</v>
      </c>
      <c r="I662" t="s">
        <v>284</v>
      </c>
      <c r="J662" t="s">
        <v>70</v>
      </c>
      <c r="K662" t="s">
        <v>101</v>
      </c>
      <c r="L662" t="s">
        <v>72</v>
      </c>
      <c r="M662" t="s">
        <v>41</v>
      </c>
      <c r="N662" t="s">
        <v>42</v>
      </c>
      <c r="O662" t="s">
        <v>43</v>
      </c>
      <c r="P662" t="s">
        <v>44</v>
      </c>
      <c r="Q662">
        <v>49566.12</v>
      </c>
      <c r="R662">
        <v>54770.37</v>
      </c>
      <c r="S662">
        <v>29857.32</v>
      </c>
      <c r="T662">
        <v>2893.96</v>
      </c>
      <c r="U662">
        <v>4004.39</v>
      </c>
      <c r="V662">
        <v>3210.95</v>
      </c>
      <c r="W662">
        <v>2180.6799999999998</v>
      </c>
      <c r="X662">
        <v>42147.31</v>
      </c>
      <c r="Y662">
        <v>19708.8</v>
      </c>
      <c r="Z662">
        <v>-22438.51</v>
      </c>
      <c r="AA662">
        <v>-0.3836</v>
      </c>
      <c r="AB662">
        <v>-5204.25</v>
      </c>
      <c r="AC662">
        <v>0</v>
      </c>
      <c r="AD662">
        <v>8921.9</v>
      </c>
      <c r="AE662">
        <v>58488.02</v>
      </c>
    </row>
    <row r="663" spans="1:31" x14ac:dyDescent="0.25">
      <c r="A663" t="s">
        <v>865</v>
      </c>
      <c r="B663" s="2">
        <v>45933</v>
      </c>
      <c r="C663" t="s">
        <v>92</v>
      </c>
      <c r="D663" t="s">
        <v>93</v>
      </c>
      <c r="E663">
        <v>2025</v>
      </c>
      <c r="F663" t="s">
        <v>85</v>
      </c>
      <c r="G663" t="s">
        <v>35</v>
      </c>
      <c r="H663" t="s">
        <v>178</v>
      </c>
      <c r="I663" t="s">
        <v>329</v>
      </c>
      <c r="J663" t="s">
        <v>80</v>
      </c>
      <c r="K663" t="s">
        <v>71</v>
      </c>
      <c r="L663" t="s">
        <v>94</v>
      </c>
      <c r="M663" t="s">
        <v>186</v>
      </c>
      <c r="N663" t="s">
        <v>187</v>
      </c>
      <c r="O663" t="s">
        <v>173</v>
      </c>
      <c r="P663" t="s">
        <v>174</v>
      </c>
      <c r="Q663">
        <v>16821.86</v>
      </c>
      <c r="R663">
        <v>16072.67</v>
      </c>
      <c r="S663">
        <v>9460.9699999999993</v>
      </c>
      <c r="T663">
        <v>1459.94</v>
      </c>
      <c r="U663">
        <v>630.47</v>
      </c>
      <c r="V663">
        <v>975.5</v>
      </c>
      <c r="W663">
        <v>328.09</v>
      </c>
      <c r="X663">
        <v>12854.97</v>
      </c>
      <c r="Y663">
        <v>7360.89</v>
      </c>
      <c r="Z663">
        <v>-5494.08</v>
      </c>
      <c r="AA663">
        <v>-0.2853</v>
      </c>
      <c r="AB663">
        <v>749.18</v>
      </c>
      <c r="AC663">
        <v>504.66</v>
      </c>
      <c r="AD663">
        <v>2937.1</v>
      </c>
      <c r="AE663">
        <v>19254.3</v>
      </c>
    </row>
    <row r="664" spans="1:31" x14ac:dyDescent="0.25">
      <c r="A664" t="s">
        <v>866</v>
      </c>
      <c r="B664" s="2">
        <v>45983</v>
      </c>
      <c r="C664" t="s">
        <v>147</v>
      </c>
      <c r="D664" t="s">
        <v>93</v>
      </c>
      <c r="E664">
        <v>2025</v>
      </c>
      <c r="F664" t="s">
        <v>59</v>
      </c>
      <c r="G664" t="s">
        <v>35</v>
      </c>
      <c r="H664" t="s">
        <v>60</v>
      </c>
      <c r="I664" t="s">
        <v>108</v>
      </c>
      <c r="J664" t="s">
        <v>80</v>
      </c>
      <c r="K664" t="s">
        <v>50</v>
      </c>
      <c r="L664" t="s">
        <v>94</v>
      </c>
      <c r="M664" t="s">
        <v>73</v>
      </c>
      <c r="N664" t="s">
        <v>74</v>
      </c>
      <c r="O664" t="s">
        <v>43</v>
      </c>
      <c r="P664" t="s">
        <v>75</v>
      </c>
      <c r="Q664">
        <v>47018.41</v>
      </c>
      <c r="R664">
        <v>45914.47</v>
      </c>
      <c r="S664">
        <v>23415.42</v>
      </c>
      <c r="T664">
        <v>5719.89</v>
      </c>
      <c r="U664">
        <v>3628.6</v>
      </c>
      <c r="V664">
        <v>2405.56</v>
      </c>
      <c r="W664">
        <v>1748.47</v>
      </c>
      <c r="X664">
        <v>36917.93</v>
      </c>
      <c r="Y664">
        <v>23602.99</v>
      </c>
      <c r="Z664">
        <v>-13314.94</v>
      </c>
      <c r="AA664">
        <v>-0.26619999999999999</v>
      </c>
      <c r="AB664">
        <v>1103.94</v>
      </c>
      <c r="AC664">
        <v>2350.92</v>
      </c>
      <c r="AD664">
        <v>5360.1</v>
      </c>
      <c r="AE664">
        <v>50027.59</v>
      </c>
    </row>
    <row r="665" spans="1:31" x14ac:dyDescent="0.25">
      <c r="A665" t="s">
        <v>867</v>
      </c>
      <c r="B665" s="2">
        <v>45948</v>
      </c>
      <c r="C665" t="s">
        <v>92</v>
      </c>
      <c r="D665" t="s">
        <v>93</v>
      </c>
      <c r="E665">
        <v>2025</v>
      </c>
      <c r="F665" t="s">
        <v>85</v>
      </c>
      <c r="G665" t="s">
        <v>35</v>
      </c>
      <c r="H665" t="s">
        <v>60</v>
      </c>
      <c r="I665" t="s">
        <v>185</v>
      </c>
      <c r="J665" t="s">
        <v>38</v>
      </c>
      <c r="K665" t="s">
        <v>50</v>
      </c>
      <c r="L665" t="s">
        <v>72</v>
      </c>
      <c r="M665" t="s">
        <v>73</v>
      </c>
      <c r="N665" t="s">
        <v>74</v>
      </c>
      <c r="O665" t="s">
        <v>43</v>
      </c>
      <c r="P665" t="s">
        <v>75</v>
      </c>
      <c r="Q665">
        <v>22489.48</v>
      </c>
      <c r="R665">
        <v>21211.84</v>
      </c>
      <c r="S665">
        <v>15916.32</v>
      </c>
      <c r="T665">
        <v>1728.17</v>
      </c>
      <c r="U665">
        <v>1037.6500000000001</v>
      </c>
      <c r="V665">
        <v>2560.89</v>
      </c>
      <c r="W665">
        <v>553.4</v>
      </c>
      <c r="X665">
        <v>21796.43</v>
      </c>
      <c r="Y665">
        <v>6573.16</v>
      </c>
      <c r="Z665">
        <v>-15223.28</v>
      </c>
      <c r="AA665">
        <v>-0.71630000000000005</v>
      </c>
      <c r="AB665">
        <v>1277.6400000000001</v>
      </c>
      <c r="AC665">
        <v>2248.9499999999998</v>
      </c>
      <c r="AD665">
        <v>1012.03</v>
      </c>
      <c r="AE665">
        <v>21252.560000000001</v>
      </c>
    </row>
    <row r="666" spans="1:31" x14ac:dyDescent="0.25">
      <c r="A666" t="s">
        <v>868</v>
      </c>
      <c r="B666" s="2">
        <v>46017</v>
      </c>
      <c r="C666" t="s">
        <v>107</v>
      </c>
      <c r="D666" t="s">
        <v>93</v>
      </c>
      <c r="E666">
        <v>2025</v>
      </c>
      <c r="F666" t="s">
        <v>85</v>
      </c>
      <c r="G666" t="s">
        <v>35</v>
      </c>
      <c r="H666" t="s">
        <v>86</v>
      </c>
      <c r="I666" t="s">
        <v>262</v>
      </c>
      <c r="J666" t="s">
        <v>70</v>
      </c>
      <c r="K666" t="s">
        <v>50</v>
      </c>
      <c r="L666" t="s">
        <v>94</v>
      </c>
      <c r="M666" t="s">
        <v>110</v>
      </c>
      <c r="N666" t="s">
        <v>111</v>
      </c>
      <c r="O666" t="s">
        <v>112</v>
      </c>
      <c r="P666" t="s">
        <v>113</v>
      </c>
      <c r="Q666">
        <v>25929.67</v>
      </c>
      <c r="R666">
        <v>25907.95</v>
      </c>
      <c r="S666">
        <v>13766.67</v>
      </c>
      <c r="T666">
        <v>3186.73</v>
      </c>
      <c r="U666">
        <v>2220.98</v>
      </c>
      <c r="V666">
        <v>2069.34</v>
      </c>
      <c r="W666">
        <v>265.19</v>
      </c>
      <c r="X666">
        <v>21508.91</v>
      </c>
      <c r="Y666">
        <v>12163.01</v>
      </c>
      <c r="Z666">
        <v>-9345.9</v>
      </c>
      <c r="AA666">
        <v>-0.32179999999999997</v>
      </c>
      <c r="AB666">
        <v>21.72</v>
      </c>
      <c r="AC666">
        <v>0</v>
      </c>
      <c r="AD666">
        <v>3111.56</v>
      </c>
      <c r="AE666">
        <v>29041.23</v>
      </c>
    </row>
    <row r="667" spans="1:31" x14ac:dyDescent="0.25">
      <c r="A667" t="s">
        <v>869</v>
      </c>
      <c r="B667" s="2">
        <v>45959</v>
      </c>
      <c r="C667" t="s">
        <v>92</v>
      </c>
      <c r="D667" t="s">
        <v>93</v>
      </c>
      <c r="E667">
        <v>2025</v>
      </c>
      <c r="F667" t="s">
        <v>85</v>
      </c>
      <c r="G667" t="s">
        <v>35</v>
      </c>
      <c r="H667" t="s">
        <v>178</v>
      </c>
      <c r="I667" t="s">
        <v>329</v>
      </c>
      <c r="J667" t="s">
        <v>38</v>
      </c>
      <c r="K667" t="s">
        <v>71</v>
      </c>
      <c r="L667" t="s">
        <v>72</v>
      </c>
      <c r="M667" t="s">
        <v>120</v>
      </c>
      <c r="N667" t="s">
        <v>121</v>
      </c>
      <c r="O667" t="s">
        <v>43</v>
      </c>
      <c r="P667" t="s">
        <v>122</v>
      </c>
      <c r="Q667">
        <v>50661.52</v>
      </c>
      <c r="R667">
        <v>50739.9</v>
      </c>
      <c r="S667">
        <v>28018.26</v>
      </c>
      <c r="T667">
        <v>5299.17</v>
      </c>
      <c r="U667">
        <v>4057.58</v>
      </c>
      <c r="V667">
        <v>4837.6400000000003</v>
      </c>
      <c r="W667">
        <v>2159.38</v>
      </c>
      <c r="X667">
        <v>44372.03</v>
      </c>
      <c r="Y667">
        <v>22643.25</v>
      </c>
      <c r="Z667">
        <v>-21728.77</v>
      </c>
      <c r="AA667">
        <v>-0.3826</v>
      </c>
      <c r="AB667">
        <v>-78.39</v>
      </c>
      <c r="AC667">
        <v>2533.08</v>
      </c>
      <c r="AD667">
        <v>8663.1200000000008</v>
      </c>
      <c r="AE667">
        <v>56791.56</v>
      </c>
    </row>
    <row r="668" spans="1:31" x14ac:dyDescent="0.25">
      <c r="A668" t="s">
        <v>870</v>
      </c>
      <c r="B668" s="2">
        <v>45790</v>
      </c>
      <c r="C668" t="s">
        <v>65</v>
      </c>
      <c r="D668" t="s">
        <v>66</v>
      </c>
      <c r="E668">
        <v>2025</v>
      </c>
      <c r="F668" t="s">
        <v>34</v>
      </c>
      <c r="G668" t="s">
        <v>35</v>
      </c>
      <c r="H668" t="s">
        <v>98</v>
      </c>
      <c r="I668" t="s">
        <v>99</v>
      </c>
      <c r="J668" t="s">
        <v>38</v>
      </c>
      <c r="K668" t="s">
        <v>50</v>
      </c>
      <c r="L668" t="s">
        <v>40</v>
      </c>
      <c r="M668" t="s">
        <v>120</v>
      </c>
      <c r="N668" t="s">
        <v>121</v>
      </c>
      <c r="O668" t="s">
        <v>43</v>
      </c>
      <c r="P668" t="s">
        <v>122</v>
      </c>
      <c r="Q668">
        <v>51931.31</v>
      </c>
      <c r="R668">
        <v>52847.49</v>
      </c>
      <c r="S668">
        <v>37186.67</v>
      </c>
      <c r="T668">
        <v>4226.9799999999996</v>
      </c>
      <c r="U668">
        <v>2521.2199999999998</v>
      </c>
      <c r="V668">
        <v>3400.9</v>
      </c>
      <c r="W668">
        <v>2145.61</v>
      </c>
      <c r="X668">
        <v>49481.38</v>
      </c>
      <c r="Y668">
        <v>14744.64</v>
      </c>
      <c r="Z668">
        <v>-34736.74</v>
      </c>
      <c r="AA668">
        <v>-0.58440000000000003</v>
      </c>
      <c r="AB668">
        <v>-916.18</v>
      </c>
      <c r="AC668">
        <v>1557.94</v>
      </c>
      <c r="AD668">
        <v>9067.2099999999991</v>
      </c>
      <c r="AE668">
        <v>59440.58</v>
      </c>
    </row>
    <row r="669" spans="1:31" x14ac:dyDescent="0.25">
      <c r="A669" t="s">
        <v>871</v>
      </c>
      <c r="B669" s="2">
        <v>45935</v>
      </c>
      <c r="C669" t="s">
        <v>92</v>
      </c>
      <c r="D669" t="s">
        <v>93</v>
      </c>
      <c r="E669">
        <v>2025</v>
      </c>
      <c r="F669" t="s">
        <v>67</v>
      </c>
      <c r="G669" t="s">
        <v>35</v>
      </c>
      <c r="H669" t="s">
        <v>68</v>
      </c>
      <c r="I669" t="s">
        <v>204</v>
      </c>
      <c r="J669" t="s">
        <v>80</v>
      </c>
      <c r="K669" t="s">
        <v>39</v>
      </c>
      <c r="L669" t="s">
        <v>40</v>
      </c>
      <c r="M669" t="s">
        <v>52</v>
      </c>
      <c r="N669" t="s">
        <v>53</v>
      </c>
      <c r="O669" t="s">
        <v>54</v>
      </c>
      <c r="P669" t="s">
        <v>55</v>
      </c>
      <c r="Q669">
        <v>7292.31</v>
      </c>
      <c r="R669">
        <v>7975.13</v>
      </c>
      <c r="S669">
        <v>4240.08</v>
      </c>
      <c r="T669">
        <v>744.68</v>
      </c>
      <c r="U669">
        <v>305.08999999999997</v>
      </c>
      <c r="V669">
        <v>332.39</v>
      </c>
      <c r="W669">
        <v>178.45</v>
      </c>
      <c r="X669">
        <v>5800.7</v>
      </c>
      <c r="Y669">
        <v>3052.24</v>
      </c>
      <c r="Z669">
        <v>-2748.46</v>
      </c>
      <c r="AA669">
        <v>-0.34689999999999999</v>
      </c>
      <c r="AB669">
        <v>-682.82</v>
      </c>
      <c r="AC669">
        <v>218.77</v>
      </c>
      <c r="AD669">
        <v>848.83</v>
      </c>
      <c r="AE669">
        <v>7922.37</v>
      </c>
    </row>
    <row r="670" spans="1:31" x14ac:dyDescent="0.25">
      <c r="A670" t="s">
        <v>872</v>
      </c>
      <c r="B670" s="2">
        <v>46096</v>
      </c>
      <c r="C670" t="s">
        <v>125</v>
      </c>
      <c r="D670" t="s">
        <v>58</v>
      </c>
      <c r="E670">
        <v>2026</v>
      </c>
      <c r="F670" t="s">
        <v>59</v>
      </c>
      <c r="G670" t="s">
        <v>35</v>
      </c>
      <c r="H670" t="s">
        <v>139</v>
      </c>
      <c r="I670" t="s">
        <v>152</v>
      </c>
      <c r="J670" t="s">
        <v>38</v>
      </c>
      <c r="K670" t="s">
        <v>71</v>
      </c>
      <c r="L670" t="s">
        <v>51</v>
      </c>
      <c r="M670" t="s">
        <v>95</v>
      </c>
      <c r="N670" t="s">
        <v>96</v>
      </c>
      <c r="O670" t="s">
        <v>43</v>
      </c>
      <c r="P670" t="s">
        <v>90</v>
      </c>
      <c r="Q670">
        <v>58985.93</v>
      </c>
      <c r="R670">
        <v>62486.080000000002</v>
      </c>
      <c r="S670">
        <v>28523.74</v>
      </c>
      <c r="T670">
        <v>4614.4799999999996</v>
      </c>
      <c r="U670">
        <v>2023.16</v>
      </c>
      <c r="V670">
        <v>6722.67</v>
      </c>
      <c r="W670">
        <v>804.59</v>
      </c>
      <c r="X670">
        <v>42688.639999999999</v>
      </c>
      <c r="Y670">
        <v>30462.19</v>
      </c>
      <c r="Z670">
        <v>-12226.45</v>
      </c>
      <c r="AA670">
        <v>-0.20349999999999999</v>
      </c>
      <c r="AB670">
        <v>-3500.15</v>
      </c>
      <c r="AC670">
        <v>1769.58</v>
      </c>
      <c r="AD670">
        <v>2860.82</v>
      </c>
      <c r="AE670">
        <v>60077.17</v>
      </c>
    </row>
    <row r="671" spans="1:31" x14ac:dyDescent="0.25">
      <c r="A671" t="s">
        <v>873</v>
      </c>
      <c r="B671" s="2">
        <v>45893</v>
      </c>
      <c r="C671" t="s">
        <v>117</v>
      </c>
      <c r="D671" t="s">
        <v>33</v>
      </c>
      <c r="E671">
        <v>2025</v>
      </c>
      <c r="F671" t="s">
        <v>47</v>
      </c>
      <c r="G671" t="s">
        <v>35</v>
      </c>
      <c r="H671" t="s">
        <v>78</v>
      </c>
      <c r="I671" t="s">
        <v>115</v>
      </c>
      <c r="J671" t="s">
        <v>38</v>
      </c>
      <c r="K671" t="s">
        <v>50</v>
      </c>
      <c r="L671" t="s">
        <v>40</v>
      </c>
      <c r="M671" t="s">
        <v>235</v>
      </c>
      <c r="N671" t="s">
        <v>236</v>
      </c>
      <c r="O671" t="s">
        <v>104</v>
      </c>
      <c r="P671" t="s">
        <v>237</v>
      </c>
      <c r="Q671">
        <v>30210.61</v>
      </c>
      <c r="R671">
        <v>27232.91</v>
      </c>
      <c r="S671">
        <v>14736.44</v>
      </c>
      <c r="T671">
        <v>3310.01</v>
      </c>
      <c r="U671">
        <v>1017.13</v>
      </c>
      <c r="V671">
        <v>1529.86</v>
      </c>
      <c r="W671">
        <v>325.76</v>
      </c>
      <c r="X671">
        <v>20919.2</v>
      </c>
      <c r="Y671">
        <v>15474.16</v>
      </c>
      <c r="Z671">
        <v>-5445.04</v>
      </c>
      <c r="AA671">
        <v>-0.16089999999999999</v>
      </c>
      <c r="AB671">
        <v>2977.7</v>
      </c>
      <c r="AC671">
        <v>0</v>
      </c>
      <c r="AD671">
        <v>3625.27</v>
      </c>
      <c r="AE671">
        <v>33835.879999999997</v>
      </c>
    </row>
    <row r="672" spans="1:31" x14ac:dyDescent="0.25">
      <c r="A672" t="s">
        <v>874</v>
      </c>
      <c r="B672" s="2">
        <v>46065</v>
      </c>
      <c r="C672" t="s">
        <v>57</v>
      </c>
      <c r="D672" t="s">
        <v>58</v>
      </c>
      <c r="E672">
        <v>2026</v>
      </c>
      <c r="F672" t="s">
        <v>59</v>
      </c>
      <c r="G672" t="s">
        <v>35</v>
      </c>
      <c r="H672" t="s">
        <v>254</v>
      </c>
      <c r="I672" t="s">
        <v>255</v>
      </c>
      <c r="J672" t="s">
        <v>70</v>
      </c>
      <c r="K672" t="s">
        <v>50</v>
      </c>
      <c r="L672" t="s">
        <v>51</v>
      </c>
      <c r="M672" t="s">
        <v>130</v>
      </c>
      <c r="N672" t="s">
        <v>131</v>
      </c>
      <c r="O672" t="s">
        <v>43</v>
      </c>
      <c r="P672" t="s">
        <v>132</v>
      </c>
      <c r="Q672">
        <v>25677.78</v>
      </c>
      <c r="R672">
        <v>25036.45</v>
      </c>
      <c r="S672">
        <v>16945.810000000001</v>
      </c>
      <c r="T672">
        <v>1563.78</v>
      </c>
      <c r="U672">
        <v>2140.56</v>
      </c>
      <c r="V672">
        <v>1525.42</v>
      </c>
      <c r="W672">
        <v>574.15</v>
      </c>
      <c r="X672">
        <v>22749.72</v>
      </c>
      <c r="Y672">
        <v>8731.9699999999993</v>
      </c>
      <c r="Z672">
        <v>-14017.75</v>
      </c>
      <c r="AA672">
        <v>-0.54159999999999997</v>
      </c>
      <c r="AB672">
        <v>641.32000000000005</v>
      </c>
      <c r="AC672">
        <v>2567.7800000000002</v>
      </c>
      <c r="AD672">
        <v>2773.2</v>
      </c>
      <c r="AE672">
        <v>25883.200000000001</v>
      </c>
    </row>
    <row r="673" spans="1:31" x14ac:dyDescent="0.25">
      <c r="A673" t="s">
        <v>875</v>
      </c>
      <c r="B673" s="2">
        <v>46035</v>
      </c>
      <c r="C673" t="s">
        <v>77</v>
      </c>
      <c r="D673" t="s">
        <v>58</v>
      </c>
      <c r="E673">
        <v>2026</v>
      </c>
      <c r="F673" t="s">
        <v>85</v>
      </c>
      <c r="G673" t="s">
        <v>35</v>
      </c>
      <c r="H673" t="s">
        <v>178</v>
      </c>
      <c r="I673" t="s">
        <v>329</v>
      </c>
      <c r="J673" t="s">
        <v>100</v>
      </c>
      <c r="K673" t="s">
        <v>39</v>
      </c>
      <c r="L673" t="s">
        <v>40</v>
      </c>
      <c r="M673" t="s">
        <v>52</v>
      </c>
      <c r="N673" t="s">
        <v>53</v>
      </c>
      <c r="O673" t="s">
        <v>54</v>
      </c>
      <c r="P673" t="s">
        <v>55</v>
      </c>
      <c r="Q673">
        <v>6523.89</v>
      </c>
      <c r="R673">
        <v>6470.01</v>
      </c>
      <c r="S673">
        <v>3845.03</v>
      </c>
      <c r="T673">
        <v>418.59</v>
      </c>
      <c r="U673">
        <v>431.95</v>
      </c>
      <c r="V673">
        <v>451.01</v>
      </c>
      <c r="W673">
        <v>259.86</v>
      </c>
      <c r="X673">
        <v>5406.45</v>
      </c>
      <c r="Y673">
        <v>2678.86</v>
      </c>
      <c r="Z673">
        <v>-2727.58</v>
      </c>
      <c r="AA673">
        <v>-0.373</v>
      </c>
      <c r="AB673">
        <v>53.88</v>
      </c>
      <c r="AC673">
        <v>326.19</v>
      </c>
      <c r="AD673">
        <v>1115.5899999999999</v>
      </c>
      <c r="AE673">
        <v>7313.28</v>
      </c>
    </row>
    <row r="674" spans="1:31" x14ac:dyDescent="0.25">
      <c r="A674" t="s">
        <v>876</v>
      </c>
      <c r="B674" s="2">
        <v>46092</v>
      </c>
      <c r="C674" t="s">
        <v>125</v>
      </c>
      <c r="D674" t="s">
        <v>58</v>
      </c>
      <c r="E674">
        <v>2026</v>
      </c>
      <c r="F674" t="s">
        <v>85</v>
      </c>
      <c r="G674" t="s">
        <v>35</v>
      </c>
      <c r="H674" t="s">
        <v>86</v>
      </c>
      <c r="I674" t="s">
        <v>262</v>
      </c>
      <c r="J674" t="s">
        <v>38</v>
      </c>
      <c r="K674" t="s">
        <v>50</v>
      </c>
      <c r="L674" t="s">
        <v>81</v>
      </c>
      <c r="M674" t="s">
        <v>189</v>
      </c>
      <c r="N674" t="s">
        <v>190</v>
      </c>
      <c r="O674" t="s">
        <v>104</v>
      </c>
      <c r="P674" t="s">
        <v>105</v>
      </c>
      <c r="Q674">
        <v>10708.54</v>
      </c>
      <c r="R674">
        <v>10159.16</v>
      </c>
      <c r="S674">
        <v>6493.6</v>
      </c>
      <c r="T674">
        <v>922.26</v>
      </c>
      <c r="U674">
        <v>671.15</v>
      </c>
      <c r="V674">
        <v>1179.79</v>
      </c>
      <c r="W674">
        <v>432.32</v>
      </c>
      <c r="X674">
        <v>9699.1200000000008</v>
      </c>
      <c r="Y674">
        <v>4214.95</v>
      </c>
      <c r="Z674">
        <v>-5484.17</v>
      </c>
      <c r="AA674">
        <v>-0.50280000000000002</v>
      </c>
      <c r="AB674">
        <v>549.39</v>
      </c>
      <c r="AC674">
        <v>321.26</v>
      </c>
      <c r="AD674">
        <v>519.36</v>
      </c>
      <c r="AE674">
        <v>10906.65</v>
      </c>
    </row>
    <row r="675" spans="1:31" x14ac:dyDescent="0.25">
      <c r="A675" t="s">
        <v>877</v>
      </c>
      <c r="B675" s="2">
        <v>45789</v>
      </c>
      <c r="C675" t="s">
        <v>65</v>
      </c>
      <c r="D675" t="s">
        <v>66</v>
      </c>
      <c r="E675">
        <v>2025</v>
      </c>
      <c r="F675" t="s">
        <v>34</v>
      </c>
      <c r="G675" t="s">
        <v>35</v>
      </c>
      <c r="H675" t="s">
        <v>157</v>
      </c>
      <c r="I675" t="s">
        <v>158</v>
      </c>
      <c r="J675" t="s">
        <v>38</v>
      </c>
      <c r="K675" t="s">
        <v>50</v>
      </c>
      <c r="L675" t="s">
        <v>40</v>
      </c>
      <c r="M675" t="s">
        <v>235</v>
      </c>
      <c r="N675" t="s">
        <v>236</v>
      </c>
      <c r="O675" t="s">
        <v>104</v>
      </c>
      <c r="P675" t="s">
        <v>237</v>
      </c>
      <c r="Q675">
        <v>12796.67</v>
      </c>
      <c r="R675">
        <v>11975.25</v>
      </c>
      <c r="S675">
        <v>9012.5499999999993</v>
      </c>
      <c r="T675">
        <v>1639.85</v>
      </c>
      <c r="U675">
        <v>935.23</v>
      </c>
      <c r="V675">
        <v>770.05</v>
      </c>
      <c r="W675">
        <v>244.65</v>
      </c>
      <c r="X675">
        <v>12602.33</v>
      </c>
      <c r="Y675">
        <v>3784.12</v>
      </c>
      <c r="Z675">
        <v>-8818.2099999999991</v>
      </c>
      <c r="AA675">
        <v>-0.69079999999999997</v>
      </c>
      <c r="AB675">
        <v>821.42</v>
      </c>
      <c r="AC675">
        <v>639.83000000000004</v>
      </c>
      <c r="AD675">
        <v>607.84</v>
      </c>
      <c r="AE675">
        <v>12764.68</v>
      </c>
    </row>
    <row r="676" spans="1:31" x14ac:dyDescent="0.25">
      <c r="A676" t="s">
        <v>878</v>
      </c>
      <c r="B676" s="2">
        <v>46073</v>
      </c>
      <c r="C676" t="s">
        <v>57</v>
      </c>
      <c r="D676" t="s">
        <v>58</v>
      </c>
      <c r="E676">
        <v>2026</v>
      </c>
      <c r="F676" t="s">
        <v>67</v>
      </c>
      <c r="G676" t="s">
        <v>35</v>
      </c>
      <c r="H676" t="s">
        <v>217</v>
      </c>
      <c r="I676" t="s">
        <v>284</v>
      </c>
      <c r="J676" t="s">
        <v>38</v>
      </c>
      <c r="K676" t="s">
        <v>39</v>
      </c>
      <c r="L676" t="s">
        <v>81</v>
      </c>
      <c r="M676" t="s">
        <v>102</v>
      </c>
      <c r="N676" t="s">
        <v>103</v>
      </c>
      <c r="O676" t="s">
        <v>104</v>
      </c>
      <c r="P676" t="s">
        <v>105</v>
      </c>
      <c r="Q676">
        <v>23202.38</v>
      </c>
      <c r="R676">
        <v>25067.41</v>
      </c>
      <c r="S676">
        <v>15627.39</v>
      </c>
      <c r="T676">
        <v>1464.81</v>
      </c>
      <c r="U676">
        <v>1247.43</v>
      </c>
      <c r="V676">
        <v>1844.75</v>
      </c>
      <c r="W676">
        <v>485.49</v>
      </c>
      <c r="X676">
        <v>20669.87</v>
      </c>
      <c r="Y676">
        <v>7574.99</v>
      </c>
      <c r="Z676">
        <v>-13094.88</v>
      </c>
      <c r="AA676">
        <v>-0.51949999999999996</v>
      </c>
      <c r="AB676">
        <v>-1865.03</v>
      </c>
      <c r="AC676">
        <v>696.07</v>
      </c>
      <c r="AD676">
        <v>2700.76</v>
      </c>
      <c r="AE676">
        <v>25207.06</v>
      </c>
    </row>
    <row r="677" spans="1:31" x14ac:dyDescent="0.25">
      <c r="A677" t="s">
        <v>879</v>
      </c>
      <c r="B677" s="2">
        <v>45950</v>
      </c>
      <c r="C677" t="s">
        <v>92</v>
      </c>
      <c r="D677" t="s">
        <v>93</v>
      </c>
      <c r="E677">
        <v>2025</v>
      </c>
      <c r="F677" t="s">
        <v>34</v>
      </c>
      <c r="G677" t="s">
        <v>35</v>
      </c>
      <c r="H677" t="s">
        <v>157</v>
      </c>
      <c r="I677" t="s">
        <v>194</v>
      </c>
      <c r="J677" t="s">
        <v>100</v>
      </c>
      <c r="K677" t="s">
        <v>50</v>
      </c>
      <c r="L677" t="s">
        <v>51</v>
      </c>
      <c r="M677" t="s">
        <v>52</v>
      </c>
      <c r="N677" t="s">
        <v>53</v>
      </c>
      <c r="O677" t="s">
        <v>54</v>
      </c>
      <c r="P677" t="s">
        <v>55</v>
      </c>
      <c r="Q677">
        <v>4749.41</v>
      </c>
      <c r="R677">
        <v>4662.41</v>
      </c>
      <c r="S677">
        <v>3213.64</v>
      </c>
      <c r="T677">
        <v>287.13</v>
      </c>
      <c r="U677">
        <v>172.26</v>
      </c>
      <c r="V677">
        <v>319.49</v>
      </c>
      <c r="W677">
        <v>115.4</v>
      </c>
      <c r="X677">
        <v>4107.92</v>
      </c>
      <c r="Y677">
        <v>1535.77</v>
      </c>
      <c r="Z677">
        <v>-2572.15</v>
      </c>
      <c r="AA677">
        <v>-0.47320000000000001</v>
      </c>
      <c r="AB677">
        <v>87.01</v>
      </c>
      <c r="AC677">
        <v>142.47999999999999</v>
      </c>
      <c r="AD677">
        <v>829.25</v>
      </c>
      <c r="AE677">
        <v>5436.18</v>
      </c>
    </row>
    <row r="678" spans="1:31" x14ac:dyDescent="0.25">
      <c r="A678" t="s">
        <v>880</v>
      </c>
      <c r="B678" s="2">
        <v>45860</v>
      </c>
      <c r="C678" t="s">
        <v>32</v>
      </c>
      <c r="D678" t="s">
        <v>33</v>
      </c>
      <c r="E678">
        <v>2025</v>
      </c>
      <c r="F678" t="s">
        <v>34</v>
      </c>
      <c r="G678" t="s">
        <v>35</v>
      </c>
      <c r="H678" t="s">
        <v>98</v>
      </c>
      <c r="I678" t="s">
        <v>304</v>
      </c>
      <c r="J678" t="s">
        <v>38</v>
      </c>
      <c r="K678" t="s">
        <v>50</v>
      </c>
      <c r="L678" t="s">
        <v>40</v>
      </c>
      <c r="M678" t="s">
        <v>186</v>
      </c>
      <c r="N678" t="s">
        <v>187</v>
      </c>
      <c r="O678" t="s">
        <v>173</v>
      </c>
      <c r="P678" t="s">
        <v>174</v>
      </c>
      <c r="Q678">
        <v>27802.23</v>
      </c>
      <c r="R678">
        <v>26895.37</v>
      </c>
      <c r="S678">
        <v>15829.92</v>
      </c>
      <c r="T678">
        <v>3116.94</v>
      </c>
      <c r="U678">
        <v>1771.98</v>
      </c>
      <c r="V678">
        <v>2545.27</v>
      </c>
      <c r="W678">
        <v>1015.14</v>
      </c>
      <c r="X678">
        <v>24279.26</v>
      </c>
      <c r="Y678">
        <v>11972.3</v>
      </c>
      <c r="Z678">
        <v>-12306.96</v>
      </c>
      <c r="AA678">
        <v>-0.37509999999999999</v>
      </c>
      <c r="AB678">
        <v>906.86</v>
      </c>
      <c r="AC678">
        <v>0</v>
      </c>
      <c r="AD678">
        <v>5004.3999999999996</v>
      </c>
      <c r="AE678">
        <v>32806.629999999997</v>
      </c>
    </row>
    <row r="679" spans="1:31" x14ac:dyDescent="0.25">
      <c r="A679" t="s">
        <v>881</v>
      </c>
      <c r="B679" s="2">
        <v>45950</v>
      </c>
      <c r="C679" t="s">
        <v>92</v>
      </c>
      <c r="D679" t="s">
        <v>93</v>
      </c>
      <c r="E679">
        <v>2025</v>
      </c>
      <c r="F679" t="s">
        <v>34</v>
      </c>
      <c r="G679" t="s">
        <v>35</v>
      </c>
      <c r="H679" t="s">
        <v>36</v>
      </c>
      <c r="I679" t="s">
        <v>145</v>
      </c>
      <c r="J679" t="s">
        <v>80</v>
      </c>
      <c r="K679" t="s">
        <v>50</v>
      </c>
      <c r="L679" t="s">
        <v>72</v>
      </c>
      <c r="M679" t="s">
        <v>52</v>
      </c>
      <c r="N679" t="s">
        <v>53</v>
      </c>
      <c r="O679" t="s">
        <v>54</v>
      </c>
      <c r="P679" t="s">
        <v>55</v>
      </c>
      <c r="Q679">
        <v>3957.58</v>
      </c>
      <c r="R679">
        <v>4616.08</v>
      </c>
      <c r="S679">
        <v>2021.76</v>
      </c>
      <c r="T679">
        <v>418.7</v>
      </c>
      <c r="U679">
        <v>229.16</v>
      </c>
      <c r="V679">
        <v>166.42</v>
      </c>
      <c r="W679">
        <v>167.67</v>
      </c>
      <c r="X679">
        <v>3003.71</v>
      </c>
      <c r="Y679">
        <v>1935.82</v>
      </c>
      <c r="Z679">
        <v>-1067.9000000000001</v>
      </c>
      <c r="AA679">
        <v>-0.26190000000000002</v>
      </c>
      <c r="AB679">
        <v>-658.51</v>
      </c>
      <c r="AC679">
        <v>316.61</v>
      </c>
      <c r="AD679">
        <v>436.92</v>
      </c>
      <c r="AE679">
        <v>4077.89</v>
      </c>
    </row>
    <row r="680" spans="1:31" x14ac:dyDescent="0.25">
      <c r="A680" t="s">
        <v>882</v>
      </c>
      <c r="B680" s="2">
        <v>46017</v>
      </c>
      <c r="C680" t="s">
        <v>107</v>
      </c>
      <c r="D680" t="s">
        <v>93</v>
      </c>
      <c r="E680">
        <v>2025</v>
      </c>
      <c r="F680" t="s">
        <v>59</v>
      </c>
      <c r="G680" t="s">
        <v>35</v>
      </c>
      <c r="H680" t="s">
        <v>139</v>
      </c>
      <c r="I680" t="s">
        <v>152</v>
      </c>
      <c r="J680" t="s">
        <v>80</v>
      </c>
      <c r="K680" t="s">
        <v>50</v>
      </c>
      <c r="L680" t="s">
        <v>94</v>
      </c>
      <c r="M680" t="s">
        <v>186</v>
      </c>
      <c r="N680" t="s">
        <v>187</v>
      </c>
      <c r="O680" t="s">
        <v>173</v>
      </c>
      <c r="P680" t="s">
        <v>174</v>
      </c>
      <c r="Q680">
        <v>22621.17</v>
      </c>
      <c r="R680">
        <v>25145.45</v>
      </c>
      <c r="S680">
        <v>11066.78</v>
      </c>
      <c r="T680">
        <v>1858</v>
      </c>
      <c r="U680">
        <v>1740.47</v>
      </c>
      <c r="V680">
        <v>1850.77</v>
      </c>
      <c r="W680">
        <v>661.7</v>
      </c>
      <c r="X680">
        <v>17177.71</v>
      </c>
      <c r="Y680">
        <v>11554.39</v>
      </c>
      <c r="Z680">
        <v>-5623.32</v>
      </c>
      <c r="AA680">
        <v>-0.23669999999999999</v>
      </c>
      <c r="AB680">
        <v>-2524.2800000000002</v>
      </c>
      <c r="AC680">
        <v>0</v>
      </c>
      <c r="AD680">
        <v>1131.06</v>
      </c>
      <c r="AE680">
        <v>23752.23</v>
      </c>
    </row>
    <row r="681" spans="1:31" x14ac:dyDescent="0.25">
      <c r="A681" t="s">
        <v>883</v>
      </c>
      <c r="B681" s="2">
        <v>45882</v>
      </c>
      <c r="C681" t="s">
        <v>117</v>
      </c>
      <c r="D681" t="s">
        <v>33</v>
      </c>
      <c r="E681">
        <v>2025</v>
      </c>
      <c r="F681" t="s">
        <v>85</v>
      </c>
      <c r="G681" t="s">
        <v>35</v>
      </c>
      <c r="H681" t="s">
        <v>178</v>
      </c>
      <c r="I681" t="s">
        <v>179</v>
      </c>
      <c r="J681" t="s">
        <v>100</v>
      </c>
      <c r="K681" t="s">
        <v>71</v>
      </c>
      <c r="L681" t="s">
        <v>81</v>
      </c>
      <c r="M681" t="s">
        <v>62</v>
      </c>
      <c r="N681" t="s">
        <v>63</v>
      </c>
      <c r="O681" t="s">
        <v>54</v>
      </c>
      <c r="P681" t="s">
        <v>55</v>
      </c>
      <c r="Q681">
        <v>6409.76</v>
      </c>
      <c r="R681">
        <v>6504.56</v>
      </c>
      <c r="S681">
        <v>3518.36</v>
      </c>
      <c r="T681">
        <v>374.14</v>
      </c>
      <c r="U681">
        <v>478.35</v>
      </c>
      <c r="V681">
        <v>518.32000000000005</v>
      </c>
      <c r="W681">
        <v>189</v>
      </c>
      <c r="X681">
        <v>5078.17</v>
      </c>
      <c r="Y681">
        <v>2891.41</v>
      </c>
      <c r="Z681">
        <v>-2186.7600000000002</v>
      </c>
      <c r="AA681">
        <v>-0.314</v>
      </c>
      <c r="AB681">
        <v>-94.79</v>
      </c>
      <c r="AC681">
        <v>192.29</v>
      </c>
      <c r="AD681">
        <v>746.1</v>
      </c>
      <c r="AE681">
        <v>6963.57</v>
      </c>
    </row>
    <row r="682" spans="1:31" x14ac:dyDescent="0.25">
      <c r="A682" t="s">
        <v>884</v>
      </c>
      <c r="B682" s="2">
        <v>45951</v>
      </c>
      <c r="C682" t="s">
        <v>92</v>
      </c>
      <c r="D682" t="s">
        <v>93</v>
      </c>
      <c r="E682">
        <v>2025</v>
      </c>
      <c r="F682" t="s">
        <v>59</v>
      </c>
      <c r="G682" t="s">
        <v>35</v>
      </c>
      <c r="H682" t="s">
        <v>254</v>
      </c>
      <c r="I682" t="s">
        <v>200</v>
      </c>
      <c r="J682" t="s">
        <v>38</v>
      </c>
      <c r="K682" t="s">
        <v>71</v>
      </c>
      <c r="L682" t="s">
        <v>40</v>
      </c>
      <c r="M682" t="s">
        <v>41</v>
      </c>
      <c r="N682" t="s">
        <v>42</v>
      </c>
      <c r="O682" t="s">
        <v>43</v>
      </c>
      <c r="P682" t="s">
        <v>44</v>
      </c>
      <c r="Q682">
        <v>31436.53</v>
      </c>
      <c r="R682">
        <v>35642.78</v>
      </c>
      <c r="S682">
        <v>18652.16</v>
      </c>
      <c r="T682">
        <v>3400.06</v>
      </c>
      <c r="U682">
        <v>2827.92</v>
      </c>
      <c r="V682">
        <v>3747.9</v>
      </c>
      <c r="W682">
        <v>1133.3399999999999</v>
      </c>
      <c r="X682">
        <v>29761.38</v>
      </c>
      <c r="Y682">
        <v>12784.37</v>
      </c>
      <c r="Z682">
        <v>-16977.009999999998</v>
      </c>
      <c r="AA682">
        <v>-0.54139999999999999</v>
      </c>
      <c r="AB682">
        <v>-4206.24</v>
      </c>
      <c r="AC682">
        <v>1571.83</v>
      </c>
      <c r="AD682">
        <v>1493.24</v>
      </c>
      <c r="AE682">
        <v>31357.94</v>
      </c>
    </row>
    <row r="683" spans="1:31" x14ac:dyDescent="0.25">
      <c r="A683" t="s">
        <v>885</v>
      </c>
      <c r="B683" s="2">
        <v>45856</v>
      </c>
      <c r="C683" t="s">
        <v>32</v>
      </c>
      <c r="D683" t="s">
        <v>33</v>
      </c>
      <c r="E683">
        <v>2025</v>
      </c>
      <c r="F683" t="s">
        <v>67</v>
      </c>
      <c r="G683" t="s">
        <v>35</v>
      </c>
      <c r="H683" t="s">
        <v>68</v>
      </c>
      <c r="I683" t="s">
        <v>204</v>
      </c>
      <c r="J683" t="s">
        <v>38</v>
      </c>
      <c r="K683" t="s">
        <v>50</v>
      </c>
      <c r="L683" t="s">
        <v>40</v>
      </c>
      <c r="M683" t="s">
        <v>88</v>
      </c>
      <c r="N683" t="s">
        <v>89</v>
      </c>
      <c r="O683" t="s">
        <v>43</v>
      </c>
      <c r="P683" t="s">
        <v>90</v>
      </c>
      <c r="Q683">
        <v>40189.379999999997</v>
      </c>
      <c r="R683">
        <v>41559.67</v>
      </c>
      <c r="S683">
        <v>25990.07</v>
      </c>
      <c r="T683">
        <v>2187.86</v>
      </c>
      <c r="U683">
        <v>1748.04</v>
      </c>
      <c r="V683">
        <v>4241.5200000000004</v>
      </c>
      <c r="W683">
        <v>514.27</v>
      </c>
      <c r="X683">
        <v>34681.769999999997</v>
      </c>
      <c r="Y683">
        <v>14199.31</v>
      </c>
      <c r="Z683">
        <v>-20482.47</v>
      </c>
      <c r="AA683">
        <v>-0.52759999999999996</v>
      </c>
      <c r="AB683">
        <v>-1370.29</v>
      </c>
      <c r="AC683">
        <v>3215.15</v>
      </c>
      <c r="AD683">
        <v>1848.71</v>
      </c>
      <c r="AE683">
        <v>38822.94</v>
      </c>
    </row>
    <row r="684" spans="1:31" x14ac:dyDescent="0.25">
      <c r="A684" t="s">
        <v>886</v>
      </c>
      <c r="B684" s="2">
        <v>45905</v>
      </c>
      <c r="C684" t="s">
        <v>46</v>
      </c>
      <c r="D684" t="s">
        <v>33</v>
      </c>
      <c r="E684">
        <v>2025</v>
      </c>
      <c r="F684" t="s">
        <v>34</v>
      </c>
      <c r="G684" t="s">
        <v>35</v>
      </c>
      <c r="H684" t="s">
        <v>134</v>
      </c>
      <c r="I684" t="s">
        <v>176</v>
      </c>
      <c r="J684" t="s">
        <v>80</v>
      </c>
      <c r="K684" t="s">
        <v>50</v>
      </c>
      <c r="L684" t="s">
        <v>40</v>
      </c>
      <c r="M684" t="s">
        <v>41</v>
      </c>
      <c r="N684" t="s">
        <v>42</v>
      </c>
      <c r="O684" t="s">
        <v>43</v>
      </c>
      <c r="P684" t="s">
        <v>44</v>
      </c>
      <c r="Q684">
        <v>77410.2</v>
      </c>
      <c r="R684">
        <v>83633.350000000006</v>
      </c>
      <c r="S684">
        <v>47155.71</v>
      </c>
      <c r="T684">
        <v>8776.27</v>
      </c>
      <c r="U684">
        <v>4424.71</v>
      </c>
      <c r="V684">
        <v>4954.09</v>
      </c>
      <c r="W684">
        <v>1208.6099999999999</v>
      </c>
      <c r="X684">
        <v>66519.39</v>
      </c>
      <c r="Y684">
        <v>30254.49</v>
      </c>
      <c r="Z684">
        <v>-36264.9</v>
      </c>
      <c r="AA684">
        <v>-0.41789999999999999</v>
      </c>
      <c r="AB684">
        <v>-6223.15</v>
      </c>
      <c r="AC684">
        <v>3870.51</v>
      </c>
      <c r="AD684">
        <v>13237.14</v>
      </c>
      <c r="AE684">
        <v>86776.83</v>
      </c>
    </row>
    <row r="685" spans="1:31" x14ac:dyDescent="0.25">
      <c r="A685" t="s">
        <v>887</v>
      </c>
      <c r="B685" s="2">
        <v>46078</v>
      </c>
      <c r="C685" t="s">
        <v>57</v>
      </c>
      <c r="D685" t="s">
        <v>58</v>
      </c>
      <c r="E685">
        <v>2026</v>
      </c>
      <c r="F685" t="s">
        <v>59</v>
      </c>
      <c r="G685" t="s">
        <v>35</v>
      </c>
      <c r="H685" t="s">
        <v>254</v>
      </c>
      <c r="I685" t="s">
        <v>200</v>
      </c>
      <c r="J685" t="s">
        <v>38</v>
      </c>
      <c r="K685" t="s">
        <v>50</v>
      </c>
      <c r="L685" t="s">
        <v>40</v>
      </c>
      <c r="M685" t="s">
        <v>41</v>
      </c>
      <c r="N685" t="s">
        <v>42</v>
      </c>
      <c r="O685" t="s">
        <v>43</v>
      </c>
      <c r="P685" t="s">
        <v>44</v>
      </c>
      <c r="Q685">
        <v>17583.830000000002</v>
      </c>
      <c r="R685">
        <v>18085.87</v>
      </c>
      <c r="S685">
        <v>11011.23</v>
      </c>
      <c r="T685">
        <v>1265.9100000000001</v>
      </c>
      <c r="U685">
        <v>1258.8599999999999</v>
      </c>
      <c r="V685">
        <v>1540.23</v>
      </c>
      <c r="W685">
        <v>375.75</v>
      </c>
      <c r="X685">
        <v>15451.97</v>
      </c>
      <c r="Y685">
        <v>6572.6</v>
      </c>
      <c r="Z685">
        <v>-8879.3700000000008</v>
      </c>
      <c r="AA685">
        <v>-0.4279</v>
      </c>
      <c r="AB685">
        <v>-502.04</v>
      </c>
      <c r="AC685">
        <v>0</v>
      </c>
      <c r="AD685">
        <v>3165.09</v>
      </c>
      <c r="AE685">
        <v>20748.919999999998</v>
      </c>
    </row>
    <row r="686" spans="1:31" x14ac:dyDescent="0.25">
      <c r="A686" t="s">
        <v>888</v>
      </c>
      <c r="B686" s="2">
        <v>45924</v>
      </c>
      <c r="C686" t="s">
        <v>46</v>
      </c>
      <c r="D686" t="s">
        <v>33</v>
      </c>
      <c r="E686">
        <v>2025</v>
      </c>
      <c r="F686" t="s">
        <v>59</v>
      </c>
      <c r="G686" t="s">
        <v>35</v>
      </c>
      <c r="H686" t="s">
        <v>139</v>
      </c>
      <c r="I686" t="s">
        <v>140</v>
      </c>
      <c r="J686" t="s">
        <v>80</v>
      </c>
      <c r="K686" t="s">
        <v>39</v>
      </c>
      <c r="L686" t="s">
        <v>51</v>
      </c>
      <c r="M686" t="s">
        <v>211</v>
      </c>
      <c r="N686" t="s">
        <v>212</v>
      </c>
      <c r="O686" t="s">
        <v>112</v>
      </c>
      <c r="P686" t="s">
        <v>113</v>
      </c>
      <c r="Q686">
        <v>26268.33</v>
      </c>
      <c r="R686">
        <v>24762.28</v>
      </c>
      <c r="S686">
        <v>17495.63</v>
      </c>
      <c r="T686">
        <v>2223.52</v>
      </c>
      <c r="U686">
        <v>984.61</v>
      </c>
      <c r="V686">
        <v>2951.35</v>
      </c>
      <c r="W686">
        <v>444.82</v>
      </c>
      <c r="X686">
        <v>24099.93</v>
      </c>
      <c r="Y686">
        <v>8772.7000000000007</v>
      </c>
      <c r="Z686">
        <v>-15327.23</v>
      </c>
      <c r="AA686">
        <v>-0.55569999999999997</v>
      </c>
      <c r="AB686">
        <v>1506.05</v>
      </c>
      <c r="AC686">
        <v>0</v>
      </c>
      <c r="AD686">
        <v>1313.42</v>
      </c>
      <c r="AE686">
        <v>27581.75</v>
      </c>
    </row>
    <row r="687" spans="1:31" x14ac:dyDescent="0.25">
      <c r="A687" t="s">
        <v>889</v>
      </c>
      <c r="B687" s="2">
        <v>46045</v>
      </c>
      <c r="C687" t="s">
        <v>77</v>
      </c>
      <c r="D687" t="s">
        <v>58</v>
      </c>
      <c r="E687">
        <v>2026</v>
      </c>
      <c r="F687" t="s">
        <v>47</v>
      </c>
      <c r="G687" t="s">
        <v>35</v>
      </c>
      <c r="H687" t="s">
        <v>214</v>
      </c>
      <c r="I687" t="s">
        <v>215</v>
      </c>
      <c r="J687" t="s">
        <v>70</v>
      </c>
      <c r="K687" t="s">
        <v>50</v>
      </c>
      <c r="L687" t="s">
        <v>94</v>
      </c>
      <c r="M687" t="s">
        <v>73</v>
      </c>
      <c r="N687" t="s">
        <v>74</v>
      </c>
      <c r="O687" t="s">
        <v>43</v>
      </c>
      <c r="P687" t="s">
        <v>75</v>
      </c>
      <c r="Q687">
        <v>39218.47</v>
      </c>
      <c r="R687">
        <v>45443.81</v>
      </c>
      <c r="S687">
        <v>20919.330000000002</v>
      </c>
      <c r="T687">
        <v>5097.38</v>
      </c>
      <c r="U687">
        <v>1417.71</v>
      </c>
      <c r="V687">
        <v>3989.45</v>
      </c>
      <c r="W687">
        <v>698.85</v>
      </c>
      <c r="X687">
        <v>32122.71</v>
      </c>
      <c r="Y687">
        <v>18299.14</v>
      </c>
      <c r="Z687">
        <v>-13823.57</v>
      </c>
      <c r="AA687">
        <v>-0.29870000000000002</v>
      </c>
      <c r="AB687">
        <v>-6225.34</v>
      </c>
      <c r="AC687">
        <v>0</v>
      </c>
      <c r="AD687">
        <v>7059.32</v>
      </c>
      <c r="AE687">
        <v>46277.79</v>
      </c>
    </row>
    <row r="688" spans="1:31" x14ac:dyDescent="0.25">
      <c r="A688" t="s">
        <v>890</v>
      </c>
      <c r="B688" s="2">
        <v>46095</v>
      </c>
      <c r="C688" t="s">
        <v>125</v>
      </c>
      <c r="D688" t="s">
        <v>58</v>
      </c>
      <c r="E688">
        <v>2026</v>
      </c>
      <c r="F688" t="s">
        <v>85</v>
      </c>
      <c r="G688" t="s">
        <v>35</v>
      </c>
      <c r="H688" t="s">
        <v>86</v>
      </c>
      <c r="I688" t="s">
        <v>87</v>
      </c>
      <c r="J688" t="s">
        <v>100</v>
      </c>
      <c r="K688" t="s">
        <v>39</v>
      </c>
      <c r="L688" t="s">
        <v>72</v>
      </c>
      <c r="M688" t="s">
        <v>73</v>
      </c>
      <c r="N688" t="s">
        <v>74</v>
      </c>
      <c r="O688" t="s">
        <v>43</v>
      </c>
      <c r="P688" t="s">
        <v>75</v>
      </c>
      <c r="Q688">
        <v>34913.99</v>
      </c>
      <c r="R688">
        <v>35808.199999999997</v>
      </c>
      <c r="S688">
        <v>19724.22</v>
      </c>
      <c r="T688">
        <v>4235.6400000000003</v>
      </c>
      <c r="U688">
        <v>1249.29</v>
      </c>
      <c r="V688">
        <v>1814.16</v>
      </c>
      <c r="W688">
        <v>1054.1199999999999</v>
      </c>
      <c r="X688">
        <v>28077.43</v>
      </c>
      <c r="Y688">
        <v>15189.77</v>
      </c>
      <c r="Z688">
        <v>-12887.66</v>
      </c>
      <c r="AA688">
        <v>-0.37009999999999998</v>
      </c>
      <c r="AB688">
        <v>-894.21</v>
      </c>
      <c r="AC688">
        <v>1745.7</v>
      </c>
      <c r="AD688">
        <v>1658.41</v>
      </c>
      <c r="AE688">
        <v>34826.71</v>
      </c>
    </row>
    <row r="689" spans="1:31" x14ac:dyDescent="0.25">
      <c r="A689" t="s">
        <v>891</v>
      </c>
      <c r="B689" s="2">
        <v>45994</v>
      </c>
      <c r="C689" t="s">
        <v>107</v>
      </c>
      <c r="D689" t="s">
        <v>93</v>
      </c>
      <c r="E689">
        <v>2025</v>
      </c>
      <c r="F689" t="s">
        <v>47</v>
      </c>
      <c r="G689" t="s">
        <v>35</v>
      </c>
      <c r="H689" t="s">
        <v>206</v>
      </c>
      <c r="I689" t="s">
        <v>207</v>
      </c>
      <c r="J689" t="s">
        <v>80</v>
      </c>
      <c r="K689" t="s">
        <v>39</v>
      </c>
      <c r="L689" t="s">
        <v>40</v>
      </c>
      <c r="M689" t="s">
        <v>235</v>
      </c>
      <c r="N689" t="s">
        <v>236</v>
      </c>
      <c r="O689" t="s">
        <v>104</v>
      </c>
      <c r="P689" t="s">
        <v>237</v>
      </c>
      <c r="Q689">
        <v>23812.9</v>
      </c>
      <c r="R689">
        <v>25986.67</v>
      </c>
      <c r="S689">
        <v>12875.02</v>
      </c>
      <c r="T689">
        <v>2636.13</v>
      </c>
      <c r="U689">
        <v>1463.85</v>
      </c>
      <c r="V689">
        <v>1524.46</v>
      </c>
      <c r="W689">
        <v>571.71</v>
      </c>
      <c r="X689">
        <v>19071.16</v>
      </c>
      <c r="Y689">
        <v>10937.88</v>
      </c>
      <c r="Z689">
        <v>-8133.28</v>
      </c>
      <c r="AA689">
        <v>-0.30470000000000003</v>
      </c>
      <c r="AB689">
        <v>-2173.77</v>
      </c>
      <c r="AC689">
        <v>1190.6500000000001</v>
      </c>
      <c r="AD689">
        <v>4072.01</v>
      </c>
      <c r="AE689">
        <v>26694.26</v>
      </c>
    </row>
    <row r="690" spans="1:31" x14ac:dyDescent="0.25">
      <c r="A690" t="s">
        <v>892</v>
      </c>
      <c r="B690" s="2">
        <v>46034</v>
      </c>
      <c r="C690" t="s">
        <v>77</v>
      </c>
      <c r="D690" t="s">
        <v>58</v>
      </c>
      <c r="E690">
        <v>2026</v>
      </c>
      <c r="F690" t="s">
        <v>59</v>
      </c>
      <c r="G690" t="s">
        <v>35</v>
      </c>
      <c r="H690" t="s">
        <v>254</v>
      </c>
      <c r="I690" t="s">
        <v>314</v>
      </c>
      <c r="J690" t="s">
        <v>80</v>
      </c>
      <c r="K690" t="s">
        <v>71</v>
      </c>
      <c r="L690" t="s">
        <v>51</v>
      </c>
      <c r="M690" t="s">
        <v>141</v>
      </c>
      <c r="N690" t="s">
        <v>142</v>
      </c>
      <c r="O690" t="s">
        <v>54</v>
      </c>
      <c r="P690" t="s">
        <v>143</v>
      </c>
      <c r="Q690">
        <v>8122.47</v>
      </c>
      <c r="R690">
        <v>9268.74</v>
      </c>
      <c r="S690">
        <v>4599.49</v>
      </c>
      <c r="T690">
        <v>1008.3</v>
      </c>
      <c r="U690">
        <v>571.92999999999995</v>
      </c>
      <c r="V690">
        <v>492.01</v>
      </c>
      <c r="W690">
        <v>241.59</v>
      </c>
      <c r="X690">
        <v>6913.31</v>
      </c>
      <c r="Y690">
        <v>3522.99</v>
      </c>
      <c r="Z690">
        <v>-3390.32</v>
      </c>
      <c r="AA690">
        <v>-0.41839999999999999</v>
      </c>
      <c r="AB690">
        <v>-1146.27</v>
      </c>
      <c r="AC690">
        <v>406.12</v>
      </c>
      <c r="AD690">
        <v>385.82</v>
      </c>
      <c r="AE690">
        <v>8102.16</v>
      </c>
    </row>
    <row r="691" spans="1:31" x14ac:dyDescent="0.25">
      <c r="A691" t="s">
        <v>893</v>
      </c>
      <c r="B691" s="2">
        <v>45874</v>
      </c>
      <c r="C691" t="s">
        <v>117</v>
      </c>
      <c r="D691" t="s">
        <v>33</v>
      </c>
      <c r="E691">
        <v>2025</v>
      </c>
      <c r="F691" t="s">
        <v>47</v>
      </c>
      <c r="G691" t="s">
        <v>35</v>
      </c>
      <c r="H691" t="s">
        <v>206</v>
      </c>
      <c r="I691" t="s">
        <v>207</v>
      </c>
      <c r="J691" t="s">
        <v>100</v>
      </c>
      <c r="K691" t="s">
        <v>39</v>
      </c>
      <c r="L691" t="s">
        <v>51</v>
      </c>
      <c r="M691" t="s">
        <v>88</v>
      </c>
      <c r="N691" t="s">
        <v>89</v>
      </c>
      <c r="O691" t="s">
        <v>43</v>
      </c>
      <c r="P691" t="s">
        <v>90</v>
      </c>
      <c r="Q691">
        <v>52100.92</v>
      </c>
      <c r="R691">
        <v>49610.59</v>
      </c>
      <c r="S691">
        <v>35976.629999999997</v>
      </c>
      <c r="T691">
        <v>4252.49</v>
      </c>
      <c r="U691">
        <v>2881.69</v>
      </c>
      <c r="V691">
        <v>5671.3</v>
      </c>
      <c r="W691">
        <v>1472.57</v>
      </c>
      <c r="X691">
        <v>50254.67</v>
      </c>
      <c r="Y691">
        <v>16124.29</v>
      </c>
      <c r="Z691">
        <v>-34130.379999999997</v>
      </c>
      <c r="AA691">
        <v>-0.5665</v>
      </c>
      <c r="AB691">
        <v>2490.33</v>
      </c>
      <c r="AC691">
        <v>1042.02</v>
      </c>
      <c r="AD691">
        <v>9190.6</v>
      </c>
      <c r="AE691">
        <v>60249.5</v>
      </c>
    </row>
    <row r="692" spans="1:31" x14ac:dyDescent="0.25">
      <c r="A692" t="s">
        <v>894</v>
      </c>
      <c r="B692" s="2">
        <v>45760</v>
      </c>
      <c r="C692" t="s">
        <v>128</v>
      </c>
      <c r="D692" t="s">
        <v>66</v>
      </c>
      <c r="E692">
        <v>2025</v>
      </c>
      <c r="F692" t="s">
        <v>85</v>
      </c>
      <c r="G692" t="s">
        <v>35</v>
      </c>
      <c r="H692" t="s">
        <v>178</v>
      </c>
      <c r="I692" t="s">
        <v>179</v>
      </c>
      <c r="J692" t="s">
        <v>70</v>
      </c>
      <c r="K692" t="s">
        <v>39</v>
      </c>
      <c r="L692" t="s">
        <v>94</v>
      </c>
      <c r="M692" t="s">
        <v>88</v>
      </c>
      <c r="N692" t="s">
        <v>89</v>
      </c>
      <c r="O692" t="s">
        <v>43</v>
      </c>
      <c r="P692" t="s">
        <v>90</v>
      </c>
      <c r="Q692">
        <v>43197.79</v>
      </c>
      <c r="R692">
        <v>39949.980000000003</v>
      </c>
      <c r="S692">
        <v>25599.01</v>
      </c>
      <c r="T692">
        <v>5032.12</v>
      </c>
      <c r="U692">
        <v>1123.42</v>
      </c>
      <c r="V692">
        <v>2671.07</v>
      </c>
      <c r="W692">
        <v>435.69</v>
      </c>
      <c r="X692">
        <v>34861.300000000003</v>
      </c>
      <c r="Y692">
        <v>17598.79</v>
      </c>
      <c r="Z692">
        <v>-17262.509999999998</v>
      </c>
      <c r="AA692">
        <v>-0.34910000000000002</v>
      </c>
      <c r="AB692">
        <v>3247.81</v>
      </c>
      <c r="AC692">
        <v>1295.93</v>
      </c>
      <c r="AD692">
        <v>7542.33</v>
      </c>
      <c r="AE692">
        <v>49444.19</v>
      </c>
    </row>
    <row r="693" spans="1:31" x14ac:dyDescent="0.25">
      <c r="A693" t="s">
        <v>895</v>
      </c>
      <c r="B693" s="2">
        <v>46080</v>
      </c>
      <c r="C693" t="s">
        <v>57</v>
      </c>
      <c r="D693" t="s">
        <v>58</v>
      </c>
      <c r="E693">
        <v>2026</v>
      </c>
      <c r="F693" t="s">
        <v>85</v>
      </c>
      <c r="G693" t="s">
        <v>35</v>
      </c>
      <c r="H693" t="s">
        <v>178</v>
      </c>
      <c r="I693" t="s">
        <v>249</v>
      </c>
      <c r="J693" t="s">
        <v>38</v>
      </c>
      <c r="K693" t="s">
        <v>39</v>
      </c>
      <c r="L693" t="s">
        <v>72</v>
      </c>
      <c r="M693" t="s">
        <v>197</v>
      </c>
      <c r="N693" t="s">
        <v>198</v>
      </c>
      <c r="O693" t="s">
        <v>43</v>
      </c>
      <c r="P693" t="s">
        <v>163</v>
      </c>
      <c r="Q693">
        <v>52530.11</v>
      </c>
      <c r="R693">
        <v>60792.83</v>
      </c>
      <c r="S693">
        <v>34195.769999999997</v>
      </c>
      <c r="T693">
        <v>4174.57</v>
      </c>
      <c r="U693">
        <v>3747.86</v>
      </c>
      <c r="V693">
        <v>2270.4699999999998</v>
      </c>
      <c r="W693">
        <v>1235.75</v>
      </c>
      <c r="X693">
        <v>45624.41</v>
      </c>
      <c r="Y693">
        <v>18334.349999999999</v>
      </c>
      <c r="Z693">
        <v>-27290.06</v>
      </c>
      <c r="AA693">
        <v>-0.5101</v>
      </c>
      <c r="AB693">
        <v>-8262.7199999999993</v>
      </c>
      <c r="AC693">
        <v>1575.9</v>
      </c>
      <c r="AD693">
        <v>2547.71</v>
      </c>
      <c r="AE693">
        <v>53501.919999999998</v>
      </c>
    </row>
    <row r="694" spans="1:31" x14ac:dyDescent="0.25">
      <c r="A694" t="s">
        <v>896</v>
      </c>
      <c r="B694" s="2">
        <v>45765</v>
      </c>
      <c r="C694" t="s">
        <v>128</v>
      </c>
      <c r="D694" t="s">
        <v>66</v>
      </c>
      <c r="E694">
        <v>2025</v>
      </c>
      <c r="F694" t="s">
        <v>34</v>
      </c>
      <c r="G694" t="s">
        <v>35</v>
      </c>
      <c r="H694" t="s">
        <v>134</v>
      </c>
      <c r="I694" t="s">
        <v>176</v>
      </c>
      <c r="J694" t="s">
        <v>80</v>
      </c>
      <c r="K694" t="s">
        <v>71</v>
      </c>
      <c r="L694" t="s">
        <v>40</v>
      </c>
      <c r="M694" t="s">
        <v>52</v>
      </c>
      <c r="N694" t="s">
        <v>53</v>
      </c>
      <c r="O694" t="s">
        <v>54</v>
      </c>
      <c r="P694" t="s">
        <v>55</v>
      </c>
      <c r="Q694">
        <v>4720.76</v>
      </c>
      <c r="R694">
        <v>4511.95</v>
      </c>
      <c r="S694">
        <v>2687.75</v>
      </c>
      <c r="T694">
        <v>276.88</v>
      </c>
      <c r="U694">
        <v>195.22</v>
      </c>
      <c r="V694">
        <v>291.54000000000002</v>
      </c>
      <c r="W694">
        <v>166.28</v>
      </c>
      <c r="X694">
        <v>3617.67</v>
      </c>
      <c r="Y694">
        <v>2033.01</v>
      </c>
      <c r="Z694">
        <v>-1584.67</v>
      </c>
      <c r="AA694">
        <v>-0.28449999999999998</v>
      </c>
      <c r="AB694">
        <v>208.81</v>
      </c>
      <c r="AC694">
        <v>0</v>
      </c>
      <c r="AD694">
        <v>849.74</v>
      </c>
      <c r="AE694">
        <v>5570.49</v>
      </c>
    </row>
    <row r="695" spans="1:31" x14ac:dyDescent="0.25">
      <c r="A695" t="s">
        <v>897</v>
      </c>
      <c r="B695" s="2">
        <v>45900</v>
      </c>
      <c r="C695" t="s">
        <v>117</v>
      </c>
      <c r="D695" t="s">
        <v>33</v>
      </c>
      <c r="E695">
        <v>2025</v>
      </c>
      <c r="F695" t="s">
        <v>59</v>
      </c>
      <c r="G695" t="s">
        <v>35</v>
      </c>
      <c r="H695" t="s">
        <v>139</v>
      </c>
      <c r="I695" t="s">
        <v>140</v>
      </c>
      <c r="J695" t="s">
        <v>100</v>
      </c>
      <c r="K695" t="s">
        <v>39</v>
      </c>
      <c r="L695" t="s">
        <v>81</v>
      </c>
      <c r="M695" t="s">
        <v>211</v>
      </c>
      <c r="N695" t="s">
        <v>212</v>
      </c>
      <c r="O695" t="s">
        <v>112</v>
      </c>
      <c r="P695" t="s">
        <v>113</v>
      </c>
      <c r="Q695">
        <v>38850.269999999997</v>
      </c>
      <c r="R695">
        <v>39359.769999999997</v>
      </c>
      <c r="S695">
        <v>26061.58</v>
      </c>
      <c r="T695">
        <v>1983.75</v>
      </c>
      <c r="U695">
        <v>2354.63</v>
      </c>
      <c r="V695">
        <v>3864.2</v>
      </c>
      <c r="W695">
        <v>683.49</v>
      </c>
      <c r="X695">
        <v>34947.65</v>
      </c>
      <c r="Y695">
        <v>12788.69</v>
      </c>
      <c r="Z695">
        <v>-22158.959999999999</v>
      </c>
      <c r="AA695">
        <v>-0.54320000000000002</v>
      </c>
      <c r="AB695">
        <v>-509.5</v>
      </c>
      <c r="AC695">
        <v>0</v>
      </c>
      <c r="AD695">
        <v>1942.51</v>
      </c>
      <c r="AE695">
        <v>40792.78</v>
      </c>
    </row>
    <row r="696" spans="1:31" x14ac:dyDescent="0.25">
      <c r="A696" t="s">
        <v>898</v>
      </c>
      <c r="B696" s="2">
        <v>45954</v>
      </c>
      <c r="C696" t="s">
        <v>92</v>
      </c>
      <c r="D696" t="s">
        <v>93</v>
      </c>
      <c r="E696">
        <v>2025</v>
      </c>
      <c r="F696" t="s">
        <v>47</v>
      </c>
      <c r="G696" t="s">
        <v>35</v>
      </c>
      <c r="H696" t="s">
        <v>214</v>
      </c>
      <c r="I696" t="s">
        <v>321</v>
      </c>
      <c r="J696" t="s">
        <v>70</v>
      </c>
      <c r="K696" t="s">
        <v>101</v>
      </c>
      <c r="L696" t="s">
        <v>81</v>
      </c>
      <c r="M696" t="s">
        <v>141</v>
      </c>
      <c r="N696" t="s">
        <v>142</v>
      </c>
      <c r="O696" t="s">
        <v>54</v>
      </c>
      <c r="P696" t="s">
        <v>143</v>
      </c>
      <c r="Q696">
        <v>5855.95</v>
      </c>
      <c r="R696">
        <v>6504.12</v>
      </c>
      <c r="S696">
        <v>3778.67</v>
      </c>
      <c r="T696">
        <v>640.25</v>
      </c>
      <c r="U696">
        <v>425.96</v>
      </c>
      <c r="V696">
        <v>454.7</v>
      </c>
      <c r="W696">
        <v>101.89</v>
      </c>
      <c r="X696">
        <v>5401.47</v>
      </c>
      <c r="Y696">
        <v>2077.2800000000002</v>
      </c>
      <c r="Z696">
        <v>-3324.19</v>
      </c>
      <c r="AA696">
        <v>-0.50639999999999996</v>
      </c>
      <c r="AB696">
        <v>-648.16999999999996</v>
      </c>
      <c r="AC696">
        <v>292.8</v>
      </c>
      <c r="AD696">
        <v>1001.37</v>
      </c>
      <c r="AE696">
        <v>6564.52</v>
      </c>
    </row>
    <row r="697" spans="1:31" x14ac:dyDescent="0.25">
      <c r="A697" t="s">
        <v>899</v>
      </c>
      <c r="B697" s="2">
        <v>45857</v>
      </c>
      <c r="C697" t="s">
        <v>32</v>
      </c>
      <c r="D697" t="s">
        <v>33</v>
      </c>
      <c r="E697">
        <v>2025</v>
      </c>
      <c r="F697" t="s">
        <v>34</v>
      </c>
      <c r="G697" t="s">
        <v>35</v>
      </c>
      <c r="H697" t="s">
        <v>157</v>
      </c>
      <c r="I697" t="s">
        <v>166</v>
      </c>
      <c r="J697" t="s">
        <v>70</v>
      </c>
      <c r="K697" t="s">
        <v>160</v>
      </c>
      <c r="L697" t="s">
        <v>72</v>
      </c>
      <c r="M697" t="s">
        <v>197</v>
      </c>
      <c r="N697" t="s">
        <v>198</v>
      </c>
      <c r="O697" t="s">
        <v>43</v>
      </c>
      <c r="P697" t="s">
        <v>163</v>
      </c>
      <c r="Q697">
        <v>46062.559999999998</v>
      </c>
      <c r="R697">
        <v>44938.75</v>
      </c>
      <c r="S697">
        <v>26641.3</v>
      </c>
      <c r="T697">
        <v>4639.7</v>
      </c>
      <c r="U697">
        <v>1223.76</v>
      </c>
      <c r="V697">
        <v>5150.7700000000004</v>
      </c>
      <c r="W697">
        <v>1298.07</v>
      </c>
      <c r="X697">
        <v>38953.599999999999</v>
      </c>
      <c r="Y697">
        <v>19421.259999999998</v>
      </c>
      <c r="Z697">
        <v>-19532.34</v>
      </c>
      <c r="AA697">
        <v>-0.3705</v>
      </c>
      <c r="AB697">
        <v>1123.81</v>
      </c>
      <c r="AC697">
        <v>1381.88</v>
      </c>
      <c r="AD697">
        <v>8042.52</v>
      </c>
      <c r="AE697">
        <v>52723.21</v>
      </c>
    </row>
    <row r="698" spans="1:31" x14ac:dyDescent="0.25">
      <c r="A698" t="s">
        <v>900</v>
      </c>
      <c r="B698" s="2">
        <v>45887</v>
      </c>
      <c r="C698" t="s">
        <v>117</v>
      </c>
      <c r="D698" t="s">
        <v>33</v>
      </c>
      <c r="E698">
        <v>2025</v>
      </c>
      <c r="F698" t="s">
        <v>67</v>
      </c>
      <c r="G698" t="s">
        <v>35</v>
      </c>
      <c r="H698" t="s">
        <v>168</v>
      </c>
      <c r="I698" t="s">
        <v>169</v>
      </c>
      <c r="J698" t="s">
        <v>38</v>
      </c>
      <c r="K698" t="s">
        <v>160</v>
      </c>
      <c r="L698" t="s">
        <v>81</v>
      </c>
      <c r="M698" t="s">
        <v>110</v>
      </c>
      <c r="N698" t="s">
        <v>111</v>
      </c>
      <c r="O698" t="s">
        <v>112</v>
      </c>
      <c r="P698" t="s">
        <v>113</v>
      </c>
      <c r="Q698">
        <v>13936.03</v>
      </c>
      <c r="R698">
        <v>13803.37</v>
      </c>
      <c r="S698">
        <v>8850.7800000000007</v>
      </c>
      <c r="T698">
        <v>735.54</v>
      </c>
      <c r="U698">
        <v>1153.5899999999999</v>
      </c>
      <c r="V698">
        <v>1272.75</v>
      </c>
      <c r="W698">
        <v>453.26</v>
      </c>
      <c r="X698">
        <v>12465.92</v>
      </c>
      <c r="Y698">
        <v>5085.25</v>
      </c>
      <c r="Z698">
        <v>-7380.67</v>
      </c>
      <c r="AA698">
        <v>-0.51400000000000001</v>
      </c>
      <c r="AB698">
        <v>132.66</v>
      </c>
      <c r="AC698">
        <v>1114.8800000000001</v>
      </c>
      <c r="AD698">
        <v>1538.54</v>
      </c>
      <c r="AE698">
        <v>14359.68</v>
      </c>
    </row>
    <row r="699" spans="1:31" x14ac:dyDescent="0.25">
      <c r="A699" t="s">
        <v>901</v>
      </c>
      <c r="B699" s="2">
        <v>45812</v>
      </c>
      <c r="C699" t="s">
        <v>156</v>
      </c>
      <c r="D699" t="s">
        <v>66</v>
      </c>
      <c r="E699">
        <v>2025</v>
      </c>
      <c r="F699" t="s">
        <v>34</v>
      </c>
      <c r="G699" t="s">
        <v>35</v>
      </c>
      <c r="H699" t="s">
        <v>134</v>
      </c>
      <c r="I699" t="s">
        <v>154</v>
      </c>
      <c r="J699" t="s">
        <v>70</v>
      </c>
      <c r="K699" t="s">
        <v>160</v>
      </c>
      <c r="L699" t="s">
        <v>72</v>
      </c>
      <c r="M699" t="s">
        <v>73</v>
      </c>
      <c r="N699" t="s">
        <v>74</v>
      </c>
      <c r="O699" t="s">
        <v>43</v>
      </c>
      <c r="P699" t="s">
        <v>75</v>
      </c>
      <c r="Q699">
        <v>34427.54</v>
      </c>
      <c r="R699">
        <v>34061.32</v>
      </c>
      <c r="S699">
        <v>23020.46</v>
      </c>
      <c r="T699">
        <v>2056.15</v>
      </c>
      <c r="U699">
        <v>1121.17</v>
      </c>
      <c r="V699">
        <v>1940.21</v>
      </c>
      <c r="W699">
        <v>445.84</v>
      </c>
      <c r="X699">
        <v>28583.84</v>
      </c>
      <c r="Y699">
        <v>11407.08</v>
      </c>
      <c r="Z699">
        <v>-17176.77</v>
      </c>
      <c r="AA699">
        <v>-0.50019999999999998</v>
      </c>
      <c r="AB699">
        <v>366.22</v>
      </c>
      <c r="AC699">
        <v>1721.38</v>
      </c>
      <c r="AD699">
        <v>1635.31</v>
      </c>
      <c r="AE699">
        <v>34341.47</v>
      </c>
    </row>
    <row r="700" spans="1:31" x14ac:dyDescent="0.25">
      <c r="A700" t="s">
        <v>902</v>
      </c>
      <c r="B700" s="2">
        <v>45852</v>
      </c>
      <c r="C700" t="s">
        <v>32</v>
      </c>
      <c r="D700" t="s">
        <v>33</v>
      </c>
      <c r="E700">
        <v>2025</v>
      </c>
      <c r="F700" t="s">
        <v>47</v>
      </c>
      <c r="G700" t="s">
        <v>35</v>
      </c>
      <c r="H700" t="s">
        <v>48</v>
      </c>
      <c r="I700" t="s">
        <v>265</v>
      </c>
      <c r="J700" t="s">
        <v>70</v>
      </c>
      <c r="K700" t="s">
        <v>71</v>
      </c>
      <c r="L700" t="s">
        <v>72</v>
      </c>
      <c r="M700" t="s">
        <v>221</v>
      </c>
      <c r="N700" t="s">
        <v>222</v>
      </c>
      <c r="O700" t="s">
        <v>104</v>
      </c>
      <c r="P700" t="s">
        <v>223</v>
      </c>
      <c r="Q700">
        <v>13452.02</v>
      </c>
      <c r="R700">
        <v>15195.57</v>
      </c>
      <c r="S700">
        <v>7457.28</v>
      </c>
      <c r="T700">
        <v>1687.47</v>
      </c>
      <c r="U700">
        <v>493.37</v>
      </c>
      <c r="V700">
        <v>1251.28</v>
      </c>
      <c r="W700">
        <v>450.96</v>
      </c>
      <c r="X700">
        <v>11340.36</v>
      </c>
      <c r="Y700">
        <v>5994.74</v>
      </c>
      <c r="Z700">
        <v>-5345.63</v>
      </c>
      <c r="AA700">
        <v>-0.36199999999999999</v>
      </c>
      <c r="AB700">
        <v>-1743.55</v>
      </c>
      <c r="AC700">
        <v>269.04000000000002</v>
      </c>
      <c r="AD700">
        <v>1581.96</v>
      </c>
      <c r="AE700">
        <v>14764.94</v>
      </c>
    </row>
    <row r="701" spans="1:31" x14ac:dyDescent="0.25">
      <c r="A701" t="s">
        <v>903</v>
      </c>
      <c r="B701" s="2">
        <v>45919</v>
      </c>
      <c r="C701" t="s">
        <v>46</v>
      </c>
      <c r="D701" t="s">
        <v>33</v>
      </c>
      <c r="E701">
        <v>2025</v>
      </c>
      <c r="F701" t="s">
        <v>59</v>
      </c>
      <c r="G701" t="s">
        <v>35</v>
      </c>
      <c r="H701" t="s">
        <v>230</v>
      </c>
      <c r="I701" t="s">
        <v>301</v>
      </c>
      <c r="J701" t="s">
        <v>100</v>
      </c>
      <c r="K701" t="s">
        <v>39</v>
      </c>
      <c r="L701" t="s">
        <v>94</v>
      </c>
      <c r="M701" t="s">
        <v>41</v>
      </c>
      <c r="N701" t="s">
        <v>42</v>
      </c>
      <c r="O701" t="s">
        <v>43</v>
      </c>
      <c r="P701" t="s">
        <v>44</v>
      </c>
      <c r="Q701">
        <v>32731.54</v>
      </c>
      <c r="R701">
        <v>37084.83</v>
      </c>
      <c r="S701">
        <v>21351.49</v>
      </c>
      <c r="T701">
        <v>4107.5</v>
      </c>
      <c r="U701">
        <v>2293.67</v>
      </c>
      <c r="V701">
        <v>3771.72</v>
      </c>
      <c r="W701">
        <v>962.57</v>
      </c>
      <c r="X701">
        <v>32486.959999999999</v>
      </c>
      <c r="Y701">
        <v>11380.05</v>
      </c>
      <c r="Z701">
        <v>-21106.91</v>
      </c>
      <c r="AA701">
        <v>-0.57520000000000004</v>
      </c>
      <c r="AB701">
        <v>-4353.29</v>
      </c>
      <c r="AC701">
        <v>1636.58</v>
      </c>
      <c r="AD701">
        <v>5597.09</v>
      </c>
      <c r="AE701">
        <v>36692.06</v>
      </c>
    </row>
    <row r="702" spans="1:31" x14ac:dyDescent="0.25">
      <c r="A702" t="s">
        <v>904</v>
      </c>
      <c r="B702" s="2">
        <v>45948</v>
      </c>
      <c r="C702" t="s">
        <v>92</v>
      </c>
      <c r="D702" t="s">
        <v>93</v>
      </c>
      <c r="E702">
        <v>2025</v>
      </c>
      <c r="F702" t="s">
        <v>59</v>
      </c>
      <c r="G702" t="s">
        <v>35</v>
      </c>
      <c r="H702" t="s">
        <v>139</v>
      </c>
      <c r="I702" t="s">
        <v>152</v>
      </c>
      <c r="J702" t="s">
        <v>80</v>
      </c>
      <c r="K702" t="s">
        <v>39</v>
      </c>
      <c r="L702" t="s">
        <v>40</v>
      </c>
      <c r="M702" t="s">
        <v>141</v>
      </c>
      <c r="N702" t="s">
        <v>142</v>
      </c>
      <c r="O702" t="s">
        <v>54</v>
      </c>
      <c r="P702" t="s">
        <v>143</v>
      </c>
      <c r="Q702">
        <v>3339.52</v>
      </c>
      <c r="R702">
        <v>3475.23</v>
      </c>
      <c r="S702">
        <v>2339.46</v>
      </c>
      <c r="T702">
        <v>350.17</v>
      </c>
      <c r="U702">
        <v>245.08</v>
      </c>
      <c r="V702">
        <v>356.49</v>
      </c>
      <c r="W702">
        <v>74.5</v>
      </c>
      <c r="X702">
        <v>3365.69</v>
      </c>
      <c r="Y702">
        <v>1000.06</v>
      </c>
      <c r="Z702">
        <v>-2365.63</v>
      </c>
      <c r="AA702">
        <v>-0.60029999999999994</v>
      </c>
      <c r="AB702">
        <v>-135.71</v>
      </c>
      <c r="AC702">
        <v>0</v>
      </c>
      <c r="AD702">
        <v>601.11</v>
      </c>
      <c r="AE702">
        <v>3940.64</v>
      </c>
    </row>
    <row r="703" spans="1:31" x14ac:dyDescent="0.25">
      <c r="A703" t="s">
        <v>905</v>
      </c>
      <c r="B703" s="2">
        <v>45945</v>
      </c>
      <c r="C703" t="s">
        <v>92</v>
      </c>
      <c r="D703" t="s">
        <v>93</v>
      </c>
      <c r="E703">
        <v>2025</v>
      </c>
      <c r="F703" t="s">
        <v>67</v>
      </c>
      <c r="G703" t="s">
        <v>35</v>
      </c>
      <c r="H703" t="s">
        <v>168</v>
      </c>
      <c r="I703" t="s">
        <v>278</v>
      </c>
      <c r="J703" t="s">
        <v>80</v>
      </c>
      <c r="K703" t="s">
        <v>101</v>
      </c>
      <c r="L703" t="s">
        <v>40</v>
      </c>
      <c r="M703" t="s">
        <v>95</v>
      </c>
      <c r="N703" t="s">
        <v>96</v>
      </c>
      <c r="O703" t="s">
        <v>43</v>
      </c>
      <c r="P703" t="s">
        <v>90</v>
      </c>
      <c r="Q703">
        <v>58589.52</v>
      </c>
      <c r="R703">
        <v>64941.59</v>
      </c>
      <c r="S703">
        <v>42015.37</v>
      </c>
      <c r="T703">
        <v>2967.37</v>
      </c>
      <c r="U703">
        <v>3130.84</v>
      </c>
      <c r="V703">
        <v>3543.7</v>
      </c>
      <c r="W703">
        <v>831.75</v>
      </c>
      <c r="X703">
        <v>52489.03</v>
      </c>
      <c r="Y703">
        <v>16574.150000000001</v>
      </c>
      <c r="Z703">
        <v>-35914.879999999997</v>
      </c>
      <c r="AA703">
        <v>-0.56469999999999998</v>
      </c>
      <c r="AB703">
        <v>-6352.08</v>
      </c>
      <c r="AC703">
        <v>4687.16</v>
      </c>
      <c r="AD703">
        <v>9702.42</v>
      </c>
      <c r="AE703">
        <v>63604.78</v>
      </c>
    </row>
    <row r="704" spans="1:31" x14ac:dyDescent="0.25">
      <c r="A704" t="s">
        <v>906</v>
      </c>
      <c r="B704" s="2">
        <v>46023</v>
      </c>
      <c r="C704" t="s">
        <v>77</v>
      </c>
      <c r="D704" t="s">
        <v>58</v>
      </c>
      <c r="E704">
        <v>2026</v>
      </c>
      <c r="F704" t="s">
        <v>59</v>
      </c>
      <c r="G704" t="s">
        <v>35</v>
      </c>
      <c r="H704" t="s">
        <v>139</v>
      </c>
      <c r="I704" t="s">
        <v>200</v>
      </c>
      <c r="J704" t="s">
        <v>38</v>
      </c>
      <c r="K704" t="s">
        <v>71</v>
      </c>
      <c r="L704" t="s">
        <v>51</v>
      </c>
      <c r="M704" t="s">
        <v>130</v>
      </c>
      <c r="N704" t="s">
        <v>131</v>
      </c>
      <c r="O704" t="s">
        <v>43</v>
      </c>
      <c r="P704" t="s">
        <v>132</v>
      </c>
      <c r="Q704">
        <v>44091</v>
      </c>
      <c r="R704">
        <v>44480.13</v>
      </c>
      <c r="S704">
        <v>25833.32</v>
      </c>
      <c r="T704">
        <v>2436.04</v>
      </c>
      <c r="U704">
        <v>2252.7800000000002</v>
      </c>
      <c r="V704">
        <v>4461.47</v>
      </c>
      <c r="W704">
        <v>1853.2</v>
      </c>
      <c r="X704">
        <v>36836.800000000003</v>
      </c>
      <c r="Y704">
        <v>18257.68</v>
      </c>
      <c r="Z704">
        <v>-18579.12</v>
      </c>
      <c r="AA704">
        <v>-0.38790000000000002</v>
      </c>
      <c r="AB704">
        <v>-389.13</v>
      </c>
      <c r="AC704">
        <v>1322.73</v>
      </c>
      <c r="AD704">
        <v>5132.1899999999996</v>
      </c>
      <c r="AE704">
        <v>47900.46</v>
      </c>
    </row>
    <row r="705" spans="1:31" x14ac:dyDescent="0.25">
      <c r="A705" t="s">
        <v>907</v>
      </c>
      <c r="B705" s="2">
        <v>45920</v>
      </c>
      <c r="C705" t="s">
        <v>46</v>
      </c>
      <c r="D705" t="s">
        <v>33</v>
      </c>
      <c r="E705">
        <v>2025</v>
      </c>
      <c r="F705" t="s">
        <v>34</v>
      </c>
      <c r="G705" t="s">
        <v>35</v>
      </c>
      <c r="H705" t="s">
        <v>157</v>
      </c>
      <c r="I705" t="s">
        <v>158</v>
      </c>
      <c r="J705" t="s">
        <v>70</v>
      </c>
      <c r="K705" t="s">
        <v>101</v>
      </c>
      <c r="L705" t="s">
        <v>40</v>
      </c>
      <c r="M705" t="s">
        <v>130</v>
      </c>
      <c r="N705" t="s">
        <v>131</v>
      </c>
      <c r="O705" t="s">
        <v>43</v>
      </c>
      <c r="P705" t="s">
        <v>132</v>
      </c>
      <c r="Q705">
        <v>61172.82</v>
      </c>
      <c r="R705">
        <v>64079.61</v>
      </c>
      <c r="S705">
        <v>29819.47</v>
      </c>
      <c r="T705">
        <v>5316.66</v>
      </c>
      <c r="U705">
        <v>3369.36</v>
      </c>
      <c r="V705">
        <v>5108.17</v>
      </c>
      <c r="W705">
        <v>2048.2800000000002</v>
      </c>
      <c r="X705">
        <v>45661.94</v>
      </c>
      <c r="Y705">
        <v>31353.35</v>
      </c>
      <c r="Z705">
        <v>-14308.59</v>
      </c>
      <c r="AA705">
        <v>-0.20880000000000001</v>
      </c>
      <c r="AB705">
        <v>-2906.79</v>
      </c>
      <c r="AC705">
        <v>0</v>
      </c>
      <c r="AD705">
        <v>7340.74</v>
      </c>
      <c r="AE705">
        <v>68513.56</v>
      </c>
    </row>
    <row r="706" spans="1:31" x14ac:dyDescent="0.25">
      <c r="A706" t="s">
        <v>908</v>
      </c>
      <c r="B706" s="2">
        <v>45884</v>
      </c>
      <c r="C706" t="s">
        <v>117</v>
      </c>
      <c r="D706" t="s">
        <v>33</v>
      </c>
      <c r="E706">
        <v>2025</v>
      </c>
      <c r="F706" t="s">
        <v>59</v>
      </c>
      <c r="G706" t="s">
        <v>35</v>
      </c>
      <c r="H706" t="s">
        <v>139</v>
      </c>
      <c r="I706" t="s">
        <v>152</v>
      </c>
      <c r="J706" t="s">
        <v>80</v>
      </c>
      <c r="K706" t="s">
        <v>71</v>
      </c>
      <c r="L706" t="s">
        <v>51</v>
      </c>
      <c r="M706" t="s">
        <v>235</v>
      </c>
      <c r="N706" t="s">
        <v>236</v>
      </c>
      <c r="O706" t="s">
        <v>104</v>
      </c>
      <c r="P706" t="s">
        <v>237</v>
      </c>
      <c r="Q706">
        <v>26624.71</v>
      </c>
      <c r="R706">
        <v>29163.65</v>
      </c>
      <c r="S706">
        <v>18511.87</v>
      </c>
      <c r="T706">
        <v>3251.92</v>
      </c>
      <c r="U706">
        <v>1234.1400000000001</v>
      </c>
      <c r="V706">
        <v>3093.69</v>
      </c>
      <c r="W706">
        <v>289.43</v>
      </c>
      <c r="X706">
        <v>26381.05</v>
      </c>
      <c r="Y706">
        <v>8112.83</v>
      </c>
      <c r="Z706">
        <v>-18268.21</v>
      </c>
      <c r="AA706">
        <v>-0.59950000000000003</v>
      </c>
      <c r="AB706">
        <v>-2538.94</v>
      </c>
      <c r="AC706">
        <v>798.74</v>
      </c>
      <c r="AD706">
        <v>4648.67</v>
      </c>
      <c r="AE706">
        <v>30474.639999999999</v>
      </c>
    </row>
    <row r="707" spans="1:31" x14ac:dyDescent="0.25">
      <c r="A707" t="s">
        <v>909</v>
      </c>
      <c r="B707" s="2">
        <v>45816</v>
      </c>
      <c r="C707" t="s">
        <v>156</v>
      </c>
      <c r="D707" t="s">
        <v>66</v>
      </c>
      <c r="E707">
        <v>2025</v>
      </c>
      <c r="F707" t="s">
        <v>59</v>
      </c>
      <c r="G707" t="s">
        <v>35</v>
      </c>
      <c r="H707" t="s">
        <v>60</v>
      </c>
      <c r="I707" t="s">
        <v>61</v>
      </c>
      <c r="J707" t="s">
        <v>70</v>
      </c>
      <c r="K707" t="s">
        <v>39</v>
      </c>
      <c r="L707" t="s">
        <v>72</v>
      </c>
      <c r="M707" t="s">
        <v>102</v>
      </c>
      <c r="N707" t="s">
        <v>103</v>
      </c>
      <c r="O707" t="s">
        <v>104</v>
      </c>
      <c r="P707" t="s">
        <v>105</v>
      </c>
      <c r="Q707">
        <v>17895.689999999999</v>
      </c>
      <c r="R707">
        <v>20755.5</v>
      </c>
      <c r="S707">
        <v>9725.92</v>
      </c>
      <c r="T707">
        <v>1109.3800000000001</v>
      </c>
      <c r="U707">
        <v>552.04</v>
      </c>
      <c r="V707">
        <v>1522.4</v>
      </c>
      <c r="W707">
        <v>250.21</v>
      </c>
      <c r="X707">
        <v>13159.95</v>
      </c>
      <c r="Y707">
        <v>8169.77</v>
      </c>
      <c r="Z707">
        <v>-4990.18</v>
      </c>
      <c r="AA707">
        <v>-0.249</v>
      </c>
      <c r="AB707">
        <v>-2859.81</v>
      </c>
      <c r="AC707">
        <v>0</v>
      </c>
      <c r="AD707">
        <v>2147.48</v>
      </c>
      <c r="AE707">
        <v>20043.169999999998</v>
      </c>
    </row>
    <row r="708" spans="1:31" x14ac:dyDescent="0.25">
      <c r="A708" t="s">
        <v>910</v>
      </c>
      <c r="B708" s="2">
        <v>46038</v>
      </c>
      <c r="C708" t="s">
        <v>77</v>
      </c>
      <c r="D708" t="s">
        <v>58</v>
      </c>
      <c r="E708">
        <v>2026</v>
      </c>
      <c r="F708" t="s">
        <v>34</v>
      </c>
      <c r="G708" t="s">
        <v>35</v>
      </c>
      <c r="H708" t="s">
        <v>36</v>
      </c>
      <c r="I708" t="s">
        <v>37</v>
      </c>
      <c r="J708" t="s">
        <v>100</v>
      </c>
      <c r="K708" t="s">
        <v>50</v>
      </c>
      <c r="L708" t="s">
        <v>40</v>
      </c>
      <c r="M708" t="s">
        <v>41</v>
      </c>
      <c r="N708" t="s">
        <v>42</v>
      </c>
      <c r="O708" t="s">
        <v>43</v>
      </c>
      <c r="P708" t="s">
        <v>44</v>
      </c>
      <c r="Q708">
        <v>65086.2</v>
      </c>
      <c r="R708">
        <v>69650.02</v>
      </c>
      <c r="S708">
        <v>34713.72</v>
      </c>
      <c r="T708">
        <v>3532.43</v>
      </c>
      <c r="U708">
        <v>4229.51</v>
      </c>
      <c r="V708">
        <v>2850.25</v>
      </c>
      <c r="W708">
        <v>2046.65</v>
      </c>
      <c r="X708">
        <v>47372.56</v>
      </c>
      <c r="Y708">
        <v>30372.49</v>
      </c>
      <c r="Z708">
        <v>-17000.07</v>
      </c>
      <c r="AA708">
        <v>-0.22589999999999999</v>
      </c>
      <c r="AB708">
        <v>-4563.82</v>
      </c>
      <c r="AC708">
        <v>1301.72</v>
      </c>
      <c r="AD708">
        <v>11481.21</v>
      </c>
      <c r="AE708">
        <v>75265.69</v>
      </c>
    </row>
    <row r="709" spans="1:31" x14ac:dyDescent="0.25">
      <c r="A709" t="s">
        <v>911</v>
      </c>
      <c r="B709" s="2">
        <v>45813</v>
      </c>
      <c r="C709" t="s">
        <v>156</v>
      </c>
      <c r="D709" t="s">
        <v>66</v>
      </c>
      <c r="E709">
        <v>2025</v>
      </c>
      <c r="F709" t="s">
        <v>67</v>
      </c>
      <c r="G709" t="s">
        <v>35</v>
      </c>
      <c r="H709" t="s">
        <v>217</v>
      </c>
      <c r="I709" t="s">
        <v>218</v>
      </c>
      <c r="J709" t="s">
        <v>70</v>
      </c>
      <c r="K709" t="s">
        <v>50</v>
      </c>
      <c r="L709" t="s">
        <v>94</v>
      </c>
      <c r="M709" t="s">
        <v>62</v>
      </c>
      <c r="N709" t="s">
        <v>63</v>
      </c>
      <c r="O709" t="s">
        <v>54</v>
      </c>
      <c r="P709" t="s">
        <v>55</v>
      </c>
      <c r="Q709">
        <v>2559.4699999999998</v>
      </c>
      <c r="R709">
        <v>2416.69</v>
      </c>
      <c r="S709">
        <v>1494.43</v>
      </c>
      <c r="T709">
        <v>168.45</v>
      </c>
      <c r="U709">
        <v>155.24</v>
      </c>
      <c r="V709">
        <v>126.14</v>
      </c>
      <c r="W709">
        <v>27.66</v>
      </c>
      <c r="X709">
        <v>1971.92</v>
      </c>
      <c r="Y709">
        <v>1065.04</v>
      </c>
      <c r="Z709">
        <v>-906.89</v>
      </c>
      <c r="AA709">
        <v>-0.30030000000000001</v>
      </c>
      <c r="AB709">
        <v>142.78</v>
      </c>
      <c r="AC709">
        <v>0</v>
      </c>
      <c r="AD709">
        <v>460.7</v>
      </c>
      <c r="AE709">
        <v>3020.17</v>
      </c>
    </row>
    <row r="710" spans="1:31" x14ac:dyDescent="0.25">
      <c r="A710" t="s">
        <v>912</v>
      </c>
      <c r="B710" s="2">
        <v>45883</v>
      </c>
      <c r="C710" t="s">
        <v>117</v>
      </c>
      <c r="D710" t="s">
        <v>33</v>
      </c>
      <c r="E710">
        <v>2025</v>
      </c>
      <c r="F710" t="s">
        <v>85</v>
      </c>
      <c r="G710" t="s">
        <v>35</v>
      </c>
      <c r="H710" t="s">
        <v>178</v>
      </c>
      <c r="I710" t="s">
        <v>329</v>
      </c>
      <c r="J710" t="s">
        <v>70</v>
      </c>
      <c r="K710" t="s">
        <v>50</v>
      </c>
      <c r="L710" t="s">
        <v>81</v>
      </c>
      <c r="M710" t="s">
        <v>171</v>
      </c>
      <c r="N710" t="s">
        <v>172</v>
      </c>
      <c r="O710" t="s">
        <v>173</v>
      </c>
      <c r="P710" t="s">
        <v>174</v>
      </c>
      <c r="Q710">
        <v>7218.81</v>
      </c>
      <c r="R710">
        <v>8168</v>
      </c>
      <c r="S710">
        <v>4731.87</v>
      </c>
      <c r="T710">
        <v>744.6</v>
      </c>
      <c r="U710">
        <v>241.77</v>
      </c>
      <c r="V710">
        <v>658.32</v>
      </c>
      <c r="W710">
        <v>267.27999999999997</v>
      </c>
      <c r="X710">
        <v>6643.83</v>
      </c>
      <c r="Y710">
        <v>2486.94</v>
      </c>
      <c r="Z710">
        <v>-4156.8900000000003</v>
      </c>
      <c r="AA710">
        <v>-0.59609999999999996</v>
      </c>
      <c r="AB710">
        <v>-949.19</v>
      </c>
      <c r="AC710">
        <v>577.5</v>
      </c>
      <c r="AD710">
        <v>332.07</v>
      </c>
      <c r="AE710">
        <v>6973.37</v>
      </c>
    </row>
    <row r="711" spans="1:31" x14ac:dyDescent="0.25">
      <c r="A711" t="s">
        <v>913</v>
      </c>
      <c r="B711" s="2">
        <v>45939</v>
      </c>
      <c r="C711" t="s">
        <v>92</v>
      </c>
      <c r="D711" t="s">
        <v>93</v>
      </c>
      <c r="E711">
        <v>2025</v>
      </c>
      <c r="F711" t="s">
        <v>59</v>
      </c>
      <c r="G711" t="s">
        <v>35</v>
      </c>
      <c r="H711" t="s">
        <v>254</v>
      </c>
      <c r="I711" t="s">
        <v>200</v>
      </c>
      <c r="J711" t="s">
        <v>100</v>
      </c>
      <c r="K711" t="s">
        <v>39</v>
      </c>
      <c r="L711" t="s">
        <v>51</v>
      </c>
      <c r="M711" t="s">
        <v>88</v>
      </c>
      <c r="N711" t="s">
        <v>89</v>
      </c>
      <c r="O711" t="s">
        <v>43</v>
      </c>
      <c r="P711" t="s">
        <v>90</v>
      </c>
      <c r="Q711">
        <v>42720.57</v>
      </c>
      <c r="R711">
        <v>48185.37</v>
      </c>
      <c r="S711">
        <v>23191.42</v>
      </c>
      <c r="T711">
        <v>4490.28</v>
      </c>
      <c r="U711">
        <v>3632.95</v>
      </c>
      <c r="V711">
        <v>2870.23</v>
      </c>
      <c r="W711">
        <v>1179.1400000000001</v>
      </c>
      <c r="X711">
        <v>35364.019999999997</v>
      </c>
      <c r="Y711">
        <v>19529.150000000001</v>
      </c>
      <c r="Z711">
        <v>-15834.87</v>
      </c>
      <c r="AA711">
        <v>-0.3639</v>
      </c>
      <c r="AB711">
        <v>-5464.8</v>
      </c>
      <c r="AC711">
        <v>1281.6199999999999</v>
      </c>
      <c r="AD711">
        <v>2071.9499999999998</v>
      </c>
      <c r="AE711">
        <v>43510.9</v>
      </c>
    </row>
    <row r="712" spans="1:31" x14ac:dyDescent="0.25">
      <c r="A712" t="s">
        <v>914</v>
      </c>
      <c r="B712" s="2">
        <v>45765</v>
      </c>
      <c r="C712" t="s">
        <v>128</v>
      </c>
      <c r="D712" t="s">
        <v>66</v>
      </c>
      <c r="E712">
        <v>2025</v>
      </c>
      <c r="F712" t="s">
        <v>85</v>
      </c>
      <c r="G712" t="s">
        <v>35</v>
      </c>
      <c r="H712" t="s">
        <v>60</v>
      </c>
      <c r="I712" t="s">
        <v>185</v>
      </c>
      <c r="J712" t="s">
        <v>100</v>
      </c>
      <c r="K712" t="s">
        <v>50</v>
      </c>
      <c r="L712" t="s">
        <v>72</v>
      </c>
      <c r="M712" t="s">
        <v>221</v>
      </c>
      <c r="N712" t="s">
        <v>222</v>
      </c>
      <c r="O712" t="s">
        <v>104</v>
      </c>
      <c r="P712" t="s">
        <v>223</v>
      </c>
      <c r="Q712">
        <v>17637.43</v>
      </c>
      <c r="R712">
        <v>20528.080000000002</v>
      </c>
      <c r="S712">
        <v>9079.32</v>
      </c>
      <c r="T712">
        <v>1132.06</v>
      </c>
      <c r="U712">
        <v>1429.93</v>
      </c>
      <c r="V712">
        <v>1259.68</v>
      </c>
      <c r="W712">
        <v>179.07</v>
      </c>
      <c r="X712">
        <v>13080.07</v>
      </c>
      <c r="Y712">
        <v>8558.11</v>
      </c>
      <c r="Z712">
        <v>-4521.96</v>
      </c>
      <c r="AA712">
        <v>-0.2336</v>
      </c>
      <c r="AB712">
        <v>-2890.65</v>
      </c>
      <c r="AC712">
        <v>352.75</v>
      </c>
      <c r="AD712">
        <v>2074.16</v>
      </c>
      <c r="AE712">
        <v>19358.849999999999</v>
      </c>
    </row>
    <row r="713" spans="1:31" x14ac:dyDescent="0.25">
      <c r="A713" t="s">
        <v>915</v>
      </c>
      <c r="B713" s="2">
        <v>45962</v>
      </c>
      <c r="C713" t="s">
        <v>147</v>
      </c>
      <c r="D713" t="s">
        <v>93</v>
      </c>
      <c r="E713">
        <v>2025</v>
      </c>
      <c r="F713" t="s">
        <v>59</v>
      </c>
      <c r="G713" t="s">
        <v>35</v>
      </c>
      <c r="H713" t="s">
        <v>139</v>
      </c>
      <c r="I713" t="s">
        <v>152</v>
      </c>
      <c r="J713" t="s">
        <v>70</v>
      </c>
      <c r="K713" t="s">
        <v>50</v>
      </c>
      <c r="L713" t="s">
        <v>40</v>
      </c>
      <c r="M713" t="s">
        <v>52</v>
      </c>
      <c r="N713" t="s">
        <v>53</v>
      </c>
      <c r="O713" t="s">
        <v>54</v>
      </c>
      <c r="P713" t="s">
        <v>55</v>
      </c>
      <c r="Q713">
        <v>5477.14</v>
      </c>
      <c r="R713">
        <v>5430.8</v>
      </c>
      <c r="S713">
        <v>2949.89</v>
      </c>
      <c r="T713">
        <v>593.29</v>
      </c>
      <c r="U713">
        <v>286.33999999999997</v>
      </c>
      <c r="V713">
        <v>649.1</v>
      </c>
      <c r="W713">
        <v>121.77</v>
      </c>
      <c r="X713">
        <v>4600.38</v>
      </c>
      <c r="Y713">
        <v>2527.25</v>
      </c>
      <c r="Z713">
        <v>-2073.14</v>
      </c>
      <c r="AA713">
        <v>-0.34870000000000001</v>
      </c>
      <c r="AB713">
        <v>46.33</v>
      </c>
      <c r="AC713">
        <v>438.17</v>
      </c>
      <c r="AD713">
        <v>907.01</v>
      </c>
      <c r="AE713">
        <v>5945.98</v>
      </c>
    </row>
    <row r="714" spans="1:31" x14ac:dyDescent="0.25">
      <c r="A714" t="s">
        <v>916</v>
      </c>
      <c r="B714" s="2">
        <v>46041</v>
      </c>
      <c r="C714" t="s">
        <v>77</v>
      </c>
      <c r="D714" t="s">
        <v>58</v>
      </c>
      <c r="E714">
        <v>2026</v>
      </c>
      <c r="F714" t="s">
        <v>59</v>
      </c>
      <c r="G714" t="s">
        <v>35</v>
      </c>
      <c r="H714" t="s">
        <v>254</v>
      </c>
      <c r="I714" t="s">
        <v>200</v>
      </c>
      <c r="J714" t="s">
        <v>38</v>
      </c>
      <c r="K714" t="s">
        <v>160</v>
      </c>
      <c r="L714" t="s">
        <v>94</v>
      </c>
      <c r="M714" t="s">
        <v>235</v>
      </c>
      <c r="N714" t="s">
        <v>236</v>
      </c>
      <c r="O714" t="s">
        <v>104</v>
      </c>
      <c r="P714" t="s">
        <v>237</v>
      </c>
      <c r="Q714">
        <v>22786.55</v>
      </c>
      <c r="R714">
        <v>21609.4</v>
      </c>
      <c r="S714">
        <v>12027.74</v>
      </c>
      <c r="T714">
        <v>1914.86</v>
      </c>
      <c r="U714">
        <v>1688.65</v>
      </c>
      <c r="V714">
        <v>2014.46</v>
      </c>
      <c r="W714">
        <v>777.07</v>
      </c>
      <c r="X714">
        <v>18422.77</v>
      </c>
      <c r="Y714">
        <v>10758.8</v>
      </c>
      <c r="Z714">
        <v>-7663.97</v>
      </c>
      <c r="AA714">
        <v>-0.30640000000000001</v>
      </c>
      <c r="AB714">
        <v>1177.1500000000001</v>
      </c>
      <c r="AC714">
        <v>455.73</v>
      </c>
      <c r="AD714">
        <v>2679.7</v>
      </c>
      <c r="AE714">
        <v>25010.51</v>
      </c>
    </row>
    <row r="715" spans="1:31" x14ac:dyDescent="0.25">
      <c r="A715" t="s">
        <v>917</v>
      </c>
      <c r="B715" s="2">
        <v>45975</v>
      </c>
      <c r="C715" t="s">
        <v>147</v>
      </c>
      <c r="D715" t="s">
        <v>93</v>
      </c>
      <c r="E715">
        <v>2025</v>
      </c>
      <c r="F715" t="s">
        <v>34</v>
      </c>
      <c r="G715" t="s">
        <v>35</v>
      </c>
      <c r="H715" t="s">
        <v>157</v>
      </c>
      <c r="I715" t="s">
        <v>166</v>
      </c>
      <c r="J715" t="s">
        <v>70</v>
      </c>
      <c r="K715" t="s">
        <v>101</v>
      </c>
      <c r="L715" t="s">
        <v>51</v>
      </c>
      <c r="M715" t="s">
        <v>102</v>
      </c>
      <c r="N715" t="s">
        <v>103</v>
      </c>
      <c r="O715" t="s">
        <v>104</v>
      </c>
      <c r="P715" t="s">
        <v>105</v>
      </c>
      <c r="Q715">
        <v>16358.1</v>
      </c>
      <c r="R715">
        <v>16579.48</v>
      </c>
      <c r="S715">
        <v>10341.44</v>
      </c>
      <c r="T715">
        <v>983.74</v>
      </c>
      <c r="U715">
        <v>1188.3599999999999</v>
      </c>
      <c r="V715">
        <v>1006.63</v>
      </c>
      <c r="W715">
        <v>420.43</v>
      </c>
      <c r="X715">
        <v>13940.6</v>
      </c>
      <c r="Y715">
        <v>6016.66</v>
      </c>
      <c r="Z715">
        <v>-7923.94</v>
      </c>
      <c r="AA715">
        <v>-0.44619999999999999</v>
      </c>
      <c r="AB715">
        <v>-221.38</v>
      </c>
      <c r="AC715">
        <v>1308.6500000000001</v>
      </c>
      <c r="AD715">
        <v>2708.9</v>
      </c>
      <c r="AE715">
        <v>17758.36</v>
      </c>
    </row>
    <row r="716" spans="1:31" x14ac:dyDescent="0.25">
      <c r="A716" t="s">
        <v>918</v>
      </c>
      <c r="B716" s="2">
        <v>45765</v>
      </c>
      <c r="C716" t="s">
        <v>128</v>
      </c>
      <c r="D716" t="s">
        <v>66</v>
      </c>
      <c r="E716">
        <v>2025</v>
      </c>
      <c r="F716" t="s">
        <v>34</v>
      </c>
      <c r="G716" t="s">
        <v>35</v>
      </c>
      <c r="H716" t="s">
        <v>36</v>
      </c>
      <c r="I716" t="s">
        <v>37</v>
      </c>
      <c r="J716" t="s">
        <v>80</v>
      </c>
      <c r="K716" t="s">
        <v>39</v>
      </c>
      <c r="L716" t="s">
        <v>94</v>
      </c>
      <c r="M716" t="s">
        <v>161</v>
      </c>
      <c r="N716" t="s">
        <v>162</v>
      </c>
      <c r="O716" t="s">
        <v>43</v>
      </c>
      <c r="P716" t="s">
        <v>163</v>
      </c>
      <c r="Q716">
        <v>53583.87</v>
      </c>
      <c r="R716">
        <v>59877.11</v>
      </c>
      <c r="S716">
        <v>26999.73</v>
      </c>
      <c r="T716">
        <v>6206.14</v>
      </c>
      <c r="U716">
        <v>3692.18</v>
      </c>
      <c r="V716">
        <v>2520.0100000000002</v>
      </c>
      <c r="W716">
        <v>1816.91</v>
      </c>
      <c r="X716">
        <v>41234.97</v>
      </c>
      <c r="Y716">
        <v>26584.15</v>
      </c>
      <c r="Z716">
        <v>-14650.82</v>
      </c>
      <c r="AA716">
        <v>-0.25700000000000001</v>
      </c>
      <c r="AB716">
        <v>-6293.24</v>
      </c>
      <c r="AC716">
        <v>2679.19</v>
      </c>
      <c r="AD716">
        <v>6108.56</v>
      </c>
      <c r="AE716">
        <v>57013.24</v>
      </c>
    </row>
    <row r="717" spans="1:31" x14ac:dyDescent="0.25">
      <c r="A717" t="s">
        <v>919</v>
      </c>
      <c r="B717" s="2">
        <v>46015</v>
      </c>
      <c r="C717" t="s">
        <v>107</v>
      </c>
      <c r="D717" t="s">
        <v>93</v>
      </c>
      <c r="E717">
        <v>2025</v>
      </c>
      <c r="F717" t="s">
        <v>67</v>
      </c>
      <c r="G717" t="s">
        <v>35</v>
      </c>
      <c r="H717" t="s">
        <v>217</v>
      </c>
      <c r="I717" t="s">
        <v>284</v>
      </c>
      <c r="J717" t="s">
        <v>100</v>
      </c>
      <c r="K717" t="s">
        <v>50</v>
      </c>
      <c r="L717" t="s">
        <v>51</v>
      </c>
      <c r="M717" t="s">
        <v>95</v>
      </c>
      <c r="N717" t="s">
        <v>96</v>
      </c>
      <c r="O717" t="s">
        <v>43</v>
      </c>
      <c r="P717" t="s">
        <v>90</v>
      </c>
      <c r="Q717">
        <v>40411.089999999997</v>
      </c>
      <c r="R717">
        <v>42769.67</v>
      </c>
      <c r="S717">
        <v>25113.49</v>
      </c>
      <c r="T717">
        <v>4232.59</v>
      </c>
      <c r="U717">
        <v>1981.98</v>
      </c>
      <c r="V717">
        <v>3067.94</v>
      </c>
      <c r="W717">
        <v>870.82</v>
      </c>
      <c r="X717">
        <v>35266.81</v>
      </c>
      <c r="Y717">
        <v>15297.61</v>
      </c>
      <c r="Z717">
        <v>-19969.21</v>
      </c>
      <c r="AA717">
        <v>-0.51149999999999995</v>
      </c>
      <c r="AB717">
        <v>-2358.5700000000002</v>
      </c>
      <c r="AC717">
        <v>3232.89</v>
      </c>
      <c r="AD717">
        <v>1858.91</v>
      </c>
      <c r="AE717">
        <v>39037.120000000003</v>
      </c>
    </row>
    <row r="718" spans="1:31" x14ac:dyDescent="0.25">
      <c r="A718" t="s">
        <v>920</v>
      </c>
      <c r="B718" s="2">
        <v>45860</v>
      </c>
      <c r="C718" t="s">
        <v>32</v>
      </c>
      <c r="D718" t="s">
        <v>33</v>
      </c>
      <c r="E718">
        <v>2025</v>
      </c>
      <c r="F718" t="s">
        <v>34</v>
      </c>
      <c r="G718" t="s">
        <v>35</v>
      </c>
      <c r="H718" t="s">
        <v>157</v>
      </c>
      <c r="I718" t="s">
        <v>166</v>
      </c>
      <c r="J718" t="s">
        <v>70</v>
      </c>
      <c r="K718" t="s">
        <v>160</v>
      </c>
      <c r="L718" t="s">
        <v>72</v>
      </c>
      <c r="M718" t="s">
        <v>110</v>
      </c>
      <c r="N718" t="s">
        <v>111</v>
      </c>
      <c r="O718" t="s">
        <v>112</v>
      </c>
      <c r="P718" t="s">
        <v>113</v>
      </c>
      <c r="Q718">
        <v>8346.36</v>
      </c>
      <c r="R718">
        <v>8094.33</v>
      </c>
      <c r="S718">
        <v>5928.8</v>
      </c>
      <c r="T718">
        <v>840.02</v>
      </c>
      <c r="U718">
        <v>509.32</v>
      </c>
      <c r="V718">
        <v>804.83</v>
      </c>
      <c r="W718">
        <v>205.42</v>
      </c>
      <c r="X718">
        <v>8288.39</v>
      </c>
      <c r="Y718">
        <v>2417.56</v>
      </c>
      <c r="Z718">
        <v>-5870.83</v>
      </c>
      <c r="AA718">
        <v>-0.66110000000000002</v>
      </c>
      <c r="AB718">
        <v>252.03</v>
      </c>
      <c r="AC718">
        <v>417.32</v>
      </c>
      <c r="AD718">
        <v>951.48</v>
      </c>
      <c r="AE718">
        <v>8880.5300000000007</v>
      </c>
    </row>
    <row r="719" spans="1:31" x14ac:dyDescent="0.25">
      <c r="A719" t="s">
        <v>921</v>
      </c>
      <c r="B719" s="2">
        <v>46032</v>
      </c>
      <c r="C719" t="s">
        <v>77</v>
      </c>
      <c r="D719" t="s">
        <v>58</v>
      </c>
      <c r="E719">
        <v>2026</v>
      </c>
      <c r="F719" t="s">
        <v>47</v>
      </c>
      <c r="G719" t="s">
        <v>35</v>
      </c>
      <c r="H719" t="s">
        <v>206</v>
      </c>
      <c r="I719" t="s">
        <v>207</v>
      </c>
      <c r="J719" t="s">
        <v>80</v>
      </c>
      <c r="K719" t="s">
        <v>101</v>
      </c>
      <c r="L719" t="s">
        <v>72</v>
      </c>
      <c r="M719" t="s">
        <v>95</v>
      </c>
      <c r="N719" t="s">
        <v>96</v>
      </c>
      <c r="O719" t="s">
        <v>43</v>
      </c>
      <c r="P719" t="s">
        <v>90</v>
      </c>
      <c r="Q719">
        <v>29755.32</v>
      </c>
      <c r="R719">
        <v>31192.11</v>
      </c>
      <c r="S719">
        <v>15300.9</v>
      </c>
      <c r="T719">
        <v>2812.99</v>
      </c>
      <c r="U719">
        <v>1361.36</v>
      </c>
      <c r="V719">
        <v>2124.42</v>
      </c>
      <c r="W719">
        <v>588.45000000000005</v>
      </c>
      <c r="X719">
        <v>22188.11</v>
      </c>
      <c r="Y719">
        <v>14454.42</v>
      </c>
      <c r="Z719">
        <v>-7733.69</v>
      </c>
      <c r="AA719">
        <v>-0.2447</v>
      </c>
      <c r="AB719">
        <v>-1436.79</v>
      </c>
      <c r="AC719">
        <v>2975.53</v>
      </c>
      <c r="AD719">
        <v>4820.3599999999997</v>
      </c>
      <c r="AE719">
        <v>31600.15</v>
      </c>
    </row>
    <row r="720" spans="1:31" x14ac:dyDescent="0.25">
      <c r="A720" t="s">
        <v>922</v>
      </c>
      <c r="B720" s="2">
        <v>46080</v>
      </c>
      <c r="C720" t="s">
        <v>57</v>
      </c>
      <c r="D720" t="s">
        <v>58</v>
      </c>
      <c r="E720">
        <v>2026</v>
      </c>
      <c r="F720" t="s">
        <v>34</v>
      </c>
      <c r="G720" t="s">
        <v>35</v>
      </c>
      <c r="H720" t="s">
        <v>134</v>
      </c>
      <c r="I720" t="s">
        <v>135</v>
      </c>
      <c r="J720" t="s">
        <v>38</v>
      </c>
      <c r="K720" t="s">
        <v>101</v>
      </c>
      <c r="L720" t="s">
        <v>72</v>
      </c>
      <c r="M720" t="s">
        <v>88</v>
      </c>
      <c r="N720" t="s">
        <v>89</v>
      </c>
      <c r="O720" t="s">
        <v>43</v>
      </c>
      <c r="P720" t="s">
        <v>90</v>
      </c>
      <c r="Q720">
        <v>31411.97</v>
      </c>
      <c r="R720">
        <v>32734.04</v>
      </c>
      <c r="S720">
        <v>16758.72</v>
      </c>
      <c r="T720">
        <v>2593.73</v>
      </c>
      <c r="U720">
        <v>2802.56</v>
      </c>
      <c r="V720">
        <v>3225.52</v>
      </c>
      <c r="W720">
        <v>946.38</v>
      </c>
      <c r="X720">
        <v>26326.91</v>
      </c>
      <c r="Y720">
        <v>14653.25</v>
      </c>
      <c r="Z720">
        <v>-11673.66</v>
      </c>
      <c r="AA720">
        <v>-0.33179999999999998</v>
      </c>
      <c r="AB720">
        <v>-1322.08</v>
      </c>
      <c r="AC720">
        <v>0</v>
      </c>
      <c r="AD720">
        <v>3769.44</v>
      </c>
      <c r="AE720">
        <v>35181.4</v>
      </c>
    </row>
    <row r="721" spans="1:31" x14ac:dyDescent="0.25">
      <c r="A721" t="s">
        <v>923</v>
      </c>
      <c r="B721" s="2">
        <v>45762</v>
      </c>
      <c r="C721" t="s">
        <v>128</v>
      </c>
      <c r="D721" t="s">
        <v>66</v>
      </c>
      <c r="E721">
        <v>2025</v>
      </c>
      <c r="F721" t="s">
        <v>67</v>
      </c>
      <c r="G721" t="s">
        <v>35</v>
      </c>
      <c r="H721" t="s">
        <v>217</v>
      </c>
      <c r="I721" t="s">
        <v>241</v>
      </c>
      <c r="J721" t="s">
        <v>38</v>
      </c>
      <c r="K721" t="s">
        <v>101</v>
      </c>
      <c r="L721" t="s">
        <v>72</v>
      </c>
      <c r="M721" t="s">
        <v>52</v>
      </c>
      <c r="N721" t="s">
        <v>53</v>
      </c>
      <c r="O721" t="s">
        <v>54</v>
      </c>
      <c r="P721" t="s">
        <v>55</v>
      </c>
      <c r="Q721">
        <v>7466.59</v>
      </c>
      <c r="R721">
        <v>8189.92</v>
      </c>
      <c r="S721">
        <v>4819.49</v>
      </c>
      <c r="T721">
        <v>951.64</v>
      </c>
      <c r="U721">
        <v>574.38</v>
      </c>
      <c r="V721">
        <v>380.27</v>
      </c>
      <c r="W721">
        <v>165.51</v>
      </c>
      <c r="X721">
        <v>6891.29</v>
      </c>
      <c r="Y721">
        <v>2647.1</v>
      </c>
      <c r="Z721">
        <v>-4244.1899999999996</v>
      </c>
      <c r="AA721">
        <v>-0.56389999999999996</v>
      </c>
      <c r="AB721">
        <v>-723.32</v>
      </c>
      <c r="AC721">
        <v>746.66</v>
      </c>
      <c r="AD721">
        <v>806.39</v>
      </c>
      <c r="AE721">
        <v>7526.33</v>
      </c>
    </row>
    <row r="722" spans="1:31" x14ac:dyDescent="0.25">
      <c r="A722" t="s">
        <v>924</v>
      </c>
      <c r="B722" s="2">
        <v>45825</v>
      </c>
      <c r="C722" t="s">
        <v>156</v>
      </c>
      <c r="D722" t="s">
        <v>66</v>
      </c>
      <c r="E722">
        <v>2025</v>
      </c>
      <c r="F722" t="s">
        <v>67</v>
      </c>
      <c r="G722" t="s">
        <v>35</v>
      </c>
      <c r="H722" t="s">
        <v>168</v>
      </c>
      <c r="I722" t="s">
        <v>169</v>
      </c>
      <c r="J722" t="s">
        <v>80</v>
      </c>
      <c r="K722" t="s">
        <v>160</v>
      </c>
      <c r="L722" t="s">
        <v>72</v>
      </c>
      <c r="M722" t="s">
        <v>186</v>
      </c>
      <c r="N722" t="s">
        <v>187</v>
      </c>
      <c r="O722" t="s">
        <v>173</v>
      </c>
      <c r="P722" t="s">
        <v>174</v>
      </c>
      <c r="Q722">
        <v>17805.13</v>
      </c>
      <c r="R722">
        <v>20158.259999999998</v>
      </c>
      <c r="S722">
        <v>12321.3</v>
      </c>
      <c r="T722">
        <v>1118.72</v>
      </c>
      <c r="U722">
        <v>838.13</v>
      </c>
      <c r="V722">
        <v>1189.7</v>
      </c>
      <c r="W722">
        <v>204.25</v>
      </c>
      <c r="X722">
        <v>15672.1</v>
      </c>
      <c r="Y722">
        <v>5483.83</v>
      </c>
      <c r="Z722">
        <v>-10188.27</v>
      </c>
      <c r="AA722">
        <v>-0.51039999999999996</v>
      </c>
      <c r="AB722">
        <v>-2353.14</v>
      </c>
      <c r="AC722">
        <v>890.26</v>
      </c>
      <c r="AD722">
        <v>3044.68</v>
      </c>
      <c r="AE722">
        <v>19959.55</v>
      </c>
    </row>
    <row r="723" spans="1:31" x14ac:dyDescent="0.25">
      <c r="A723" t="s">
        <v>925</v>
      </c>
      <c r="B723" s="2">
        <v>45991</v>
      </c>
      <c r="C723" t="s">
        <v>147</v>
      </c>
      <c r="D723" t="s">
        <v>93</v>
      </c>
      <c r="E723">
        <v>2025</v>
      </c>
      <c r="F723" t="s">
        <v>59</v>
      </c>
      <c r="G723" t="s">
        <v>35</v>
      </c>
      <c r="H723" t="s">
        <v>139</v>
      </c>
      <c r="I723" t="s">
        <v>152</v>
      </c>
      <c r="J723" t="s">
        <v>70</v>
      </c>
      <c r="K723" t="s">
        <v>50</v>
      </c>
      <c r="L723" t="s">
        <v>81</v>
      </c>
      <c r="M723" t="s">
        <v>130</v>
      </c>
      <c r="N723" t="s">
        <v>131</v>
      </c>
      <c r="O723" t="s">
        <v>43</v>
      </c>
      <c r="P723" t="s">
        <v>132</v>
      </c>
      <c r="Q723">
        <v>43426.95</v>
      </c>
      <c r="R723">
        <v>44824.05</v>
      </c>
      <c r="S723">
        <v>29224.84</v>
      </c>
      <c r="T723">
        <v>4646.83</v>
      </c>
      <c r="U723">
        <v>2124.17</v>
      </c>
      <c r="V723">
        <v>2906.74</v>
      </c>
      <c r="W723">
        <v>817.97</v>
      </c>
      <c r="X723">
        <v>39720.550000000003</v>
      </c>
      <c r="Y723">
        <v>14202.11</v>
      </c>
      <c r="Z723">
        <v>-25518.43</v>
      </c>
      <c r="AA723">
        <v>-0.5242</v>
      </c>
      <c r="AB723">
        <v>-1397.1</v>
      </c>
      <c r="AC723">
        <v>2171.35</v>
      </c>
      <c r="AD723">
        <v>7426.01</v>
      </c>
      <c r="AE723">
        <v>48681.62</v>
      </c>
    </row>
    <row r="724" spans="1:31" x14ac:dyDescent="0.25">
      <c r="A724" t="s">
        <v>926</v>
      </c>
      <c r="B724" s="2">
        <v>45956</v>
      </c>
      <c r="C724" t="s">
        <v>92</v>
      </c>
      <c r="D724" t="s">
        <v>93</v>
      </c>
      <c r="E724">
        <v>2025</v>
      </c>
      <c r="F724" t="s">
        <v>85</v>
      </c>
      <c r="G724" t="s">
        <v>35</v>
      </c>
      <c r="H724" t="s">
        <v>178</v>
      </c>
      <c r="I724" t="s">
        <v>329</v>
      </c>
      <c r="J724" t="s">
        <v>100</v>
      </c>
      <c r="K724" t="s">
        <v>50</v>
      </c>
      <c r="L724" t="s">
        <v>51</v>
      </c>
      <c r="M724" t="s">
        <v>52</v>
      </c>
      <c r="N724" t="s">
        <v>53</v>
      </c>
      <c r="O724" t="s">
        <v>54</v>
      </c>
      <c r="P724" t="s">
        <v>55</v>
      </c>
      <c r="Q724">
        <v>8713.83</v>
      </c>
      <c r="R724">
        <v>9221.25</v>
      </c>
      <c r="S724">
        <v>5663.6</v>
      </c>
      <c r="T724">
        <v>1016.21</v>
      </c>
      <c r="U724">
        <v>286.67</v>
      </c>
      <c r="V724">
        <v>913.26</v>
      </c>
      <c r="W724">
        <v>233.92</v>
      </c>
      <c r="X724">
        <v>8113.66</v>
      </c>
      <c r="Y724">
        <v>3050.23</v>
      </c>
      <c r="Z724">
        <v>-5063.43</v>
      </c>
      <c r="AA724">
        <v>-0.53490000000000004</v>
      </c>
      <c r="AB724">
        <v>-507.42</v>
      </c>
      <c r="AC724">
        <v>261.42</v>
      </c>
      <c r="AD724">
        <v>1014.29</v>
      </c>
      <c r="AE724">
        <v>9466.7099999999991</v>
      </c>
    </row>
    <row r="725" spans="1:31" x14ac:dyDescent="0.25">
      <c r="A725" t="s">
        <v>927</v>
      </c>
      <c r="B725" s="2">
        <v>45955</v>
      </c>
      <c r="C725" t="s">
        <v>92</v>
      </c>
      <c r="D725" t="s">
        <v>93</v>
      </c>
      <c r="E725">
        <v>2025</v>
      </c>
      <c r="F725" t="s">
        <v>59</v>
      </c>
      <c r="G725" t="s">
        <v>35</v>
      </c>
      <c r="H725" t="s">
        <v>60</v>
      </c>
      <c r="I725" t="s">
        <v>185</v>
      </c>
      <c r="J725" t="s">
        <v>100</v>
      </c>
      <c r="K725" t="s">
        <v>160</v>
      </c>
      <c r="L725" t="s">
        <v>94</v>
      </c>
      <c r="M725" t="s">
        <v>189</v>
      </c>
      <c r="N725" t="s">
        <v>190</v>
      </c>
      <c r="O725" t="s">
        <v>104</v>
      </c>
      <c r="P725" t="s">
        <v>105</v>
      </c>
      <c r="Q725">
        <v>18905.810000000001</v>
      </c>
      <c r="R725">
        <v>19612.419999999998</v>
      </c>
      <c r="S725">
        <v>10085.49</v>
      </c>
      <c r="T725">
        <v>1455.98</v>
      </c>
      <c r="U725">
        <v>1075.23</v>
      </c>
      <c r="V725">
        <v>1235.51</v>
      </c>
      <c r="W725">
        <v>411.08</v>
      </c>
      <c r="X725">
        <v>14263.28</v>
      </c>
      <c r="Y725">
        <v>8820.32</v>
      </c>
      <c r="Z725">
        <v>-5442.96</v>
      </c>
      <c r="AA725">
        <v>-0.28270000000000001</v>
      </c>
      <c r="AB725">
        <v>-706.62</v>
      </c>
      <c r="AC725">
        <v>567.16999999999996</v>
      </c>
      <c r="AD725">
        <v>916.93</v>
      </c>
      <c r="AE725">
        <v>19255.560000000001</v>
      </c>
    </row>
    <row r="726" spans="1:31" x14ac:dyDescent="0.25">
      <c r="A726" t="s">
        <v>928</v>
      </c>
      <c r="B726" s="2">
        <v>46098</v>
      </c>
      <c r="C726" t="s">
        <v>125</v>
      </c>
      <c r="D726" t="s">
        <v>58</v>
      </c>
      <c r="E726">
        <v>2026</v>
      </c>
      <c r="F726" t="s">
        <v>67</v>
      </c>
      <c r="G726" t="s">
        <v>35</v>
      </c>
      <c r="H726" t="s">
        <v>118</v>
      </c>
      <c r="I726" t="s">
        <v>227</v>
      </c>
      <c r="J726" t="s">
        <v>80</v>
      </c>
      <c r="K726" t="s">
        <v>50</v>
      </c>
      <c r="L726" t="s">
        <v>94</v>
      </c>
      <c r="M726" t="s">
        <v>102</v>
      </c>
      <c r="N726" t="s">
        <v>103</v>
      </c>
      <c r="O726" t="s">
        <v>104</v>
      </c>
      <c r="P726" t="s">
        <v>105</v>
      </c>
      <c r="Q726">
        <v>11965.21</v>
      </c>
      <c r="R726">
        <v>13431.13</v>
      </c>
      <c r="S726">
        <v>7238.07</v>
      </c>
      <c r="T726">
        <v>1291.49</v>
      </c>
      <c r="U726">
        <v>584.04</v>
      </c>
      <c r="V726">
        <v>513.80999999999995</v>
      </c>
      <c r="W726">
        <v>498.37</v>
      </c>
      <c r="X726">
        <v>10125.780000000001</v>
      </c>
      <c r="Y726">
        <v>4727.1400000000003</v>
      </c>
      <c r="Z726">
        <v>-5398.64</v>
      </c>
      <c r="AA726">
        <v>-0.38240000000000002</v>
      </c>
      <c r="AB726">
        <v>-1465.91</v>
      </c>
      <c r="AC726">
        <v>0</v>
      </c>
      <c r="AD726">
        <v>2153.7399999999998</v>
      </c>
      <c r="AE726">
        <v>14118.95</v>
      </c>
    </row>
    <row r="727" spans="1:31" x14ac:dyDescent="0.25">
      <c r="A727" t="s">
        <v>929</v>
      </c>
      <c r="B727" s="2">
        <v>45799</v>
      </c>
      <c r="C727" t="s">
        <v>65</v>
      </c>
      <c r="D727" t="s">
        <v>66</v>
      </c>
      <c r="E727">
        <v>2025</v>
      </c>
      <c r="F727" t="s">
        <v>47</v>
      </c>
      <c r="G727" t="s">
        <v>35</v>
      </c>
      <c r="H727" t="s">
        <v>206</v>
      </c>
      <c r="I727" t="s">
        <v>296</v>
      </c>
      <c r="J727" t="s">
        <v>100</v>
      </c>
      <c r="K727" t="s">
        <v>50</v>
      </c>
      <c r="L727" t="s">
        <v>81</v>
      </c>
      <c r="M727" t="s">
        <v>88</v>
      </c>
      <c r="N727" t="s">
        <v>89</v>
      </c>
      <c r="O727" t="s">
        <v>43</v>
      </c>
      <c r="P727" t="s">
        <v>90</v>
      </c>
      <c r="Q727">
        <v>37630.620000000003</v>
      </c>
      <c r="R727">
        <v>36898.06</v>
      </c>
      <c r="S727">
        <v>25857.24</v>
      </c>
      <c r="T727">
        <v>3463.67</v>
      </c>
      <c r="U727">
        <v>2233.11</v>
      </c>
      <c r="V727">
        <v>4399.67</v>
      </c>
      <c r="W727">
        <v>798.93</v>
      </c>
      <c r="X727">
        <v>36752.629999999997</v>
      </c>
      <c r="Y727">
        <v>11773.38</v>
      </c>
      <c r="Z727">
        <v>-24979.25</v>
      </c>
      <c r="AA727">
        <v>-0.57989999999999997</v>
      </c>
      <c r="AB727">
        <v>732.56</v>
      </c>
      <c r="AC727">
        <v>1128.92</v>
      </c>
      <c r="AD727">
        <v>6570.31</v>
      </c>
      <c r="AE727">
        <v>43072.01</v>
      </c>
    </row>
    <row r="728" spans="1:31" x14ac:dyDescent="0.25">
      <c r="A728" t="s">
        <v>930</v>
      </c>
      <c r="B728" s="2">
        <v>45939</v>
      </c>
      <c r="C728" t="s">
        <v>92</v>
      </c>
      <c r="D728" t="s">
        <v>93</v>
      </c>
      <c r="E728">
        <v>2025</v>
      </c>
      <c r="F728" t="s">
        <v>34</v>
      </c>
      <c r="G728" t="s">
        <v>35</v>
      </c>
      <c r="H728" t="s">
        <v>157</v>
      </c>
      <c r="I728" t="s">
        <v>194</v>
      </c>
      <c r="J728" t="s">
        <v>80</v>
      </c>
      <c r="K728" t="s">
        <v>71</v>
      </c>
      <c r="L728" t="s">
        <v>81</v>
      </c>
      <c r="M728" t="s">
        <v>171</v>
      </c>
      <c r="N728" t="s">
        <v>172</v>
      </c>
      <c r="O728" t="s">
        <v>173</v>
      </c>
      <c r="P728" t="s">
        <v>174</v>
      </c>
      <c r="Q728">
        <v>9992.2999999999993</v>
      </c>
      <c r="R728">
        <v>8957.4599999999991</v>
      </c>
      <c r="S728">
        <v>6482.94</v>
      </c>
      <c r="T728">
        <v>1212.08</v>
      </c>
      <c r="U728">
        <v>662.81</v>
      </c>
      <c r="V728">
        <v>1149.32</v>
      </c>
      <c r="W728">
        <v>144.86000000000001</v>
      </c>
      <c r="X728">
        <v>9652</v>
      </c>
      <c r="Y728">
        <v>3509.36</v>
      </c>
      <c r="Z728">
        <v>-6142.64</v>
      </c>
      <c r="AA728">
        <v>-0.52100000000000002</v>
      </c>
      <c r="AB728">
        <v>1034.8399999999999</v>
      </c>
      <c r="AC728">
        <v>0</v>
      </c>
      <c r="AD728">
        <v>1798.61</v>
      </c>
      <c r="AE728">
        <v>11790.92</v>
      </c>
    </row>
    <row r="729" spans="1:31" x14ac:dyDescent="0.25">
      <c r="A729" t="s">
        <v>931</v>
      </c>
      <c r="B729" s="2">
        <v>45937</v>
      </c>
      <c r="C729" t="s">
        <v>92</v>
      </c>
      <c r="D729" t="s">
        <v>93</v>
      </c>
      <c r="E729">
        <v>2025</v>
      </c>
      <c r="F729" t="s">
        <v>85</v>
      </c>
      <c r="G729" t="s">
        <v>35</v>
      </c>
      <c r="H729" t="s">
        <v>60</v>
      </c>
      <c r="I729" t="s">
        <v>185</v>
      </c>
      <c r="J729" t="s">
        <v>38</v>
      </c>
      <c r="K729" t="s">
        <v>160</v>
      </c>
      <c r="L729" t="s">
        <v>40</v>
      </c>
      <c r="M729" t="s">
        <v>141</v>
      </c>
      <c r="N729" t="s">
        <v>142</v>
      </c>
      <c r="O729" t="s">
        <v>54</v>
      </c>
      <c r="P729" t="s">
        <v>143</v>
      </c>
      <c r="Q729">
        <v>6010.82</v>
      </c>
      <c r="R729">
        <v>6716.21</v>
      </c>
      <c r="S729">
        <v>3753.42</v>
      </c>
      <c r="T729">
        <v>576.07000000000005</v>
      </c>
      <c r="U729">
        <v>329.36</v>
      </c>
      <c r="V729">
        <v>373.65</v>
      </c>
      <c r="W729">
        <v>157.74</v>
      </c>
      <c r="X729">
        <v>5190.25</v>
      </c>
      <c r="Y729">
        <v>2257.4</v>
      </c>
      <c r="Z729">
        <v>-2932.85</v>
      </c>
      <c r="AA729">
        <v>-0.4491</v>
      </c>
      <c r="AB729">
        <v>-705.4</v>
      </c>
      <c r="AC729">
        <v>180.32</v>
      </c>
      <c r="AD729">
        <v>699.66</v>
      </c>
      <c r="AE729">
        <v>6530.15</v>
      </c>
    </row>
    <row r="730" spans="1:31" x14ac:dyDescent="0.25">
      <c r="A730" t="s">
        <v>932</v>
      </c>
      <c r="B730" s="2">
        <v>45883</v>
      </c>
      <c r="C730" t="s">
        <v>117</v>
      </c>
      <c r="D730" t="s">
        <v>33</v>
      </c>
      <c r="E730">
        <v>2025</v>
      </c>
      <c r="F730" t="s">
        <v>85</v>
      </c>
      <c r="G730" t="s">
        <v>35</v>
      </c>
      <c r="H730" t="s">
        <v>60</v>
      </c>
      <c r="I730" t="s">
        <v>108</v>
      </c>
      <c r="J730" t="s">
        <v>100</v>
      </c>
      <c r="K730" t="s">
        <v>50</v>
      </c>
      <c r="L730" t="s">
        <v>81</v>
      </c>
      <c r="M730" t="s">
        <v>102</v>
      </c>
      <c r="N730" t="s">
        <v>103</v>
      </c>
      <c r="O730" t="s">
        <v>104</v>
      </c>
      <c r="P730" t="s">
        <v>105</v>
      </c>
      <c r="Q730">
        <v>25392.94</v>
      </c>
      <c r="R730">
        <v>28714.22</v>
      </c>
      <c r="S730">
        <v>12936.45</v>
      </c>
      <c r="T730">
        <v>2940.4</v>
      </c>
      <c r="U730">
        <v>1467.76</v>
      </c>
      <c r="V730">
        <v>2814.6</v>
      </c>
      <c r="W730">
        <v>1041.8900000000001</v>
      </c>
      <c r="X730">
        <v>21201.1</v>
      </c>
      <c r="Y730">
        <v>12456.5</v>
      </c>
      <c r="Z730">
        <v>-8744.6</v>
      </c>
      <c r="AA730">
        <v>-0.3075</v>
      </c>
      <c r="AB730">
        <v>-3321.28</v>
      </c>
      <c r="AC730">
        <v>0</v>
      </c>
      <c r="AD730">
        <v>3047.15</v>
      </c>
      <c r="AE730">
        <v>28440.1</v>
      </c>
    </row>
    <row r="731" spans="1:31" x14ac:dyDescent="0.25">
      <c r="A731" t="s">
        <v>933</v>
      </c>
      <c r="B731" s="2">
        <v>45821</v>
      </c>
      <c r="C731" t="s">
        <v>156</v>
      </c>
      <c r="D731" t="s">
        <v>66</v>
      </c>
      <c r="E731">
        <v>2025</v>
      </c>
      <c r="F731" t="s">
        <v>67</v>
      </c>
      <c r="G731" t="s">
        <v>35</v>
      </c>
      <c r="H731" t="s">
        <v>118</v>
      </c>
      <c r="I731" t="s">
        <v>209</v>
      </c>
      <c r="J731" t="s">
        <v>70</v>
      </c>
      <c r="K731" t="s">
        <v>50</v>
      </c>
      <c r="L731" t="s">
        <v>51</v>
      </c>
      <c r="M731" t="s">
        <v>235</v>
      </c>
      <c r="N731" t="s">
        <v>236</v>
      </c>
      <c r="O731" t="s">
        <v>104</v>
      </c>
      <c r="P731" t="s">
        <v>237</v>
      </c>
      <c r="Q731">
        <v>21819.86</v>
      </c>
      <c r="R731">
        <v>24190.21</v>
      </c>
      <c r="S731">
        <v>12721.79</v>
      </c>
      <c r="T731">
        <v>1185.8900000000001</v>
      </c>
      <c r="U731">
        <v>784.51</v>
      </c>
      <c r="V731">
        <v>1668.65</v>
      </c>
      <c r="W731">
        <v>839.71</v>
      </c>
      <c r="X731">
        <v>17200.55</v>
      </c>
      <c r="Y731">
        <v>9098.07</v>
      </c>
      <c r="Z731">
        <v>-8102.48</v>
      </c>
      <c r="AA731">
        <v>-0.34179999999999999</v>
      </c>
      <c r="AB731">
        <v>-2370.35</v>
      </c>
      <c r="AC731">
        <v>654.6</v>
      </c>
      <c r="AD731">
        <v>2539.83</v>
      </c>
      <c r="AE731">
        <v>23705.1</v>
      </c>
    </row>
    <row r="732" spans="1:31" x14ac:dyDescent="0.25">
      <c r="A732" t="s">
        <v>934</v>
      </c>
      <c r="B732" s="2">
        <v>46063</v>
      </c>
      <c r="C732" t="s">
        <v>57</v>
      </c>
      <c r="D732" t="s">
        <v>58</v>
      </c>
      <c r="E732">
        <v>2026</v>
      </c>
      <c r="F732" t="s">
        <v>34</v>
      </c>
      <c r="G732" t="s">
        <v>35</v>
      </c>
      <c r="H732" t="s">
        <v>98</v>
      </c>
      <c r="I732" t="s">
        <v>304</v>
      </c>
      <c r="J732" t="s">
        <v>80</v>
      </c>
      <c r="K732" t="s">
        <v>50</v>
      </c>
      <c r="L732" t="s">
        <v>51</v>
      </c>
      <c r="M732" t="s">
        <v>211</v>
      </c>
      <c r="N732" t="s">
        <v>212</v>
      </c>
      <c r="O732" t="s">
        <v>112</v>
      </c>
      <c r="P732" t="s">
        <v>113</v>
      </c>
      <c r="Q732">
        <v>30615.13</v>
      </c>
      <c r="R732">
        <v>27135.69</v>
      </c>
      <c r="S732">
        <v>17169.25</v>
      </c>
      <c r="T732">
        <v>1884.61</v>
      </c>
      <c r="U732">
        <v>1228.99</v>
      </c>
      <c r="V732">
        <v>3442.34</v>
      </c>
      <c r="W732">
        <v>345.68</v>
      </c>
      <c r="X732">
        <v>24070.87</v>
      </c>
      <c r="Y732">
        <v>13445.88</v>
      </c>
      <c r="Z732">
        <v>-10624.99</v>
      </c>
      <c r="AA732">
        <v>-0.31619999999999998</v>
      </c>
      <c r="AB732">
        <v>3479.44</v>
      </c>
      <c r="AC732">
        <v>612.29999999999995</v>
      </c>
      <c r="AD732">
        <v>3600.34</v>
      </c>
      <c r="AE732">
        <v>33603.160000000003</v>
      </c>
    </row>
    <row r="733" spans="1:31" x14ac:dyDescent="0.25">
      <c r="A733" t="s">
        <v>935</v>
      </c>
      <c r="B733" s="2">
        <v>46084</v>
      </c>
      <c r="C733" t="s">
        <v>125</v>
      </c>
      <c r="D733" t="s">
        <v>58</v>
      </c>
      <c r="E733">
        <v>2026</v>
      </c>
      <c r="F733" t="s">
        <v>34</v>
      </c>
      <c r="G733" t="s">
        <v>35</v>
      </c>
      <c r="H733" t="s">
        <v>134</v>
      </c>
      <c r="I733" t="s">
        <v>176</v>
      </c>
      <c r="J733" t="s">
        <v>80</v>
      </c>
      <c r="K733" t="s">
        <v>50</v>
      </c>
      <c r="L733" t="s">
        <v>40</v>
      </c>
      <c r="M733" t="s">
        <v>62</v>
      </c>
      <c r="N733" t="s">
        <v>63</v>
      </c>
      <c r="O733" t="s">
        <v>54</v>
      </c>
      <c r="P733" t="s">
        <v>55</v>
      </c>
      <c r="Q733">
        <v>6471.18</v>
      </c>
      <c r="R733">
        <v>7272.77</v>
      </c>
      <c r="S733">
        <v>3290.04</v>
      </c>
      <c r="T733">
        <v>714.97</v>
      </c>
      <c r="U733">
        <v>203.05</v>
      </c>
      <c r="V733">
        <v>490.21</v>
      </c>
      <c r="W733">
        <v>230.96</v>
      </c>
      <c r="X733">
        <v>4929.24</v>
      </c>
      <c r="Y733">
        <v>3181.13</v>
      </c>
      <c r="Z733">
        <v>-1748.11</v>
      </c>
      <c r="AA733">
        <v>-0.2412</v>
      </c>
      <c r="AB733">
        <v>-801.59</v>
      </c>
      <c r="AC733">
        <v>0</v>
      </c>
      <c r="AD733">
        <v>776.54</v>
      </c>
      <c r="AE733">
        <v>7247.72</v>
      </c>
    </row>
    <row r="734" spans="1:31" x14ac:dyDescent="0.25">
      <c r="A734" t="s">
        <v>936</v>
      </c>
      <c r="B734" s="2">
        <v>45899</v>
      </c>
      <c r="C734" t="s">
        <v>117</v>
      </c>
      <c r="D734" t="s">
        <v>33</v>
      </c>
      <c r="E734">
        <v>2025</v>
      </c>
      <c r="F734" t="s">
        <v>85</v>
      </c>
      <c r="G734" t="s">
        <v>35</v>
      </c>
      <c r="H734" t="s">
        <v>86</v>
      </c>
      <c r="I734" t="s">
        <v>262</v>
      </c>
      <c r="J734" t="s">
        <v>70</v>
      </c>
      <c r="K734" t="s">
        <v>50</v>
      </c>
      <c r="L734" t="s">
        <v>51</v>
      </c>
      <c r="M734" t="s">
        <v>95</v>
      </c>
      <c r="N734" t="s">
        <v>96</v>
      </c>
      <c r="O734" t="s">
        <v>43</v>
      </c>
      <c r="P734" t="s">
        <v>90</v>
      </c>
      <c r="Q734">
        <v>35228.49</v>
      </c>
      <c r="R734">
        <v>36831.26</v>
      </c>
      <c r="S734">
        <v>20867.490000000002</v>
      </c>
      <c r="T734">
        <v>4535.93</v>
      </c>
      <c r="U734">
        <v>2156.06</v>
      </c>
      <c r="V734">
        <v>3272.35</v>
      </c>
      <c r="W734">
        <v>762.59</v>
      </c>
      <c r="X734">
        <v>31594.42</v>
      </c>
      <c r="Y734">
        <v>14361</v>
      </c>
      <c r="Z734">
        <v>-17233.419999999998</v>
      </c>
      <c r="AA734">
        <v>-0.45029999999999998</v>
      </c>
      <c r="AB734">
        <v>-1602.78</v>
      </c>
      <c r="AC734">
        <v>1056.8499999999999</v>
      </c>
      <c r="AD734">
        <v>4100.6000000000004</v>
      </c>
      <c r="AE734">
        <v>38272.230000000003</v>
      </c>
    </row>
    <row r="735" spans="1:31" x14ac:dyDescent="0.25">
      <c r="A735" t="s">
        <v>937</v>
      </c>
      <c r="B735" s="2">
        <v>46059</v>
      </c>
      <c r="C735" t="s">
        <v>57</v>
      </c>
      <c r="D735" t="s">
        <v>58</v>
      </c>
      <c r="E735">
        <v>2026</v>
      </c>
      <c r="F735" t="s">
        <v>47</v>
      </c>
      <c r="G735" t="s">
        <v>35</v>
      </c>
      <c r="H735" t="s">
        <v>48</v>
      </c>
      <c r="I735" t="s">
        <v>938</v>
      </c>
      <c r="J735" t="s">
        <v>38</v>
      </c>
      <c r="K735" t="s">
        <v>50</v>
      </c>
      <c r="L735" t="s">
        <v>72</v>
      </c>
      <c r="M735" t="s">
        <v>235</v>
      </c>
      <c r="N735" t="s">
        <v>236</v>
      </c>
      <c r="O735" t="s">
        <v>104</v>
      </c>
      <c r="P735" t="s">
        <v>237</v>
      </c>
      <c r="Q735">
        <v>17552.64</v>
      </c>
      <c r="R735">
        <v>16861.39</v>
      </c>
      <c r="S735">
        <v>11172.16</v>
      </c>
      <c r="T735">
        <v>1066.72</v>
      </c>
      <c r="U735">
        <v>1030.52</v>
      </c>
      <c r="V735">
        <v>1780.64</v>
      </c>
      <c r="W735">
        <v>276.45999999999998</v>
      </c>
      <c r="X735">
        <v>15326.5</v>
      </c>
      <c r="Y735">
        <v>6380.48</v>
      </c>
      <c r="Z735">
        <v>-8946.02</v>
      </c>
      <c r="AA735">
        <v>-0.45469999999999999</v>
      </c>
      <c r="AB735">
        <v>691.25</v>
      </c>
      <c r="AC735">
        <v>877.63</v>
      </c>
      <c r="AD735">
        <v>3001.5</v>
      </c>
      <c r="AE735">
        <v>19676.509999999998</v>
      </c>
    </row>
    <row r="736" spans="1:31" x14ac:dyDescent="0.25">
      <c r="A736" t="s">
        <v>939</v>
      </c>
      <c r="B736" s="2">
        <v>45831</v>
      </c>
      <c r="C736" t="s">
        <v>156</v>
      </c>
      <c r="D736" t="s">
        <v>66</v>
      </c>
      <c r="E736">
        <v>2025</v>
      </c>
      <c r="F736" t="s">
        <v>34</v>
      </c>
      <c r="G736" t="s">
        <v>35</v>
      </c>
      <c r="H736" t="s">
        <v>157</v>
      </c>
      <c r="I736" t="s">
        <v>158</v>
      </c>
      <c r="J736" t="s">
        <v>70</v>
      </c>
      <c r="K736" t="s">
        <v>50</v>
      </c>
      <c r="L736" t="s">
        <v>51</v>
      </c>
      <c r="M736" t="s">
        <v>52</v>
      </c>
      <c r="N736" t="s">
        <v>53</v>
      </c>
      <c r="O736" t="s">
        <v>54</v>
      </c>
      <c r="P736" t="s">
        <v>55</v>
      </c>
      <c r="Q736">
        <v>2701.61</v>
      </c>
      <c r="R736">
        <v>2779.96</v>
      </c>
      <c r="S736">
        <v>1560.9</v>
      </c>
      <c r="T736">
        <v>286.13</v>
      </c>
      <c r="U736">
        <v>226.32</v>
      </c>
      <c r="V736">
        <v>282.10000000000002</v>
      </c>
      <c r="W736">
        <v>52.97</v>
      </c>
      <c r="X736">
        <v>2408.41</v>
      </c>
      <c r="Y736">
        <v>1140.71</v>
      </c>
      <c r="Z736">
        <v>-1267.7</v>
      </c>
      <c r="AA736">
        <v>-0.43219999999999997</v>
      </c>
      <c r="AB736">
        <v>-78.36</v>
      </c>
      <c r="AC736">
        <v>216.13</v>
      </c>
      <c r="AD736">
        <v>447.39</v>
      </c>
      <c r="AE736">
        <v>2932.87</v>
      </c>
    </row>
    <row r="737" spans="1:31" x14ac:dyDescent="0.25">
      <c r="A737" t="s">
        <v>940</v>
      </c>
      <c r="B737" s="2">
        <v>46080</v>
      </c>
      <c r="C737" t="s">
        <v>57</v>
      </c>
      <c r="D737" t="s">
        <v>58</v>
      </c>
      <c r="E737">
        <v>2026</v>
      </c>
      <c r="F737" t="s">
        <v>47</v>
      </c>
      <c r="G737" t="s">
        <v>35</v>
      </c>
      <c r="H737" t="s">
        <v>206</v>
      </c>
      <c r="I737" t="s">
        <v>207</v>
      </c>
      <c r="J737" t="s">
        <v>80</v>
      </c>
      <c r="K737" t="s">
        <v>50</v>
      </c>
      <c r="L737" t="s">
        <v>51</v>
      </c>
      <c r="M737" t="s">
        <v>95</v>
      </c>
      <c r="N737" t="s">
        <v>96</v>
      </c>
      <c r="O737" t="s">
        <v>43</v>
      </c>
      <c r="P737" t="s">
        <v>90</v>
      </c>
      <c r="Q737">
        <v>47753.46</v>
      </c>
      <c r="R737">
        <v>42103.18</v>
      </c>
      <c r="S737">
        <v>23411.99</v>
      </c>
      <c r="T737">
        <v>3320.06</v>
      </c>
      <c r="U737">
        <v>1548.59</v>
      </c>
      <c r="V737">
        <v>3947.64</v>
      </c>
      <c r="W737">
        <v>1911.56</v>
      </c>
      <c r="X737">
        <v>34139.85</v>
      </c>
      <c r="Y737">
        <v>24341.47</v>
      </c>
      <c r="Z737">
        <v>-9798.3799999999992</v>
      </c>
      <c r="AA737">
        <v>-0.20569999999999999</v>
      </c>
      <c r="AB737">
        <v>5650.27</v>
      </c>
      <c r="AC737">
        <v>2387.67</v>
      </c>
      <c r="AD737">
        <v>2268.29</v>
      </c>
      <c r="AE737">
        <v>47634.07</v>
      </c>
    </row>
    <row r="738" spans="1:31" x14ac:dyDescent="0.25">
      <c r="A738" t="s">
        <v>941</v>
      </c>
      <c r="B738" s="2">
        <v>45948</v>
      </c>
      <c r="C738" t="s">
        <v>92</v>
      </c>
      <c r="D738" t="s">
        <v>93</v>
      </c>
      <c r="E738">
        <v>2025</v>
      </c>
      <c r="F738" t="s">
        <v>67</v>
      </c>
      <c r="G738" t="s">
        <v>35</v>
      </c>
      <c r="H738" t="s">
        <v>68</v>
      </c>
      <c r="I738" t="s">
        <v>204</v>
      </c>
      <c r="J738" t="s">
        <v>70</v>
      </c>
      <c r="K738" t="s">
        <v>50</v>
      </c>
      <c r="L738" t="s">
        <v>40</v>
      </c>
      <c r="M738" t="s">
        <v>62</v>
      </c>
      <c r="N738" t="s">
        <v>63</v>
      </c>
      <c r="O738" t="s">
        <v>54</v>
      </c>
      <c r="P738" t="s">
        <v>55</v>
      </c>
      <c r="Q738">
        <v>4159.8</v>
      </c>
      <c r="R738">
        <v>4679.67</v>
      </c>
      <c r="S738">
        <v>2863.78</v>
      </c>
      <c r="T738">
        <v>420.78</v>
      </c>
      <c r="U738">
        <v>225</v>
      </c>
      <c r="V738">
        <v>386.75</v>
      </c>
      <c r="W738">
        <v>144.49</v>
      </c>
      <c r="X738">
        <v>4040.8</v>
      </c>
      <c r="Y738">
        <v>1296.02</v>
      </c>
      <c r="Z738">
        <v>-2744.78</v>
      </c>
      <c r="AA738">
        <v>-0.60780000000000001</v>
      </c>
      <c r="AB738">
        <v>-519.86</v>
      </c>
      <c r="AC738">
        <v>332.78</v>
      </c>
      <c r="AD738">
        <v>688.86</v>
      </c>
      <c r="AE738">
        <v>4515.88</v>
      </c>
    </row>
    <row r="739" spans="1:31" x14ac:dyDescent="0.25">
      <c r="A739" t="s">
        <v>942</v>
      </c>
      <c r="B739" s="2">
        <v>46110</v>
      </c>
      <c r="C739" t="s">
        <v>125</v>
      </c>
      <c r="D739" t="s">
        <v>58</v>
      </c>
      <c r="E739">
        <v>2026</v>
      </c>
      <c r="F739" t="s">
        <v>59</v>
      </c>
      <c r="G739" t="s">
        <v>35</v>
      </c>
      <c r="H739" t="s">
        <v>139</v>
      </c>
      <c r="I739" t="s">
        <v>140</v>
      </c>
      <c r="J739" t="s">
        <v>100</v>
      </c>
      <c r="K739" t="s">
        <v>50</v>
      </c>
      <c r="L739" t="s">
        <v>51</v>
      </c>
      <c r="M739" t="s">
        <v>141</v>
      </c>
      <c r="N739" t="s">
        <v>142</v>
      </c>
      <c r="O739" t="s">
        <v>54</v>
      </c>
      <c r="P739" t="s">
        <v>143</v>
      </c>
      <c r="Q739">
        <v>6918.16</v>
      </c>
      <c r="R739">
        <v>6176.15</v>
      </c>
      <c r="S739">
        <v>3586.54</v>
      </c>
      <c r="T739">
        <v>558.5</v>
      </c>
      <c r="U739">
        <v>271.55</v>
      </c>
      <c r="V739">
        <v>445.67</v>
      </c>
      <c r="W739">
        <v>305.33999999999997</v>
      </c>
      <c r="X739">
        <v>5167.59</v>
      </c>
      <c r="Y739">
        <v>3331.63</v>
      </c>
      <c r="Z739">
        <v>-1835.96</v>
      </c>
      <c r="AA739">
        <v>-0.23669999999999999</v>
      </c>
      <c r="AB739">
        <v>742.02</v>
      </c>
      <c r="AC739">
        <v>345.91</v>
      </c>
      <c r="AD739">
        <v>1183.01</v>
      </c>
      <c r="AE739">
        <v>7755.26</v>
      </c>
    </row>
    <row r="740" spans="1:31" x14ac:dyDescent="0.25">
      <c r="A740" t="s">
        <v>943</v>
      </c>
      <c r="B740" s="2">
        <v>45976</v>
      </c>
      <c r="C740" t="s">
        <v>147</v>
      </c>
      <c r="D740" t="s">
        <v>93</v>
      </c>
      <c r="E740">
        <v>2025</v>
      </c>
      <c r="F740" t="s">
        <v>85</v>
      </c>
      <c r="G740" t="s">
        <v>35</v>
      </c>
      <c r="H740" t="s">
        <v>86</v>
      </c>
      <c r="I740" t="s">
        <v>87</v>
      </c>
      <c r="J740" t="s">
        <v>38</v>
      </c>
      <c r="K740" t="s">
        <v>101</v>
      </c>
      <c r="L740" t="s">
        <v>94</v>
      </c>
      <c r="M740" t="s">
        <v>130</v>
      </c>
      <c r="N740" t="s">
        <v>131</v>
      </c>
      <c r="O740" t="s">
        <v>43</v>
      </c>
      <c r="P740" t="s">
        <v>132</v>
      </c>
      <c r="Q740">
        <v>58887.61</v>
      </c>
      <c r="R740">
        <v>62197.82</v>
      </c>
      <c r="S740">
        <v>34620.07</v>
      </c>
      <c r="T740">
        <v>6520.28</v>
      </c>
      <c r="U740">
        <v>1732.19</v>
      </c>
      <c r="V740">
        <v>5526.77</v>
      </c>
      <c r="W740">
        <v>2644.18</v>
      </c>
      <c r="X740">
        <v>51043.5</v>
      </c>
      <c r="Y740">
        <v>24267.54</v>
      </c>
      <c r="Z740">
        <v>-26775.96</v>
      </c>
      <c r="AA740">
        <v>-0.44130000000000003</v>
      </c>
      <c r="AB740">
        <v>-3310.21</v>
      </c>
      <c r="AC740">
        <v>4711.01</v>
      </c>
      <c r="AD740">
        <v>6501.19</v>
      </c>
      <c r="AE740">
        <v>60677.8</v>
      </c>
    </row>
    <row r="741" spans="1:31" x14ac:dyDescent="0.25">
      <c r="A741" t="s">
        <v>944</v>
      </c>
      <c r="B741" s="2">
        <v>45921</v>
      </c>
      <c r="C741" t="s">
        <v>46</v>
      </c>
      <c r="D741" t="s">
        <v>33</v>
      </c>
      <c r="E741">
        <v>2025</v>
      </c>
      <c r="F741" t="s">
        <v>85</v>
      </c>
      <c r="G741" t="s">
        <v>35</v>
      </c>
      <c r="H741" t="s">
        <v>178</v>
      </c>
      <c r="I741" t="s">
        <v>179</v>
      </c>
      <c r="J741" t="s">
        <v>80</v>
      </c>
      <c r="K741" t="s">
        <v>71</v>
      </c>
      <c r="L741" t="s">
        <v>81</v>
      </c>
      <c r="M741" t="s">
        <v>211</v>
      </c>
      <c r="N741" t="s">
        <v>212</v>
      </c>
      <c r="O741" t="s">
        <v>112</v>
      </c>
      <c r="P741" t="s">
        <v>113</v>
      </c>
      <c r="Q741">
        <v>31193.26</v>
      </c>
      <c r="R741">
        <v>30259.26</v>
      </c>
      <c r="S741">
        <v>20635.810000000001</v>
      </c>
      <c r="T741">
        <v>2642.86</v>
      </c>
      <c r="U741">
        <v>1912.17</v>
      </c>
      <c r="V741">
        <v>3285.16</v>
      </c>
      <c r="W741">
        <v>554.29999999999995</v>
      </c>
      <c r="X741">
        <v>29030.29</v>
      </c>
      <c r="Y741">
        <v>10557.46</v>
      </c>
      <c r="Z741">
        <v>-18472.84</v>
      </c>
      <c r="AA741">
        <v>-0.51739999999999997</v>
      </c>
      <c r="AB741">
        <v>934</v>
      </c>
      <c r="AC741">
        <v>935.8</v>
      </c>
      <c r="AD741">
        <v>5446.34</v>
      </c>
      <c r="AE741">
        <v>35703.81</v>
      </c>
    </row>
    <row r="742" spans="1:31" x14ac:dyDescent="0.25">
      <c r="A742" t="s">
        <v>945</v>
      </c>
      <c r="B742" s="2">
        <v>45847</v>
      </c>
      <c r="C742" t="s">
        <v>32</v>
      </c>
      <c r="D742" t="s">
        <v>33</v>
      </c>
      <c r="E742">
        <v>2025</v>
      </c>
      <c r="F742" t="s">
        <v>59</v>
      </c>
      <c r="G742" t="s">
        <v>35</v>
      </c>
      <c r="H742" t="s">
        <v>60</v>
      </c>
      <c r="I742" t="s">
        <v>185</v>
      </c>
      <c r="J742" t="s">
        <v>70</v>
      </c>
      <c r="K742" t="s">
        <v>101</v>
      </c>
      <c r="L742" t="s">
        <v>81</v>
      </c>
      <c r="M742" t="s">
        <v>189</v>
      </c>
      <c r="N742" t="s">
        <v>190</v>
      </c>
      <c r="O742" t="s">
        <v>104</v>
      </c>
      <c r="P742" t="s">
        <v>105</v>
      </c>
      <c r="Q742">
        <v>11141.75</v>
      </c>
      <c r="R742">
        <v>12933.19</v>
      </c>
      <c r="S742">
        <v>5788.56</v>
      </c>
      <c r="T742">
        <v>594.66</v>
      </c>
      <c r="U742">
        <v>607.38</v>
      </c>
      <c r="V742">
        <v>1159.82</v>
      </c>
      <c r="W742">
        <v>412.34</v>
      </c>
      <c r="X742">
        <v>8562.75</v>
      </c>
      <c r="Y742">
        <v>5353.19</v>
      </c>
      <c r="Z742">
        <v>-3209.56</v>
      </c>
      <c r="AA742">
        <v>-0.27960000000000002</v>
      </c>
      <c r="AB742">
        <v>-1791.44</v>
      </c>
      <c r="AC742">
        <v>891.34</v>
      </c>
      <c r="AD742">
        <v>1230.05</v>
      </c>
      <c r="AE742">
        <v>11480.46</v>
      </c>
    </row>
    <row r="743" spans="1:31" x14ac:dyDescent="0.25">
      <c r="A743" t="s">
        <v>946</v>
      </c>
      <c r="B743" s="2">
        <v>45901</v>
      </c>
      <c r="C743" t="s">
        <v>46</v>
      </c>
      <c r="D743" t="s">
        <v>33</v>
      </c>
      <c r="E743">
        <v>2025</v>
      </c>
      <c r="F743" t="s">
        <v>85</v>
      </c>
      <c r="G743" t="s">
        <v>35</v>
      </c>
      <c r="H743" t="s">
        <v>86</v>
      </c>
      <c r="I743" t="s">
        <v>181</v>
      </c>
      <c r="J743" t="s">
        <v>100</v>
      </c>
      <c r="K743" t="s">
        <v>50</v>
      </c>
      <c r="L743" t="s">
        <v>94</v>
      </c>
      <c r="M743" t="s">
        <v>141</v>
      </c>
      <c r="N743" t="s">
        <v>142</v>
      </c>
      <c r="O743" t="s">
        <v>54</v>
      </c>
      <c r="P743" t="s">
        <v>143</v>
      </c>
      <c r="Q743">
        <v>1433.48</v>
      </c>
      <c r="R743">
        <v>1642.79</v>
      </c>
      <c r="S743">
        <v>918.8</v>
      </c>
      <c r="T743">
        <v>184.29</v>
      </c>
      <c r="U743">
        <v>41.71</v>
      </c>
      <c r="V743">
        <v>160.88999999999999</v>
      </c>
      <c r="W743">
        <v>55.18</v>
      </c>
      <c r="X743">
        <v>1360.87</v>
      </c>
      <c r="Y743">
        <v>514.67999999999995</v>
      </c>
      <c r="Z743">
        <v>-846.2</v>
      </c>
      <c r="AA743">
        <v>-0.51049999999999995</v>
      </c>
      <c r="AB743">
        <v>-209.32</v>
      </c>
      <c r="AC743">
        <v>28.67</v>
      </c>
      <c r="AD743">
        <v>252.87</v>
      </c>
      <c r="AE743">
        <v>1657.67</v>
      </c>
    </row>
    <row r="744" spans="1:31" x14ac:dyDescent="0.25">
      <c r="A744" t="s">
        <v>947</v>
      </c>
      <c r="B744" s="2">
        <v>45875</v>
      </c>
      <c r="C744" t="s">
        <v>117</v>
      </c>
      <c r="D744" t="s">
        <v>33</v>
      </c>
      <c r="E744">
        <v>2025</v>
      </c>
      <c r="F744" t="s">
        <v>85</v>
      </c>
      <c r="G744" t="s">
        <v>35</v>
      </c>
      <c r="H744" t="s">
        <v>86</v>
      </c>
      <c r="I744" t="s">
        <v>87</v>
      </c>
      <c r="J744" t="s">
        <v>38</v>
      </c>
      <c r="K744" t="s">
        <v>39</v>
      </c>
      <c r="L744" t="s">
        <v>81</v>
      </c>
      <c r="M744" t="s">
        <v>141</v>
      </c>
      <c r="N744" t="s">
        <v>142</v>
      </c>
      <c r="O744" t="s">
        <v>54</v>
      </c>
      <c r="P744" t="s">
        <v>143</v>
      </c>
      <c r="Q744">
        <v>6866.45</v>
      </c>
      <c r="R744">
        <v>6604.86</v>
      </c>
      <c r="S744">
        <v>4328.25</v>
      </c>
      <c r="T744">
        <v>798.12</v>
      </c>
      <c r="U744">
        <v>487.41</v>
      </c>
      <c r="V744">
        <v>538.04</v>
      </c>
      <c r="W744">
        <v>209.16</v>
      </c>
      <c r="X744">
        <v>6360.99</v>
      </c>
      <c r="Y744">
        <v>2538.1999999999998</v>
      </c>
      <c r="Z744">
        <v>-3822.79</v>
      </c>
      <c r="AA744">
        <v>-0.5242</v>
      </c>
      <c r="AB744">
        <v>261.58999999999997</v>
      </c>
      <c r="AC744">
        <v>686.64</v>
      </c>
      <c r="AD744">
        <v>1112.3599999999999</v>
      </c>
      <c r="AE744">
        <v>7292.17</v>
      </c>
    </row>
    <row r="745" spans="1:31" x14ac:dyDescent="0.25">
      <c r="A745" t="s">
        <v>948</v>
      </c>
      <c r="B745" s="2">
        <v>45963</v>
      </c>
      <c r="C745" t="s">
        <v>147</v>
      </c>
      <c r="D745" t="s">
        <v>93</v>
      </c>
      <c r="E745">
        <v>2025</v>
      </c>
      <c r="F745" t="s">
        <v>59</v>
      </c>
      <c r="G745" t="s">
        <v>35</v>
      </c>
      <c r="H745" t="s">
        <v>230</v>
      </c>
      <c r="I745" t="s">
        <v>231</v>
      </c>
      <c r="J745" t="s">
        <v>100</v>
      </c>
      <c r="K745" t="s">
        <v>71</v>
      </c>
      <c r="L745" t="s">
        <v>51</v>
      </c>
      <c r="M745" t="s">
        <v>130</v>
      </c>
      <c r="N745" t="s">
        <v>131</v>
      </c>
      <c r="O745" t="s">
        <v>43</v>
      </c>
      <c r="P745" t="s">
        <v>132</v>
      </c>
      <c r="Q745">
        <v>37787.949999999997</v>
      </c>
      <c r="R745">
        <v>42612.82</v>
      </c>
      <c r="S745">
        <v>26633.919999999998</v>
      </c>
      <c r="T745">
        <v>4317.2700000000004</v>
      </c>
      <c r="U745">
        <v>1992.7</v>
      </c>
      <c r="V745">
        <v>3430.89</v>
      </c>
      <c r="W745">
        <v>1510.4</v>
      </c>
      <c r="X745">
        <v>37885.18</v>
      </c>
      <c r="Y745">
        <v>11154.03</v>
      </c>
      <c r="Z745">
        <v>-26731.15</v>
      </c>
      <c r="AA745">
        <v>-0.69450000000000001</v>
      </c>
      <c r="AB745">
        <v>-4824.8599999999997</v>
      </c>
      <c r="AC745">
        <v>1133.6400000000001</v>
      </c>
      <c r="AD745">
        <v>1832.72</v>
      </c>
      <c r="AE745">
        <v>38487.03</v>
      </c>
    </row>
    <row r="746" spans="1:31" x14ac:dyDescent="0.25">
      <c r="A746" t="s">
        <v>949</v>
      </c>
      <c r="B746" s="2">
        <v>45952</v>
      </c>
      <c r="C746" t="s">
        <v>92</v>
      </c>
      <c r="D746" t="s">
        <v>93</v>
      </c>
      <c r="E746">
        <v>2025</v>
      </c>
      <c r="F746" t="s">
        <v>67</v>
      </c>
      <c r="G746" t="s">
        <v>35</v>
      </c>
      <c r="H746" t="s">
        <v>68</v>
      </c>
      <c r="I746" t="s">
        <v>260</v>
      </c>
      <c r="J746" t="s">
        <v>80</v>
      </c>
      <c r="K746" t="s">
        <v>50</v>
      </c>
      <c r="L746" t="s">
        <v>94</v>
      </c>
      <c r="M746" t="s">
        <v>95</v>
      </c>
      <c r="N746" t="s">
        <v>96</v>
      </c>
      <c r="O746" t="s">
        <v>43</v>
      </c>
      <c r="P746" t="s">
        <v>90</v>
      </c>
      <c r="Q746">
        <v>34759.5</v>
      </c>
      <c r="R746">
        <v>34738.199999999997</v>
      </c>
      <c r="S746">
        <v>22312.880000000001</v>
      </c>
      <c r="T746">
        <v>1892.69</v>
      </c>
      <c r="U746">
        <v>1149.01</v>
      </c>
      <c r="V746">
        <v>2778.57</v>
      </c>
      <c r="W746">
        <v>757.54</v>
      </c>
      <c r="X746">
        <v>28890.69</v>
      </c>
      <c r="Y746">
        <v>12446.62</v>
      </c>
      <c r="Z746">
        <v>-16444.07</v>
      </c>
      <c r="AA746">
        <v>-0.4597</v>
      </c>
      <c r="AB746">
        <v>21.3</v>
      </c>
      <c r="AC746">
        <v>695.19</v>
      </c>
      <c r="AD746">
        <v>1703.22</v>
      </c>
      <c r="AE746">
        <v>35767.519999999997</v>
      </c>
    </row>
    <row r="747" spans="1:31" x14ac:dyDescent="0.25">
      <c r="A747" t="s">
        <v>950</v>
      </c>
      <c r="B747" s="2">
        <v>45751</v>
      </c>
      <c r="C747" t="s">
        <v>128</v>
      </c>
      <c r="D747" t="s">
        <v>66</v>
      </c>
      <c r="E747">
        <v>2025</v>
      </c>
      <c r="F747" t="s">
        <v>67</v>
      </c>
      <c r="G747" t="s">
        <v>35</v>
      </c>
      <c r="H747" t="s">
        <v>217</v>
      </c>
      <c r="I747" t="s">
        <v>218</v>
      </c>
      <c r="J747" t="s">
        <v>70</v>
      </c>
      <c r="K747" t="s">
        <v>50</v>
      </c>
      <c r="L747" t="s">
        <v>40</v>
      </c>
      <c r="M747" t="s">
        <v>110</v>
      </c>
      <c r="N747" t="s">
        <v>111</v>
      </c>
      <c r="O747" t="s">
        <v>112</v>
      </c>
      <c r="P747" t="s">
        <v>113</v>
      </c>
      <c r="Q747">
        <v>22996.68</v>
      </c>
      <c r="R747">
        <v>25078.33</v>
      </c>
      <c r="S747">
        <v>15212.76</v>
      </c>
      <c r="T747">
        <v>2584.7600000000002</v>
      </c>
      <c r="U747">
        <v>1289.24</v>
      </c>
      <c r="V747">
        <v>1710.74</v>
      </c>
      <c r="W747">
        <v>238.84</v>
      </c>
      <c r="X747">
        <v>21036.34</v>
      </c>
      <c r="Y747">
        <v>7783.93</v>
      </c>
      <c r="Z747">
        <v>-13252.41</v>
      </c>
      <c r="AA747">
        <v>-0.53080000000000005</v>
      </c>
      <c r="AB747">
        <v>-2081.64</v>
      </c>
      <c r="AC747">
        <v>1839.73</v>
      </c>
      <c r="AD747">
        <v>3808.25</v>
      </c>
      <c r="AE747">
        <v>24965.200000000001</v>
      </c>
    </row>
    <row r="748" spans="1:31" x14ac:dyDescent="0.25">
      <c r="A748" t="s">
        <v>951</v>
      </c>
      <c r="B748" s="2">
        <v>45976</v>
      </c>
      <c r="C748" t="s">
        <v>147</v>
      </c>
      <c r="D748" t="s">
        <v>93</v>
      </c>
      <c r="E748">
        <v>2025</v>
      </c>
      <c r="F748" t="s">
        <v>85</v>
      </c>
      <c r="G748" t="s">
        <v>35</v>
      </c>
      <c r="H748" t="s">
        <v>178</v>
      </c>
      <c r="I748" t="s">
        <v>249</v>
      </c>
      <c r="J748" t="s">
        <v>38</v>
      </c>
      <c r="K748" t="s">
        <v>50</v>
      </c>
      <c r="L748" t="s">
        <v>81</v>
      </c>
      <c r="M748" t="s">
        <v>171</v>
      </c>
      <c r="N748" t="s">
        <v>172</v>
      </c>
      <c r="O748" t="s">
        <v>173</v>
      </c>
      <c r="P748" t="s">
        <v>174</v>
      </c>
      <c r="Q748">
        <v>20492.77</v>
      </c>
      <c r="R748">
        <v>22548.5</v>
      </c>
      <c r="S748">
        <v>13211.69</v>
      </c>
      <c r="T748">
        <v>1546.16</v>
      </c>
      <c r="U748">
        <v>747.82</v>
      </c>
      <c r="V748">
        <v>987.59</v>
      </c>
      <c r="W748">
        <v>733.76</v>
      </c>
      <c r="X748">
        <v>17227.02</v>
      </c>
      <c r="Y748">
        <v>7281.08</v>
      </c>
      <c r="Z748">
        <v>-9945.94</v>
      </c>
      <c r="AA748">
        <v>-0.44669999999999999</v>
      </c>
      <c r="AB748">
        <v>-2055.73</v>
      </c>
      <c r="AC748">
        <v>614.78</v>
      </c>
      <c r="AD748">
        <v>2385.36</v>
      </c>
      <c r="AE748">
        <v>22263.34</v>
      </c>
    </row>
    <row r="749" spans="1:31" x14ac:dyDescent="0.25">
      <c r="A749" t="s">
        <v>952</v>
      </c>
      <c r="B749" s="2">
        <v>45922</v>
      </c>
      <c r="C749" t="s">
        <v>46</v>
      </c>
      <c r="D749" t="s">
        <v>33</v>
      </c>
      <c r="E749">
        <v>2025</v>
      </c>
      <c r="F749" t="s">
        <v>67</v>
      </c>
      <c r="G749" t="s">
        <v>35</v>
      </c>
      <c r="H749" t="s">
        <v>118</v>
      </c>
      <c r="I749" t="s">
        <v>209</v>
      </c>
      <c r="J749" t="s">
        <v>70</v>
      </c>
      <c r="K749" t="s">
        <v>71</v>
      </c>
      <c r="L749" t="s">
        <v>81</v>
      </c>
      <c r="M749" t="s">
        <v>171</v>
      </c>
      <c r="N749" t="s">
        <v>172</v>
      </c>
      <c r="O749" t="s">
        <v>173</v>
      </c>
      <c r="P749" t="s">
        <v>174</v>
      </c>
      <c r="Q749">
        <v>30344.31</v>
      </c>
      <c r="R749">
        <v>33115.22</v>
      </c>
      <c r="S749">
        <v>21049.72</v>
      </c>
      <c r="T749">
        <v>3740.58</v>
      </c>
      <c r="U749">
        <v>1306.3699999999999</v>
      </c>
      <c r="V749">
        <v>1669.88</v>
      </c>
      <c r="W749">
        <v>580.94000000000005</v>
      </c>
      <c r="X749">
        <v>28347.49</v>
      </c>
      <c r="Y749">
        <v>9294.59</v>
      </c>
      <c r="Z749">
        <v>-19052.900000000001</v>
      </c>
      <c r="AA749">
        <v>-0.59009999999999996</v>
      </c>
      <c r="AB749">
        <v>-2770.92</v>
      </c>
      <c r="AC749">
        <v>1517.22</v>
      </c>
      <c r="AD749">
        <v>3459.25</v>
      </c>
      <c r="AE749">
        <v>32286.34</v>
      </c>
    </row>
    <row r="750" spans="1:31" x14ac:dyDescent="0.25">
      <c r="A750" t="s">
        <v>953</v>
      </c>
      <c r="B750" s="2">
        <v>46108</v>
      </c>
      <c r="C750" t="s">
        <v>125</v>
      </c>
      <c r="D750" t="s">
        <v>58</v>
      </c>
      <c r="E750">
        <v>2026</v>
      </c>
      <c r="F750" t="s">
        <v>47</v>
      </c>
      <c r="G750" t="s">
        <v>35</v>
      </c>
      <c r="H750" t="s">
        <v>214</v>
      </c>
      <c r="I750" t="s">
        <v>220</v>
      </c>
      <c r="J750" t="s">
        <v>38</v>
      </c>
      <c r="K750" t="s">
        <v>50</v>
      </c>
      <c r="L750" t="s">
        <v>40</v>
      </c>
      <c r="M750" t="s">
        <v>171</v>
      </c>
      <c r="N750" t="s">
        <v>172</v>
      </c>
      <c r="O750" t="s">
        <v>173</v>
      </c>
      <c r="P750" t="s">
        <v>174</v>
      </c>
      <c r="Q750">
        <v>8328.9699999999993</v>
      </c>
      <c r="R750">
        <v>9064.4699999999993</v>
      </c>
      <c r="S750">
        <v>5661.48</v>
      </c>
      <c r="T750">
        <v>980.39</v>
      </c>
      <c r="U750">
        <v>575.53</v>
      </c>
      <c r="V750">
        <v>968.84</v>
      </c>
      <c r="W750">
        <v>232.25</v>
      </c>
      <c r="X750">
        <v>8418.49</v>
      </c>
      <c r="Y750">
        <v>2667.48</v>
      </c>
      <c r="Z750">
        <v>-5751.01</v>
      </c>
      <c r="AA750">
        <v>-0.63600000000000001</v>
      </c>
      <c r="AB750">
        <v>-735.5</v>
      </c>
      <c r="AC750">
        <v>666.32</v>
      </c>
      <c r="AD750">
        <v>1379.28</v>
      </c>
      <c r="AE750">
        <v>9041.93</v>
      </c>
    </row>
    <row r="751" spans="1:31" x14ac:dyDescent="0.25">
      <c r="A751" t="s">
        <v>954</v>
      </c>
      <c r="B751" s="2">
        <v>45902</v>
      </c>
      <c r="C751" t="s">
        <v>46</v>
      </c>
      <c r="D751" t="s">
        <v>33</v>
      </c>
      <c r="E751">
        <v>2025</v>
      </c>
      <c r="F751" t="s">
        <v>47</v>
      </c>
      <c r="G751" t="s">
        <v>35</v>
      </c>
      <c r="H751" t="s">
        <v>78</v>
      </c>
      <c r="I751" t="s">
        <v>183</v>
      </c>
      <c r="J751" t="s">
        <v>38</v>
      </c>
      <c r="K751" t="s">
        <v>71</v>
      </c>
      <c r="L751" t="s">
        <v>72</v>
      </c>
      <c r="M751" t="s">
        <v>102</v>
      </c>
      <c r="N751" t="s">
        <v>103</v>
      </c>
      <c r="O751" t="s">
        <v>104</v>
      </c>
      <c r="P751" t="s">
        <v>105</v>
      </c>
      <c r="Q751">
        <v>6604.56</v>
      </c>
      <c r="R751">
        <v>7301.6</v>
      </c>
      <c r="S751">
        <v>3320.75</v>
      </c>
      <c r="T751">
        <v>499.71</v>
      </c>
      <c r="U751">
        <v>331.32</v>
      </c>
      <c r="V751">
        <v>593.14</v>
      </c>
      <c r="W751">
        <v>102.6</v>
      </c>
      <c r="X751">
        <v>4847.5200000000004</v>
      </c>
      <c r="Y751">
        <v>3283.81</v>
      </c>
      <c r="Z751">
        <v>-1563.71</v>
      </c>
      <c r="AA751">
        <v>-0.2298</v>
      </c>
      <c r="AB751">
        <v>-697.04</v>
      </c>
      <c r="AC751">
        <v>528.36</v>
      </c>
      <c r="AD751">
        <v>729.14</v>
      </c>
      <c r="AE751">
        <v>6805.34</v>
      </c>
    </row>
    <row r="752" spans="1:31" x14ac:dyDescent="0.25">
      <c r="A752" t="s">
        <v>955</v>
      </c>
      <c r="B752" s="2">
        <v>46072</v>
      </c>
      <c r="C752" t="s">
        <v>57</v>
      </c>
      <c r="D752" t="s">
        <v>58</v>
      </c>
      <c r="E752">
        <v>2026</v>
      </c>
      <c r="F752" t="s">
        <v>34</v>
      </c>
      <c r="G752" t="s">
        <v>35</v>
      </c>
      <c r="H752" t="s">
        <v>98</v>
      </c>
      <c r="I752" t="s">
        <v>99</v>
      </c>
      <c r="J752" t="s">
        <v>38</v>
      </c>
      <c r="K752" t="s">
        <v>50</v>
      </c>
      <c r="L752" t="s">
        <v>72</v>
      </c>
      <c r="M752" t="s">
        <v>141</v>
      </c>
      <c r="N752" t="s">
        <v>142</v>
      </c>
      <c r="O752" t="s">
        <v>54</v>
      </c>
      <c r="P752" t="s">
        <v>143</v>
      </c>
      <c r="Q752">
        <v>4364.1400000000003</v>
      </c>
      <c r="R752">
        <v>5107.5200000000004</v>
      </c>
      <c r="S752">
        <v>2853.02</v>
      </c>
      <c r="T752">
        <v>361.97</v>
      </c>
      <c r="U752">
        <v>114.52</v>
      </c>
      <c r="V752">
        <v>186.47</v>
      </c>
      <c r="W752">
        <v>148.24</v>
      </c>
      <c r="X752">
        <v>3664.22</v>
      </c>
      <c r="Y752">
        <v>1511.12</v>
      </c>
      <c r="Z752">
        <v>-2153.1</v>
      </c>
      <c r="AA752">
        <v>-0.45450000000000002</v>
      </c>
      <c r="AB752">
        <v>-743.39</v>
      </c>
      <c r="AC752">
        <v>349.13</v>
      </c>
      <c r="AD752">
        <v>722.7</v>
      </c>
      <c r="AE752">
        <v>4737.71</v>
      </c>
    </row>
    <row r="753" spans="1:31" x14ac:dyDescent="0.25">
      <c r="A753" t="s">
        <v>956</v>
      </c>
      <c r="B753" s="2">
        <v>45865</v>
      </c>
      <c r="C753" t="s">
        <v>32</v>
      </c>
      <c r="D753" t="s">
        <v>33</v>
      </c>
      <c r="E753">
        <v>2025</v>
      </c>
      <c r="F753" t="s">
        <v>85</v>
      </c>
      <c r="G753" t="s">
        <v>35</v>
      </c>
      <c r="H753" t="s">
        <v>178</v>
      </c>
      <c r="I753" t="s">
        <v>179</v>
      </c>
      <c r="J753" t="s">
        <v>100</v>
      </c>
      <c r="K753" t="s">
        <v>160</v>
      </c>
      <c r="L753" t="s">
        <v>94</v>
      </c>
      <c r="M753" t="s">
        <v>95</v>
      </c>
      <c r="N753" t="s">
        <v>96</v>
      </c>
      <c r="O753" t="s">
        <v>43</v>
      </c>
      <c r="P753" t="s">
        <v>90</v>
      </c>
      <c r="Q753">
        <v>19485.23</v>
      </c>
      <c r="R753">
        <v>21669.599999999999</v>
      </c>
      <c r="S753">
        <v>11825.29</v>
      </c>
      <c r="T753">
        <v>2420.8000000000002</v>
      </c>
      <c r="U753">
        <v>1030.1600000000001</v>
      </c>
      <c r="V753">
        <v>2135.29</v>
      </c>
      <c r="W753">
        <v>501.03</v>
      </c>
      <c r="X753">
        <v>17912.560000000001</v>
      </c>
      <c r="Y753">
        <v>7659.94</v>
      </c>
      <c r="Z753">
        <v>-10252.620000000001</v>
      </c>
      <c r="AA753">
        <v>-0.4955</v>
      </c>
      <c r="AB753">
        <v>-2184.37</v>
      </c>
      <c r="AC753">
        <v>1948.52</v>
      </c>
      <c r="AD753">
        <v>3156.61</v>
      </c>
      <c r="AE753">
        <v>20693.310000000001</v>
      </c>
    </row>
    <row r="754" spans="1:31" x14ac:dyDescent="0.25">
      <c r="A754" t="s">
        <v>957</v>
      </c>
      <c r="B754" s="2">
        <v>45809</v>
      </c>
      <c r="C754" t="s">
        <v>156</v>
      </c>
      <c r="D754" t="s">
        <v>66</v>
      </c>
      <c r="E754">
        <v>2025</v>
      </c>
      <c r="F754" t="s">
        <v>85</v>
      </c>
      <c r="G754" t="s">
        <v>35</v>
      </c>
      <c r="H754" t="s">
        <v>178</v>
      </c>
      <c r="I754" t="s">
        <v>329</v>
      </c>
      <c r="J754" t="s">
        <v>80</v>
      </c>
      <c r="K754" t="s">
        <v>39</v>
      </c>
      <c r="L754" t="s">
        <v>51</v>
      </c>
      <c r="M754" t="s">
        <v>189</v>
      </c>
      <c r="N754" t="s">
        <v>190</v>
      </c>
      <c r="O754" t="s">
        <v>104</v>
      </c>
      <c r="P754" t="s">
        <v>105</v>
      </c>
      <c r="Q754">
        <v>7143.93</v>
      </c>
      <c r="R754">
        <v>7144.4</v>
      </c>
      <c r="S754">
        <v>4418.25</v>
      </c>
      <c r="T754">
        <v>845.79</v>
      </c>
      <c r="U754">
        <v>630.99</v>
      </c>
      <c r="V754">
        <v>536.92999999999995</v>
      </c>
      <c r="W754">
        <v>86.55</v>
      </c>
      <c r="X754">
        <v>6518.52</v>
      </c>
      <c r="Y754">
        <v>2725.69</v>
      </c>
      <c r="Z754">
        <v>-3792.83</v>
      </c>
      <c r="AA754">
        <v>-0.499</v>
      </c>
      <c r="AB754">
        <v>-0.47</v>
      </c>
      <c r="AC754">
        <v>357.2</v>
      </c>
      <c r="AD754">
        <v>814.41</v>
      </c>
      <c r="AE754">
        <v>7601.15</v>
      </c>
    </row>
    <row r="755" spans="1:31" x14ac:dyDescent="0.25">
      <c r="A755" t="s">
        <v>958</v>
      </c>
      <c r="B755" s="2">
        <v>46089</v>
      </c>
      <c r="C755" t="s">
        <v>125</v>
      </c>
      <c r="D755" t="s">
        <v>58</v>
      </c>
      <c r="E755">
        <v>2026</v>
      </c>
      <c r="F755" t="s">
        <v>47</v>
      </c>
      <c r="G755" t="s">
        <v>35</v>
      </c>
      <c r="H755" t="s">
        <v>206</v>
      </c>
      <c r="I755" t="s">
        <v>344</v>
      </c>
      <c r="J755" t="s">
        <v>100</v>
      </c>
      <c r="K755" t="s">
        <v>50</v>
      </c>
      <c r="L755" t="s">
        <v>72</v>
      </c>
      <c r="M755" t="s">
        <v>186</v>
      </c>
      <c r="N755" t="s">
        <v>187</v>
      </c>
      <c r="O755" t="s">
        <v>173</v>
      </c>
      <c r="P755" t="s">
        <v>174</v>
      </c>
      <c r="Q755">
        <v>10184.89</v>
      </c>
      <c r="R755">
        <v>9856.34</v>
      </c>
      <c r="S755">
        <v>6810.71</v>
      </c>
      <c r="T755">
        <v>1122.33</v>
      </c>
      <c r="U755">
        <v>392.88</v>
      </c>
      <c r="V755">
        <v>567.74</v>
      </c>
      <c r="W755">
        <v>330.91</v>
      </c>
      <c r="X755">
        <v>9224.57</v>
      </c>
      <c r="Y755">
        <v>3374.17</v>
      </c>
      <c r="Z755">
        <v>-5850.39</v>
      </c>
      <c r="AA755">
        <v>-0.50190000000000001</v>
      </c>
      <c r="AB755">
        <v>328.54</v>
      </c>
      <c r="AC755">
        <v>305.55</v>
      </c>
      <c r="AD755">
        <v>1778.28</v>
      </c>
      <c r="AE755">
        <v>11657.62</v>
      </c>
    </row>
    <row r="756" spans="1:31" x14ac:dyDescent="0.25">
      <c r="A756" t="s">
        <v>959</v>
      </c>
      <c r="B756" s="2">
        <v>45953</v>
      </c>
      <c r="C756" t="s">
        <v>92</v>
      </c>
      <c r="D756" t="s">
        <v>93</v>
      </c>
      <c r="E756">
        <v>2025</v>
      </c>
      <c r="F756" t="s">
        <v>34</v>
      </c>
      <c r="G756" t="s">
        <v>35</v>
      </c>
      <c r="H756" t="s">
        <v>134</v>
      </c>
      <c r="I756" t="s">
        <v>154</v>
      </c>
      <c r="J756" t="s">
        <v>38</v>
      </c>
      <c r="K756" t="s">
        <v>160</v>
      </c>
      <c r="L756" t="s">
        <v>51</v>
      </c>
      <c r="M756" t="s">
        <v>52</v>
      </c>
      <c r="N756" t="s">
        <v>53</v>
      </c>
      <c r="O756" t="s">
        <v>54</v>
      </c>
      <c r="P756" t="s">
        <v>55</v>
      </c>
      <c r="Q756">
        <v>2243.56</v>
      </c>
      <c r="R756">
        <v>2196.3200000000002</v>
      </c>
      <c r="S756">
        <v>1427.1</v>
      </c>
      <c r="T756">
        <v>248.05</v>
      </c>
      <c r="U756">
        <v>165.39</v>
      </c>
      <c r="V756">
        <v>181.26</v>
      </c>
      <c r="W756">
        <v>86.1</v>
      </c>
      <c r="X756">
        <v>2107.9</v>
      </c>
      <c r="Y756">
        <v>816.46</v>
      </c>
      <c r="Z756">
        <v>-1291.44</v>
      </c>
      <c r="AA756">
        <v>-0.56520000000000004</v>
      </c>
      <c r="AB756">
        <v>47.24</v>
      </c>
      <c r="AC756">
        <v>67.31</v>
      </c>
      <c r="AD756">
        <v>108.81</v>
      </c>
      <c r="AE756">
        <v>2285.06</v>
      </c>
    </row>
    <row r="757" spans="1:31" x14ac:dyDescent="0.25">
      <c r="A757" t="s">
        <v>960</v>
      </c>
      <c r="B757" s="2">
        <v>45913</v>
      </c>
      <c r="C757" t="s">
        <v>46</v>
      </c>
      <c r="D757" t="s">
        <v>33</v>
      </c>
      <c r="E757">
        <v>2025</v>
      </c>
      <c r="F757" t="s">
        <v>34</v>
      </c>
      <c r="G757" t="s">
        <v>35</v>
      </c>
      <c r="H757" t="s">
        <v>157</v>
      </c>
      <c r="I757" t="s">
        <v>158</v>
      </c>
      <c r="J757" t="s">
        <v>70</v>
      </c>
      <c r="K757" t="s">
        <v>39</v>
      </c>
      <c r="L757" t="s">
        <v>94</v>
      </c>
      <c r="M757" t="s">
        <v>41</v>
      </c>
      <c r="N757" t="s">
        <v>42</v>
      </c>
      <c r="O757" t="s">
        <v>43</v>
      </c>
      <c r="P757" t="s">
        <v>44</v>
      </c>
      <c r="Q757">
        <v>62168.92</v>
      </c>
      <c r="R757">
        <v>60889.37</v>
      </c>
      <c r="S757">
        <v>44422.05</v>
      </c>
      <c r="T757">
        <v>7402.79</v>
      </c>
      <c r="U757">
        <v>2859.64</v>
      </c>
      <c r="V757">
        <v>4793.38</v>
      </c>
      <c r="W757">
        <v>1524.86</v>
      </c>
      <c r="X757">
        <v>61002.720000000001</v>
      </c>
      <c r="Y757">
        <v>17746.87</v>
      </c>
      <c r="Z757">
        <v>-43255.86</v>
      </c>
      <c r="AA757">
        <v>-0.58960000000000001</v>
      </c>
      <c r="AB757">
        <v>1279.55</v>
      </c>
      <c r="AC757">
        <v>0</v>
      </c>
      <c r="AD757">
        <v>11190.41</v>
      </c>
      <c r="AE757">
        <v>73359.33</v>
      </c>
    </row>
    <row r="758" spans="1:31" x14ac:dyDescent="0.25">
      <c r="A758" t="s">
        <v>961</v>
      </c>
      <c r="B758" s="2">
        <v>45974</v>
      </c>
      <c r="C758" t="s">
        <v>147</v>
      </c>
      <c r="D758" t="s">
        <v>93</v>
      </c>
      <c r="E758">
        <v>2025</v>
      </c>
      <c r="F758" t="s">
        <v>85</v>
      </c>
      <c r="G758" t="s">
        <v>35</v>
      </c>
      <c r="H758" t="s">
        <v>178</v>
      </c>
      <c r="I758" t="s">
        <v>249</v>
      </c>
      <c r="J758" t="s">
        <v>38</v>
      </c>
      <c r="K758" t="s">
        <v>50</v>
      </c>
      <c r="L758" t="s">
        <v>40</v>
      </c>
      <c r="M758" t="s">
        <v>130</v>
      </c>
      <c r="N758" t="s">
        <v>131</v>
      </c>
      <c r="O758" t="s">
        <v>43</v>
      </c>
      <c r="P758" t="s">
        <v>132</v>
      </c>
      <c r="Q758">
        <v>37023.06</v>
      </c>
      <c r="R758">
        <v>34924.28</v>
      </c>
      <c r="S758">
        <v>18431.54</v>
      </c>
      <c r="T758">
        <v>2706.87</v>
      </c>
      <c r="U758">
        <v>2435.5100000000002</v>
      </c>
      <c r="V758">
        <v>3157.88</v>
      </c>
      <c r="W758">
        <v>1163.46</v>
      </c>
      <c r="X758">
        <v>27895.25</v>
      </c>
      <c r="Y758">
        <v>18591.52</v>
      </c>
      <c r="Z758">
        <v>-9303.73</v>
      </c>
      <c r="AA758">
        <v>-0.23619999999999999</v>
      </c>
      <c r="AB758">
        <v>2098.7800000000002</v>
      </c>
      <c r="AC758">
        <v>1851.15</v>
      </c>
      <c r="AD758">
        <v>4220.63</v>
      </c>
      <c r="AE758">
        <v>39392.53</v>
      </c>
    </row>
    <row r="759" spans="1:31" x14ac:dyDescent="0.25">
      <c r="A759" t="s">
        <v>962</v>
      </c>
      <c r="B759" s="2">
        <v>46009</v>
      </c>
      <c r="C759" t="s">
        <v>107</v>
      </c>
      <c r="D759" t="s">
        <v>93</v>
      </c>
      <c r="E759">
        <v>2025</v>
      </c>
      <c r="F759" t="s">
        <v>34</v>
      </c>
      <c r="G759" t="s">
        <v>35</v>
      </c>
      <c r="H759" t="s">
        <v>157</v>
      </c>
      <c r="I759" t="s">
        <v>166</v>
      </c>
      <c r="J759" t="s">
        <v>70</v>
      </c>
      <c r="K759" t="s">
        <v>39</v>
      </c>
      <c r="L759" t="s">
        <v>51</v>
      </c>
      <c r="M759" t="s">
        <v>110</v>
      </c>
      <c r="N759" t="s">
        <v>111</v>
      </c>
      <c r="O759" t="s">
        <v>112</v>
      </c>
      <c r="P759" t="s">
        <v>113</v>
      </c>
      <c r="Q759">
        <v>15156.7</v>
      </c>
      <c r="R759">
        <v>16715.099999999999</v>
      </c>
      <c r="S759">
        <v>9673.85</v>
      </c>
      <c r="T759">
        <v>1251.17</v>
      </c>
      <c r="U759">
        <v>637.01</v>
      </c>
      <c r="V759">
        <v>1793.89</v>
      </c>
      <c r="W759">
        <v>574.49</v>
      </c>
      <c r="X759">
        <v>13930.41</v>
      </c>
      <c r="Y759">
        <v>5482.85</v>
      </c>
      <c r="Z759">
        <v>-8447.56</v>
      </c>
      <c r="AA759">
        <v>-0.48199999999999998</v>
      </c>
      <c r="AB759">
        <v>-1558.4</v>
      </c>
      <c r="AC759">
        <v>303.13</v>
      </c>
      <c r="AD759">
        <v>2673.64</v>
      </c>
      <c r="AE759">
        <v>17527.21</v>
      </c>
    </row>
    <row r="760" spans="1:31" x14ac:dyDescent="0.25">
      <c r="A760" t="s">
        <v>963</v>
      </c>
      <c r="B760" s="2">
        <v>46039</v>
      </c>
      <c r="C760" t="s">
        <v>77</v>
      </c>
      <c r="D760" t="s">
        <v>58</v>
      </c>
      <c r="E760">
        <v>2026</v>
      </c>
      <c r="F760" t="s">
        <v>34</v>
      </c>
      <c r="G760" t="s">
        <v>35</v>
      </c>
      <c r="H760" t="s">
        <v>36</v>
      </c>
      <c r="I760" t="s">
        <v>145</v>
      </c>
      <c r="J760" t="s">
        <v>100</v>
      </c>
      <c r="K760" t="s">
        <v>50</v>
      </c>
      <c r="L760" t="s">
        <v>72</v>
      </c>
      <c r="M760" t="s">
        <v>186</v>
      </c>
      <c r="N760" t="s">
        <v>187</v>
      </c>
      <c r="O760" t="s">
        <v>173</v>
      </c>
      <c r="P760" t="s">
        <v>174</v>
      </c>
      <c r="Q760">
        <v>38876.559999999998</v>
      </c>
      <c r="R760">
        <v>44656.53</v>
      </c>
      <c r="S760">
        <v>20867.14</v>
      </c>
      <c r="T760">
        <v>3018.13</v>
      </c>
      <c r="U760">
        <v>2874.55</v>
      </c>
      <c r="V760">
        <v>2875.5</v>
      </c>
      <c r="W760">
        <v>1528.1</v>
      </c>
      <c r="X760">
        <v>31163.42</v>
      </c>
      <c r="Y760">
        <v>18009.419999999998</v>
      </c>
      <c r="Z760">
        <v>-13153.99</v>
      </c>
      <c r="AA760">
        <v>-0.32840000000000003</v>
      </c>
      <c r="AB760">
        <v>-5779.97</v>
      </c>
      <c r="AC760">
        <v>3110.13</v>
      </c>
      <c r="AD760">
        <v>4291.97</v>
      </c>
      <c r="AE760">
        <v>40058.410000000003</v>
      </c>
    </row>
    <row r="761" spans="1:31" x14ac:dyDescent="0.25">
      <c r="A761" t="s">
        <v>964</v>
      </c>
      <c r="B761" s="2">
        <v>45768</v>
      </c>
      <c r="C761" t="s">
        <v>128</v>
      </c>
      <c r="D761" t="s">
        <v>66</v>
      </c>
      <c r="E761">
        <v>2025</v>
      </c>
      <c r="F761" t="s">
        <v>34</v>
      </c>
      <c r="G761" t="s">
        <v>35</v>
      </c>
      <c r="H761" t="s">
        <v>36</v>
      </c>
      <c r="I761" t="s">
        <v>37</v>
      </c>
      <c r="J761" t="s">
        <v>38</v>
      </c>
      <c r="K761" t="s">
        <v>39</v>
      </c>
      <c r="L761" t="s">
        <v>72</v>
      </c>
      <c r="M761" t="s">
        <v>221</v>
      </c>
      <c r="N761" t="s">
        <v>222</v>
      </c>
      <c r="O761" t="s">
        <v>104</v>
      </c>
      <c r="P761" t="s">
        <v>223</v>
      </c>
      <c r="Q761">
        <v>31970.91</v>
      </c>
      <c r="R761">
        <v>32580.06</v>
      </c>
      <c r="S761">
        <v>20052.59</v>
      </c>
      <c r="T761">
        <v>2295.59</v>
      </c>
      <c r="U761">
        <v>1369.04</v>
      </c>
      <c r="V761">
        <v>1569.27</v>
      </c>
      <c r="W761">
        <v>447.33</v>
      </c>
      <c r="X761">
        <v>25733.82</v>
      </c>
      <c r="Y761">
        <v>11918.32</v>
      </c>
      <c r="Z761">
        <v>-13815.5</v>
      </c>
      <c r="AA761">
        <v>-0.3775</v>
      </c>
      <c r="AB761">
        <v>-609.16</v>
      </c>
      <c r="AC761">
        <v>959.13</v>
      </c>
      <c r="AD761">
        <v>5582.12</v>
      </c>
      <c r="AE761">
        <v>36593.9</v>
      </c>
    </row>
    <row r="762" spans="1:31" x14ac:dyDescent="0.25">
      <c r="A762" t="s">
        <v>965</v>
      </c>
      <c r="B762" s="2">
        <v>46048</v>
      </c>
      <c r="C762" t="s">
        <v>77</v>
      </c>
      <c r="D762" t="s">
        <v>58</v>
      </c>
      <c r="E762">
        <v>2026</v>
      </c>
      <c r="F762" t="s">
        <v>59</v>
      </c>
      <c r="G762" t="s">
        <v>35</v>
      </c>
      <c r="H762" t="s">
        <v>139</v>
      </c>
      <c r="I762" t="s">
        <v>200</v>
      </c>
      <c r="J762" t="s">
        <v>80</v>
      </c>
      <c r="K762" t="s">
        <v>39</v>
      </c>
      <c r="L762" t="s">
        <v>72</v>
      </c>
      <c r="M762" t="s">
        <v>120</v>
      </c>
      <c r="N762" t="s">
        <v>121</v>
      </c>
      <c r="O762" t="s">
        <v>43</v>
      </c>
      <c r="P762" t="s">
        <v>122</v>
      </c>
      <c r="Q762">
        <v>47627.91</v>
      </c>
      <c r="R762">
        <v>48387.44</v>
      </c>
      <c r="S762">
        <v>24647.38</v>
      </c>
      <c r="T762">
        <v>6029.8</v>
      </c>
      <c r="U762">
        <v>3601.53</v>
      </c>
      <c r="V762">
        <v>4712.2</v>
      </c>
      <c r="W762">
        <v>1626.84</v>
      </c>
      <c r="X762">
        <v>40617.74</v>
      </c>
      <c r="Y762">
        <v>22980.54</v>
      </c>
      <c r="Z762">
        <v>-17637.2</v>
      </c>
      <c r="AA762">
        <v>-0.32350000000000001</v>
      </c>
      <c r="AB762">
        <v>-759.52</v>
      </c>
      <c r="AC762">
        <v>1428.84</v>
      </c>
      <c r="AD762">
        <v>8315.83</v>
      </c>
      <c r="AE762">
        <v>54514.91</v>
      </c>
    </row>
    <row r="763" spans="1:31" x14ac:dyDescent="0.25">
      <c r="A763" t="s">
        <v>966</v>
      </c>
      <c r="B763" s="2">
        <v>45858</v>
      </c>
      <c r="C763" t="s">
        <v>32</v>
      </c>
      <c r="D763" t="s">
        <v>33</v>
      </c>
      <c r="E763">
        <v>2025</v>
      </c>
      <c r="F763" t="s">
        <v>34</v>
      </c>
      <c r="G763" t="s">
        <v>35</v>
      </c>
      <c r="H763" t="s">
        <v>36</v>
      </c>
      <c r="I763" t="s">
        <v>145</v>
      </c>
      <c r="J763" t="s">
        <v>38</v>
      </c>
      <c r="K763" t="s">
        <v>50</v>
      </c>
      <c r="L763" t="s">
        <v>40</v>
      </c>
      <c r="M763" t="s">
        <v>120</v>
      </c>
      <c r="N763" t="s">
        <v>121</v>
      </c>
      <c r="O763" t="s">
        <v>43</v>
      </c>
      <c r="P763" t="s">
        <v>122</v>
      </c>
      <c r="Q763">
        <v>45063.81</v>
      </c>
      <c r="R763">
        <v>52452.06</v>
      </c>
      <c r="S763">
        <v>24296.84</v>
      </c>
      <c r="T763">
        <v>5148.43</v>
      </c>
      <c r="U763">
        <v>2919.38</v>
      </c>
      <c r="V763">
        <v>3161.3</v>
      </c>
      <c r="W763">
        <v>452.8</v>
      </c>
      <c r="X763">
        <v>35978.74</v>
      </c>
      <c r="Y763">
        <v>20766.98</v>
      </c>
      <c r="Z763">
        <v>-15211.76</v>
      </c>
      <c r="AA763">
        <v>-0.31069999999999998</v>
      </c>
      <c r="AB763">
        <v>-7388.24</v>
      </c>
      <c r="AC763">
        <v>1351.91</v>
      </c>
      <c r="AD763">
        <v>5245.43</v>
      </c>
      <c r="AE763">
        <v>48957.33</v>
      </c>
    </row>
    <row r="764" spans="1:31" x14ac:dyDescent="0.25">
      <c r="A764" t="s">
        <v>967</v>
      </c>
      <c r="B764" s="2">
        <v>45785</v>
      </c>
      <c r="C764" t="s">
        <v>65</v>
      </c>
      <c r="D764" t="s">
        <v>66</v>
      </c>
      <c r="E764">
        <v>2025</v>
      </c>
      <c r="F764" t="s">
        <v>59</v>
      </c>
      <c r="G764" t="s">
        <v>35</v>
      </c>
      <c r="H764" t="s">
        <v>139</v>
      </c>
      <c r="I764" t="s">
        <v>140</v>
      </c>
      <c r="J764" t="s">
        <v>38</v>
      </c>
      <c r="K764" t="s">
        <v>160</v>
      </c>
      <c r="L764" t="s">
        <v>40</v>
      </c>
      <c r="M764" t="s">
        <v>189</v>
      </c>
      <c r="N764" t="s">
        <v>190</v>
      </c>
      <c r="O764" t="s">
        <v>104</v>
      </c>
      <c r="P764" t="s">
        <v>105</v>
      </c>
      <c r="Q764">
        <v>14547.87</v>
      </c>
      <c r="R764">
        <v>15042.77</v>
      </c>
      <c r="S764">
        <v>9809.65</v>
      </c>
      <c r="T764">
        <v>1371.74</v>
      </c>
      <c r="U764">
        <v>1164.3</v>
      </c>
      <c r="V764">
        <v>1185.42</v>
      </c>
      <c r="W764">
        <v>452.94</v>
      </c>
      <c r="X764">
        <v>13984.06</v>
      </c>
      <c r="Y764">
        <v>4738.2299999999996</v>
      </c>
      <c r="Z764">
        <v>-9245.83</v>
      </c>
      <c r="AA764">
        <v>-0.55530000000000002</v>
      </c>
      <c r="AB764">
        <v>-494.89</v>
      </c>
      <c r="AC764">
        <v>436.44</v>
      </c>
      <c r="AD764">
        <v>2540.06</v>
      </c>
      <c r="AE764">
        <v>16651.5</v>
      </c>
    </row>
    <row r="765" spans="1:31" x14ac:dyDescent="0.25">
      <c r="A765" t="s">
        <v>968</v>
      </c>
      <c r="B765" s="2">
        <v>45876</v>
      </c>
      <c r="C765" t="s">
        <v>117</v>
      </c>
      <c r="D765" t="s">
        <v>33</v>
      </c>
      <c r="E765">
        <v>2025</v>
      </c>
      <c r="F765" t="s">
        <v>34</v>
      </c>
      <c r="G765" t="s">
        <v>35</v>
      </c>
      <c r="H765" t="s">
        <v>98</v>
      </c>
      <c r="I765" t="s">
        <v>149</v>
      </c>
      <c r="J765" t="s">
        <v>38</v>
      </c>
      <c r="K765" t="s">
        <v>50</v>
      </c>
      <c r="L765" t="s">
        <v>81</v>
      </c>
      <c r="M765" t="s">
        <v>161</v>
      </c>
      <c r="N765" t="s">
        <v>162</v>
      </c>
      <c r="O765" t="s">
        <v>43</v>
      </c>
      <c r="P765" t="s">
        <v>163</v>
      </c>
      <c r="Q765">
        <v>24296.69</v>
      </c>
      <c r="R765">
        <v>21769.81</v>
      </c>
      <c r="S765">
        <v>17291.86</v>
      </c>
      <c r="T765">
        <v>2870.92</v>
      </c>
      <c r="U765">
        <v>2049.6</v>
      </c>
      <c r="V765">
        <v>2618.63</v>
      </c>
      <c r="W765">
        <v>650.75</v>
      </c>
      <c r="X765">
        <v>25481.75</v>
      </c>
      <c r="Y765">
        <v>7004.83</v>
      </c>
      <c r="Z765">
        <v>-18476.919999999998</v>
      </c>
      <c r="AA765">
        <v>-0.70050000000000001</v>
      </c>
      <c r="AB765">
        <v>2526.88</v>
      </c>
      <c r="AC765">
        <v>1943.74</v>
      </c>
      <c r="AD765">
        <v>4023.53</v>
      </c>
      <c r="AE765">
        <v>26376.49</v>
      </c>
    </row>
    <row r="766" spans="1:31" x14ac:dyDescent="0.25">
      <c r="A766" t="s">
        <v>969</v>
      </c>
      <c r="B766" s="2">
        <v>45915</v>
      </c>
      <c r="C766" t="s">
        <v>46</v>
      </c>
      <c r="D766" t="s">
        <v>33</v>
      </c>
      <c r="E766">
        <v>2025</v>
      </c>
      <c r="F766" t="s">
        <v>34</v>
      </c>
      <c r="G766" t="s">
        <v>35</v>
      </c>
      <c r="H766" t="s">
        <v>98</v>
      </c>
      <c r="I766" t="s">
        <v>99</v>
      </c>
      <c r="J766" t="s">
        <v>38</v>
      </c>
      <c r="K766" t="s">
        <v>160</v>
      </c>
      <c r="L766" t="s">
        <v>94</v>
      </c>
      <c r="M766" t="s">
        <v>189</v>
      </c>
      <c r="N766" t="s">
        <v>190</v>
      </c>
      <c r="O766" t="s">
        <v>104</v>
      </c>
      <c r="P766" t="s">
        <v>105</v>
      </c>
      <c r="Q766">
        <v>34060.300000000003</v>
      </c>
      <c r="R766">
        <v>37905.18</v>
      </c>
      <c r="S766">
        <v>22220.45</v>
      </c>
      <c r="T766">
        <v>2424.46</v>
      </c>
      <c r="U766">
        <v>2227.1</v>
      </c>
      <c r="V766">
        <v>2783.38</v>
      </c>
      <c r="W766">
        <v>1368.14</v>
      </c>
      <c r="X766">
        <v>31023.52</v>
      </c>
      <c r="Y766">
        <v>11839.86</v>
      </c>
      <c r="Z766">
        <v>-19183.669999999998</v>
      </c>
      <c r="AA766">
        <v>-0.55300000000000005</v>
      </c>
      <c r="AB766">
        <v>-3844.88</v>
      </c>
      <c r="AC766">
        <v>1021.81</v>
      </c>
      <c r="AD766">
        <v>1651.92</v>
      </c>
      <c r="AE766">
        <v>34690.42</v>
      </c>
    </row>
    <row r="767" spans="1:31" x14ac:dyDescent="0.25">
      <c r="A767" t="s">
        <v>970</v>
      </c>
      <c r="B767" s="2">
        <v>45869</v>
      </c>
      <c r="C767" t="s">
        <v>32</v>
      </c>
      <c r="D767" t="s">
        <v>33</v>
      </c>
      <c r="E767">
        <v>2025</v>
      </c>
      <c r="F767" t="s">
        <v>34</v>
      </c>
      <c r="G767" t="s">
        <v>35</v>
      </c>
      <c r="H767" t="s">
        <v>98</v>
      </c>
      <c r="I767" t="s">
        <v>304</v>
      </c>
      <c r="J767" t="s">
        <v>80</v>
      </c>
      <c r="K767" t="s">
        <v>50</v>
      </c>
      <c r="L767" t="s">
        <v>94</v>
      </c>
      <c r="M767" t="s">
        <v>197</v>
      </c>
      <c r="N767" t="s">
        <v>198</v>
      </c>
      <c r="O767" t="s">
        <v>43</v>
      </c>
      <c r="P767" t="s">
        <v>163</v>
      </c>
      <c r="Q767">
        <v>28323.96</v>
      </c>
      <c r="R767">
        <v>31593.46</v>
      </c>
      <c r="S767">
        <v>16895.78</v>
      </c>
      <c r="T767">
        <v>2176.36</v>
      </c>
      <c r="U767">
        <v>859.72</v>
      </c>
      <c r="V767">
        <v>2379.88</v>
      </c>
      <c r="W767">
        <v>552.16</v>
      </c>
      <c r="X767">
        <v>22863.9</v>
      </c>
      <c r="Y767">
        <v>11428.18</v>
      </c>
      <c r="Z767">
        <v>-11435.72</v>
      </c>
      <c r="AA767">
        <v>-0.36020000000000002</v>
      </c>
      <c r="AB767">
        <v>-3269.5</v>
      </c>
      <c r="AC767">
        <v>1416.2</v>
      </c>
      <c r="AD767">
        <v>4843.3999999999996</v>
      </c>
      <c r="AE767">
        <v>31751.16</v>
      </c>
    </row>
    <row r="768" spans="1:31" x14ac:dyDescent="0.25">
      <c r="A768" t="s">
        <v>971</v>
      </c>
      <c r="B768" s="2">
        <v>45847</v>
      </c>
      <c r="C768" t="s">
        <v>32</v>
      </c>
      <c r="D768" t="s">
        <v>33</v>
      </c>
      <c r="E768">
        <v>2025</v>
      </c>
      <c r="F768" t="s">
        <v>47</v>
      </c>
      <c r="G768" t="s">
        <v>35</v>
      </c>
      <c r="H768" t="s">
        <v>214</v>
      </c>
      <c r="I768" t="s">
        <v>321</v>
      </c>
      <c r="J768" t="s">
        <v>70</v>
      </c>
      <c r="K768" t="s">
        <v>160</v>
      </c>
      <c r="L768" t="s">
        <v>81</v>
      </c>
      <c r="M768" t="s">
        <v>130</v>
      </c>
      <c r="N768" t="s">
        <v>131</v>
      </c>
      <c r="O768" t="s">
        <v>43</v>
      </c>
      <c r="P768" t="s">
        <v>132</v>
      </c>
      <c r="Q768">
        <v>41634.980000000003</v>
      </c>
      <c r="R768">
        <v>48329.54</v>
      </c>
      <c r="S768">
        <v>20934.72</v>
      </c>
      <c r="T768">
        <v>4326.78</v>
      </c>
      <c r="U768">
        <v>1401.88</v>
      </c>
      <c r="V768">
        <v>4596.1899999999996</v>
      </c>
      <c r="W768">
        <v>1160.57</v>
      </c>
      <c r="X768">
        <v>32420.14</v>
      </c>
      <c r="Y768">
        <v>20700.259999999998</v>
      </c>
      <c r="Z768">
        <v>-11719.88</v>
      </c>
      <c r="AA768">
        <v>-0.23860000000000001</v>
      </c>
      <c r="AB768">
        <v>-6694.57</v>
      </c>
      <c r="AC768">
        <v>0</v>
      </c>
      <c r="AD768">
        <v>7494.3</v>
      </c>
      <c r="AE768">
        <v>49129.27</v>
      </c>
    </row>
    <row r="769" spans="1:31" x14ac:dyDescent="0.25">
      <c r="A769" t="s">
        <v>972</v>
      </c>
      <c r="B769" s="2">
        <v>45979</v>
      </c>
      <c r="C769" t="s">
        <v>147</v>
      </c>
      <c r="D769" t="s">
        <v>93</v>
      </c>
      <c r="E769">
        <v>2025</v>
      </c>
      <c r="F769" t="s">
        <v>34</v>
      </c>
      <c r="G769" t="s">
        <v>35</v>
      </c>
      <c r="H769" t="s">
        <v>36</v>
      </c>
      <c r="I769" t="s">
        <v>145</v>
      </c>
      <c r="J769" t="s">
        <v>80</v>
      </c>
      <c r="K769" t="s">
        <v>71</v>
      </c>
      <c r="L769" t="s">
        <v>81</v>
      </c>
      <c r="M769" t="s">
        <v>82</v>
      </c>
      <c r="N769" t="s">
        <v>83</v>
      </c>
      <c r="O769" t="s">
        <v>43</v>
      </c>
      <c r="P769" t="s">
        <v>75</v>
      </c>
      <c r="Q769">
        <v>43184.25</v>
      </c>
      <c r="R769">
        <v>45271.47</v>
      </c>
      <c r="S769">
        <v>26257.84</v>
      </c>
      <c r="T769">
        <v>5004.03</v>
      </c>
      <c r="U769">
        <v>3835.29</v>
      </c>
      <c r="V769">
        <v>3147.41</v>
      </c>
      <c r="W769">
        <v>1585.67</v>
      </c>
      <c r="X769">
        <v>39830.239999999998</v>
      </c>
      <c r="Y769">
        <v>16926.41</v>
      </c>
      <c r="Z769">
        <v>-22903.83</v>
      </c>
      <c r="AA769">
        <v>-0.44950000000000001</v>
      </c>
      <c r="AB769">
        <v>-2087.23</v>
      </c>
      <c r="AC769">
        <v>0</v>
      </c>
      <c r="AD769">
        <v>7773.16</v>
      </c>
      <c r="AE769">
        <v>50957.41</v>
      </c>
    </row>
    <row r="770" spans="1:31" x14ac:dyDescent="0.25">
      <c r="A770" t="s">
        <v>973</v>
      </c>
      <c r="B770" s="2">
        <v>45812</v>
      </c>
      <c r="C770" t="s">
        <v>156</v>
      </c>
      <c r="D770" t="s">
        <v>66</v>
      </c>
      <c r="E770">
        <v>2025</v>
      </c>
      <c r="F770" t="s">
        <v>59</v>
      </c>
      <c r="G770" t="s">
        <v>35</v>
      </c>
      <c r="H770" t="s">
        <v>230</v>
      </c>
      <c r="I770" t="s">
        <v>363</v>
      </c>
      <c r="J770" t="s">
        <v>100</v>
      </c>
      <c r="K770" t="s">
        <v>39</v>
      </c>
      <c r="L770" t="s">
        <v>40</v>
      </c>
      <c r="M770" t="s">
        <v>62</v>
      </c>
      <c r="N770" t="s">
        <v>63</v>
      </c>
      <c r="O770" t="s">
        <v>54</v>
      </c>
      <c r="P770" t="s">
        <v>55</v>
      </c>
      <c r="Q770">
        <v>9927.4500000000007</v>
      </c>
      <c r="R770">
        <v>9718.11</v>
      </c>
      <c r="S770">
        <v>5696.17</v>
      </c>
      <c r="T770">
        <v>1084.72</v>
      </c>
      <c r="U770">
        <v>636.30999999999995</v>
      </c>
      <c r="V770">
        <v>930.51</v>
      </c>
      <c r="W770">
        <v>234.49</v>
      </c>
      <c r="X770">
        <v>8582.2000000000007</v>
      </c>
      <c r="Y770">
        <v>4231.28</v>
      </c>
      <c r="Z770">
        <v>-4350.93</v>
      </c>
      <c r="AA770">
        <v>-0.38290000000000002</v>
      </c>
      <c r="AB770">
        <v>209.33</v>
      </c>
      <c r="AC770">
        <v>297.82</v>
      </c>
      <c r="AD770">
        <v>1733.33</v>
      </c>
      <c r="AE770">
        <v>11362.95</v>
      </c>
    </row>
    <row r="771" spans="1:31" x14ac:dyDescent="0.25">
      <c r="A771" t="s">
        <v>974</v>
      </c>
      <c r="B771" s="2">
        <v>45783</v>
      </c>
      <c r="C771" t="s">
        <v>65</v>
      </c>
      <c r="D771" t="s">
        <v>66</v>
      </c>
      <c r="E771">
        <v>2025</v>
      </c>
      <c r="F771" t="s">
        <v>34</v>
      </c>
      <c r="G771" t="s">
        <v>35</v>
      </c>
      <c r="H771" t="s">
        <v>134</v>
      </c>
      <c r="I771" t="s">
        <v>154</v>
      </c>
      <c r="J771" t="s">
        <v>38</v>
      </c>
      <c r="K771" t="s">
        <v>71</v>
      </c>
      <c r="L771" t="s">
        <v>40</v>
      </c>
      <c r="M771" t="s">
        <v>197</v>
      </c>
      <c r="N771" t="s">
        <v>198</v>
      </c>
      <c r="O771" t="s">
        <v>43</v>
      </c>
      <c r="P771" t="s">
        <v>163</v>
      </c>
      <c r="Q771">
        <v>25358.94</v>
      </c>
      <c r="R771">
        <v>22402.84</v>
      </c>
      <c r="S771">
        <v>14773.82</v>
      </c>
      <c r="T771">
        <v>2100.41</v>
      </c>
      <c r="U771">
        <v>2263.17</v>
      </c>
      <c r="V771">
        <v>1967.45</v>
      </c>
      <c r="W771">
        <v>481.18</v>
      </c>
      <c r="X771">
        <v>21586.02</v>
      </c>
      <c r="Y771">
        <v>10585.12</v>
      </c>
      <c r="Z771">
        <v>-11000.9</v>
      </c>
      <c r="AA771">
        <v>-0.42099999999999999</v>
      </c>
      <c r="AB771">
        <v>2956.1</v>
      </c>
      <c r="AC771">
        <v>2028.72</v>
      </c>
      <c r="AD771">
        <v>2799.63</v>
      </c>
      <c r="AE771">
        <v>26129.85</v>
      </c>
    </row>
    <row r="772" spans="1:31" x14ac:dyDescent="0.25">
      <c r="A772" t="s">
        <v>975</v>
      </c>
      <c r="B772" s="2">
        <v>46021</v>
      </c>
      <c r="C772" t="s">
        <v>107</v>
      </c>
      <c r="D772" t="s">
        <v>93</v>
      </c>
      <c r="E772">
        <v>2025</v>
      </c>
      <c r="F772" t="s">
        <v>67</v>
      </c>
      <c r="G772" t="s">
        <v>35</v>
      </c>
      <c r="H772" t="s">
        <v>118</v>
      </c>
      <c r="I772" t="s">
        <v>119</v>
      </c>
      <c r="J772" t="s">
        <v>38</v>
      </c>
      <c r="K772" t="s">
        <v>50</v>
      </c>
      <c r="L772" t="s">
        <v>51</v>
      </c>
      <c r="M772" t="s">
        <v>197</v>
      </c>
      <c r="N772" t="s">
        <v>198</v>
      </c>
      <c r="O772" t="s">
        <v>43</v>
      </c>
      <c r="P772" t="s">
        <v>163</v>
      </c>
      <c r="Q772">
        <v>55585.41</v>
      </c>
      <c r="R772">
        <v>57338.3</v>
      </c>
      <c r="S772">
        <v>39470.410000000003</v>
      </c>
      <c r="T772">
        <v>3545.89</v>
      </c>
      <c r="U772">
        <v>3989.82</v>
      </c>
      <c r="V772">
        <v>4955.91</v>
      </c>
      <c r="W772">
        <v>1878.15</v>
      </c>
      <c r="X772">
        <v>53840.18</v>
      </c>
      <c r="Y772">
        <v>16115</v>
      </c>
      <c r="Z772">
        <v>-37725.18</v>
      </c>
      <c r="AA772">
        <v>-0.62470000000000003</v>
      </c>
      <c r="AB772">
        <v>-1752.89</v>
      </c>
      <c r="AC772">
        <v>1667.56</v>
      </c>
      <c r="AD772">
        <v>6470.14</v>
      </c>
      <c r="AE772">
        <v>60387.99</v>
      </c>
    </row>
    <row r="773" spans="1:31" x14ac:dyDescent="0.25">
      <c r="A773" t="s">
        <v>976</v>
      </c>
      <c r="B773" s="2">
        <v>46104</v>
      </c>
      <c r="C773" t="s">
        <v>125</v>
      </c>
      <c r="D773" t="s">
        <v>58</v>
      </c>
      <c r="E773">
        <v>2026</v>
      </c>
      <c r="F773" t="s">
        <v>67</v>
      </c>
      <c r="G773" t="s">
        <v>35</v>
      </c>
      <c r="H773" t="s">
        <v>168</v>
      </c>
      <c r="I773" t="s">
        <v>278</v>
      </c>
      <c r="J773" t="s">
        <v>70</v>
      </c>
      <c r="K773" t="s">
        <v>50</v>
      </c>
      <c r="L773" t="s">
        <v>81</v>
      </c>
      <c r="M773" t="s">
        <v>186</v>
      </c>
      <c r="N773" t="s">
        <v>187</v>
      </c>
      <c r="O773" t="s">
        <v>173</v>
      </c>
      <c r="P773" t="s">
        <v>174</v>
      </c>
      <c r="Q773">
        <v>42591.15</v>
      </c>
      <c r="R773">
        <v>48789.51</v>
      </c>
      <c r="S773">
        <v>20527.580000000002</v>
      </c>
      <c r="T773">
        <v>4315.2</v>
      </c>
      <c r="U773">
        <v>1253.69</v>
      </c>
      <c r="V773">
        <v>2632.45</v>
      </c>
      <c r="W773">
        <v>1287.99</v>
      </c>
      <c r="X773">
        <v>30016.92</v>
      </c>
      <c r="Y773">
        <v>22063.57</v>
      </c>
      <c r="Z773">
        <v>-7953.34</v>
      </c>
      <c r="AA773">
        <v>-0.1666</v>
      </c>
      <c r="AB773">
        <v>-6198.35</v>
      </c>
      <c r="AC773">
        <v>2129.56</v>
      </c>
      <c r="AD773">
        <v>7283.09</v>
      </c>
      <c r="AE773">
        <v>47744.68</v>
      </c>
    </row>
    <row r="774" spans="1:31" x14ac:dyDescent="0.25">
      <c r="A774" t="s">
        <v>977</v>
      </c>
      <c r="B774" s="2">
        <v>45968</v>
      </c>
      <c r="C774" t="s">
        <v>147</v>
      </c>
      <c r="D774" t="s">
        <v>93</v>
      </c>
      <c r="E774">
        <v>2025</v>
      </c>
      <c r="F774" t="s">
        <v>34</v>
      </c>
      <c r="G774" t="s">
        <v>35</v>
      </c>
      <c r="H774" t="s">
        <v>134</v>
      </c>
      <c r="I774" t="s">
        <v>154</v>
      </c>
      <c r="J774" t="s">
        <v>100</v>
      </c>
      <c r="K774" t="s">
        <v>50</v>
      </c>
      <c r="L774" t="s">
        <v>94</v>
      </c>
      <c r="M774" t="s">
        <v>161</v>
      </c>
      <c r="N774" t="s">
        <v>162</v>
      </c>
      <c r="O774" t="s">
        <v>43</v>
      </c>
      <c r="P774" t="s">
        <v>163</v>
      </c>
      <c r="Q774">
        <v>62873.24</v>
      </c>
      <c r="R774">
        <v>63039.49</v>
      </c>
      <c r="S774">
        <v>40632.93</v>
      </c>
      <c r="T774">
        <v>4149.72</v>
      </c>
      <c r="U774">
        <v>5549.39</v>
      </c>
      <c r="V774">
        <v>4275.37</v>
      </c>
      <c r="W774">
        <v>2490.12</v>
      </c>
      <c r="X774">
        <v>57097.53</v>
      </c>
      <c r="Y774">
        <v>22240.3</v>
      </c>
      <c r="Z774">
        <v>-34857.22</v>
      </c>
      <c r="AA774">
        <v>-0.52200000000000002</v>
      </c>
      <c r="AB774">
        <v>-166.25</v>
      </c>
      <c r="AC774">
        <v>6287.32</v>
      </c>
      <c r="AD774">
        <v>10185.459999999999</v>
      </c>
      <c r="AE774">
        <v>66771.38</v>
      </c>
    </row>
    <row r="775" spans="1:31" x14ac:dyDescent="0.25">
      <c r="A775" t="s">
        <v>978</v>
      </c>
      <c r="B775" s="2">
        <v>45861</v>
      </c>
      <c r="C775" t="s">
        <v>32</v>
      </c>
      <c r="D775" t="s">
        <v>33</v>
      </c>
      <c r="E775">
        <v>2025</v>
      </c>
      <c r="F775" t="s">
        <v>34</v>
      </c>
      <c r="G775" t="s">
        <v>35</v>
      </c>
      <c r="H775" t="s">
        <v>134</v>
      </c>
      <c r="I775" t="s">
        <v>154</v>
      </c>
      <c r="J775" t="s">
        <v>38</v>
      </c>
      <c r="K775" t="s">
        <v>50</v>
      </c>
      <c r="L775" t="s">
        <v>72</v>
      </c>
      <c r="M775" t="s">
        <v>62</v>
      </c>
      <c r="N775" t="s">
        <v>63</v>
      </c>
      <c r="O775" t="s">
        <v>54</v>
      </c>
      <c r="P775" t="s">
        <v>55</v>
      </c>
      <c r="Q775">
        <v>10808.67</v>
      </c>
      <c r="R775">
        <v>10243.89</v>
      </c>
      <c r="S775">
        <v>6607.29</v>
      </c>
      <c r="T775">
        <v>1366.24</v>
      </c>
      <c r="U775">
        <v>619.17999999999995</v>
      </c>
      <c r="V775">
        <v>772.67</v>
      </c>
      <c r="W775">
        <v>290.89999999999998</v>
      </c>
      <c r="X775">
        <v>9656.2800000000007</v>
      </c>
      <c r="Y775">
        <v>4201.3900000000003</v>
      </c>
      <c r="Z775">
        <v>-5454.89</v>
      </c>
      <c r="AA775">
        <v>-0.48980000000000001</v>
      </c>
      <c r="AB775">
        <v>564.78</v>
      </c>
      <c r="AC775">
        <v>864.69</v>
      </c>
      <c r="AD775">
        <v>1193.28</v>
      </c>
      <c r="AE775">
        <v>11137.26</v>
      </c>
    </row>
    <row r="776" spans="1:31" x14ac:dyDescent="0.25">
      <c r="A776" t="s">
        <v>979</v>
      </c>
      <c r="B776" s="2">
        <v>45965</v>
      </c>
      <c r="C776" t="s">
        <v>147</v>
      </c>
      <c r="D776" t="s">
        <v>93</v>
      </c>
      <c r="E776">
        <v>2025</v>
      </c>
      <c r="F776" t="s">
        <v>34</v>
      </c>
      <c r="G776" t="s">
        <v>35</v>
      </c>
      <c r="H776" t="s">
        <v>98</v>
      </c>
      <c r="I776" t="s">
        <v>149</v>
      </c>
      <c r="J776" t="s">
        <v>80</v>
      </c>
      <c r="K776" t="s">
        <v>39</v>
      </c>
      <c r="L776" t="s">
        <v>40</v>
      </c>
      <c r="M776" t="s">
        <v>82</v>
      </c>
      <c r="N776" t="s">
        <v>83</v>
      </c>
      <c r="O776" t="s">
        <v>43</v>
      </c>
      <c r="P776" t="s">
        <v>75</v>
      </c>
      <c r="Q776">
        <v>31892.58</v>
      </c>
      <c r="R776">
        <v>36110.910000000003</v>
      </c>
      <c r="S776">
        <v>15692.25</v>
      </c>
      <c r="T776">
        <v>2606.54</v>
      </c>
      <c r="U776">
        <v>1564.34</v>
      </c>
      <c r="V776">
        <v>2002.34</v>
      </c>
      <c r="W776">
        <v>1336.66</v>
      </c>
      <c r="X776">
        <v>23202.14</v>
      </c>
      <c r="Y776">
        <v>16200.33</v>
      </c>
      <c r="Z776">
        <v>-7001.81</v>
      </c>
      <c r="AA776">
        <v>-0.22009999999999999</v>
      </c>
      <c r="AB776">
        <v>-4218.33</v>
      </c>
      <c r="AC776">
        <v>1594.63</v>
      </c>
      <c r="AD776">
        <v>1514.9</v>
      </c>
      <c r="AE776">
        <v>31812.85</v>
      </c>
    </row>
    <row r="777" spans="1:31" x14ac:dyDescent="0.25">
      <c r="A777" t="s">
        <v>980</v>
      </c>
      <c r="B777" s="2">
        <v>45945</v>
      </c>
      <c r="C777" t="s">
        <v>92</v>
      </c>
      <c r="D777" t="s">
        <v>93</v>
      </c>
      <c r="E777">
        <v>2025</v>
      </c>
      <c r="F777" t="s">
        <v>67</v>
      </c>
      <c r="G777" t="s">
        <v>35</v>
      </c>
      <c r="H777" t="s">
        <v>118</v>
      </c>
      <c r="I777" t="s">
        <v>227</v>
      </c>
      <c r="J777" t="s">
        <v>70</v>
      </c>
      <c r="K777" t="s">
        <v>71</v>
      </c>
      <c r="L777" t="s">
        <v>94</v>
      </c>
      <c r="M777" t="s">
        <v>186</v>
      </c>
      <c r="N777" t="s">
        <v>187</v>
      </c>
      <c r="O777" t="s">
        <v>173</v>
      </c>
      <c r="P777" t="s">
        <v>174</v>
      </c>
      <c r="Q777">
        <v>21197.72</v>
      </c>
      <c r="R777">
        <v>19961.650000000001</v>
      </c>
      <c r="S777">
        <v>14019.54</v>
      </c>
      <c r="T777">
        <v>1825.27</v>
      </c>
      <c r="U777">
        <v>1850.64</v>
      </c>
      <c r="V777">
        <v>1290.19</v>
      </c>
      <c r="W777">
        <v>718.52</v>
      </c>
      <c r="X777">
        <v>19704.16</v>
      </c>
      <c r="Y777">
        <v>7178.17</v>
      </c>
      <c r="Z777">
        <v>-12525.98</v>
      </c>
      <c r="AA777">
        <v>-0.55640000000000001</v>
      </c>
      <c r="AB777">
        <v>1236.06</v>
      </c>
      <c r="AC777">
        <v>2119.77</v>
      </c>
      <c r="AD777">
        <v>3434.03</v>
      </c>
      <c r="AE777">
        <v>22511.98</v>
      </c>
    </row>
    <row r="778" spans="1:31" x14ac:dyDescent="0.25">
      <c r="A778" t="s">
        <v>981</v>
      </c>
      <c r="B778" s="2">
        <v>45946</v>
      </c>
      <c r="C778" t="s">
        <v>92</v>
      </c>
      <c r="D778" t="s">
        <v>93</v>
      </c>
      <c r="E778">
        <v>2025</v>
      </c>
      <c r="F778" t="s">
        <v>47</v>
      </c>
      <c r="G778" t="s">
        <v>35</v>
      </c>
      <c r="H778" t="s">
        <v>78</v>
      </c>
      <c r="I778" t="s">
        <v>183</v>
      </c>
      <c r="J778" t="s">
        <v>38</v>
      </c>
      <c r="K778" t="s">
        <v>50</v>
      </c>
      <c r="L778" t="s">
        <v>40</v>
      </c>
      <c r="M778" t="s">
        <v>171</v>
      </c>
      <c r="N778" t="s">
        <v>172</v>
      </c>
      <c r="O778" t="s">
        <v>173</v>
      </c>
      <c r="P778" t="s">
        <v>174</v>
      </c>
      <c r="Q778">
        <v>29684.29</v>
      </c>
      <c r="R778">
        <v>29784.27</v>
      </c>
      <c r="S778">
        <v>16163.43</v>
      </c>
      <c r="T778">
        <v>3855.87</v>
      </c>
      <c r="U778">
        <v>880.47</v>
      </c>
      <c r="V778">
        <v>1290.82</v>
      </c>
      <c r="W778">
        <v>522.55999999999995</v>
      </c>
      <c r="X778">
        <v>22713.15</v>
      </c>
      <c r="Y778">
        <v>13520.86</v>
      </c>
      <c r="Z778">
        <v>-9192.2900000000009</v>
      </c>
      <c r="AA778">
        <v>-0.29160000000000003</v>
      </c>
      <c r="AB778">
        <v>-99.98</v>
      </c>
      <c r="AC778">
        <v>2968.43</v>
      </c>
      <c r="AD778">
        <v>4808.8599999999997</v>
      </c>
      <c r="AE778">
        <v>31524.720000000001</v>
      </c>
    </row>
    <row r="779" spans="1:31" x14ac:dyDescent="0.25">
      <c r="A779" t="s">
        <v>982</v>
      </c>
      <c r="B779" s="2">
        <v>45759</v>
      </c>
      <c r="C779" t="s">
        <v>128</v>
      </c>
      <c r="D779" t="s">
        <v>66</v>
      </c>
      <c r="E779">
        <v>2025</v>
      </c>
      <c r="F779" t="s">
        <v>67</v>
      </c>
      <c r="G779" t="s">
        <v>35</v>
      </c>
      <c r="H779" t="s">
        <v>118</v>
      </c>
      <c r="I779" t="s">
        <v>209</v>
      </c>
      <c r="J779" t="s">
        <v>70</v>
      </c>
      <c r="K779" t="s">
        <v>101</v>
      </c>
      <c r="L779" t="s">
        <v>94</v>
      </c>
      <c r="M779" t="s">
        <v>41</v>
      </c>
      <c r="N779" t="s">
        <v>42</v>
      </c>
      <c r="O779" t="s">
        <v>43</v>
      </c>
      <c r="P779" t="s">
        <v>44</v>
      </c>
      <c r="Q779">
        <v>22792.01</v>
      </c>
      <c r="R779">
        <v>24945.87</v>
      </c>
      <c r="S779">
        <v>14717.47</v>
      </c>
      <c r="T779">
        <v>2136.08</v>
      </c>
      <c r="U779">
        <v>1608.27</v>
      </c>
      <c r="V779">
        <v>2617.7800000000002</v>
      </c>
      <c r="W779">
        <v>758.94</v>
      </c>
      <c r="X779">
        <v>21838.54</v>
      </c>
      <c r="Y779">
        <v>8074.54</v>
      </c>
      <c r="Z779">
        <v>-13763.99</v>
      </c>
      <c r="AA779">
        <v>-0.55020000000000002</v>
      </c>
      <c r="AB779">
        <v>-2153.86</v>
      </c>
      <c r="AC779">
        <v>455.84</v>
      </c>
      <c r="AD779">
        <v>2680.34</v>
      </c>
      <c r="AE779">
        <v>25016.51</v>
      </c>
    </row>
    <row r="780" spans="1:31" x14ac:dyDescent="0.25">
      <c r="A780" t="s">
        <v>983</v>
      </c>
      <c r="B780" s="2">
        <v>45757</v>
      </c>
      <c r="C780" t="s">
        <v>128</v>
      </c>
      <c r="D780" t="s">
        <v>66</v>
      </c>
      <c r="E780">
        <v>2025</v>
      </c>
      <c r="F780" t="s">
        <v>67</v>
      </c>
      <c r="G780" t="s">
        <v>35</v>
      </c>
      <c r="H780" t="s">
        <v>168</v>
      </c>
      <c r="I780" t="s">
        <v>278</v>
      </c>
      <c r="J780" t="s">
        <v>100</v>
      </c>
      <c r="K780" t="s">
        <v>71</v>
      </c>
      <c r="L780" t="s">
        <v>40</v>
      </c>
      <c r="M780" t="s">
        <v>95</v>
      </c>
      <c r="N780" t="s">
        <v>96</v>
      </c>
      <c r="O780" t="s">
        <v>43</v>
      </c>
      <c r="P780" t="s">
        <v>90</v>
      </c>
      <c r="Q780">
        <v>28814.23</v>
      </c>
      <c r="R780">
        <v>28107.97</v>
      </c>
      <c r="S780">
        <v>16375.85</v>
      </c>
      <c r="T780">
        <v>2306.5</v>
      </c>
      <c r="U780">
        <v>2554.6</v>
      </c>
      <c r="V780">
        <v>1853.1</v>
      </c>
      <c r="W780">
        <v>555.62</v>
      </c>
      <c r="X780">
        <v>23645.68</v>
      </c>
      <c r="Y780">
        <v>12438.38</v>
      </c>
      <c r="Z780">
        <v>-11207.3</v>
      </c>
      <c r="AA780">
        <v>-0.3473</v>
      </c>
      <c r="AB780">
        <v>706.26</v>
      </c>
      <c r="AC780">
        <v>0</v>
      </c>
      <c r="AD780">
        <v>3457.71</v>
      </c>
      <c r="AE780">
        <v>32271.94</v>
      </c>
    </row>
    <row r="781" spans="1:31" x14ac:dyDescent="0.25">
      <c r="A781" t="s">
        <v>984</v>
      </c>
      <c r="B781" s="2">
        <v>46016</v>
      </c>
      <c r="C781" t="s">
        <v>107</v>
      </c>
      <c r="D781" t="s">
        <v>93</v>
      </c>
      <c r="E781">
        <v>2025</v>
      </c>
      <c r="F781" t="s">
        <v>47</v>
      </c>
      <c r="G781" t="s">
        <v>35</v>
      </c>
      <c r="H781" t="s">
        <v>78</v>
      </c>
      <c r="I781" t="s">
        <v>79</v>
      </c>
      <c r="J781" t="s">
        <v>100</v>
      </c>
      <c r="K781" t="s">
        <v>39</v>
      </c>
      <c r="L781" t="s">
        <v>72</v>
      </c>
      <c r="M781" t="s">
        <v>110</v>
      </c>
      <c r="N781" t="s">
        <v>111</v>
      </c>
      <c r="O781" t="s">
        <v>112</v>
      </c>
      <c r="P781" t="s">
        <v>113</v>
      </c>
      <c r="Q781">
        <v>21776.29</v>
      </c>
      <c r="R781">
        <v>24891.56</v>
      </c>
      <c r="S781">
        <v>14538.14</v>
      </c>
      <c r="T781">
        <v>1115.67</v>
      </c>
      <c r="U781">
        <v>1700.64</v>
      </c>
      <c r="V781">
        <v>1394.6</v>
      </c>
      <c r="W781">
        <v>331.84</v>
      </c>
      <c r="X781">
        <v>19080.89</v>
      </c>
      <c r="Y781">
        <v>7238.15</v>
      </c>
      <c r="Z781">
        <v>-11842.74</v>
      </c>
      <c r="AA781">
        <v>-0.4955</v>
      </c>
      <c r="AB781">
        <v>-3115.26</v>
      </c>
      <c r="AC781">
        <v>435.53</v>
      </c>
      <c r="AD781">
        <v>2560.89</v>
      </c>
      <c r="AE781">
        <v>23901.66</v>
      </c>
    </row>
    <row r="782" spans="1:31" x14ac:dyDescent="0.25">
      <c r="A782" t="s">
        <v>985</v>
      </c>
      <c r="B782" s="2">
        <v>45989</v>
      </c>
      <c r="C782" t="s">
        <v>147</v>
      </c>
      <c r="D782" t="s">
        <v>93</v>
      </c>
      <c r="E782">
        <v>2025</v>
      </c>
      <c r="F782" t="s">
        <v>85</v>
      </c>
      <c r="G782" t="s">
        <v>35</v>
      </c>
      <c r="H782" t="s">
        <v>86</v>
      </c>
      <c r="I782" t="s">
        <v>262</v>
      </c>
      <c r="J782" t="s">
        <v>70</v>
      </c>
      <c r="K782" t="s">
        <v>71</v>
      </c>
      <c r="L782" t="s">
        <v>51</v>
      </c>
      <c r="M782" t="s">
        <v>161</v>
      </c>
      <c r="N782" t="s">
        <v>162</v>
      </c>
      <c r="O782" t="s">
        <v>43</v>
      </c>
      <c r="P782" t="s">
        <v>163</v>
      </c>
      <c r="Q782">
        <v>25982.99</v>
      </c>
      <c r="R782">
        <v>23930.55</v>
      </c>
      <c r="S782">
        <v>15909.89</v>
      </c>
      <c r="T782">
        <v>2557.56</v>
      </c>
      <c r="U782">
        <v>1841.09</v>
      </c>
      <c r="V782">
        <v>2453.2399999999998</v>
      </c>
      <c r="W782">
        <v>525.67999999999995</v>
      </c>
      <c r="X782">
        <v>23287.46</v>
      </c>
      <c r="Y782">
        <v>10073.1</v>
      </c>
      <c r="Z782">
        <v>-13214.35</v>
      </c>
      <c r="AA782">
        <v>-0.44429999999999997</v>
      </c>
      <c r="AB782">
        <v>2052.4299999999998</v>
      </c>
      <c r="AC782">
        <v>779.49</v>
      </c>
      <c r="AD782">
        <v>4536.63</v>
      </c>
      <c r="AE782">
        <v>29740.13</v>
      </c>
    </row>
    <row r="783" spans="1:31" x14ac:dyDescent="0.25">
      <c r="A783" t="s">
        <v>986</v>
      </c>
      <c r="B783" s="2">
        <v>45879</v>
      </c>
      <c r="C783" t="s">
        <v>117</v>
      </c>
      <c r="D783" t="s">
        <v>33</v>
      </c>
      <c r="E783">
        <v>2025</v>
      </c>
      <c r="F783" t="s">
        <v>67</v>
      </c>
      <c r="G783" t="s">
        <v>35</v>
      </c>
      <c r="H783" t="s">
        <v>217</v>
      </c>
      <c r="I783" t="s">
        <v>241</v>
      </c>
      <c r="J783" t="s">
        <v>100</v>
      </c>
      <c r="K783" t="s">
        <v>50</v>
      </c>
      <c r="L783" t="s">
        <v>40</v>
      </c>
      <c r="M783" t="s">
        <v>161</v>
      </c>
      <c r="N783" t="s">
        <v>162</v>
      </c>
      <c r="O783" t="s">
        <v>43</v>
      </c>
      <c r="P783" t="s">
        <v>163</v>
      </c>
      <c r="Q783">
        <v>51232.18</v>
      </c>
      <c r="R783">
        <v>46079.839999999997</v>
      </c>
      <c r="S783">
        <v>33675.86</v>
      </c>
      <c r="T783">
        <v>3428.57</v>
      </c>
      <c r="U783">
        <v>2590.98</v>
      </c>
      <c r="V783">
        <v>2312.15</v>
      </c>
      <c r="W783">
        <v>918.05</v>
      </c>
      <c r="X783">
        <v>42925.62</v>
      </c>
      <c r="Y783">
        <v>17556.310000000001</v>
      </c>
      <c r="Z783">
        <v>-25369.3</v>
      </c>
      <c r="AA783">
        <v>-0.45610000000000001</v>
      </c>
      <c r="AB783">
        <v>5152.33</v>
      </c>
      <c r="AC783">
        <v>4098.57</v>
      </c>
      <c r="AD783">
        <v>8484.0499999999993</v>
      </c>
      <c r="AE783">
        <v>55617.65</v>
      </c>
    </row>
    <row r="784" spans="1:31" x14ac:dyDescent="0.25">
      <c r="A784" t="s">
        <v>987</v>
      </c>
      <c r="B784" s="2">
        <v>45959</v>
      </c>
      <c r="C784" t="s">
        <v>92</v>
      </c>
      <c r="D784" t="s">
        <v>93</v>
      </c>
      <c r="E784">
        <v>2025</v>
      </c>
      <c r="F784" t="s">
        <v>34</v>
      </c>
      <c r="G784" t="s">
        <v>35</v>
      </c>
      <c r="H784" t="s">
        <v>157</v>
      </c>
      <c r="I784" t="s">
        <v>194</v>
      </c>
      <c r="J784" t="s">
        <v>38</v>
      </c>
      <c r="K784" t="s">
        <v>50</v>
      </c>
      <c r="L784" t="s">
        <v>40</v>
      </c>
      <c r="M784" t="s">
        <v>95</v>
      </c>
      <c r="N784" t="s">
        <v>96</v>
      </c>
      <c r="O784" t="s">
        <v>43</v>
      </c>
      <c r="P784" t="s">
        <v>90</v>
      </c>
      <c r="Q784">
        <v>58972.46</v>
      </c>
      <c r="R784">
        <v>60950.51</v>
      </c>
      <c r="S784">
        <v>38468.629999999997</v>
      </c>
      <c r="T784">
        <v>4415.91</v>
      </c>
      <c r="U784">
        <v>2647.5</v>
      </c>
      <c r="V784">
        <v>5508.42</v>
      </c>
      <c r="W784">
        <v>2045.71</v>
      </c>
      <c r="X784">
        <v>53086.17</v>
      </c>
      <c r="Y784">
        <v>20503.84</v>
      </c>
      <c r="Z784">
        <v>-32582.34</v>
      </c>
      <c r="AA784">
        <v>-0.5847</v>
      </c>
      <c r="AB784">
        <v>-1978.05</v>
      </c>
      <c r="AC784">
        <v>5897.25</v>
      </c>
      <c r="AD784">
        <v>2653.76</v>
      </c>
      <c r="AE784">
        <v>55728.98</v>
      </c>
    </row>
    <row r="785" spans="1:31" x14ac:dyDescent="0.25">
      <c r="A785" t="s">
        <v>988</v>
      </c>
      <c r="B785" s="2">
        <v>45913</v>
      </c>
      <c r="C785" t="s">
        <v>46</v>
      </c>
      <c r="D785" t="s">
        <v>33</v>
      </c>
      <c r="E785">
        <v>2025</v>
      </c>
      <c r="F785" t="s">
        <v>47</v>
      </c>
      <c r="G785" t="s">
        <v>35</v>
      </c>
      <c r="H785" t="s">
        <v>206</v>
      </c>
      <c r="I785" t="s">
        <v>296</v>
      </c>
      <c r="J785" t="s">
        <v>38</v>
      </c>
      <c r="K785" t="s">
        <v>50</v>
      </c>
      <c r="L785" t="s">
        <v>81</v>
      </c>
      <c r="M785" t="s">
        <v>161</v>
      </c>
      <c r="N785" t="s">
        <v>162</v>
      </c>
      <c r="O785" t="s">
        <v>43</v>
      </c>
      <c r="P785" t="s">
        <v>163</v>
      </c>
      <c r="Q785">
        <v>78645.42</v>
      </c>
      <c r="R785">
        <v>70892.58</v>
      </c>
      <c r="S785">
        <v>54216.51</v>
      </c>
      <c r="T785">
        <v>7916.78</v>
      </c>
      <c r="U785">
        <v>6518.81</v>
      </c>
      <c r="V785">
        <v>5295.73</v>
      </c>
      <c r="W785">
        <v>2065.08</v>
      </c>
      <c r="X785">
        <v>76012.92</v>
      </c>
      <c r="Y785">
        <v>24428.91</v>
      </c>
      <c r="Z785">
        <v>-51584.01</v>
      </c>
      <c r="AA785">
        <v>-0.63660000000000005</v>
      </c>
      <c r="AB785">
        <v>7752.84</v>
      </c>
      <c r="AC785">
        <v>6291.63</v>
      </c>
      <c r="AD785">
        <v>8682.4500000000007</v>
      </c>
      <c r="AE785">
        <v>81036.240000000005</v>
      </c>
    </row>
    <row r="786" spans="1:31" x14ac:dyDescent="0.25">
      <c r="A786" t="s">
        <v>989</v>
      </c>
      <c r="B786" s="2">
        <v>45919</v>
      </c>
      <c r="C786" t="s">
        <v>46</v>
      </c>
      <c r="D786" t="s">
        <v>33</v>
      </c>
      <c r="E786">
        <v>2025</v>
      </c>
      <c r="F786" t="s">
        <v>59</v>
      </c>
      <c r="G786" t="s">
        <v>35</v>
      </c>
      <c r="H786" t="s">
        <v>230</v>
      </c>
      <c r="I786" t="s">
        <v>231</v>
      </c>
      <c r="J786" t="s">
        <v>70</v>
      </c>
      <c r="K786" t="s">
        <v>50</v>
      </c>
      <c r="L786" t="s">
        <v>94</v>
      </c>
      <c r="M786" t="s">
        <v>211</v>
      </c>
      <c r="N786" t="s">
        <v>212</v>
      </c>
      <c r="O786" t="s">
        <v>112</v>
      </c>
      <c r="P786" t="s">
        <v>113</v>
      </c>
      <c r="Q786">
        <v>27547.66</v>
      </c>
      <c r="R786">
        <v>28913.02</v>
      </c>
      <c r="S786">
        <v>15891.78</v>
      </c>
      <c r="T786">
        <v>2250.58</v>
      </c>
      <c r="U786">
        <v>1034.95</v>
      </c>
      <c r="V786">
        <v>2285.5300000000002</v>
      </c>
      <c r="W786">
        <v>1094.44</v>
      </c>
      <c r="X786">
        <v>22557.279999999999</v>
      </c>
      <c r="Y786">
        <v>11655.88</v>
      </c>
      <c r="Z786">
        <v>-10901.4</v>
      </c>
      <c r="AA786">
        <v>-0.33539999999999998</v>
      </c>
      <c r="AB786">
        <v>-1365.36</v>
      </c>
      <c r="AC786">
        <v>0</v>
      </c>
      <c r="AD786">
        <v>4958.58</v>
      </c>
      <c r="AE786">
        <v>32506.23</v>
      </c>
    </row>
    <row r="787" spans="1:31" x14ac:dyDescent="0.25">
      <c r="A787" t="s">
        <v>990</v>
      </c>
      <c r="B787" s="2">
        <v>45880</v>
      </c>
      <c r="C787" t="s">
        <v>117</v>
      </c>
      <c r="D787" t="s">
        <v>33</v>
      </c>
      <c r="E787">
        <v>2025</v>
      </c>
      <c r="F787" t="s">
        <v>34</v>
      </c>
      <c r="G787" t="s">
        <v>35</v>
      </c>
      <c r="H787" t="s">
        <v>134</v>
      </c>
      <c r="I787" t="s">
        <v>135</v>
      </c>
      <c r="J787" t="s">
        <v>100</v>
      </c>
      <c r="K787" t="s">
        <v>101</v>
      </c>
      <c r="L787" t="s">
        <v>81</v>
      </c>
      <c r="M787" t="s">
        <v>110</v>
      </c>
      <c r="N787" t="s">
        <v>111</v>
      </c>
      <c r="O787" t="s">
        <v>112</v>
      </c>
      <c r="P787" t="s">
        <v>113</v>
      </c>
      <c r="Q787">
        <v>26073.84</v>
      </c>
      <c r="R787">
        <v>29680.880000000001</v>
      </c>
      <c r="S787">
        <v>15559.36</v>
      </c>
      <c r="T787">
        <v>1584.16</v>
      </c>
      <c r="U787">
        <v>1142.33</v>
      </c>
      <c r="V787">
        <v>2424.7199999999998</v>
      </c>
      <c r="W787">
        <v>820.26</v>
      </c>
      <c r="X787">
        <v>21530.84</v>
      </c>
      <c r="Y787">
        <v>10514.48</v>
      </c>
      <c r="Z787">
        <v>-11016.35</v>
      </c>
      <c r="AA787">
        <v>-0.37690000000000001</v>
      </c>
      <c r="AB787">
        <v>-3607.03</v>
      </c>
      <c r="AC787">
        <v>1303.69</v>
      </c>
      <c r="AD787">
        <v>4458.63</v>
      </c>
      <c r="AE787">
        <v>29228.78</v>
      </c>
    </row>
    <row r="788" spans="1:31" x14ac:dyDescent="0.25">
      <c r="A788" t="s">
        <v>991</v>
      </c>
      <c r="B788" s="2">
        <v>45758</v>
      </c>
      <c r="C788" t="s">
        <v>128</v>
      </c>
      <c r="D788" t="s">
        <v>66</v>
      </c>
      <c r="E788">
        <v>2025</v>
      </c>
      <c r="F788" t="s">
        <v>47</v>
      </c>
      <c r="G788" t="s">
        <v>35</v>
      </c>
      <c r="H788" t="s">
        <v>206</v>
      </c>
      <c r="I788" t="s">
        <v>296</v>
      </c>
      <c r="J788" t="s">
        <v>100</v>
      </c>
      <c r="K788" t="s">
        <v>50</v>
      </c>
      <c r="L788" t="s">
        <v>81</v>
      </c>
      <c r="M788" t="s">
        <v>82</v>
      </c>
      <c r="N788" t="s">
        <v>83</v>
      </c>
      <c r="O788" t="s">
        <v>43</v>
      </c>
      <c r="P788" t="s">
        <v>75</v>
      </c>
      <c r="Q788">
        <v>59282.01</v>
      </c>
      <c r="R788">
        <v>66024.22</v>
      </c>
      <c r="S788">
        <v>38767.43</v>
      </c>
      <c r="T788">
        <v>3246.41</v>
      </c>
      <c r="U788">
        <v>3722.79</v>
      </c>
      <c r="V788">
        <v>2988.71</v>
      </c>
      <c r="W788">
        <v>2599.88</v>
      </c>
      <c r="X788">
        <v>51325.23</v>
      </c>
      <c r="Y788">
        <v>20514.57</v>
      </c>
      <c r="Z788">
        <v>-30810.66</v>
      </c>
      <c r="AA788">
        <v>-0.53800000000000003</v>
      </c>
      <c r="AB788">
        <v>-6742.22</v>
      </c>
      <c r="AC788">
        <v>4742.5600000000004</v>
      </c>
      <c r="AD788">
        <v>2726.97</v>
      </c>
      <c r="AE788">
        <v>57266.42</v>
      </c>
    </row>
    <row r="789" spans="1:31" x14ac:dyDescent="0.25">
      <c r="A789" t="s">
        <v>992</v>
      </c>
      <c r="B789" s="2">
        <v>46035</v>
      </c>
      <c r="C789" t="s">
        <v>77</v>
      </c>
      <c r="D789" t="s">
        <v>58</v>
      </c>
      <c r="E789">
        <v>2026</v>
      </c>
      <c r="F789" t="s">
        <v>34</v>
      </c>
      <c r="G789" t="s">
        <v>35</v>
      </c>
      <c r="H789" t="s">
        <v>98</v>
      </c>
      <c r="I789" t="s">
        <v>149</v>
      </c>
      <c r="J789" t="s">
        <v>80</v>
      </c>
      <c r="K789" t="s">
        <v>50</v>
      </c>
      <c r="L789" t="s">
        <v>51</v>
      </c>
      <c r="M789" t="s">
        <v>41</v>
      </c>
      <c r="N789" t="s">
        <v>42</v>
      </c>
      <c r="O789" t="s">
        <v>43</v>
      </c>
      <c r="P789" t="s">
        <v>44</v>
      </c>
      <c r="Q789">
        <v>72344.210000000006</v>
      </c>
      <c r="R789">
        <v>80083.460000000006</v>
      </c>
      <c r="S789">
        <v>49004.62</v>
      </c>
      <c r="T789">
        <v>4870.16</v>
      </c>
      <c r="U789">
        <v>3048.02</v>
      </c>
      <c r="V789">
        <v>4100.63</v>
      </c>
      <c r="W789">
        <v>2660.62</v>
      </c>
      <c r="X789">
        <v>63684.05</v>
      </c>
      <c r="Y789">
        <v>23339.59</v>
      </c>
      <c r="Z789">
        <v>-40344.46</v>
      </c>
      <c r="AA789">
        <v>-0.52510000000000001</v>
      </c>
      <c r="AB789">
        <v>-7739.25</v>
      </c>
      <c r="AC789">
        <v>7234.42</v>
      </c>
      <c r="AD789">
        <v>11719.76</v>
      </c>
      <c r="AE789">
        <v>76829.55</v>
      </c>
    </row>
    <row r="790" spans="1:31" x14ac:dyDescent="0.25">
      <c r="A790" t="s">
        <v>993</v>
      </c>
      <c r="B790" s="2">
        <v>45819</v>
      </c>
      <c r="C790" t="s">
        <v>156</v>
      </c>
      <c r="D790" t="s">
        <v>66</v>
      </c>
      <c r="E790">
        <v>2025</v>
      </c>
      <c r="F790" t="s">
        <v>67</v>
      </c>
      <c r="G790" t="s">
        <v>35</v>
      </c>
      <c r="H790" t="s">
        <v>217</v>
      </c>
      <c r="I790" t="s">
        <v>284</v>
      </c>
      <c r="J790" t="s">
        <v>70</v>
      </c>
      <c r="K790" t="s">
        <v>101</v>
      </c>
      <c r="L790" t="s">
        <v>40</v>
      </c>
      <c r="M790" t="s">
        <v>120</v>
      </c>
      <c r="N790" t="s">
        <v>121</v>
      </c>
      <c r="O790" t="s">
        <v>43</v>
      </c>
      <c r="P790" t="s">
        <v>122</v>
      </c>
      <c r="Q790">
        <v>22736.95</v>
      </c>
      <c r="R790">
        <v>22999.08</v>
      </c>
      <c r="S790">
        <v>13927.1</v>
      </c>
      <c r="T790">
        <v>2151.21</v>
      </c>
      <c r="U790">
        <v>978.36</v>
      </c>
      <c r="V790">
        <v>1775.11</v>
      </c>
      <c r="W790">
        <v>602</v>
      </c>
      <c r="X790">
        <v>19433.77</v>
      </c>
      <c r="Y790">
        <v>8809.85</v>
      </c>
      <c r="Z790">
        <v>-10623.92</v>
      </c>
      <c r="AA790">
        <v>-0.40820000000000001</v>
      </c>
      <c r="AB790">
        <v>-262.13</v>
      </c>
      <c r="AC790">
        <v>682.11</v>
      </c>
      <c r="AD790">
        <v>3969.87</v>
      </c>
      <c r="AE790">
        <v>26024.720000000001</v>
      </c>
    </row>
    <row r="791" spans="1:31" x14ac:dyDescent="0.25">
      <c r="A791" t="s">
        <v>994</v>
      </c>
      <c r="B791" s="2">
        <v>46054</v>
      </c>
      <c r="C791" t="s">
        <v>57</v>
      </c>
      <c r="D791" t="s">
        <v>58</v>
      </c>
      <c r="E791">
        <v>2026</v>
      </c>
      <c r="F791" t="s">
        <v>34</v>
      </c>
      <c r="G791" t="s">
        <v>35</v>
      </c>
      <c r="H791" t="s">
        <v>98</v>
      </c>
      <c r="I791" t="s">
        <v>304</v>
      </c>
      <c r="J791" t="s">
        <v>100</v>
      </c>
      <c r="K791" t="s">
        <v>160</v>
      </c>
      <c r="L791" t="s">
        <v>51</v>
      </c>
      <c r="M791" t="s">
        <v>88</v>
      </c>
      <c r="N791" t="s">
        <v>89</v>
      </c>
      <c r="O791" t="s">
        <v>43</v>
      </c>
      <c r="P791" t="s">
        <v>90</v>
      </c>
      <c r="Q791">
        <v>17810.2</v>
      </c>
      <c r="R791">
        <v>17162.12</v>
      </c>
      <c r="S791">
        <v>12435.91</v>
      </c>
      <c r="T791">
        <v>1815.56</v>
      </c>
      <c r="U791">
        <v>539.84</v>
      </c>
      <c r="V791">
        <v>905.3</v>
      </c>
      <c r="W791">
        <v>275.14</v>
      </c>
      <c r="X791">
        <v>15971.75</v>
      </c>
      <c r="Y791">
        <v>5374.29</v>
      </c>
      <c r="Z791">
        <v>-10597.46</v>
      </c>
      <c r="AA791">
        <v>-0.53080000000000005</v>
      </c>
      <c r="AB791">
        <v>648.07000000000005</v>
      </c>
      <c r="AC791">
        <v>890.51</v>
      </c>
      <c r="AD791">
        <v>3045.54</v>
      </c>
      <c r="AE791">
        <v>19965.23</v>
      </c>
    </row>
    <row r="792" spans="1:31" x14ac:dyDescent="0.25">
      <c r="A792" t="s">
        <v>995</v>
      </c>
      <c r="B792" s="2">
        <v>46012</v>
      </c>
      <c r="C792" t="s">
        <v>107</v>
      </c>
      <c r="D792" t="s">
        <v>93</v>
      </c>
      <c r="E792">
        <v>2025</v>
      </c>
      <c r="F792" t="s">
        <v>85</v>
      </c>
      <c r="G792" t="s">
        <v>35</v>
      </c>
      <c r="H792" t="s">
        <v>60</v>
      </c>
      <c r="I792" t="s">
        <v>185</v>
      </c>
      <c r="J792" t="s">
        <v>38</v>
      </c>
      <c r="K792" t="s">
        <v>50</v>
      </c>
      <c r="L792" t="s">
        <v>94</v>
      </c>
      <c r="M792" t="s">
        <v>82</v>
      </c>
      <c r="N792" t="s">
        <v>83</v>
      </c>
      <c r="O792" t="s">
        <v>43</v>
      </c>
      <c r="P792" t="s">
        <v>75</v>
      </c>
      <c r="Q792">
        <v>36809.15</v>
      </c>
      <c r="R792">
        <v>35560.25</v>
      </c>
      <c r="S792">
        <v>20513.29</v>
      </c>
      <c r="T792">
        <v>3497.74</v>
      </c>
      <c r="U792">
        <v>1586.52</v>
      </c>
      <c r="V792">
        <v>1754.03</v>
      </c>
      <c r="W792">
        <v>580.48</v>
      </c>
      <c r="X792">
        <v>27932.06</v>
      </c>
      <c r="Y792">
        <v>16295.86</v>
      </c>
      <c r="Z792">
        <v>-11636.19</v>
      </c>
      <c r="AA792">
        <v>-0.26790000000000003</v>
      </c>
      <c r="AB792">
        <v>1248.9000000000001</v>
      </c>
      <c r="AC792">
        <v>0</v>
      </c>
      <c r="AD792">
        <v>6625.65</v>
      </c>
      <c r="AE792">
        <v>43434.79</v>
      </c>
    </row>
    <row r="793" spans="1:31" x14ac:dyDescent="0.25">
      <c r="A793" t="s">
        <v>996</v>
      </c>
      <c r="B793" s="2">
        <v>45963</v>
      </c>
      <c r="C793" t="s">
        <v>147</v>
      </c>
      <c r="D793" t="s">
        <v>93</v>
      </c>
      <c r="E793">
        <v>2025</v>
      </c>
      <c r="F793" t="s">
        <v>67</v>
      </c>
      <c r="G793" t="s">
        <v>35</v>
      </c>
      <c r="H793" t="s">
        <v>168</v>
      </c>
      <c r="I793" t="s">
        <v>169</v>
      </c>
      <c r="J793" t="s">
        <v>100</v>
      </c>
      <c r="K793" t="s">
        <v>160</v>
      </c>
      <c r="L793" t="s">
        <v>72</v>
      </c>
      <c r="M793" t="s">
        <v>141</v>
      </c>
      <c r="N793" t="s">
        <v>142</v>
      </c>
      <c r="O793" t="s">
        <v>54</v>
      </c>
      <c r="P793" t="s">
        <v>143</v>
      </c>
      <c r="Q793">
        <v>1902.52</v>
      </c>
      <c r="R793">
        <v>1811.75</v>
      </c>
      <c r="S793">
        <v>1225.56</v>
      </c>
      <c r="T793">
        <v>108.1</v>
      </c>
      <c r="U793">
        <v>77.819999999999993</v>
      </c>
      <c r="V793">
        <v>206.28</v>
      </c>
      <c r="W793">
        <v>57.84</v>
      </c>
      <c r="X793">
        <v>1675.61</v>
      </c>
      <c r="Y793">
        <v>676.96</v>
      </c>
      <c r="Z793">
        <v>-998.65</v>
      </c>
      <c r="AA793">
        <v>-0.49990000000000001</v>
      </c>
      <c r="AB793">
        <v>90.77</v>
      </c>
      <c r="AC793">
        <v>0</v>
      </c>
      <c r="AD793">
        <v>95.13</v>
      </c>
      <c r="AE793">
        <v>1997.65</v>
      </c>
    </row>
    <row r="794" spans="1:31" x14ac:dyDescent="0.25">
      <c r="A794" t="s">
        <v>997</v>
      </c>
      <c r="B794" s="2">
        <v>45908</v>
      </c>
      <c r="C794" t="s">
        <v>46</v>
      </c>
      <c r="D794" t="s">
        <v>33</v>
      </c>
      <c r="E794">
        <v>2025</v>
      </c>
      <c r="F794" t="s">
        <v>85</v>
      </c>
      <c r="G794" t="s">
        <v>35</v>
      </c>
      <c r="H794" t="s">
        <v>178</v>
      </c>
      <c r="I794" t="s">
        <v>179</v>
      </c>
      <c r="J794" t="s">
        <v>38</v>
      </c>
      <c r="K794" t="s">
        <v>71</v>
      </c>
      <c r="L794" t="s">
        <v>81</v>
      </c>
      <c r="M794" t="s">
        <v>52</v>
      </c>
      <c r="N794" t="s">
        <v>53</v>
      </c>
      <c r="O794" t="s">
        <v>54</v>
      </c>
      <c r="P794" t="s">
        <v>55</v>
      </c>
      <c r="Q794">
        <v>3100.53</v>
      </c>
      <c r="R794">
        <v>3397.12</v>
      </c>
      <c r="S794">
        <v>2140.13</v>
      </c>
      <c r="T794">
        <v>262.95</v>
      </c>
      <c r="U794">
        <v>185.41</v>
      </c>
      <c r="V794">
        <v>355.14</v>
      </c>
      <c r="W794">
        <v>42.67</v>
      </c>
      <c r="X794">
        <v>2986.3</v>
      </c>
      <c r="Y794">
        <v>960.39</v>
      </c>
      <c r="Z794">
        <v>-2025.91</v>
      </c>
      <c r="AA794">
        <v>-0.6764</v>
      </c>
      <c r="AB794">
        <v>-296.58999999999997</v>
      </c>
      <c r="AC794">
        <v>248.04</v>
      </c>
      <c r="AD794">
        <v>142.62</v>
      </c>
      <c r="AE794">
        <v>2995.11</v>
      </c>
    </row>
    <row r="795" spans="1:31" x14ac:dyDescent="0.25">
      <c r="A795" t="s">
        <v>998</v>
      </c>
      <c r="B795" s="2">
        <v>45867</v>
      </c>
      <c r="C795" t="s">
        <v>32</v>
      </c>
      <c r="D795" t="s">
        <v>33</v>
      </c>
      <c r="E795">
        <v>2025</v>
      </c>
      <c r="F795" t="s">
        <v>59</v>
      </c>
      <c r="G795" t="s">
        <v>35</v>
      </c>
      <c r="H795" t="s">
        <v>254</v>
      </c>
      <c r="I795" t="s">
        <v>200</v>
      </c>
      <c r="J795" t="s">
        <v>38</v>
      </c>
      <c r="K795" t="s">
        <v>39</v>
      </c>
      <c r="L795" t="s">
        <v>94</v>
      </c>
      <c r="M795" t="s">
        <v>110</v>
      </c>
      <c r="N795" t="s">
        <v>111</v>
      </c>
      <c r="O795" t="s">
        <v>112</v>
      </c>
      <c r="P795" t="s">
        <v>113</v>
      </c>
      <c r="Q795">
        <v>30930.58</v>
      </c>
      <c r="R795">
        <v>33911.1</v>
      </c>
      <c r="S795">
        <v>15965.08</v>
      </c>
      <c r="T795">
        <v>3731.88</v>
      </c>
      <c r="U795">
        <v>1109.0999999999999</v>
      </c>
      <c r="V795">
        <v>1788.49</v>
      </c>
      <c r="W795">
        <v>447.93</v>
      </c>
      <c r="X795">
        <v>23042.48</v>
      </c>
      <c r="Y795">
        <v>14965.51</v>
      </c>
      <c r="Z795">
        <v>-8076.97</v>
      </c>
      <c r="AA795">
        <v>-0.2281</v>
      </c>
      <c r="AB795">
        <v>-2980.52</v>
      </c>
      <c r="AC795">
        <v>927.92</v>
      </c>
      <c r="AD795">
        <v>5400.48</v>
      </c>
      <c r="AE795">
        <v>35403.15</v>
      </c>
    </row>
    <row r="796" spans="1:31" x14ac:dyDescent="0.25">
      <c r="A796" t="s">
        <v>999</v>
      </c>
      <c r="B796" s="2">
        <v>45881</v>
      </c>
      <c r="C796" t="s">
        <v>117</v>
      </c>
      <c r="D796" t="s">
        <v>33</v>
      </c>
      <c r="E796">
        <v>2025</v>
      </c>
      <c r="F796" t="s">
        <v>67</v>
      </c>
      <c r="G796" t="s">
        <v>35</v>
      </c>
      <c r="H796" t="s">
        <v>118</v>
      </c>
      <c r="I796" t="s">
        <v>209</v>
      </c>
      <c r="J796" t="s">
        <v>38</v>
      </c>
      <c r="K796" t="s">
        <v>39</v>
      </c>
      <c r="L796" t="s">
        <v>51</v>
      </c>
      <c r="M796" t="s">
        <v>235</v>
      </c>
      <c r="N796" t="s">
        <v>236</v>
      </c>
      <c r="O796" t="s">
        <v>104</v>
      </c>
      <c r="P796" t="s">
        <v>237</v>
      </c>
      <c r="Q796">
        <v>11706.91</v>
      </c>
      <c r="R796">
        <v>11101.46</v>
      </c>
      <c r="S796">
        <v>8393.33</v>
      </c>
      <c r="T796">
        <v>1109.71</v>
      </c>
      <c r="U796">
        <v>822.02</v>
      </c>
      <c r="V796">
        <v>579.16999999999996</v>
      </c>
      <c r="W796">
        <v>219.77</v>
      </c>
      <c r="X796">
        <v>11124</v>
      </c>
      <c r="Y796">
        <v>3313.58</v>
      </c>
      <c r="Z796">
        <v>-7810.42</v>
      </c>
      <c r="AA796">
        <v>-0.59570000000000001</v>
      </c>
      <c r="AB796">
        <v>605.44000000000005</v>
      </c>
      <c r="AC796">
        <v>0</v>
      </c>
      <c r="AD796">
        <v>1404.83</v>
      </c>
      <c r="AE796">
        <v>13111.74</v>
      </c>
    </row>
    <row r="797" spans="1:31" x14ac:dyDescent="0.25">
      <c r="A797" t="s">
        <v>1000</v>
      </c>
      <c r="B797" s="2">
        <v>45967</v>
      </c>
      <c r="C797" t="s">
        <v>147</v>
      </c>
      <c r="D797" t="s">
        <v>93</v>
      </c>
      <c r="E797">
        <v>2025</v>
      </c>
      <c r="F797" t="s">
        <v>59</v>
      </c>
      <c r="G797" t="s">
        <v>35</v>
      </c>
      <c r="H797" t="s">
        <v>254</v>
      </c>
      <c r="I797" t="s">
        <v>255</v>
      </c>
      <c r="J797" t="s">
        <v>100</v>
      </c>
      <c r="K797" t="s">
        <v>71</v>
      </c>
      <c r="L797" t="s">
        <v>40</v>
      </c>
      <c r="M797" t="s">
        <v>120</v>
      </c>
      <c r="N797" t="s">
        <v>121</v>
      </c>
      <c r="O797" t="s">
        <v>43</v>
      </c>
      <c r="P797" t="s">
        <v>122</v>
      </c>
      <c r="Q797">
        <v>66027.490000000005</v>
      </c>
      <c r="R797">
        <v>67539.38</v>
      </c>
      <c r="S797">
        <v>32485.25</v>
      </c>
      <c r="T797">
        <v>6522.95</v>
      </c>
      <c r="U797">
        <v>3396.26</v>
      </c>
      <c r="V797">
        <v>4313.0600000000004</v>
      </c>
      <c r="W797">
        <v>2140.2399999999998</v>
      </c>
      <c r="X797">
        <v>48857.77</v>
      </c>
      <c r="Y797">
        <v>33542.239999999998</v>
      </c>
      <c r="Z797">
        <v>-15315.53</v>
      </c>
      <c r="AA797">
        <v>-0.22770000000000001</v>
      </c>
      <c r="AB797">
        <v>-1511.89</v>
      </c>
      <c r="AC797">
        <v>1980.82</v>
      </c>
      <c r="AD797">
        <v>3202.33</v>
      </c>
      <c r="AE797">
        <v>67249</v>
      </c>
    </row>
    <row r="798" spans="1:31" x14ac:dyDescent="0.25">
      <c r="A798" t="s">
        <v>1001</v>
      </c>
      <c r="B798" s="2">
        <v>45993</v>
      </c>
      <c r="C798" t="s">
        <v>107</v>
      </c>
      <c r="D798" t="s">
        <v>93</v>
      </c>
      <c r="E798">
        <v>2025</v>
      </c>
      <c r="F798" t="s">
        <v>59</v>
      </c>
      <c r="G798" t="s">
        <v>35</v>
      </c>
      <c r="H798" t="s">
        <v>139</v>
      </c>
      <c r="I798" t="s">
        <v>200</v>
      </c>
      <c r="J798" t="s">
        <v>80</v>
      </c>
      <c r="K798" t="s">
        <v>39</v>
      </c>
      <c r="L798" t="s">
        <v>40</v>
      </c>
      <c r="M798" t="s">
        <v>102</v>
      </c>
      <c r="N798" t="s">
        <v>103</v>
      </c>
      <c r="O798" t="s">
        <v>104</v>
      </c>
      <c r="P798" t="s">
        <v>105</v>
      </c>
      <c r="Q798">
        <v>14323.38</v>
      </c>
      <c r="R798">
        <v>16487.98</v>
      </c>
      <c r="S798">
        <v>9993.5400000000009</v>
      </c>
      <c r="T798">
        <v>1516.25</v>
      </c>
      <c r="U798">
        <v>1220.3800000000001</v>
      </c>
      <c r="V798">
        <v>1502.76</v>
      </c>
      <c r="W798">
        <v>558.6</v>
      </c>
      <c r="X798">
        <v>14791.53</v>
      </c>
      <c r="Y798">
        <v>4329.84</v>
      </c>
      <c r="Z798">
        <v>-10461.69</v>
      </c>
      <c r="AA798">
        <v>-0.6865</v>
      </c>
      <c r="AB798">
        <v>-2164.6</v>
      </c>
      <c r="AC798">
        <v>716.17</v>
      </c>
      <c r="AD798">
        <v>1632.87</v>
      </c>
      <c r="AE798">
        <v>15240.08</v>
      </c>
    </row>
    <row r="799" spans="1:31" x14ac:dyDescent="0.25">
      <c r="A799" t="s">
        <v>1002</v>
      </c>
      <c r="B799" s="2">
        <v>45950</v>
      </c>
      <c r="C799" t="s">
        <v>92</v>
      </c>
      <c r="D799" t="s">
        <v>93</v>
      </c>
      <c r="E799">
        <v>2025</v>
      </c>
      <c r="F799" t="s">
        <v>47</v>
      </c>
      <c r="G799" t="s">
        <v>35</v>
      </c>
      <c r="H799" t="s">
        <v>206</v>
      </c>
      <c r="I799" t="s">
        <v>207</v>
      </c>
      <c r="J799" t="s">
        <v>100</v>
      </c>
      <c r="K799" t="s">
        <v>160</v>
      </c>
      <c r="L799" t="s">
        <v>40</v>
      </c>
      <c r="M799" t="s">
        <v>41</v>
      </c>
      <c r="N799" t="s">
        <v>42</v>
      </c>
      <c r="O799" t="s">
        <v>43</v>
      </c>
      <c r="P799" t="s">
        <v>44</v>
      </c>
      <c r="Q799">
        <v>31940.94</v>
      </c>
      <c r="R799">
        <v>36954.160000000003</v>
      </c>
      <c r="S799">
        <v>21066.37</v>
      </c>
      <c r="T799">
        <v>3299.95</v>
      </c>
      <c r="U799">
        <v>2008.35</v>
      </c>
      <c r="V799">
        <v>2524.48</v>
      </c>
      <c r="W799">
        <v>527.98</v>
      </c>
      <c r="X799">
        <v>29427.13</v>
      </c>
      <c r="Y799">
        <v>10874.57</v>
      </c>
      <c r="Z799">
        <v>-18552.560000000001</v>
      </c>
      <c r="AA799">
        <v>-0.60129999999999995</v>
      </c>
      <c r="AB799">
        <v>-5013.22</v>
      </c>
      <c r="AC799">
        <v>2555.2800000000002</v>
      </c>
      <c r="AD799">
        <v>1469.28</v>
      </c>
      <c r="AE799">
        <v>30854.95</v>
      </c>
    </row>
    <row r="800" spans="1:31" x14ac:dyDescent="0.25">
      <c r="A800" t="s">
        <v>1003</v>
      </c>
      <c r="B800" s="2">
        <v>45947</v>
      </c>
      <c r="C800" t="s">
        <v>92</v>
      </c>
      <c r="D800" t="s">
        <v>93</v>
      </c>
      <c r="E800">
        <v>2025</v>
      </c>
      <c r="F800" t="s">
        <v>59</v>
      </c>
      <c r="G800" t="s">
        <v>35</v>
      </c>
      <c r="H800" t="s">
        <v>139</v>
      </c>
      <c r="I800" t="s">
        <v>140</v>
      </c>
      <c r="J800" t="s">
        <v>38</v>
      </c>
      <c r="K800" t="s">
        <v>50</v>
      </c>
      <c r="L800" t="s">
        <v>94</v>
      </c>
      <c r="M800" t="s">
        <v>186</v>
      </c>
      <c r="N800" t="s">
        <v>187</v>
      </c>
      <c r="O800" t="s">
        <v>173</v>
      </c>
      <c r="P800" t="s">
        <v>174</v>
      </c>
      <c r="Q800">
        <v>37210.300000000003</v>
      </c>
      <c r="R800">
        <v>40858.6</v>
      </c>
      <c r="S800">
        <v>24945.599999999999</v>
      </c>
      <c r="T800">
        <v>3857.91</v>
      </c>
      <c r="U800">
        <v>2550.36</v>
      </c>
      <c r="V800">
        <v>3475.03</v>
      </c>
      <c r="W800">
        <v>1041.57</v>
      </c>
      <c r="X800">
        <v>35870.47</v>
      </c>
      <c r="Y800">
        <v>12264.7</v>
      </c>
      <c r="Z800">
        <v>-23605.78</v>
      </c>
      <c r="AA800">
        <v>-0.55420000000000003</v>
      </c>
      <c r="AB800">
        <v>-3648.31</v>
      </c>
      <c r="AC800">
        <v>1116.31</v>
      </c>
      <c r="AD800">
        <v>6496.92</v>
      </c>
      <c r="AE800">
        <v>42590.9</v>
      </c>
    </row>
    <row r="801" spans="1:31" x14ac:dyDescent="0.25">
      <c r="A801" t="s">
        <v>1004</v>
      </c>
      <c r="B801" s="2">
        <v>45912</v>
      </c>
      <c r="C801" t="s">
        <v>46</v>
      </c>
      <c r="D801" t="s">
        <v>33</v>
      </c>
      <c r="E801">
        <v>2025</v>
      </c>
      <c r="F801" t="s">
        <v>67</v>
      </c>
      <c r="G801" t="s">
        <v>35</v>
      </c>
      <c r="H801" t="s">
        <v>168</v>
      </c>
      <c r="I801" t="s">
        <v>278</v>
      </c>
      <c r="J801" t="s">
        <v>38</v>
      </c>
      <c r="K801" t="s">
        <v>50</v>
      </c>
      <c r="L801" t="s">
        <v>94</v>
      </c>
      <c r="M801" t="s">
        <v>73</v>
      </c>
      <c r="N801" t="s">
        <v>74</v>
      </c>
      <c r="O801" t="s">
        <v>43</v>
      </c>
      <c r="P801" t="s">
        <v>75</v>
      </c>
      <c r="Q801">
        <v>62458.83</v>
      </c>
      <c r="R801">
        <v>66450.69</v>
      </c>
      <c r="S801">
        <v>42280.55</v>
      </c>
      <c r="T801">
        <v>4836.41</v>
      </c>
      <c r="U801">
        <v>2347.59</v>
      </c>
      <c r="V801">
        <v>3489.73</v>
      </c>
      <c r="W801">
        <v>2226.14</v>
      </c>
      <c r="X801">
        <v>55180.42</v>
      </c>
      <c r="Y801">
        <v>20178.28</v>
      </c>
      <c r="Z801">
        <v>-35002.14</v>
      </c>
      <c r="AA801">
        <v>-0.56179999999999997</v>
      </c>
      <c r="AB801">
        <v>-3991.85</v>
      </c>
      <c r="AC801">
        <v>3122.94</v>
      </c>
      <c r="AD801">
        <v>2966.79</v>
      </c>
      <c r="AE801">
        <v>62302.68</v>
      </c>
    </row>
    <row r="802" spans="1:31" x14ac:dyDescent="0.25">
      <c r="A802" t="s">
        <v>1005</v>
      </c>
      <c r="B802" s="2">
        <v>45965</v>
      </c>
      <c r="C802" t="s">
        <v>147</v>
      </c>
      <c r="D802" t="s">
        <v>93</v>
      </c>
      <c r="E802">
        <v>2025</v>
      </c>
      <c r="F802" t="s">
        <v>59</v>
      </c>
      <c r="G802" t="s">
        <v>35</v>
      </c>
      <c r="H802" t="s">
        <v>254</v>
      </c>
      <c r="I802" t="s">
        <v>255</v>
      </c>
      <c r="J802" t="s">
        <v>38</v>
      </c>
      <c r="K802" t="s">
        <v>50</v>
      </c>
      <c r="L802" t="s">
        <v>94</v>
      </c>
      <c r="M802" t="s">
        <v>186</v>
      </c>
      <c r="N802" t="s">
        <v>187</v>
      </c>
      <c r="O802" t="s">
        <v>173</v>
      </c>
      <c r="P802" t="s">
        <v>174</v>
      </c>
      <c r="Q802">
        <v>30760.17</v>
      </c>
      <c r="R802">
        <v>31038.1</v>
      </c>
      <c r="S802">
        <v>19866.689999999999</v>
      </c>
      <c r="T802">
        <v>2820.33</v>
      </c>
      <c r="U802">
        <v>2722.29</v>
      </c>
      <c r="V802">
        <v>1630.19</v>
      </c>
      <c r="W802">
        <v>954.28</v>
      </c>
      <c r="X802">
        <v>27993.79</v>
      </c>
      <c r="Y802">
        <v>10893.48</v>
      </c>
      <c r="Z802">
        <v>-17100.310000000001</v>
      </c>
      <c r="AA802">
        <v>-0.54579999999999995</v>
      </c>
      <c r="AB802">
        <v>-277.93</v>
      </c>
      <c r="AC802">
        <v>922.81</v>
      </c>
      <c r="AD802">
        <v>1491.87</v>
      </c>
      <c r="AE802">
        <v>31329.23</v>
      </c>
    </row>
    <row r="803" spans="1:31" x14ac:dyDescent="0.25">
      <c r="A803" t="s">
        <v>1006</v>
      </c>
      <c r="B803" s="2">
        <v>45876</v>
      </c>
      <c r="C803" t="s">
        <v>117</v>
      </c>
      <c r="D803" t="s">
        <v>33</v>
      </c>
      <c r="E803">
        <v>2025</v>
      </c>
      <c r="F803" t="s">
        <v>47</v>
      </c>
      <c r="G803" t="s">
        <v>35</v>
      </c>
      <c r="H803" t="s">
        <v>206</v>
      </c>
      <c r="I803" t="s">
        <v>207</v>
      </c>
      <c r="J803" t="s">
        <v>38</v>
      </c>
      <c r="K803" t="s">
        <v>101</v>
      </c>
      <c r="L803" t="s">
        <v>94</v>
      </c>
      <c r="M803" t="s">
        <v>82</v>
      </c>
      <c r="N803" t="s">
        <v>83</v>
      </c>
      <c r="O803" t="s">
        <v>43</v>
      </c>
      <c r="P803" t="s">
        <v>75</v>
      </c>
      <c r="Q803">
        <v>24205.5</v>
      </c>
      <c r="R803">
        <v>21684.43</v>
      </c>
      <c r="S803">
        <v>16365.35</v>
      </c>
      <c r="T803">
        <v>2807.73</v>
      </c>
      <c r="U803">
        <v>978.14</v>
      </c>
      <c r="V803">
        <v>1594.97</v>
      </c>
      <c r="W803">
        <v>649.82000000000005</v>
      </c>
      <c r="X803">
        <v>22396.02</v>
      </c>
      <c r="Y803">
        <v>7840.15</v>
      </c>
      <c r="Z803">
        <v>-14555.87</v>
      </c>
      <c r="AA803">
        <v>-0.56520000000000004</v>
      </c>
      <c r="AB803">
        <v>2521.0700000000002</v>
      </c>
      <c r="AC803">
        <v>1210.27</v>
      </c>
      <c r="AD803">
        <v>2759.43</v>
      </c>
      <c r="AE803">
        <v>25754.65</v>
      </c>
    </row>
    <row r="804" spans="1:31" x14ac:dyDescent="0.25">
      <c r="A804" t="s">
        <v>1007</v>
      </c>
      <c r="B804" s="2">
        <v>45861</v>
      </c>
      <c r="C804" t="s">
        <v>32</v>
      </c>
      <c r="D804" t="s">
        <v>33</v>
      </c>
      <c r="E804">
        <v>2025</v>
      </c>
      <c r="F804" t="s">
        <v>59</v>
      </c>
      <c r="G804" t="s">
        <v>35</v>
      </c>
      <c r="H804" t="s">
        <v>60</v>
      </c>
      <c r="I804" t="s">
        <v>61</v>
      </c>
      <c r="J804" t="s">
        <v>80</v>
      </c>
      <c r="K804" t="s">
        <v>50</v>
      </c>
      <c r="L804" t="s">
        <v>72</v>
      </c>
      <c r="M804" t="s">
        <v>110</v>
      </c>
      <c r="N804" t="s">
        <v>111</v>
      </c>
      <c r="O804" t="s">
        <v>112</v>
      </c>
      <c r="P804" t="s">
        <v>113</v>
      </c>
      <c r="Q804">
        <v>28893.42</v>
      </c>
      <c r="R804">
        <v>27162.59</v>
      </c>
      <c r="S804">
        <v>16740.45</v>
      </c>
      <c r="T804">
        <v>2863.9</v>
      </c>
      <c r="U804">
        <v>1123.3</v>
      </c>
      <c r="V804">
        <v>1829.39</v>
      </c>
      <c r="W804">
        <v>1153.1099999999999</v>
      </c>
      <c r="X804">
        <v>23710.15</v>
      </c>
      <c r="Y804">
        <v>12152.97</v>
      </c>
      <c r="Z804">
        <v>-11557.18</v>
      </c>
      <c r="AA804">
        <v>-0.39679999999999999</v>
      </c>
      <c r="AB804">
        <v>1730.83</v>
      </c>
      <c r="AC804">
        <v>2889.34</v>
      </c>
      <c r="AD804">
        <v>3120.49</v>
      </c>
      <c r="AE804">
        <v>29124.57</v>
      </c>
    </row>
    <row r="805" spans="1:31" x14ac:dyDescent="0.25">
      <c r="A805" t="s">
        <v>1008</v>
      </c>
      <c r="B805" s="2">
        <v>45961</v>
      </c>
      <c r="C805" t="s">
        <v>92</v>
      </c>
      <c r="D805" t="s">
        <v>93</v>
      </c>
      <c r="E805">
        <v>2025</v>
      </c>
      <c r="F805" t="s">
        <v>59</v>
      </c>
      <c r="G805" t="s">
        <v>35</v>
      </c>
      <c r="H805" t="s">
        <v>230</v>
      </c>
      <c r="I805" t="s">
        <v>363</v>
      </c>
      <c r="J805" t="s">
        <v>100</v>
      </c>
      <c r="K805" t="s">
        <v>50</v>
      </c>
      <c r="L805" t="s">
        <v>81</v>
      </c>
      <c r="M805" t="s">
        <v>41</v>
      </c>
      <c r="N805" t="s">
        <v>42</v>
      </c>
      <c r="O805" t="s">
        <v>43</v>
      </c>
      <c r="P805" t="s">
        <v>44</v>
      </c>
      <c r="Q805">
        <v>35563.589999999997</v>
      </c>
      <c r="R805">
        <v>34502.99</v>
      </c>
      <c r="S805">
        <v>22674.97</v>
      </c>
      <c r="T805">
        <v>4392.3900000000003</v>
      </c>
      <c r="U805">
        <v>1815.12</v>
      </c>
      <c r="V805">
        <v>1969.78</v>
      </c>
      <c r="W805">
        <v>692.61</v>
      </c>
      <c r="X805">
        <v>31544.87</v>
      </c>
      <c r="Y805">
        <v>12888.63</v>
      </c>
      <c r="Z805">
        <v>-18656.240000000002</v>
      </c>
      <c r="AA805">
        <v>-0.5091</v>
      </c>
      <c r="AB805">
        <v>1060.5999999999999</v>
      </c>
      <c r="AC805">
        <v>2845.09</v>
      </c>
      <c r="AD805">
        <v>3926.22</v>
      </c>
      <c r="AE805">
        <v>36644.730000000003</v>
      </c>
    </row>
    <row r="806" spans="1:31" x14ac:dyDescent="0.25">
      <c r="A806" t="s">
        <v>1009</v>
      </c>
      <c r="B806" s="2">
        <v>45820</v>
      </c>
      <c r="C806" t="s">
        <v>156</v>
      </c>
      <c r="D806" t="s">
        <v>66</v>
      </c>
      <c r="E806">
        <v>2025</v>
      </c>
      <c r="F806" t="s">
        <v>85</v>
      </c>
      <c r="G806" t="s">
        <v>35</v>
      </c>
      <c r="H806" t="s">
        <v>60</v>
      </c>
      <c r="I806" t="s">
        <v>61</v>
      </c>
      <c r="J806" t="s">
        <v>80</v>
      </c>
      <c r="K806" t="s">
        <v>160</v>
      </c>
      <c r="L806" t="s">
        <v>81</v>
      </c>
      <c r="M806" t="s">
        <v>120</v>
      </c>
      <c r="N806" t="s">
        <v>121</v>
      </c>
      <c r="O806" t="s">
        <v>43</v>
      </c>
      <c r="P806" t="s">
        <v>122</v>
      </c>
      <c r="Q806">
        <v>45220.99</v>
      </c>
      <c r="R806">
        <v>50680.31</v>
      </c>
      <c r="S806">
        <v>28981.98</v>
      </c>
      <c r="T806">
        <v>2719.26</v>
      </c>
      <c r="U806">
        <v>2148.87</v>
      </c>
      <c r="V806">
        <v>3035.51</v>
      </c>
      <c r="W806">
        <v>1347.46</v>
      </c>
      <c r="X806">
        <v>38233.08</v>
      </c>
      <c r="Y806">
        <v>16239.01</v>
      </c>
      <c r="Z806">
        <v>-21994.07</v>
      </c>
      <c r="AA806">
        <v>-0.47270000000000001</v>
      </c>
      <c r="AB806">
        <v>-5459.33</v>
      </c>
      <c r="AC806">
        <v>904.42</v>
      </c>
      <c r="AD806">
        <v>2215.83</v>
      </c>
      <c r="AE806">
        <v>46532.4</v>
      </c>
    </row>
    <row r="807" spans="1:31" x14ac:dyDescent="0.25">
      <c r="A807" t="s">
        <v>1010</v>
      </c>
      <c r="B807" s="2">
        <v>46084</v>
      </c>
      <c r="C807" t="s">
        <v>125</v>
      </c>
      <c r="D807" t="s">
        <v>58</v>
      </c>
      <c r="E807">
        <v>2026</v>
      </c>
      <c r="F807" t="s">
        <v>47</v>
      </c>
      <c r="G807" t="s">
        <v>35</v>
      </c>
      <c r="H807" t="s">
        <v>48</v>
      </c>
      <c r="I807" t="s">
        <v>49</v>
      </c>
      <c r="J807" t="s">
        <v>38</v>
      </c>
      <c r="K807" t="s">
        <v>160</v>
      </c>
      <c r="L807" t="s">
        <v>40</v>
      </c>
      <c r="M807" t="s">
        <v>41</v>
      </c>
      <c r="N807" t="s">
        <v>42</v>
      </c>
      <c r="O807" t="s">
        <v>43</v>
      </c>
      <c r="P807" t="s">
        <v>44</v>
      </c>
      <c r="Q807">
        <v>30999.040000000001</v>
      </c>
      <c r="R807">
        <v>30998.67</v>
      </c>
      <c r="S807">
        <v>20309.91</v>
      </c>
      <c r="T807">
        <v>2867.46</v>
      </c>
      <c r="U807">
        <v>2444.5700000000002</v>
      </c>
      <c r="V807">
        <v>2295.1799999999998</v>
      </c>
      <c r="W807">
        <v>377.03</v>
      </c>
      <c r="X807">
        <v>28294.15</v>
      </c>
      <c r="Y807">
        <v>10689.13</v>
      </c>
      <c r="Z807">
        <v>-17605.02</v>
      </c>
      <c r="AA807">
        <v>-0.56930000000000003</v>
      </c>
      <c r="AB807">
        <v>0.37</v>
      </c>
      <c r="AC807">
        <v>1549.95</v>
      </c>
      <c r="AD807">
        <v>1472.45</v>
      </c>
      <c r="AE807">
        <v>30921.55</v>
      </c>
    </row>
    <row r="808" spans="1:31" x14ac:dyDescent="0.25">
      <c r="A808" t="s">
        <v>1011</v>
      </c>
      <c r="B808" s="2">
        <v>46047</v>
      </c>
      <c r="C808" t="s">
        <v>77</v>
      </c>
      <c r="D808" t="s">
        <v>58</v>
      </c>
      <c r="E808">
        <v>2026</v>
      </c>
      <c r="F808" t="s">
        <v>67</v>
      </c>
      <c r="G808" t="s">
        <v>35</v>
      </c>
      <c r="H808" t="s">
        <v>168</v>
      </c>
      <c r="I808" t="s">
        <v>169</v>
      </c>
      <c r="J808" t="s">
        <v>38</v>
      </c>
      <c r="K808" t="s">
        <v>39</v>
      </c>
      <c r="L808" t="s">
        <v>40</v>
      </c>
      <c r="M808" t="s">
        <v>120</v>
      </c>
      <c r="N808" t="s">
        <v>121</v>
      </c>
      <c r="O808" t="s">
        <v>43</v>
      </c>
      <c r="P808" t="s">
        <v>122</v>
      </c>
      <c r="Q808">
        <v>33542.5</v>
      </c>
      <c r="R808">
        <v>38237.86</v>
      </c>
      <c r="S808">
        <v>22498.13</v>
      </c>
      <c r="T808">
        <v>4260.54</v>
      </c>
      <c r="U808">
        <v>995.29</v>
      </c>
      <c r="V808">
        <v>2061.73</v>
      </c>
      <c r="W808">
        <v>429.59</v>
      </c>
      <c r="X808">
        <v>30245.279999999999</v>
      </c>
      <c r="Y808">
        <v>11044.37</v>
      </c>
      <c r="Z808">
        <v>-19200.91</v>
      </c>
      <c r="AA808">
        <v>-0.57389999999999997</v>
      </c>
      <c r="AB808">
        <v>-4695.3599999999997</v>
      </c>
      <c r="AC808">
        <v>1677.13</v>
      </c>
      <c r="AD808">
        <v>1593.27</v>
      </c>
      <c r="AE808">
        <v>33458.639999999999</v>
      </c>
    </row>
    <row r="809" spans="1:31" x14ac:dyDescent="0.25">
      <c r="A809" t="s">
        <v>1012</v>
      </c>
      <c r="B809" s="2">
        <v>45828</v>
      </c>
      <c r="C809" t="s">
        <v>156</v>
      </c>
      <c r="D809" t="s">
        <v>66</v>
      </c>
      <c r="E809">
        <v>2025</v>
      </c>
      <c r="F809" t="s">
        <v>34</v>
      </c>
      <c r="G809" t="s">
        <v>35</v>
      </c>
      <c r="H809" t="s">
        <v>157</v>
      </c>
      <c r="I809" t="s">
        <v>194</v>
      </c>
      <c r="J809" t="s">
        <v>70</v>
      </c>
      <c r="K809" t="s">
        <v>71</v>
      </c>
      <c r="L809" t="s">
        <v>72</v>
      </c>
      <c r="M809" t="s">
        <v>120</v>
      </c>
      <c r="N809" t="s">
        <v>121</v>
      </c>
      <c r="O809" t="s">
        <v>43</v>
      </c>
      <c r="P809" t="s">
        <v>122</v>
      </c>
      <c r="Q809">
        <v>48376.9</v>
      </c>
      <c r="R809">
        <v>48307.61</v>
      </c>
      <c r="S809">
        <v>27091.8</v>
      </c>
      <c r="T809">
        <v>3729.03</v>
      </c>
      <c r="U809">
        <v>1827.63</v>
      </c>
      <c r="V809">
        <v>5266.07</v>
      </c>
      <c r="W809">
        <v>732.04</v>
      </c>
      <c r="X809">
        <v>38646.58</v>
      </c>
      <c r="Y809">
        <v>21285.09</v>
      </c>
      <c r="Z809">
        <v>-17361.490000000002</v>
      </c>
      <c r="AA809">
        <v>-0.3483</v>
      </c>
      <c r="AB809">
        <v>69.290000000000006</v>
      </c>
      <c r="AC809">
        <v>3870.15</v>
      </c>
      <c r="AD809">
        <v>5340.81</v>
      </c>
      <c r="AE809">
        <v>49847.56</v>
      </c>
    </row>
    <row r="810" spans="1:31" x14ac:dyDescent="0.25">
      <c r="A810" t="s">
        <v>1013</v>
      </c>
      <c r="B810" s="2">
        <v>45772</v>
      </c>
      <c r="C810" t="s">
        <v>128</v>
      </c>
      <c r="D810" t="s">
        <v>66</v>
      </c>
      <c r="E810">
        <v>2025</v>
      </c>
      <c r="F810" t="s">
        <v>34</v>
      </c>
      <c r="G810" t="s">
        <v>35</v>
      </c>
      <c r="H810" t="s">
        <v>98</v>
      </c>
      <c r="I810" t="s">
        <v>304</v>
      </c>
      <c r="J810" t="s">
        <v>38</v>
      </c>
      <c r="K810" t="s">
        <v>39</v>
      </c>
      <c r="L810" t="s">
        <v>72</v>
      </c>
      <c r="M810" t="s">
        <v>171</v>
      </c>
      <c r="N810" t="s">
        <v>172</v>
      </c>
      <c r="O810" t="s">
        <v>173</v>
      </c>
      <c r="P810" t="s">
        <v>174</v>
      </c>
      <c r="Q810">
        <v>45948.24</v>
      </c>
      <c r="R810">
        <v>42040.959999999999</v>
      </c>
      <c r="S810">
        <v>31423.56</v>
      </c>
      <c r="T810">
        <v>4134.6899999999996</v>
      </c>
      <c r="U810">
        <v>2306.23</v>
      </c>
      <c r="V810">
        <v>4091.5</v>
      </c>
      <c r="W810">
        <v>549.49</v>
      </c>
      <c r="X810">
        <v>42505.46</v>
      </c>
      <c r="Y810">
        <v>14524.67</v>
      </c>
      <c r="Z810">
        <v>-27980.78</v>
      </c>
      <c r="AA810">
        <v>-0.53200000000000003</v>
      </c>
      <c r="AB810">
        <v>3907.28</v>
      </c>
      <c r="AC810">
        <v>1378.45</v>
      </c>
      <c r="AD810">
        <v>8022.56</v>
      </c>
      <c r="AE810">
        <v>52592.35</v>
      </c>
    </row>
    <row r="811" spans="1:31" x14ac:dyDescent="0.25">
      <c r="A811" t="s">
        <v>1014</v>
      </c>
      <c r="B811" s="2">
        <v>45880</v>
      </c>
      <c r="C811" t="s">
        <v>117</v>
      </c>
      <c r="D811" t="s">
        <v>33</v>
      </c>
      <c r="E811">
        <v>2025</v>
      </c>
      <c r="F811" t="s">
        <v>67</v>
      </c>
      <c r="G811" t="s">
        <v>35</v>
      </c>
      <c r="H811" t="s">
        <v>68</v>
      </c>
      <c r="I811" t="s">
        <v>204</v>
      </c>
      <c r="J811" t="s">
        <v>70</v>
      </c>
      <c r="K811" t="s">
        <v>39</v>
      </c>
      <c r="L811" t="s">
        <v>51</v>
      </c>
      <c r="M811" t="s">
        <v>95</v>
      </c>
      <c r="N811" t="s">
        <v>96</v>
      </c>
      <c r="O811" t="s">
        <v>43</v>
      </c>
      <c r="P811" t="s">
        <v>90</v>
      </c>
      <c r="Q811">
        <v>22575.119999999999</v>
      </c>
      <c r="R811">
        <v>23692.59</v>
      </c>
      <c r="S811">
        <v>15611.92</v>
      </c>
      <c r="T811">
        <v>2557.52</v>
      </c>
      <c r="U811">
        <v>1376.33</v>
      </c>
      <c r="V811">
        <v>1036.42</v>
      </c>
      <c r="W811">
        <v>451.65</v>
      </c>
      <c r="X811">
        <v>21033.83</v>
      </c>
      <c r="Y811">
        <v>6963.21</v>
      </c>
      <c r="Z811">
        <v>-14070.62</v>
      </c>
      <c r="AA811">
        <v>-0.54449999999999998</v>
      </c>
      <c r="AB811">
        <v>-1117.47</v>
      </c>
      <c r="AC811">
        <v>677.25</v>
      </c>
      <c r="AD811">
        <v>3941.62</v>
      </c>
      <c r="AE811">
        <v>25839.49</v>
      </c>
    </row>
    <row r="812" spans="1:31" x14ac:dyDescent="0.25">
      <c r="A812" t="s">
        <v>1015</v>
      </c>
      <c r="B812" s="2">
        <v>45967</v>
      </c>
      <c r="C812" t="s">
        <v>147</v>
      </c>
      <c r="D812" t="s">
        <v>93</v>
      </c>
      <c r="E812">
        <v>2025</v>
      </c>
      <c r="F812" t="s">
        <v>34</v>
      </c>
      <c r="G812" t="s">
        <v>35</v>
      </c>
      <c r="H812" t="s">
        <v>134</v>
      </c>
      <c r="I812" t="s">
        <v>176</v>
      </c>
      <c r="J812" t="s">
        <v>80</v>
      </c>
      <c r="K812" t="s">
        <v>71</v>
      </c>
      <c r="L812" t="s">
        <v>72</v>
      </c>
      <c r="M812" t="s">
        <v>62</v>
      </c>
      <c r="N812" t="s">
        <v>63</v>
      </c>
      <c r="O812" t="s">
        <v>54</v>
      </c>
      <c r="P812" t="s">
        <v>55</v>
      </c>
      <c r="Q812">
        <v>8953.24</v>
      </c>
      <c r="R812">
        <v>9423.4500000000007</v>
      </c>
      <c r="S812">
        <v>4704.28</v>
      </c>
      <c r="T812">
        <v>879.81</v>
      </c>
      <c r="U812">
        <v>242.06</v>
      </c>
      <c r="V812">
        <v>443.25</v>
      </c>
      <c r="W812">
        <v>187.27</v>
      </c>
      <c r="X812">
        <v>6456.67</v>
      </c>
      <c r="Y812">
        <v>4248.96</v>
      </c>
      <c r="Z812">
        <v>-2207.71</v>
      </c>
      <c r="AA812">
        <v>-0.24210000000000001</v>
      </c>
      <c r="AB812">
        <v>-470.21</v>
      </c>
      <c r="AC812">
        <v>268.60000000000002</v>
      </c>
      <c r="AD812">
        <v>434.23</v>
      </c>
      <c r="AE812">
        <v>9118.8799999999992</v>
      </c>
    </row>
    <row r="813" spans="1:31" x14ac:dyDescent="0.25">
      <c r="A813" t="s">
        <v>1016</v>
      </c>
      <c r="B813" s="2">
        <v>45826</v>
      </c>
      <c r="C813" t="s">
        <v>156</v>
      </c>
      <c r="D813" t="s">
        <v>66</v>
      </c>
      <c r="E813">
        <v>2025</v>
      </c>
      <c r="F813" t="s">
        <v>85</v>
      </c>
      <c r="G813" t="s">
        <v>35</v>
      </c>
      <c r="H813" t="s">
        <v>178</v>
      </c>
      <c r="I813" t="s">
        <v>179</v>
      </c>
      <c r="J813" t="s">
        <v>38</v>
      </c>
      <c r="K813" t="s">
        <v>39</v>
      </c>
      <c r="L813" t="s">
        <v>81</v>
      </c>
      <c r="M813" t="s">
        <v>141</v>
      </c>
      <c r="N813" t="s">
        <v>142</v>
      </c>
      <c r="O813" t="s">
        <v>54</v>
      </c>
      <c r="P813" t="s">
        <v>143</v>
      </c>
      <c r="Q813">
        <v>1363.48</v>
      </c>
      <c r="R813">
        <v>1464.72</v>
      </c>
      <c r="S813">
        <v>699.09</v>
      </c>
      <c r="T813">
        <v>132.46</v>
      </c>
      <c r="U813">
        <v>84.41</v>
      </c>
      <c r="V813">
        <v>160.46</v>
      </c>
      <c r="W813">
        <v>55.79</v>
      </c>
      <c r="X813">
        <v>1132.21</v>
      </c>
      <c r="Y813">
        <v>664.39</v>
      </c>
      <c r="Z813">
        <v>-467.82</v>
      </c>
      <c r="AA813">
        <v>-0.36309999999999998</v>
      </c>
      <c r="AB813">
        <v>-101.24</v>
      </c>
      <c r="AC813">
        <v>136.35</v>
      </c>
      <c r="AD813">
        <v>61.36</v>
      </c>
      <c r="AE813">
        <v>1288.49</v>
      </c>
    </row>
    <row r="814" spans="1:31" x14ac:dyDescent="0.25">
      <c r="A814" t="s">
        <v>1017</v>
      </c>
      <c r="B814" s="2">
        <v>45967</v>
      </c>
      <c r="C814" t="s">
        <v>147</v>
      </c>
      <c r="D814" t="s">
        <v>93</v>
      </c>
      <c r="E814">
        <v>2025</v>
      </c>
      <c r="F814" t="s">
        <v>34</v>
      </c>
      <c r="G814" t="s">
        <v>35</v>
      </c>
      <c r="H814" t="s">
        <v>134</v>
      </c>
      <c r="I814" t="s">
        <v>135</v>
      </c>
      <c r="J814" t="s">
        <v>100</v>
      </c>
      <c r="K814" t="s">
        <v>50</v>
      </c>
      <c r="L814" t="s">
        <v>94</v>
      </c>
      <c r="M814" t="s">
        <v>211</v>
      </c>
      <c r="N814" t="s">
        <v>212</v>
      </c>
      <c r="O814" t="s">
        <v>112</v>
      </c>
      <c r="P814" t="s">
        <v>113</v>
      </c>
      <c r="Q814">
        <v>13890.45</v>
      </c>
      <c r="R814">
        <v>12989.26</v>
      </c>
      <c r="S814">
        <v>8372.56</v>
      </c>
      <c r="T814">
        <v>798.16</v>
      </c>
      <c r="U814">
        <v>1178.71</v>
      </c>
      <c r="V814">
        <v>937.84</v>
      </c>
      <c r="W814">
        <v>580.41</v>
      </c>
      <c r="X814">
        <v>11867.68</v>
      </c>
      <c r="Y814">
        <v>5517.89</v>
      </c>
      <c r="Z814">
        <v>-6349.79</v>
      </c>
      <c r="AA814">
        <v>-0.48370000000000002</v>
      </c>
      <c r="AB814">
        <v>901.19</v>
      </c>
      <c r="AC814">
        <v>1389.05</v>
      </c>
      <c r="AD814">
        <v>625.07000000000005</v>
      </c>
      <c r="AE814">
        <v>13126.48</v>
      </c>
    </row>
    <row r="815" spans="1:31" x14ac:dyDescent="0.25">
      <c r="A815" t="s">
        <v>1018</v>
      </c>
      <c r="B815" s="2">
        <v>45826</v>
      </c>
      <c r="C815" t="s">
        <v>156</v>
      </c>
      <c r="D815" t="s">
        <v>66</v>
      </c>
      <c r="E815">
        <v>2025</v>
      </c>
      <c r="F815" t="s">
        <v>47</v>
      </c>
      <c r="G815" t="s">
        <v>35</v>
      </c>
      <c r="H815" t="s">
        <v>206</v>
      </c>
      <c r="I815" t="s">
        <v>296</v>
      </c>
      <c r="J815" t="s">
        <v>100</v>
      </c>
      <c r="K815" t="s">
        <v>39</v>
      </c>
      <c r="L815" t="s">
        <v>51</v>
      </c>
      <c r="M815" t="s">
        <v>82</v>
      </c>
      <c r="N815" t="s">
        <v>83</v>
      </c>
      <c r="O815" t="s">
        <v>43</v>
      </c>
      <c r="P815" t="s">
        <v>75</v>
      </c>
      <c r="Q815">
        <v>47341.81</v>
      </c>
      <c r="R815">
        <v>51501.87</v>
      </c>
      <c r="S815">
        <v>32581.99</v>
      </c>
      <c r="T815">
        <v>3754.99</v>
      </c>
      <c r="U815">
        <v>1316.52</v>
      </c>
      <c r="V815">
        <v>5583.75</v>
      </c>
      <c r="W815">
        <v>501.87</v>
      </c>
      <c r="X815">
        <v>43739.12</v>
      </c>
      <c r="Y815">
        <v>14759.83</v>
      </c>
      <c r="Z815">
        <v>-28979.29</v>
      </c>
      <c r="AA815">
        <v>-0.60729999999999995</v>
      </c>
      <c r="AB815">
        <v>-4160.0600000000004</v>
      </c>
      <c r="AC815">
        <v>4734.18</v>
      </c>
      <c r="AD815">
        <v>5112.92</v>
      </c>
      <c r="AE815">
        <v>47720.55</v>
      </c>
    </row>
    <row r="816" spans="1:31" x14ac:dyDescent="0.25">
      <c r="A816" t="s">
        <v>1019</v>
      </c>
      <c r="B816" s="2">
        <v>45997</v>
      </c>
      <c r="C816" t="s">
        <v>107</v>
      </c>
      <c r="D816" t="s">
        <v>93</v>
      </c>
      <c r="E816">
        <v>2025</v>
      </c>
      <c r="F816" t="s">
        <v>47</v>
      </c>
      <c r="G816" t="s">
        <v>35</v>
      </c>
      <c r="H816" t="s">
        <v>48</v>
      </c>
      <c r="I816" t="s">
        <v>265</v>
      </c>
      <c r="J816" t="s">
        <v>70</v>
      </c>
      <c r="K816" t="s">
        <v>39</v>
      </c>
      <c r="L816" t="s">
        <v>94</v>
      </c>
      <c r="M816" t="s">
        <v>186</v>
      </c>
      <c r="N816" t="s">
        <v>187</v>
      </c>
      <c r="O816" t="s">
        <v>173</v>
      </c>
      <c r="P816" t="s">
        <v>174</v>
      </c>
      <c r="Q816">
        <v>16408.46</v>
      </c>
      <c r="R816">
        <v>16480.98</v>
      </c>
      <c r="S816">
        <v>8018.43</v>
      </c>
      <c r="T816">
        <v>1242.3499999999999</v>
      </c>
      <c r="U816">
        <v>1224.58</v>
      </c>
      <c r="V816">
        <v>1916.78</v>
      </c>
      <c r="W816">
        <v>322.67</v>
      </c>
      <c r="X816">
        <v>12724.8</v>
      </c>
      <c r="Y816">
        <v>8390.0300000000007</v>
      </c>
      <c r="Z816">
        <v>-4334.7700000000004</v>
      </c>
      <c r="AA816">
        <v>-0.2407</v>
      </c>
      <c r="AB816">
        <v>-72.52</v>
      </c>
      <c r="AC816">
        <v>328.17</v>
      </c>
      <c r="AD816">
        <v>1929.63</v>
      </c>
      <c r="AE816">
        <v>18009.919999999998</v>
      </c>
    </row>
    <row r="817" spans="1:31" x14ac:dyDescent="0.25">
      <c r="A817" t="s">
        <v>1020</v>
      </c>
      <c r="B817" s="2">
        <v>45778</v>
      </c>
      <c r="C817" t="s">
        <v>65</v>
      </c>
      <c r="D817" t="s">
        <v>66</v>
      </c>
      <c r="E817">
        <v>2025</v>
      </c>
      <c r="F817" t="s">
        <v>85</v>
      </c>
      <c r="G817" t="s">
        <v>35</v>
      </c>
      <c r="H817" t="s">
        <v>60</v>
      </c>
      <c r="I817" t="s">
        <v>108</v>
      </c>
      <c r="J817" t="s">
        <v>100</v>
      </c>
      <c r="K817" t="s">
        <v>39</v>
      </c>
      <c r="L817" t="s">
        <v>51</v>
      </c>
      <c r="M817" t="s">
        <v>102</v>
      </c>
      <c r="N817" t="s">
        <v>103</v>
      </c>
      <c r="O817" t="s">
        <v>104</v>
      </c>
      <c r="P817" t="s">
        <v>105</v>
      </c>
      <c r="Q817">
        <v>13925.04</v>
      </c>
      <c r="R817">
        <v>12724.23</v>
      </c>
      <c r="S817">
        <v>8955.7199999999993</v>
      </c>
      <c r="T817">
        <v>986.21</v>
      </c>
      <c r="U817">
        <v>778.58</v>
      </c>
      <c r="V817">
        <v>890.55</v>
      </c>
      <c r="W817">
        <v>296.79000000000002</v>
      </c>
      <c r="X817">
        <v>11907.85</v>
      </c>
      <c r="Y817">
        <v>4969.32</v>
      </c>
      <c r="Z817">
        <v>-6938.53</v>
      </c>
      <c r="AA817">
        <v>-0.43090000000000001</v>
      </c>
      <c r="AB817">
        <v>1200.81</v>
      </c>
      <c r="AC817">
        <v>278.5</v>
      </c>
      <c r="AD817">
        <v>2456.38</v>
      </c>
      <c r="AE817">
        <v>16102.92</v>
      </c>
    </row>
    <row r="818" spans="1:31" x14ac:dyDescent="0.25">
      <c r="A818" t="s">
        <v>1021</v>
      </c>
      <c r="B818" s="2">
        <v>46055</v>
      </c>
      <c r="C818" t="s">
        <v>57</v>
      </c>
      <c r="D818" t="s">
        <v>58</v>
      </c>
      <c r="E818">
        <v>2026</v>
      </c>
      <c r="F818" t="s">
        <v>34</v>
      </c>
      <c r="G818" t="s">
        <v>35</v>
      </c>
      <c r="H818" t="s">
        <v>36</v>
      </c>
      <c r="I818" t="s">
        <v>145</v>
      </c>
      <c r="J818" t="s">
        <v>38</v>
      </c>
      <c r="K818" t="s">
        <v>101</v>
      </c>
      <c r="L818" t="s">
        <v>72</v>
      </c>
      <c r="M818" t="s">
        <v>62</v>
      </c>
      <c r="N818" t="s">
        <v>63</v>
      </c>
      <c r="O818" t="s">
        <v>54</v>
      </c>
      <c r="P818" t="s">
        <v>55</v>
      </c>
      <c r="Q818">
        <v>10829.93</v>
      </c>
      <c r="R818">
        <v>10914.41</v>
      </c>
      <c r="S818">
        <v>6874.11</v>
      </c>
      <c r="T818">
        <v>694.91</v>
      </c>
      <c r="U818">
        <v>665.33</v>
      </c>
      <c r="V818">
        <v>1283.42</v>
      </c>
      <c r="W818">
        <v>304.77</v>
      </c>
      <c r="X818">
        <v>9822.52</v>
      </c>
      <c r="Y818">
        <v>3955.83</v>
      </c>
      <c r="Z818">
        <v>-5866.69</v>
      </c>
      <c r="AA818">
        <v>-0.52569999999999995</v>
      </c>
      <c r="AB818">
        <v>-84.48</v>
      </c>
      <c r="AC818">
        <v>866.39</v>
      </c>
      <c r="AD818">
        <v>1195.6199999999999</v>
      </c>
      <c r="AE818">
        <v>11159.16</v>
      </c>
    </row>
    <row r="819" spans="1:31" x14ac:dyDescent="0.25">
      <c r="A819" t="s">
        <v>1022</v>
      </c>
      <c r="B819" s="2">
        <v>45814</v>
      </c>
      <c r="C819" t="s">
        <v>156</v>
      </c>
      <c r="D819" t="s">
        <v>66</v>
      </c>
      <c r="E819">
        <v>2025</v>
      </c>
      <c r="F819" t="s">
        <v>34</v>
      </c>
      <c r="G819" t="s">
        <v>35</v>
      </c>
      <c r="H819" t="s">
        <v>157</v>
      </c>
      <c r="I819" t="s">
        <v>166</v>
      </c>
      <c r="J819" t="s">
        <v>38</v>
      </c>
      <c r="K819" t="s">
        <v>71</v>
      </c>
      <c r="L819" t="s">
        <v>72</v>
      </c>
      <c r="M819" t="s">
        <v>161</v>
      </c>
      <c r="N819" t="s">
        <v>162</v>
      </c>
      <c r="O819" t="s">
        <v>43</v>
      </c>
      <c r="P819" t="s">
        <v>163</v>
      </c>
      <c r="Q819">
        <v>32417.98</v>
      </c>
      <c r="R819">
        <v>32591.3</v>
      </c>
      <c r="S819">
        <v>16850.650000000001</v>
      </c>
      <c r="T819">
        <v>2020.26</v>
      </c>
      <c r="U819">
        <v>2301.19</v>
      </c>
      <c r="V819">
        <v>3824.47</v>
      </c>
      <c r="W819">
        <v>588.66</v>
      </c>
      <c r="X819">
        <v>25585.23</v>
      </c>
      <c r="Y819">
        <v>15567.32</v>
      </c>
      <c r="Z819">
        <v>-10017.9</v>
      </c>
      <c r="AA819">
        <v>-0.30980000000000002</v>
      </c>
      <c r="AB819">
        <v>-173.32</v>
      </c>
      <c r="AC819">
        <v>1620.9</v>
      </c>
      <c r="AD819">
        <v>1539.85</v>
      </c>
      <c r="AE819">
        <v>32336.93</v>
      </c>
    </row>
    <row r="820" spans="1:31" x14ac:dyDescent="0.25">
      <c r="A820" t="s">
        <v>1023</v>
      </c>
      <c r="B820" s="2">
        <v>45775</v>
      </c>
      <c r="C820" t="s">
        <v>128</v>
      </c>
      <c r="D820" t="s">
        <v>66</v>
      </c>
      <c r="E820">
        <v>2025</v>
      </c>
      <c r="F820" t="s">
        <v>67</v>
      </c>
      <c r="G820" t="s">
        <v>35</v>
      </c>
      <c r="H820" t="s">
        <v>168</v>
      </c>
      <c r="I820" t="s">
        <v>169</v>
      </c>
      <c r="J820" t="s">
        <v>38</v>
      </c>
      <c r="K820" t="s">
        <v>71</v>
      </c>
      <c r="L820" t="s">
        <v>40</v>
      </c>
      <c r="M820" t="s">
        <v>120</v>
      </c>
      <c r="N820" t="s">
        <v>121</v>
      </c>
      <c r="O820" t="s">
        <v>43</v>
      </c>
      <c r="P820" t="s">
        <v>122</v>
      </c>
      <c r="Q820">
        <v>70525.3</v>
      </c>
      <c r="R820">
        <v>79347.350000000006</v>
      </c>
      <c r="S820">
        <v>44914.36</v>
      </c>
      <c r="T820">
        <v>8262.02</v>
      </c>
      <c r="U820">
        <v>6092.8</v>
      </c>
      <c r="V820">
        <v>4360.84</v>
      </c>
      <c r="W820">
        <v>1124.04</v>
      </c>
      <c r="X820">
        <v>64754.07</v>
      </c>
      <c r="Y820">
        <v>25610.94</v>
      </c>
      <c r="Z820">
        <v>-39143.120000000003</v>
      </c>
      <c r="AA820">
        <v>-0.4849</v>
      </c>
      <c r="AB820">
        <v>-8822.0499999999993</v>
      </c>
      <c r="AC820">
        <v>2115.7600000000002</v>
      </c>
      <c r="AD820">
        <v>12313.72</v>
      </c>
      <c r="AE820">
        <v>80723.259999999995</v>
      </c>
    </row>
    <row r="821" spans="1:31" x14ac:dyDescent="0.25">
      <c r="A821" t="s">
        <v>1024</v>
      </c>
      <c r="B821" s="2">
        <v>45923</v>
      </c>
      <c r="C821" t="s">
        <v>46</v>
      </c>
      <c r="D821" t="s">
        <v>33</v>
      </c>
      <c r="E821">
        <v>2025</v>
      </c>
      <c r="F821" t="s">
        <v>34</v>
      </c>
      <c r="G821" t="s">
        <v>35</v>
      </c>
      <c r="H821" t="s">
        <v>157</v>
      </c>
      <c r="I821" t="s">
        <v>166</v>
      </c>
      <c r="J821" t="s">
        <v>100</v>
      </c>
      <c r="K821" t="s">
        <v>160</v>
      </c>
      <c r="L821" t="s">
        <v>94</v>
      </c>
      <c r="M821" t="s">
        <v>235</v>
      </c>
      <c r="N821" t="s">
        <v>236</v>
      </c>
      <c r="O821" t="s">
        <v>104</v>
      </c>
      <c r="P821" t="s">
        <v>237</v>
      </c>
      <c r="Q821">
        <v>11236.66</v>
      </c>
      <c r="R821">
        <v>10246.620000000001</v>
      </c>
      <c r="S821">
        <v>7838.9</v>
      </c>
      <c r="T821">
        <v>1458.65</v>
      </c>
      <c r="U821">
        <v>400.78</v>
      </c>
      <c r="V821">
        <v>498.48</v>
      </c>
      <c r="W821">
        <v>242.04</v>
      </c>
      <c r="X821">
        <v>10438.86</v>
      </c>
      <c r="Y821">
        <v>3397.76</v>
      </c>
      <c r="Z821">
        <v>-7041.1</v>
      </c>
      <c r="AA821">
        <v>-0.61519999999999997</v>
      </c>
      <c r="AB821">
        <v>990.04</v>
      </c>
      <c r="AC821">
        <v>337.1</v>
      </c>
      <c r="AD821">
        <v>544.98</v>
      </c>
      <c r="AE821">
        <v>11444.54</v>
      </c>
    </row>
    <row r="822" spans="1:31" x14ac:dyDescent="0.25">
      <c r="A822" t="s">
        <v>1025</v>
      </c>
      <c r="B822" s="2">
        <v>45941</v>
      </c>
      <c r="C822" t="s">
        <v>92</v>
      </c>
      <c r="D822" t="s">
        <v>93</v>
      </c>
      <c r="E822">
        <v>2025</v>
      </c>
      <c r="F822" t="s">
        <v>34</v>
      </c>
      <c r="G822" t="s">
        <v>35</v>
      </c>
      <c r="H822" t="s">
        <v>98</v>
      </c>
      <c r="I822" t="s">
        <v>149</v>
      </c>
      <c r="J822" t="s">
        <v>80</v>
      </c>
      <c r="K822" t="s">
        <v>71</v>
      </c>
      <c r="L822" t="s">
        <v>40</v>
      </c>
      <c r="M822" t="s">
        <v>82</v>
      </c>
      <c r="N822" t="s">
        <v>83</v>
      </c>
      <c r="O822" t="s">
        <v>43</v>
      </c>
      <c r="P822" t="s">
        <v>75</v>
      </c>
      <c r="Q822">
        <v>46893.38</v>
      </c>
      <c r="R822">
        <v>54905.58</v>
      </c>
      <c r="S822">
        <v>24463.03</v>
      </c>
      <c r="T822">
        <v>3181.29</v>
      </c>
      <c r="U822">
        <v>2774.49</v>
      </c>
      <c r="V822">
        <v>2218.06</v>
      </c>
      <c r="W822">
        <v>1185.26</v>
      </c>
      <c r="X822">
        <v>33822.14</v>
      </c>
      <c r="Y822">
        <v>22430.35</v>
      </c>
      <c r="Z822">
        <v>-11391.79</v>
      </c>
      <c r="AA822">
        <v>-0.2283</v>
      </c>
      <c r="AB822">
        <v>-8012.19</v>
      </c>
      <c r="AC822">
        <v>2344.67</v>
      </c>
      <c r="AD822">
        <v>5345.85</v>
      </c>
      <c r="AE822">
        <v>49894.559999999998</v>
      </c>
    </row>
    <row r="823" spans="1:31" x14ac:dyDescent="0.25">
      <c r="A823" t="s">
        <v>1026</v>
      </c>
      <c r="B823" s="2">
        <v>45948</v>
      </c>
      <c r="C823" t="s">
        <v>92</v>
      </c>
      <c r="D823" t="s">
        <v>93</v>
      </c>
      <c r="E823">
        <v>2025</v>
      </c>
      <c r="F823" t="s">
        <v>59</v>
      </c>
      <c r="G823" t="s">
        <v>35</v>
      </c>
      <c r="H823" t="s">
        <v>230</v>
      </c>
      <c r="I823" t="s">
        <v>363</v>
      </c>
      <c r="J823" t="s">
        <v>70</v>
      </c>
      <c r="K823" t="s">
        <v>160</v>
      </c>
      <c r="L823" t="s">
        <v>1027</v>
      </c>
      <c r="M823" t="s">
        <v>88</v>
      </c>
      <c r="N823" t="s">
        <v>89</v>
      </c>
      <c r="O823" t="s">
        <v>43</v>
      </c>
      <c r="P823" t="s">
        <v>90</v>
      </c>
      <c r="Q823">
        <v>22834.47</v>
      </c>
      <c r="R823">
        <v>20813.2</v>
      </c>
      <c r="S823">
        <v>11083.01</v>
      </c>
      <c r="T823">
        <v>1455.04</v>
      </c>
      <c r="U823">
        <v>1409.23</v>
      </c>
      <c r="V823">
        <v>2198.21</v>
      </c>
      <c r="W823">
        <v>390.17</v>
      </c>
      <c r="X823">
        <v>16535.66</v>
      </c>
      <c r="Y823">
        <v>11751.46</v>
      </c>
      <c r="Z823">
        <v>-4784.2</v>
      </c>
      <c r="AA823">
        <v>-0.21</v>
      </c>
      <c r="AB823">
        <v>2021.27</v>
      </c>
      <c r="AC823">
        <v>1141.72</v>
      </c>
      <c r="AD823">
        <v>1084.6400000000001</v>
      </c>
      <c r="AE823">
        <v>22777.38</v>
      </c>
    </row>
    <row r="824" spans="1:31" x14ac:dyDescent="0.25">
      <c r="A824" t="s">
        <v>1028</v>
      </c>
      <c r="B824" s="2">
        <v>45909</v>
      </c>
      <c r="C824" t="s">
        <v>46</v>
      </c>
      <c r="D824" t="s">
        <v>33</v>
      </c>
      <c r="E824">
        <v>2025</v>
      </c>
      <c r="F824" t="s">
        <v>67</v>
      </c>
      <c r="G824" t="s">
        <v>35</v>
      </c>
      <c r="H824" t="s">
        <v>217</v>
      </c>
      <c r="I824" t="s">
        <v>284</v>
      </c>
      <c r="J824" t="s">
        <v>100</v>
      </c>
      <c r="K824" t="s">
        <v>39</v>
      </c>
      <c r="L824" t="s">
        <v>81</v>
      </c>
      <c r="M824" t="s">
        <v>41</v>
      </c>
      <c r="N824" t="s">
        <v>42</v>
      </c>
      <c r="O824" t="s">
        <v>43</v>
      </c>
      <c r="P824" t="s">
        <v>44</v>
      </c>
      <c r="Q824">
        <v>47090.05</v>
      </c>
      <c r="R824">
        <v>54902.95</v>
      </c>
      <c r="S824">
        <v>25788.31</v>
      </c>
      <c r="T824">
        <v>3793.71</v>
      </c>
      <c r="U824">
        <v>1457.74</v>
      </c>
      <c r="V824">
        <v>2306.56</v>
      </c>
      <c r="W824">
        <v>1668.68</v>
      </c>
      <c r="X824">
        <v>35014.99</v>
      </c>
      <c r="Y824">
        <v>21301.74</v>
      </c>
      <c r="Z824">
        <v>-13713.25</v>
      </c>
      <c r="AA824">
        <v>-0.2742</v>
      </c>
      <c r="AB824">
        <v>-7812.9</v>
      </c>
      <c r="AC824">
        <v>4709.01</v>
      </c>
      <c r="AD824">
        <v>7628.59</v>
      </c>
      <c r="AE824">
        <v>50009.63</v>
      </c>
    </row>
    <row r="825" spans="1:31" x14ac:dyDescent="0.25">
      <c r="A825" t="s">
        <v>1029</v>
      </c>
      <c r="B825" s="2">
        <v>45834</v>
      </c>
      <c r="C825" t="s">
        <v>156</v>
      </c>
      <c r="D825" t="s">
        <v>66</v>
      </c>
      <c r="E825">
        <v>2025</v>
      </c>
      <c r="F825" t="s">
        <v>34</v>
      </c>
      <c r="G825" t="s">
        <v>35</v>
      </c>
      <c r="H825" t="s">
        <v>134</v>
      </c>
      <c r="I825" t="s">
        <v>154</v>
      </c>
      <c r="J825" t="s">
        <v>70</v>
      </c>
      <c r="K825" t="s">
        <v>50</v>
      </c>
      <c r="L825" t="s">
        <v>81</v>
      </c>
      <c r="M825" t="s">
        <v>130</v>
      </c>
      <c r="N825" t="s">
        <v>131</v>
      </c>
      <c r="O825" t="s">
        <v>43</v>
      </c>
      <c r="P825" t="s">
        <v>132</v>
      </c>
      <c r="Q825">
        <v>30855.87</v>
      </c>
      <c r="R825">
        <v>27730.03</v>
      </c>
      <c r="S825">
        <v>16140.3</v>
      </c>
      <c r="T825">
        <v>1850.12</v>
      </c>
      <c r="U825">
        <v>2606.31</v>
      </c>
      <c r="V825">
        <v>1580.48</v>
      </c>
      <c r="W825">
        <v>889.2</v>
      </c>
      <c r="X825">
        <v>23066.400000000001</v>
      </c>
      <c r="Y825">
        <v>14715.57</v>
      </c>
      <c r="Z825">
        <v>-8350.82</v>
      </c>
      <c r="AA825">
        <v>-0.25440000000000002</v>
      </c>
      <c r="AB825">
        <v>3125.84</v>
      </c>
      <c r="AC825">
        <v>1542.79</v>
      </c>
      <c r="AD825">
        <v>3517.57</v>
      </c>
      <c r="AE825">
        <v>32830.65</v>
      </c>
    </row>
    <row r="826" spans="1:31" x14ac:dyDescent="0.25">
      <c r="A826" t="s">
        <v>1030</v>
      </c>
      <c r="B826" s="2">
        <v>46061</v>
      </c>
      <c r="C826" t="s">
        <v>57</v>
      </c>
      <c r="D826" t="s">
        <v>58</v>
      </c>
      <c r="E826">
        <v>2026</v>
      </c>
      <c r="F826" t="s">
        <v>67</v>
      </c>
      <c r="G826" t="s">
        <v>35</v>
      </c>
      <c r="H826" t="s">
        <v>118</v>
      </c>
      <c r="I826" t="s">
        <v>119</v>
      </c>
      <c r="J826" t="s">
        <v>70</v>
      </c>
      <c r="K826" t="s">
        <v>101</v>
      </c>
      <c r="L826" t="s">
        <v>40</v>
      </c>
      <c r="M826" t="s">
        <v>52</v>
      </c>
      <c r="N826" t="s">
        <v>53</v>
      </c>
      <c r="O826" t="s">
        <v>54</v>
      </c>
      <c r="P826" t="s">
        <v>55</v>
      </c>
      <c r="Q826">
        <v>7061.37</v>
      </c>
      <c r="R826">
        <v>7133.9</v>
      </c>
      <c r="S826">
        <v>4045.88</v>
      </c>
      <c r="T826">
        <v>828.55</v>
      </c>
      <c r="U826">
        <v>277.22000000000003</v>
      </c>
      <c r="V826">
        <v>697.22</v>
      </c>
      <c r="W826">
        <v>257.82</v>
      </c>
      <c r="X826">
        <v>6106.7</v>
      </c>
      <c r="Y826">
        <v>3015.49</v>
      </c>
      <c r="Z826">
        <v>-3091.21</v>
      </c>
      <c r="AA826">
        <v>-0.40289999999999998</v>
      </c>
      <c r="AB826">
        <v>-72.53</v>
      </c>
      <c r="AC826">
        <v>211.84</v>
      </c>
      <c r="AD826">
        <v>821.94</v>
      </c>
      <c r="AE826">
        <v>7671.47</v>
      </c>
    </row>
    <row r="827" spans="1:31" x14ac:dyDescent="0.25">
      <c r="A827" t="s">
        <v>1031</v>
      </c>
      <c r="B827" s="2">
        <v>45791</v>
      </c>
      <c r="C827" t="s">
        <v>65</v>
      </c>
      <c r="D827" t="s">
        <v>66</v>
      </c>
      <c r="E827">
        <v>2025</v>
      </c>
      <c r="F827" t="s">
        <v>59</v>
      </c>
      <c r="G827" t="s">
        <v>35</v>
      </c>
      <c r="H827" t="s">
        <v>230</v>
      </c>
      <c r="I827" t="s">
        <v>301</v>
      </c>
      <c r="J827" t="s">
        <v>80</v>
      </c>
      <c r="K827" t="s">
        <v>50</v>
      </c>
      <c r="L827" t="s">
        <v>40</v>
      </c>
      <c r="M827" t="s">
        <v>189</v>
      </c>
      <c r="N827" t="s">
        <v>190</v>
      </c>
      <c r="O827" t="s">
        <v>104</v>
      </c>
      <c r="P827" t="s">
        <v>105</v>
      </c>
      <c r="Q827">
        <v>20902.45</v>
      </c>
      <c r="R827">
        <v>19871.8</v>
      </c>
      <c r="S827">
        <v>14724.5</v>
      </c>
      <c r="T827">
        <v>2641.92</v>
      </c>
      <c r="U827">
        <v>1825.39</v>
      </c>
      <c r="V827">
        <v>2236.67</v>
      </c>
      <c r="W827">
        <v>475.19</v>
      </c>
      <c r="X827">
        <v>21903.66</v>
      </c>
      <c r="Y827">
        <v>6177.95</v>
      </c>
      <c r="Z827">
        <v>-15725.71</v>
      </c>
      <c r="AA827">
        <v>-0.67169999999999996</v>
      </c>
      <c r="AB827">
        <v>1030.6400000000001</v>
      </c>
      <c r="AC827">
        <v>0</v>
      </c>
      <c r="AD827">
        <v>2508.29</v>
      </c>
      <c r="AE827">
        <v>23410.74</v>
      </c>
    </row>
    <row r="828" spans="1:31" x14ac:dyDescent="0.25">
      <c r="A828" t="s">
        <v>1032</v>
      </c>
      <c r="B828" s="2">
        <v>46073</v>
      </c>
      <c r="C828" t="s">
        <v>57</v>
      </c>
      <c r="D828" t="s">
        <v>58</v>
      </c>
      <c r="E828">
        <v>2026</v>
      </c>
      <c r="F828" t="s">
        <v>59</v>
      </c>
      <c r="G828" t="s">
        <v>35</v>
      </c>
      <c r="H828" t="s">
        <v>60</v>
      </c>
      <c r="I828" t="s">
        <v>108</v>
      </c>
      <c r="J828" t="s">
        <v>100</v>
      </c>
      <c r="K828" t="s">
        <v>50</v>
      </c>
      <c r="L828" t="s">
        <v>51</v>
      </c>
      <c r="M828" t="s">
        <v>110</v>
      </c>
      <c r="N828" t="s">
        <v>111</v>
      </c>
      <c r="O828" t="s">
        <v>112</v>
      </c>
      <c r="P828" t="s">
        <v>113</v>
      </c>
      <c r="Q828">
        <v>17410.009999999998</v>
      </c>
      <c r="R828">
        <v>15840.75</v>
      </c>
      <c r="S828">
        <v>9637.1200000000008</v>
      </c>
      <c r="T828">
        <v>1568.11</v>
      </c>
      <c r="U828">
        <v>697.45</v>
      </c>
      <c r="V828">
        <v>1451.12</v>
      </c>
      <c r="W828">
        <v>308.01</v>
      </c>
      <c r="X828">
        <v>13661.81</v>
      </c>
      <c r="Y828">
        <v>7772.89</v>
      </c>
      <c r="Z828">
        <v>-5888.91</v>
      </c>
      <c r="AA828">
        <v>-0.30170000000000002</v>
      </c>
      <c r="AB828">
        <v>1569.26</v>
      </c>
      <c r="AC828">
        <v>870.5</v>
      </c>
      <c r="AD828">
        <v>2977.11</v>
      </c>
      <c r="AE828">
        <v>19516.62</v>
      </c>
    </row>
    <row r="829" spans="1:31" x14ac:dyDescent="0.25">
      <c r="A829" t="s">
        <v>1033</v>
      </c>
      <c r="B829" s="2">
        <v>46087</v>
      </c>
      <c r="C829" t="s">
        <v>125</v>
      </c>
      <c r="D829" t="s">
        <v>58</v>
      </c>
      <c r="E829">
        <v>2026</v>
      </c>
      <c r="F829" t="s">
        <v>34</v>
      </c>
      <c r="G829" t="s">
        <v>35</v>
      </c>
      <c r="H829" t="s">
        <v>98</v>
      </c>
      <c r="I829" t="s">
        <v>99</v>
      </c>
      <c r="J829" t="s">
        <v>80</v>
      </c>
      <c r="K829" t="s">
        <v>39</v>
      </c>
      <c r="L829" t="s">
        <v>40</v>
      </c>
      <c r="M829" t="s">
        <v>197</v>
      </c>
      <c r="N829" t="s">
        <v>198</v>
      </c>
      <c r="O829" t="s">
        <v>43</v>
      </c>
      <c r="P829" t="s">
        <v>163</v>
      </c>
      <c r="Q829">
        <v>35786.089999999997</v>
      </c>
      <c r="R829">
        <v>33629.22</v>
      </c>
      <c r="S829">
        <v>25256.21</v>
      </c>
      <c r="T829">
        <v>3969.51</v>
      </c>
      <c r="U829">
        <v>2514.15</v>
      </c>
      <c r="V829">
        <v>2115.4699999999998</v>
      </c>
      <c r="W829">
        <v>506.38</v>
      </c>
      <c r="X829">
        <v>34361.71</v>
      </c>
      <c r="Y829">
        <v>10529.88</v>
      </c>
      <c r="Z829">
        <v>-23831.83</v>
      </c>
      <c r="AA829">
        <v>-0.68940000000000001</v>
      </c>
      <c r="AB829">
        <v>2156.87</v>
      </c>
      <c r="AC829">
        <v>2862.89</v>
      </c>
      <c r="AD829">
        <v>1646.16</v>
      </c>
      <c r="AE829">
        <v>34569.360000000001</v>
      </c>
    </row>
    <row r="830" spans="1:31" x14ac:dyDescent="0.25">
      <c r="A830" t="s">
        <v>1034</v>
      </c>
      <c r="B830" s="2">
        <v>46022</v>
      </c>
      <c r="C830" t="s">
        <v>107</v>
      </c>
      <c r="D830" t="s">
        <v>93</v>
      </c>
      <c r="E830">
        <v>2025</v>
      </c>
      <c r="F830" t="s">
        <v>47</v>
      </c>
      <c r="G830" t="s">
        <v>35</v>
      </c>
      <c r="H830" t="s">
        <v>78</v>
      </c>
      <c r="I830" t="s">
        <v>183</v>
      </c>
      <c r="J830" t="s">
        <v>100</v>
      </c>
      <c r="K830" t="s">
        <v>50</v>
      </c>
      <c r="L830" t="s">
        <v>72</v>
      </c>
      <c r="M830" t="s">
        <v>197</v>
      </c>
      <c r="N830" t="s">
        <v>198</v>
      </c>
      <c r="O830" t="s">
        <v>43</v>
      </c>
      <c r="P830" t="s">
        <v>163</v>
      </c>
      <c r="Q830">
        <v>38813.83</v>
      </c>
      <c r="R830">
        <v>42615.31</v>
      </c>
      <c r="S830">
        <v>20563.189999999999</v>
      </c>
      <c r="T830">
        <v>3285.22</v>
      </c>
      <c r="U830">
        <v>2601.67</v>
      </c>
      <c r="V830">
        <v>2396.92</v>
      </c>
      <c r="W830">
        <v>909.94</v>
      </c>
      <c r="X830">
        <v>29756.94</v>
      </c>
      <c r="Y830">
        <v>18250.64</v>
      </c>
      <c r="Z830">
        <v>-11506.3</v>
      </c>
      <c r="AA830">
        <v>-0.26440000000000002</v>
      </c>
      <c r="AB830">
        <v>-3801.48</v>
      </c>
      <c r="AC830">
        <v>1940.69</v>
      </c>
      <c r="AD830">
        <v>6637.16</v>
      </c>
      <c r="AE830">
        <v>43510.3</v>
      </c>
    </row>
    <row r="831" spans="1:31" x14ac:dyDescent="0.25">
      <c r="A831" t="s">
        <v>1035</v>
      </c>
      <c r="B831" s="2">
        <v>45936</v>
      </c>
      <c r="C831" t="s">
        <v>92</v>
      </c>
      <c r="D831" t="s">
        <v>93</v>
      </c>
      <c r="E831">
        <v>2025</v>
      </c>
      <c r="F831" t="s">
        <v>59</v>
      </c>
      <c r="G831" t="s">
        <v>35</v>
      </c>
      <c r="H831" t="s">
        <v>230</v>
      </c>
      <c r="I831" t="s">
        <v>301</v>
      </c>
      <c r="J831" t="s">
        <v>80</v>
      </c>
      <c r="K831" t="s">
        <v>101</v>
      </c>
      <c r="L831" t="s">
        <v>81</v>
      </c>
      <c r="M831" t="s">
        <v>161</v>
      </c>
      <c r="N831" t="s">
        <v>162</v>
      </c>
      <c r="O831" t="s">
        <v>43</v>
      </c>
      <c r="P831" t="s">
        <v>163</v>
      </c>
      <c r="Q831">
        <v>28789.4</v>
      </c>
      <c r="R831">
        <v>30350.6</v>
      </c>
      <c r="S831">
        <v>17160.88</v>
      </c>
      <c r="T831">
        <v>3118.09</v>
      </c>
      <c r="U831">
        <v>1545.66</v>
      </c>
      <c r="V831">
        <v>1931.51</v>
      </c>
      <c r="W831">
        <v>583.61</v>
      </c>
      <c r="X831">
        <v>24339.75</v>
      </c>
      <c r="Y831">
        <v>11628.52</v>
      </c>
      <c r="Z831">
        <v>-12711.23</v>
      </c>
      <c r="AA831">
        <v>-0.40229999999999999</v>
      </c>
      <c r="AB831">
        <v>-1561.2</v>
      </c>
      <c r="AC831">
        <v>575.79</v>
      </c>
      <c r="AD831">
        <v>3385.63</v>
      </c>
      <c r="AE831">
        <v>31599.25</v>
      </c>
    </row>
    <row r="832" spans="1:31" x14ac:dyDescent="0.25">
      <c r="A832" t="s">
        <v>1036</v>
      </c>
      <c r="B832" s="2">
        <v>45967</v>
      </c>
      <c r="C832" t="s">
        <v>147</v>
      </c>
      <c r="D832" t="s">
        <v>93</v>
      </c>
      <c r="E832">
        <v>2025</v>
      </c>
      <c r="F832" t="s">
        <v>59</v>
      </c>
      <c r="G832" t="s">
        <v>35</v>
      </c>
      <c r="H832" t="s">
        <v>230</v>
      </c>
      <c r="I832" t="s">
        <v>363</v>
      </c>
      <c r="J832" t="s">
        <v>38</v>
      </c>
      <c r="K832" t="s">
        <v>50</v>
      </c>
      <c r="L832" t="s">
        <v>51</v>
      </c>
      <c r="M832" t="s">
        <v>41</v>
      </c>
      <c r="N832" t="s">
        <v>42</v>
      </c>
      <c r="O832" t="s">
        <v>43</v>
      </c>
      <c r="P832" t="s">
        <v>44</v>
      </c>
      <c r="Q832">
        <v>58306.87</v>
      </c>
      <c r="R832">
        <v>61476.18</v>
      </c>
      <c r="S832">
        <v>41402.980000000003</v>
      </c>
      <c r="T832">
        <v>3015.35</v>
      </c>
      <c r="U832">
        <v>4257.13</v>
      </c>
      <c r="V832">
        <v>6804.58</v>
      </c>
      <c r="W832">
        <v>2342.7399999999998</v>
      </c>
      <c r="X832">
        <v>57822.78</v>
      </c>
      <c r="Y832">
        <v>16903.89</v>
      </c>
      <c r="Z832">
        <v>-40918.89</v>
      </c>
      <c r="AA832">
        <v>-0.62660000000000005</v>
      </c>
      <c r="AB832">
        <v>-3169.31</v>
      </c>
      <c r="AC832">
        <v>0</v>
      </c>
      <c r="AD832">
        <v>6996.82</v>
      </c>
      <c r="AE832">
        <v>65303.7</v>
      </c>
    </row>
    <row r="833" spans="1:31" x14ac:dyDescent="0.25">
      <c r="A833" t="s">
        <v>1037</v>
      </c>
      <c r="B833" s="2">
        <v>46050</v>
      </c>
      <c r="C833" t="s">
        <v>77</v>
      </c>
      <c r="D833" t="s">
        <v>58</v>
      </c>
      <c r="E833">
        <v>2026</v>
      </c>
      <c r="F833" t="s">
        <v>34</v>
      </c>
      <c r="G833" t="s">
        <v>35</v>
      </c>
      <c r="H833" t="s">
        <v>157</v>
      </c>
      <c r="I833" t="s">
        <v>166</v>
      </c>
      <c r="J833" t="s">
        <v>70</v>
      </c>
      <c r="K833" t="s">
        <v>160</v>
      </c>
      <c r="L833" t="s">
        <v>40</v>
      </c>
      <c r="M833" t="s">
        <v>211</v>
      </c>
      <c r="N833" t="s">
        <v>212</v>
      </c>
      <c r="O833" t="s">
        <v>112</v>
      </c>
      <c r="P833" t="s">
        <v>113</v>
      </c>
      <c r="Q833">
        <v>14400.13</v>
      </c>
      <c r="R833">
        <v>13425.73</v>
      </c>
      <c r="S833">
        <v>8131.62</v>
      </c>
      <c r="T833">
        <v>1152.5999999999999</v>
      </c>
      <c r="U833">
        <v>778.67</v>
      </c>
      <c r="V833">
        <v>1486.28</v>
      </c>
      <c r="W833">
        <v>548.29</v>
      </c>
      <c r="X833">
        <v>12097.45</v>
      </c>
      <c r="Y833">
        <v>6268.51</v>
      </c>
      <c r="Z833">
        <v>-5828.94</v>
      </c>
      <c r="AA833">
        <v>-0.40579999999999999</v>
      </c>
      <c r="AB833">
        <v>974.4</v>
      </c>
      <c r="AC833">
        <v>720.01</v>
      </c>
      <c r="AD833">
        <v>684.01</v>
      </c>
      <c r="AE833">
        <v>14364.13</v>
      </c>
    </row>
    <row r="834" spans="1:31" x14ac:dyDescent="0.25">
      <c r="A834" t="s">
        <v>1038</v>
      </c>
      <c r="B834" s="2">
        <v>45826</v>
      </c>
      <c r="C834" t="s">
        <v>156</v>
      </c>
      <c r="D834" t="s">
        <v>66</v>
      </c>
      <c r="E834">
        <v>2025</v>
      </c>
      <c r="F834" t="s">
        <v>47</v>
      </c>
      <c r="G834" t="s">
        <v>35</v>
      </c>
      <c r="H834" t="s">
        <v>48</v>
      </c>
      <c r="I834" t="s">
        <v>126</v>
      </c>
      <c r="J834" t="s">
        <v>100</v>
      </c>
      <c r="K834" t="s">
        <v>160</v>
      </c>
      <c r="L834" t="s">
        <v>51</v>
      </c>
      <c r="M834" t="s">
        <v>235</v>
      </c>
      <c r="N834" t="s">
        <v>236</v>
      </c>
      <c r="O834" t="s">
        <v>104</v>
      </c>
      <c r="P834" t="s">
        <v>237</v>
      </c>
      <c r="Q834">
        <v>10979.12</v>
      </c>
      <c r="R834">
        <v>12860.57</v>
      </c>
      <c r="S834">
        <v>7186.25</v>
      </c>
      <c r="T834">
        <v>856.07</v>
      </c>
      <c r="U834">
        <v>340.74</v>
      </c>
      <c r="V834">
        <v>893.09</v>
      </c>
      <c r="W834">
        <v>191.81</v>
      </c>
      <c r="X834">
        <v>9467.9599999999991</v>
      </c>
      <c r="Y834">
        <v>3792.87</v>
      </c>
      <c r="Z834">
        <v>-5675.09</v>
      </c>
      <c r="AA834">
        <v>-0.46110000000000001</v>
      </c>
      <c r="AB834">
        <v>-1881.44</v>
      </c>
      <c r="AC834">
        <v>548.96</v>
      </c>
      <c r="AD834">
        <v>1877.43</v>
      </c>
      <c r="AE834">
        <v>12307.6</v>
      </c>
    </row>
    <row r="835" spans="1:31" x14ac:dyDescent="0.25">
      <c r="A835" t="s">
        <v>1039</v>
      </c>
      <c r="B835" s="2">
        <v>45922</v>
      </c>
      <c r="C835" t="s">
        <v>46</v>
      </c>
      <c r="D835" t="s">
        <v>33</v>
      </c>
      <c r="E835">
        <v>2025</v>
      </c>
      <c r="F835" t="s">
        <v>47</v>
      </c>
      <c r="G835" t="s">
        <v>35</v>
      </c>
      <c r="H835" t="s">
        <v>78</v>
      </c>
      <c r="I835" t="s">
        <v>115</v>
      </c>
      <c r="J835" t="s">
        <v>100</v>
      </c>
      <c r="K835" t="s">
        <v>101</v>
      </c>
      <c r="L835" t="s">
        <v>72</v>
      </c>
      <c r="M835" t="s">
        <v>171</v>
      </c>
      <c r="N835" t="s">
        <v>172</v>
      </c>
      <c r="O835" t="s">
        <v>173</v>
      </c>
      <c r="P835" t="s">
        <v>174</v>
      </c>
      <c r="Q835">
        <v>9069.24</v>
      </c>
      <c r="R835">
        <v>8250.02</v>
      </c>
      <c r="S835">
        <v>5296.61</v>
      </c>
      <c r="T835">
        <v>544.96</v>
      </c>
      <c r="U835">
        <v>484.52</v>
      </c>
      <c r="V835">
        <v>893.94</v>
      </c>
      <c r="W835">
        <v>307.62</v>
      </c>
      <c r="X835">
        <v>7527.64</v>
      </c>
      <c r="Y835">
        <v>3772.63</v>
      </c>
      <c r="Z835">
        <v>-3755.01</v>
      </c>
      <c r="AA835">
        <v>-0.35799999999999998</v>
      </c>
      <c r="AB835">
        <v>819.21</v>
      </c>
      <c r="AC835">
        <v>181.38</v>
      </c>
      <c r="AD835">
        <v>1599.81</v>
      </c>
      <c r="AE835">
        <v>10487.66</v>
      </c>
    </row>
    <row r="836" spans="1:31" x14ac:dyDescent="0.25">
      <c r="A836" t="s">
        <v>1040</v>
      </c>
      <c r="B836" s="2">
        <v>45965</v>
      </c>
      <c r="C836" t="s">
        <v>147</v>
      </c>
      <c r="D836" t="s">
        <v>93</v>
      </c>
      <c r="E836">
        <v>2025</v>
      </c>
      <c r="F836" t="s">
        <v>67</v>
      </c>
      <c r="G836" t="s">
        <v>35</v>
      </c>
      <c r="H836" t="s">
        <v>118</v>
      </c>
      <c r="I836" t="s">
        <v>209</v>
      </c>
      <c r="J836" t="s">
        <v>70</v>
      </c>
      <c r="K836" t="s">
        <v>39</v>
      </c>
      <c r="L836" t="s">
        <v>51</v>
      </c>
      <c r="M836" t="s">
        <v>62</v>
      </c>
      <c r="N836" t="s">
        <v>63</v>
      </c>
      <c r="O836" t="s">
        <v>54</v>
      </c>
      <c r="P836" t="s">
        <v>55</v>
      </c>
      <c r="Q836">
        <v>7848.86</v>
      </c>
      <c r="R836">
        <v>7988.53</v>
      </c>
      <c r="S836">
        <v>5047.46</v>
      </c>
      <c r="T836">
        <v>801.77</v>
      </c>
      <c r="U836">
        <v>215.95</v>
      </c>
      <c r="V836">
        <v>429.12</v>
      </c>
      <c r="W836">
        <v>323.95</v>
      </c>
      <c r="X836">
        <v>6818.24</v>
      </c>
      <c r="Y836">
        <v>2801.4</v>
      </c>
      <c r="Z836">
        <v>-4016.84</v>
      </c>
      <c r="AA836">
        <v>-0.4819</v>
      </c>
      <c r="AB836">
        <v>-139.66999999999999</v>
      </c>
      <c r="AC836">
        <v>784.89</v>
      </c>
      <c r="AD836">
        <v>1271.51</v>
      </c>
      <c r="AE836">
        <v>8335.48</v>
      </c>
    </row>
    <row r="837" spans="1:31" x14ac:dyDescent="0.25">
      <c r="A837" t="s">
        <v>1041</v>
      </c>
      <c r="B837" s="2">
        <v>46044</v>
      </c>
      <c r="C837" t="s">
        <v>77</v>
      </c>
      <c r="D837" t="s">
        <v>58</v>
      </c>
      <c r="E837">
        <v>2026</v>
      </c>
      <c r="F837" t="s">
        <v>47</v>
      </c>
      <c r="G837" t="s">
        <v>35</v>
      </c>
      <c r="H837" t="s">
        <v>214</v>
      </c>
      <c r="I837" t="s">
        <v>220</v>
      </c>
      <c r="J837" t="s">
        <v>70</v>
      </c>
      <c r="K837" t="s">
        <v>101</v>
      </c>
      <c r="L837" t="s">
        <v>94</v>
      </c>
      <c r="M837" t="s">
        <v>62</v>
      </c>
      <c r="N837" t="s">
        <v>63</v>
      </c>
      <c r="O837" t="s">
        <v>54</v>
      </c>
      <c r="P837" t="s">
        <v>55</v>
      </c>
      <c r="Q837">
        <v>7079.56</v>
      </c>
      <c r="R837">
        <v>7156.64</v>
      </c>
      <c r="S837">
        <v>4315.6099999999997</v>
      </c>
      <c r="T837">
        <v>465.88</v>
      </c>
      <c r="U837">
        <v>375.19</v>
      </c>
      <c r="V837">
        <v>567.33000000000004</v>
      </c>
      <c r="W837">
        <v>294.10000000000002</v>
      </c>
      <c r="X837">
        <v>6018.11</v>
      </c>
      <c r="Y837">
        <v>2763.95</v>
      </c>
      <c r="Z837">
        <v>-3254.17</v>
      </c>
      <c r="AA837">
        <v>-0.39750000000000002</v>
      </c>
      <c r="AB837">
        <v>-77.069999999999993</v>
      </c>
      <c r="AC837">
        <v>141.59</v>
      </c>
      <c r="AD837">
        <v>1248.83</v>
      </c>
      <c r="AE837">
        <v>8186.81</v>
      </c>
    </row>
    <row r="838" spans="1:31" x14ac:dyDescent="0.25">
      <c r="A838" t="s">
        <v>1042</v>
      </c>
      <c r="B838" s="2">
        <v>46055</v>
      </c>
      <c r="C838" t="s">
        <v>57</v>
      </c>
      <c r="D838" t="s">
        <v>58</v>
      </c>
      <c r="E838">
        <v>2026</v>
      </c>
      <c r="F838" t="s">
        <v>59</v>
      </c>
      <c r="G838" t="s">
        <v>35</v>
      </c>
      <c r="H838" t="s">
        <v>139</v>
      </c>
      <c r="I838" t="s">
        <v>200</v>
      </c>
      <c r="J838" t="s">
        <v>100</v>
      </c>
      <c r="K838" t="s">
        <v>50</v>
      </c>
      <c r="L838" t="s">
        <v>40</v>
      </c>
      <c r="M838" t="s">
        <v>221</v>
      </c>
      <c r="N838" t="s">
        <v>222</v>
      </c>
      <c r="O838" t="s">
        <v>104</v>
      </c>
      <c r="P838" t="s">
        <v>223</v>
      </c>
      <c r="Q838">
        <v>10707.66</v>
      </c>
      <c r="R838">
        <v>10648.04</v>
      </c>
      <c r="S838">
        <v>6054.97</v>
      </c>
      <c r="T838">
        <v>854.33</v>
      </c>
      <c r="U838">
        <v>489.21</v>
      </c>
      <c r="V838">
        <v>960.38</v>
      </c>
      <c r="W838">
        <v>168.64</v>
      </c>
      <c r="X838">
        <v>8527.5300000000007</v>
      </c>
      <c r="Y838">
        <v>4652.6899999999996</v>
      </c>
      <c r="Z838">
        <v>-3874.83</v>
      </c>
      <c r="AA838">
        <v>-0.33329999999999999</v>
      </c>
      <c r="AB838">
        <v>59.62</v>
      </c>
      <c r="AC838">
        <v>856.61</v>
      </c>
      <c r="AD838">
        <v>1773.19</v>
      </c>
      <c r="AE838">
        <v>11624.24</v>
      </c>
    </row>
    <row r="839" spans="1:31" x14ac:dyDescent="0.25">
      <c r="A839" t="s">
        <v>1043</v>
      </c>
      <c r="B839" s="2">
        <v>45968</v>
      </c>
      <c r="C839" t="s">
        <v>147</v>
      </c>
      <c r="D839" t="s">
        <v>93</v>
      </c>
      <c r="E839">
        <v>2025</v>
      </c>
      <c r="F839" t="s">
        <v>67</v>
      </c>
      <c r="G839" t="s">
        <v>35</v>
      </c>
      <c r="H839" t="s">
        <v>68</v>
      </c>
      <c r="I839" t="s">
        <v>260</v>
      </c>
      <c r="J839" t="s">
        <v>80</v>
      </c>
      <c r="K839" t="s">
        <v>39</v>
      </c>
      <c r="L839" t="s">
        <v>40</v>
      </c>
      <c r="M839" t="s">
        <v>186</v>
      </c>
      <c r="N839" t="s">
        <v>187</v>
      </c>
      <c r="O839" t="s">
        <v>173</v>
      </c>
      <c r="P839" t="s">
        <v>174</v>
      </c>
      <c r="Q839">
        <v>25356.73</v>
      </c>
      <c r="R839">
        <v>28499.33</v>
      </c>
      <c r="S839">
        <v>17894.53</v>
      </c>
      <c r="T839">
        <v>1948.81</v>
      </c>
      <c r="U839">
        <v>1507.27</v>
      </c>
      <c r="V839">
        <v>2349.7199999999998</v>
      </c>
      <c r="W839">
        <v>324.10000000000002</v>
      </c>
      <c r="X839">
        <v>24024.42</v>
      </c>
      <c r="Y839">
        <v>7462.2</v>
      </c>
      <c r="Z839">
        <v>-16562.22</v>
      </c>
      <c r="AA839">
        <v>-0.60119999999999996</v>
      </c>
      <c r="AB839">
        <v>-3142.6</v>
      </c>
      <c r="AC839">
        <v>760.7</v>
      </c>
      <c r="AD839">
        <v>2951.52</v>
      </c>
      <c r="AE839">
        <v>27547.56</v>
      </c>
    </row>
    <row r="840" spans="1:31" x14ac:dyDescent="0.25">
      <c r="A840" t="s">
        <v>1044</v>
      </c>
      <c r="B840" s="2">
        <v>45888</v>
      </c>
      <c r="C840" t="s">
        <v>117</v>
      </c>
      <c r="D840" t="s">
        <v>33</v>
      </c>
      <c r="E840">
        <v>2025</v>
      </c>
      <c r="F840" t="s">
        <v>34</v>
      </c>
      <c r="G840" t="s">
        <v>35</v>
      </c>
      <c r="H840" t="s">
        <v>134</v>
      </c>
      <c r="I840" t="s">
        <v>135</v>
      </c>
      <c r="J840" t="s">
        <v>70</v>
      </c>
      <c r="K840" t="s">
        <v>39</v>
      </c>
      <c r="L840" t="s">
        <v>40</v>
      </c>
      <c r="M840" t="s">
        <v>73</v>
      </c>
      <c r="N840" t="s">
        <v>74</v>
      </c>
      <c r="O840" t="s">
        <v>43</v>
      </c>
      <c r="P840" t="s">
        <v>75</v>
      </c>
      <c r="Q840">
        <v>34944.82</v>
      </c>
      <c r="R840">
        <v>36556.18</v>
      </c>
      <c r="S840">
        <v>24640.53</v>
      </c>
      <c r="T840">
        <v>3771.24</v>
      </c>
      <c r="U840">
        <v>2125.14</v>
      </c>
      <c r="V840">
        <v>3551.55</v>
      </c>
      <c r="W840">
        <v>803.07</v>
      </c>
      <c r="X840">
        <v>34891.54</v>
      </c>
      <c r="Y840">
        <v>10304.290000000001</v>
      </c>
      <c r="Z840">
        <v>-24587.25</v>
      </c>
      <c r="AA840">
        <v>-0.6613</v>
      </c>
      <c r="AB840">
        <v>-1611.36</v>
      </c>
      <c r="AC840">
        <v>1747.24</v>
      </c>
      <c r="AD840">
        <v>3983.71</v>
      </c>
      <c r="AE840">
        <v>37181.29</v>
      </c>
    </row>
    <row r="841" spans="1:31" x14ac:dyDescent="0.25">
      <c r="A841" t="s">
        <v>1045</v>
      </c>
      <c r="B841" s="2">
        <v>45762</v>
      </c>
      <c r="C841" t="s">
        <v>128</v>
      </c>
      <c r="D841" t="s">
        <v>66</v>
      </c>
      <c r="E841">
        <v>2025</v>
      </c>
      <c r="F841" t="s">
        <v>34</v>
      </c>
      <c r="G841" t="s">
        <v>35</v>
      </c>
      <c r="H841" t="s">
        <v>134</v>
      </c>
      <c r="I841" t="s">
        <v>154</v>
      </c>
      <c r="J841" t="s">
        <v>80</v>
      </c>
      <c r="K841" t="s">
        <v>50</v>
      </c>
      <c r="L841" t="s">
        <v>94</v>
      </c>
      <c r="M841" t="s">
        <v>73</v>
      </c>
      <c r="N841" t="s">
        <v>74</v>
      </c>
      <c r="O841" t="s">
        <v>43</v>
      </c>
      <c r="P841" t="s">
        <v>75</v>
      </c>
      <c r="Q841">
        <v>62071.34</v>
      </c>
      <c r="R841">
        <v>58051.54</v>
      </c>
      <c r="S841">
        <v>42313.21</v>
      </c>
      <c r="T841">
        <v>3707.18</v>
      </c>
      <c r="U841">
        <v>2419.1999999999998</v>
      </c>
      <c r="V841">
        <v>2667.46</v>
      </c>
      <c r="W841">
        <v>926.63</v>
      </c>
      <c r="X841">
        <v>52033.67</v>
      </c>
      <c r="Y841">
        <v>19758.13</v>
      </c>
      <c r="Z841">
        <v>-32275.54</v>
      </c>
      <c r="AA841">
        <v>-0.50460000000000005</v>
      </c>
      <c r="AB841">
        <v>4019.8</v>
      </c>
      <c r="AC841">
        <v>4965.71</v>
      </c>
      <c r="AD841">
        <v>6852.68</v>
      </c>
      <c r="AE841">
        <v>63958.31</v>
      </c>
    </row>
    <row r="842" spans="1:31" x14ac:dyDescent="0.25">
      <c r="A842" t="s">
        <v>1046</v>
      </c>
      <c r="B842" s="2">
        <v>45992</v>
      </c>
      <c r="C842" t="s">
        <v>107</v>
      </c>
      <c r="D842" t="s">
        <v>93</v>
      </c>
      <c r="E842">
        <v>2025</v>
      </c>
      <c r="F842" t="s">
        <v>67</v>
      </c>
      <c r="G842" t="s">
        <v>35</v>
      </c>
      <c r="H842" t="s">
        <v>168</v>
      </c>
      <c r="I842" t="s">
        <v>251</v>
      </c>
      <c r="J842" t="s">
        <v>80</v>
      </c>
      <c r="K842" t="s">
        <v>71</v>
      </c>
      <c r="L842" t="s">
        <v>81</v>
      </c>
      <c r="M842" t="s">
        <v>102</v>
      </c>
      <c r="N842" t="s">
        <v>103</v>
      </c>
      <c r="O842" t="s">
        <v>104</v>
      </c>
      <c r="P842" t="s">
        <v>105</v>
      </c>
      <c r="Q842">
        <v>19972.330000000002</v>
      </c>
      <c r="R842">
        <v>21857.78</v>
      </c>
      <c r="S842">
        <v>11427.18</v>
      </c>
      <c r="T842">
        <v>2230.35</v>
      </c>
      <c r="U842">
        <v>684.7</v>
      </c>
      <c r="V842">
        <v>1126.4100000000001</v>
      </c>
      <c r="W842">
        <v>679.2</v>
      </c>
      <c r="X842">
        <v>16147.84</v>
      </c>
      <c r="Y842">
        <v>8545.15</v>
      </c>
      <c r="Z842">
        <v>-7602.68</v>
      </c>
      <c r="AA842">
        <v>-0.38159999999999999</v>
      </c>
      <c r="AB842">
        <v>-1885.45</v>
      </c>
      <c r="AC842">
        <v>998.62</v>
      </c>
      <c r="AD842">
        <v>948.69</v>
      </c>
      <c r="AE842">
        <v>19922.400000000001</v>
      </c>
    </row>
    <row r="843" spans="1:31" x14ac:dyDescent="0.25">
      <c r="A843" t="s">
        <v>1047</v>
      </c>
      <c r="B843" s="2">
        <v>45824</v>
      </c>
      <c r="C843" t="s">
        <v>156</v>
      </c>
      <c r="D843" t="s">
        <v>66</v>
      </c>
      <c r="E843">
        <v>2025</v>
      </c>
      <c r="F843" t="s">
        <v>47</v>
      </c>
      <c r="G843" t="s">
        <v>35</v>
      </c>
      <c r="H843" t="s">
        <v>214</v>
      </c>
      <c r="I843" t="s">
        <v>220</v>
      </c>
      <c r="J843" t="s">
        <v>100</v>
      </c>
      <c r="K843" t="s">
        <v>160</v>
      </c>
      <c r="L843" t="s">
        <v>51</v>
      </c>
      <c r="M843" t="s">
        <v>141</v>
      </c>
      <c r="N843" t="s">
        <v>142</v>
      </c>
      <c r="O843" t="s">
        <v>54</v>
      </c>
      <c r="P843" t="s">
        <v>143</v>
      </c>
      <c r="Q843">
        <v>9187.18</v>
      </c>
      <c r="R843">
        <v>9285.32</v>
      </c>
      <c r="S843">
        <v>5243.69</v>
      </c>
      <c r="T843">
        <v>1008.93</v>
      </c>
      <c r="U843">
        <v>774.83</v>
      </c>
      <c r="V843">
        <v>922.34</v>
      </c>
      <c r="W843">
        <v>164.9</v>
      </c>
      <c r="X843">
        <v>8114.7</v>
      </c>
      <c r="Y843">
        <v>3943.49</v>
      </c>
      <c r="Z843">
        <v>-4171.2</v>
      </c>
      <c r="AA843">
        <v>-0.44059999999999999</v>
      </c>
      <c r="AB843">
        <v>-98.14</v>
      </c>
      <c r="AC843">
        <v>734.97</v>
      </c>
      <c r="AD843">
        <v>1014.26</v>
      </c>
      <c r="AE843">
        <v>9466.4699999999993</v>
      </c>
    </row>
    <row r="844" spans="1:31" x14ac:dyDescent="0.25">
      <c r="A844" t="s">
        <v>1048</v>
      </c>
      <c r="B844" s="2">
        <v>46081</v>
      </c>
      <c r="C844" t="s">
        <v>57</v>
      </c>
      <c r="D844" t="s">
        <v>58</v>
      </c>
      <c r="E844">
        <v>2026</v>
      </c>
      <c r="F844" t="s">
        <v>67</v>
      </c>
      <c r="G844" t="s">
        <v>35</v>
      </c>
      <c r="H844" t="s">
        <v>68</v>
      </c>
      <c r="I844" t="s">
        <v>69</v>
      </c>
      <c r="J844" t="s">
        <v>38</v>
      </c>
      <c r="K844" t="s">
        <v>71</v>
      </c>
      <c r="L844" t="s">
        <v>72</v>
      </c>
      <c r="M844" t="s">
        <v>161</v>
      </c>
      <c r="N844" t="s">
        <v>162</v>
      </c>
      <c r="O844" t="s">
        <v>43</v>
      </c>
      <c r="P844" t="s">
        <v>163</v>
      </c>
      <c r="Q844">
        <v>46208.41</v>
      </c>
      <c r="R844">
        <v>41572.65</v>
      </c>
      <c r="S844">
        <v>29999.38</v>
      </c>
      <c r="T844">
        <v>4319.7</v>
      </c>
      <c r="U844">
        <v>2734.41</v>
      </c>
      <c r="V844">
        <v>2927.93</v>
      </c>
      <c r="W844">
        <v>1424.09</v>
      </c>
      <c r="X844">
        <v>41405.51</v>
      </c>
      <c r="Y844">
        <v>16209.02</v>
      </c>
      <c r="Z844">
        <v>-25196.49</v>
      </c>
      <c r="AA844">
        <v>-0.51929999999999998</v>
      </c>
      <c r="AB844">
        <v>4635.75</v>
      </c>
      <c r="AC844">
        <v>0</v>
      </c>
      <c r="AD844">
        <v>2310.42</v>
      </c>
      <c r="AE844">
        <v>48518.83</v>
      </c>
    </row>
    <row r="845" spans="1:31" x14ac:dyDescent="0.25">
      <c r="A845" t="s">
        <v>1049</v>
      </c>
      <c r="B845" s="2">
        <v>45986</v>
      </c>
      <c r="C845" t="s">
        <v>147</v>
      </c>
      <c r="D845" t="s">
        <v>93</v>
      </c>
      <c r="E845">
        <v>2025</v>
      </c>
      <c r="F845" t="s">
        <v>34</v>
      </c>
      <c r="G845" t="s">
        <v>35</v>
      </c>
      <c r="H845" t="s">
        <v>36</v>
      </c>
      <c r="I845" t="s">
        <v>145</v>
      </c>
      <c r="J845" t="s">
        <v>100</v>
      </c>
      <c r="K845" t="s">
        <v>39</v>
      </c>
      <c r="L845" t="s">
        <v>72</v>
      </c>
      <c r="M845" t="s">
        <v>73</v>
      </c>
      <c r="N845" t="s">
        <v>74</v>
      </c>
      <c r="O845" t="s">
        <v>43</v>
      </c>
      <c r="P845" t="s">
        <v>75</v>
      </c>
      <c r="Q845">
        <v>32715.67</v>
      </c>
      <c r="R845">
        <v>34638.78</v>
      </c>
      <c r="S845">
        <v>17670.740000000002</v>
      </c>
      <c r="T845">
        <v>2509.5300000000002</v>
      </c>
      <c r="U845">
        <v>1820.02</v>
      </c>
      <c r="V845">
        <v>1378.69</v>
      </c>
      <c r="W845">
        <v>432.43</v>
      </c>
      <c r="X845">
        <v>23811.41</v>
      </c>
      <c r="Y845">
        <v>15044.93</v>
      </c>
      <c r="Z845">
        <v>-8766.4699999999993</v>
      </c>
      <c r="AA845">
        <v>-0.25180000000000002</v>
      </c>
      <c r="AB845">
        <v>-1923.11</v>
      </c>
      <c r="AC845">
        <v>1635.78</v>
      </c>
      <c r="AD845">
        <v>3729.59</v>
      </c>
      <c r="AE845">
        <v>34809.47</v>
      </c>
    </row>
    <row r="846" spans="1:31" x14ac:dyDescent="0.25">
      <c r="A846" t="s">
        <v>1050</v>
      </c>
      <c r="B846" s="2">
        <v>45814</v>
      </c>
      <c r="C846" t="s">
        <v>156</v>
      </c>
      <c r="D846" t="s">
        <v>66</v>
      </c>
      <c r="E846">
        <v>2025</v>
      </c>
      <c r="F846" t="s">
        <v>34</v>
      </c>
      <c r="G846" t="s">
        <v>35</v>
      </c>
      <c r="H846" t="s">
        <v>36</v>
      </c>
      <c r="I846" t="s">
        <v>37</v>
      </c>
      <c r="J846" t="s">
        <v>100</v>
      </c>
      <c r="K846" t="s">
        <v>71</v>
      </c>
      <c r="L846" t="s">
        <v>51</v>
      </c>
      <c r="M846" t="s">
        <v>171</v>
      </c>
      <c r="N846" t="s">
        <v>172</v>
      </c>
      <c r="O846" t="s">
        <v>173</v>
      </c>
      <c r="P846" t="s">
        <v>174</v>
      </c>
      <c r="Q846">
        <v>8893.86</v>
      </c>
      <c r="R846">
        <v>8572.18</v>
      </c>
      <c r="S846">
        <v>4783.54</v>
      </c>
      <c r="T846">
        <v>798.68</v>
      </c>
      <c r="U846">
        <v>768.4</v>
      </c>
      <c r="V846">
        <v>671.79</v>
      </c>
      <c r="W846">
        <v>294.87</v>
      </c>
      <c r="X846">
        <v>7317.29</v>
      </c>
      <c r="Y846">
        <v>4110.32</v>
      </c>
      <c r="Z846">
        <v>-3206.97</v>
      </c>
      <c r="AA846">
        <v>-0.32169999999999999</v>
      </c>
      <c r="AB846">
        <v>321.69</v>
      </c>
      <c r="AC846">
        <v>444.69</v>
      </c>
      <c r="AD846">
        <v>1520.85</v>
      </c>
      <c r="AE846">
        <v>9970.02</v>
      </c>
    </row>
    <row r="847" spans="1:31" x14ac:dyDescent="0.25">
      <c r="A847" t="s">
        <v>1051</v>
      </c>
      <c r="B847" s="2">
        <v>46007</v>
      </c>
      <c r="C847" t="s">
        <v>107</v>
      </c>
      <c r="D847" t="s">
        <v>93</v>
      </c>
      <c r="E847">
        <v>2025</v>
      </c>
      <c r="F847" t="s">
        <v>47</v>
      </c>
      <c r="G847" t="s">
        <v>35</v>
      </c>
      <c r="H847" t="s">
        <v>78</v>
      </c>
      <c r="I847" t="s">
        <v>115</v>
      </c>
      <c r="J847" t="s">
        <v>100</v>
      </c>
      <c r="K847" t="s">
        <v>71</v>
      </c>
      <c r="L847" t="s">
        <v>51</v>
      </c>
      <c r="M847" t="s">
        <v>73</v>
      </c>
      <c r="N847" t="s">
        <v>74</v>
      </c>
      <c r="O847" t="s">
        <v>43</v>
      </c>
      <c r="P847" t="s">
        <v>75</v>
      </c>
      <c r="Q847">
        <v>31098.71</v>
      </c>
      <c r="R847">
        <v>27668.63</v>
      </c>
      <c r="S847">
        <v>19755.849999999999</v>
      </c>
      <c r="T847">
        <v>2933.96</v>
      </c>
      <c r="U847">
        <v>2125.42</v>
      </c>
      <c r="V847">
        <v>3558.04</v>
      </c>
      <c r="W847">
        <v>1059.06</v>
      </c>
      <c r="X847">
        <v>29432.34</v>
      </c>
      <c r="Y847">
        <v>11342.86</v>
      </c>
      <c r="Z847">
        <v>-18089.48</v>
      </c>
      <c r="AA847">
        <v>-0.56530000000000002</v>
      </c>
      <c r="AB847">
        <v>3430.08</v>
      </c>
      <c r="AC847">
        <v>621.97</v>
      </c>
      <c r="AD847">
        <v>1523.84</v>
      </c>
      <c r="AE847">
        <v>32000.57</v>
      </c>
    </row>
    <row r="848" spans="1:31" x14ac:dyDescent="0.25">
      <c r="A848" t="s">
        <v>1052</v>
      </c>
      <c r="B848" s="2">
        <v>45783</v>
      </c>
      <c r="C848" t="s">
        <v>65</v>
      </c>
      <c r="D848" t="s">
        <v>66</v>
      </c>
      <c r="E848">
        <v>2025</v>
      </c>
      <c r="F848" t="s">
        <v>85</v>
      </c>
      <c r="G848" t="s">
        <v>35</v>
      </c>
      <c r="H848" t="s">
        <v>86</v>
      </c>
      <c r="I848" t="s">
        <v>181</v>
      </c>
      <c r="J848" t="s">
        <v>70</v>
      </c>
      <c r="K848" t="s">
        <v>50</v>
      </c>
      <c r="L848" t="s">
        <v>51</v>
      </c>
      <c r="M848" t="s">
        <v>73</v>
      </c>
      <c r="N848" t="s">
        <v>74</v>
      </c>
      <c r="O848" t="s">
        <v>43</v>
      </c>
      <c r="P848" t="s">
        <v>75</v>
      </c>
      <c r="Q848">
        <v>82566.39</v>
      </c>
      <c r="R848">
        <v>96779.42</v>
      </c>
      <c r="S848">
        <v>40407.160000000003</v>
      </c>
      <c r="T848">
        <v>10378.25</v>
      </c>
      <c r="U848">
        <v>7417.1</v>
      </c>
      <c r="V848">
        <v>9527.69</v>
      </c>
      <c r="W848">
        <v>2764.56</v>
      </c>
      <c r="X848">
        <v>70494.77</v>
      </c>
      <c r="Y848">
        <v>42159.23</v>
      </c>
      <c r="Z848">
        <v>-28335.54</v>
      </c>
      <c r="AA848">
        <v>-0.34399999999999997</v>
      </c>
      <c r="AB848">
        <v>-14213.02</v>
      </c>
      <c r="AC848">
        <v>4128.32</v>
      </c>
      <c r="AD848">
        <v>3921.9</v>
      </c>
      <c r="AE848">
        <v>82359.98</v>
      </c>
    </row>
    <row r="849" spans="1:31" x14ac:dyDescent="0.25">
      <c r="A849" t="s">
        <v>1053</v>
      </c>
      <c r="B849" s="2">
        <v>45975</v>
      </c>
      <c r="C849" t="s">
        <v>147</v>
      </c>
      <c r="D849" t="s">
        <v>93</v>
      </c>
      <c r="E849">
        <v>2025</v>
      </c>
      <c r="F849" t="s">
        <v>47</v>
      </c>
      <c r="G849" t="s">
        <v>35</v>
      </c>
      <c r="H849" t="s">
        <v>78</v>
      </c>
      <c r="I849" t="s">
        <v>183</v>
      </c>
      <c r="J849" t="s">
        <v>38</v>
      </c>
      <c r="K849" t="s">
        <v>160</v>
      </c>
      <c r="L849" t="s">
        <v>94</v>
      </c>
      <c r="M849" t="s">
        <v>211</v>
      </c>
      <c r="N849" t="s">
        <v>212</v>
      </c>
      <c r="O849" t="s">
        <v>112</v>
      </c>
      <c r="P849" t="s">
        <v>113</v>
      </c>
      <c r="Q849">
        <v>14494.8</v>
      </c>
      <c r="R849">
        <v>17034.89</v>
      </c>
      <c r="S849">
        <v>7608.18</v>
      </c>
      <c r="T849">
        <v>1727.55</v>
      </c>
      <c r="U849">
        <v>730.21</v>
      </c>
      <c r="V849">
        <v>1022.02</v>
      </c>
      <c r="W849">
        <v>278.22000000000003</v>
      </c>
      <c r="X849">
        <v>11366.18</v>
      </c>
      <c r="Y849">
        <v>6886.62</v>
      </c>
      <c r="Z849">
        <v>-4479.5600000000004</v>
      </c>
      <c r="AA849">
        <v>-0.27589999999999998</v>
      </c>
      <c r="AB849">
        <v>-2540.1</v>
      </c>
      <c r="AC849">
        <v>0</v>
      </c>
      <c r="AD849">
        <v>1739.38</v>
      </c>
      <c r="AE849">
        <v>16234.17</v>
      </c>
    </row>
    <row r="850" spans="1:31" x14ac:dyDescent="0.25">
      <c r="A850" t="s">
        <v>1054</v>
      </c>
      <c r="B850" s="2">
        <v>45955</v>
      </c>
      <c r="C850" t="s">
        <v>92</v>
      </c>
      <c r="D850" t="s">
        <v>93</v>
      </c>
      <c r="E850">
        <v>2025</v>
      </c>
      <c r="F850" t="s">
        <v>59</v>
      </c>
      <c r="G850" t="s">
        <v>35</v>
      </c>
      <c r="H850" t="s">
        <v>254</v>
      </c>
      <c r="I850" t="s">
        <v>314</v>
      </c>
      <c r="J850" t="s">
        <v>100</v>
      </c>
      <c r="K850" t="s">
        <v>160</v>
      </c>
      <c r="L850" t="s">
        <v>72</v>
      </c>
      <c r="M850" t="s">
        <v>110</v>
      </c>
      <c r="N850" t="s">
        <v>111</v>
      </c>
      <c r="O850" t="s">
        <v>112</v>
      </c>
      <c r="P850" t="s">
        <v>113</v>
      </c>
      <c r="Q850">
        <v>14311.04</v>
      </c>
      <c r="R850">
        <v>16457.240000000002</v>
      </c>
      <c r="S850">
        <v>8064.82</v>
      </c>
      <c r="T850">
        <v>843.24</v>
      </c>
      <c r="U850">
        <v>1012.79</v>
      </c>
      <c r="V850">
        <v>1406.33</v>
      </c>
      <c r="W850">
        <v>592.32000000000005</v>
      </c>
      <c r="X850">
        <v>11919.51</v>
      </c>
      <c r="Y850">
        <v>6246.22</v>
      </c>
      <c r="Z850">
        <v>-5673.29</v>
      </c>
      <c r="AA850">
        <v>-0.3775</v>
      </c>
      <c r="AB850">
        <v>-2146.1999999999998</v>
      </c>
      <c r="AC850">
        <v>0</v>
      </c>
      <c r="AD850">
        <v>715.55</v>
      </c>
      <c r="AE850">
        <v>15026.59</v>
      </c>
    </row>
    <row r="851" spans="1:31" x14ac:dyDescent="0.25">
      <c r="A851" t="s">
        <v>1055</v>
      </c>
      <c r="B851" s="2">
        <v>46063</v>
      </c>
      <c r="C851" t="s">
        <v>57</v>
      </c>
      <c r="D851" t="s">
        <v>58</v>
      </c>
      <c r="E851">
        <v>2026</v>
      </c>
      <c r="F851" t="s">
        <v>34</v>
      </c>
      <c r="G851" t="s">
        <v>35</v>
      </c>
      <c r="H851" t="s">
        <v>134</v>
      </c>
      <c r="I851" t="s">
        <v>135</v>
      </c>
      <c r="J851" t="s">
        <v>38</v>
      </c>
      <c r="K851" t="s">
        <v>39</v>
      </c>
      <c r="L851" t="s">
        <v>81</v>
      </c>
      <c r="M851" t="s">
        <v>102</v>
      </c>
      <c r="N851" t="s">
        <v>103</v>
      </c>
      <c r="O851" t="s">
        <v>104</v>
      </c>
      <c r="P851" t="s">
        <v>105</v>
      </c>
      <c r="Q851">
        <v>14413.36</v>
      </c>
      <c r="R851">
        <v>13664.31</v>
      </c>
      <c r="S851">
        <v>8495.4</v>
      </c>
      <c r="T851">
        <v>1819.84</v>
      </c>
      <c r="U851">
        <v>1157.0999999999999</v>
      </c>
      <c r="V851">
        <v>744</v>
      </c>
      <c r="W851">
        <v>159.16</v>
      </c>
      <c r="X851">
        <v>12375.49</v>
      </c>
      <c r="Y851">
        <v>5917.95</v>
      </c>
      <c r="Z851">
        <v>-6457.54</v>
      </c>
      <c r="AA851">
        <v>-0.44450000000000001</v>
      </c>
      <c r="AB851">
        <v>749.05</v>
      </c>
      <c r="AC851">
        <v>1441.34</v>
      </c>
      <c r="AD851">
        <v>1556.64</v>
      </c>
      <c r="AE851">
        <v>14528.67</v>
      </c>
    </row>
    <row r="852" spans="1:31" x14ac:dyDescent="0.25">
      <c r="A852" t="s">
        <v>1056</v>
      </c>
      <c r="B852" s="2">
        <v>46090</v>
      </c>
      <c r="C852" t="s">
        <v>125</v>
      </c>
      <c r="D852" t="s">
        <v>58</v>
      </c>
      <c r="E852">
        <v>2026</v>
      </c>
      <c r="F852" t="s">
        <v>34</v>
      </c>
      <c r="G852" t="s">
        <v>35</v>
      </c>
      <c r="H852" t="s">
        <v>134</v>
      </c>
      <c r="I852" t="s">
        <v>154</v>
      </c>
      <c r="J852" t="s">
        <v>38</v>
      </c>
      <c r="K852" t="s">
        <v>101</v>
      </c>
      <c r="L852" t="s">
        <v>72</v>
      </c>
      <c r="M852" t="s">
        <v>197</v>
      </c>
      <c r="N852" t="s">
        <v>198</v>
      </c>
      <c r="O852" t="s">
        <v>43</v>
      </c>
      <c r="P852" t="s">
        <v>163</v>
      </c>
      <c r="Q852">
        <v>41767.86</v>
      </c>
      <c r="R852">
        <v>38425.1</v>
      </c>
      <c r="S852">
        <v>22096.18</v>
      </c>
      <c r="T852">
        <v>4650.3100000000004</v>
      </c>
      <c r="U852">
        <v>1846.12</v>
      </c>
      <c r="V852">
        <v>1742.18</v>
      </c>
      <c r="W852">
        <v>1797.94</v>
      </c>
      <c r="X852">
        <v>32132.73</v>
      </c>
      <c r="Y852">
        <v>19671.68</v>
      </c>
      <c r="Z852">
        <v>-12461.05</v>
      </c>
      <c r="AA852">
        <v>-0.28410000000000002</v>
      </c>
      <c r="AB852">
        <v>3342.76</v>
      </c>
      <c r="AC852">
        <v>0</v>
      </c>
      <c r="AD852">
        <v>2088.39</v>
      </c>
      <c r="AE852">
        <v>43856.26</v>
      </c>
    </row>
    <row r="853" spans="1:31" x14ac:dyDescent="0.25">
      <c r="A853" t="s">
        <v>1057</v>
      </c>
      <c r="B853" s="2">
        <v>45770</v>
      </c>
      <c r="C853" t="s">
        <v>128</v>
      </c>
      <c r="D853" t="s">
        <v>66</v>
      </c>
      <c r="E853">
        <v>2025</v>
      </c>
      <c r="F853" t="s">
        <v>85</v>
      </c>
      <c r="G853" t="s">
        <v>35</v>
      </c>
      <c r="H853" t="s">
        <v>60</v>
      </c>
      <c r="I853" t="s">
        <v>185</v>
      </c>
      <c r="J853" t="s">
        <v>38</v>
      </c>
      <c r="K853" t="s">
        <v>160</v>
      </c>
      <c r="L853" t="s">
        <v>94</v>
      </c>
      <c r="M853" t="s">
        <v>62</v>
      </c>
      <c r="N853" t="s">
        <v>63</v>
      </c>
      <c r="O853" t="s">
        <v>54</v>
      </c>
      <c r="P853" t="s">
        <v>55</v>
      </c>
      <c r="Q853">
        <v>2344.9699999999998</v>
      </c>
      <c r="R853">
        <v>2489.89</v>
      </c>
      <c r="S853">
        <v>1327.82</v>
      </c>
      <c r="T853">
        <v>128.02000000000001</v>
      </c>
      <c r="U853">
        <v>156.12</v>
      </c>
      <c r="V853">
        <v>200.75</v>
      </c>
      <c r="W853">
        <v>32.72</v>
      </c>
      <c r="X853">
        <v>1845.43</v>
      </c>
      <c r="Y853">
        <v>1017.15</v>
      </c>
      <c r="Z853">
        <v>-828.28</v>
      </c>
      <c r="AA853">
        <v>-0.36559999999999998</v>
      </c>
      <c r="AB853">
        <v>-144.93</v>
      </c>
      <c r="AC853">
        <v>187.6</v>
      </c>
      <c r="AD853">
        <v>107.87</v>
      </c>
      <c r="AE853">
        <v>2265.2399999999998</v>
      </c>
    </row>
    <row r="854" spans="1:31" x14ac:dyDescent="0.25">
      <c r="A854" t="s">
        <v>1058</v>
      </c>
      <c r="B854" s="2">
        <v>45890</v>
      </c>
      <c r="C854" t="s">
        <v>117</v>
      </c>
      <c r="D854" t="s">
        <v>33</v>
      </c>
      <c r="E854">
        <v>2025</v>
      </c>
      <c r="F854" t="s">
        <v>85</v>
      </c>
      <c r="G854" t="s">
        <v>35</v>
      </c>
      <c r="H854" t="s">
        <v>86</v>
      </c>
      <c r="I854" t="s">
        <v>262</v>
      </c>
      <c r="J854" t="s">
        <v>100</v>
      </c>
      <c r="K854" t="s">
        <v>50</v>
      </c>
      <c r="L854" t="s">
        <v>94</v>
      </c>
      <c r="M854" t="s">
        <v>171</v>
      </c>
      <c r="N854" t="s">
        <v>172</v>
      </c>
      <c r="O854" t="s">
        <v>173</v>
      </c>
      <c r="P854" t="s">
        <v>174</v>
      </c>
      <c r="Q854">
        <v>18386.349999999999</v>
      </c>
      <c r="R854">
        <v>21641.65</v>
      </c>
      <c r="S854">
        <v>13237.36</v>
      </c>
      <c r="T854">
        <v>1704.02</v>
      </c>
      <c r="U854">
        <v>1447.49</v>
      </c>
      <c r="V854">
        <v>2192.02</v>
      </c>
      <c r="W854">
        <v>424.97</v>
      </c>
      <c r="X854">
        <v>19005.86</v>
      </c>
      <c r="Y854">
        <v>5148.99</v>
      </c>
      <c r="Z854">
        <v>-13856.88</v>
      </c>
      <c r="AA854">
        <v>-0.73240000000000005</v>
      </c>
      <c r="AB854">
        <v>-3255.3</v>
      </c>
      <c r="AC854">
        <v>367.73</v>
      </c>
      <c r="AD854">
        <v>900.93</v>
      </c>
      <c r="AE854">
        <v>18919.560000000001</v>
      </c>
    </row>
    <row r="855" spans="1:31" x14ac:dyDescent="0.25">
      <c r="A855" t="s">
        <v>1059</v>
      </c>
      <c r="B855" s="2">
        <v>45870</v>
      </c>
      <c r="C855" t="s">
        <v>117</v>
      </c>
      <c r="D855" t="s">
        <v>33</v>
      </c>
      <c r="E855">
        <v>2025</v>
      </c>
      <c r="F855" t="s">
        <v>85</v>
      </c>
      <c r="G855" t="s">
        <v>35</v>
      </c>
      <c r="H855" t="s">
        <v>178</v>
      </c>
      <c r="I855" t="s">
        <v>249</v>
      </c>
      <c r="J855" t="s">
        <v>70</v>
      </c>
      <c r="K855" t="s">
        <v>71</v>
      </c>
      <c r="L855" t="s">
        <v>40</v>
      </c>
      <c r="M855" t="s">
        <v>141</v>
      </c>
      <c r="N855" t="s">
        <v>142</v>
      </c>
      <c r="O855" t="s">
        <v>54</v>
      </c>
      <c r="P855" t="s">
        <v>143</v>
      </c>
      <c r="Q855">
        <v>11012.8</v>
      </c>
      <c r="R855">
        <v>10290.870000000001</v>
      </c>
      <c r="S855">
        <v>5604.33</v>
      </c>
      <c r="T855">
        <v>677.14</v>
      </c>
      <c r="U855">
        <v>748.5</v>
      </c>
      <c r="V855">
        <v>1023.26</v>
      </c>
      <c r="W855">
        <v>436.96</v>
      </c>
      <c r="X855">
        <v>8490.18</v>
      </c>
      <c r="Y855">
        <v>5408.48</v>
      </c>
      <c r="Z855">
        <v>-3081.71</v>
      </c>
      <c r="AA855">
        <v>-0.26300000000000001</v>
      </c>
      <c r="AB855">
        <v>721.93</v>
      </c>
      <c r="AC855">
        <v>550.64</v>
      </c>
      <c r="AD855">
        <v>1255.46</v>
      </c>
      <c r="AE855">
        <v>11717.62</v>
      </c>
    </row>
    <row r="856" spans="1:31" x14ac:dyDescent="0.25">
      <c r="A856" t="s">
        <v>1060</v>
      </c>
      <c r="B856" s="2">
        <v>45965</v>
      </c>
      <c r="C856" t="s">
        <v>147</v>
      </c>
      <c r="D856" t="s">
        <v>93</v>
      </c>
      <c r="E856">
        <v>2025</v>
      </c>
      <c r="F856" t="s">
        <v>47</v>
      </c>
      <c r="G856" t="s">
        <v>35</v>
      </c>
      <c r="H856" t="s">
        <v>206</v>
      </c>
      <c r="I856" t="s">
        <v>344</v>
      </c>
      <c r="J856" t="s">
        <v>80</v>
      </c>
      <c r="K856" t="s">
        <v>101</v>
      </c>
      <c r="L856" t="s">
        <v>51</v>
      </c>
      <c r="M856" t="s">
        <v>95</v>
      </c>
      <c r="N856" t="s">
        <v>96</v>
      </c>
      <c r="O856" t="s">
        <v>43</v>
      </c>
      <c r="P856" t="s">
        <v>90</v>
      </c>
      <c r="Q856">
        <v>53946.73</v>
      </c>
      <c r="R856">
        <v>59112.62</v>
      </c>
      <c r="S856">
        <v>34216.949999999997</v>
      </c>
      <c r="T856">
        <v>4940.41</v>
      </c>
      <c r="U856">
        <v>3739.41</v>
      </c>
      <c r="V856">
        <v>4097.72</v>
      </c>
      <c r="W856">
        <v>995.78</v>
      </c>
      <c r="X856">
        <v>47990.26</v>
      </c>
      <c r="Y856">
        <v>19729.79</v>
      </c>
      <c r="Z856">
        <v>-28260.48</v>
      </c>
      <c r="AA856">
        <v>-0.4677</v>
      </c>
      <c r="AB856">
        <v>-5165.88</v>
      </c>
      <c r="AC856">
        <v>0</v>
      </c>
      <c r="AD856">
        <v>6473.61</v>
      </c>
      <c r="AE856">
        <v>60420.34</v>
      </c>
    </row>
    <row r="857" spans="1:31" x14ac:dyDescent="0.25">
      <c r="A857" t="s">
        <v>1061</v>
      </c>
      <c r="B857" s="2">
        <v>45820</v>
      </c>
      <c r="C857" t="s">
        <v>156</v>
      </c>
      <c r="D857" t="s">
        <v>66</v>
      </c>
      <c r="E857">
        <v>2025</v>
      </c>
      <c r="F857" t="s">
        <v>67</v>
      </c>
      <c r="G857" t="s">
        <v>35</v>
      </c>
      <c r="H857" t="s">
        <v>118</v>
      </c>
      <c r="I857" t="s">
        <v>119</v>
      </c>
      <c r="J857" t="s">
        <v>38</v>
      </c>
      <c r="K857" t="s">
        <v>101</v>
      </c>
      <c r="L857" t="s">
        <v>51</v>
      </c>
      <c r="M857" t="s">
        <v>221</v>
      </c>
      <c r="N857" t="s">
        <v>222</v>
      </c>
      <c r="O857" t="s">
        <v>104</v>
      </c>
      <c r="P857" t="s">
        <v>223</v>
      </c>
      <c r="Q857">
        <v>8634.84</v>
      </c>
      <c r="R857">
        <v>7639.09</v>
      </c>
      <c r="S857">
        <v>4581.12</v>
      </c>
      <c r="T857">
        <v>789.94</v>
      </c>
      <c r="U857">
        <v>518.12</v>
      </c>
      <c r="V857">
        <v>521.14</v>
      </c>
      <c r="W857">
        <v>108.19</v>
      </c>
      <c r="X857">
        <v>6518.51</v>
      </c>
      <c r="Y857">
        <v>4053.72</v>
      </c>
      <c r="Z857">
        <v>-2464.7800000000002</v>
      </c>
      <c r="AA857">
        <v>-0.25459999999999999</v>
      </c>
      <c r="AB857">
        <v>995.75</v>
      </c>
      <c r="AC857">
        <v>431.74</v>
      </c>
      <c r="AD857">
        <v>1476.56</v>
      </c>
      <c r="AE857">
        <v>9679.66</v>
      </c>
    </row>
    <row r="858" spans="1:31" x14ac:dyDescent="0.25">
      <c r="A858" t="s">
        <v>1062</v>
      </c>
      <c r="B858" s="2">
        <v>45946</v>
      </c>
      <c r="C858" t="s">
        <v>92</v>
      </c>
      <c r="D858" t="s">
        <v>93</v>
      </c>
      <c r="E858">
        <v>2025</v>
      </c>
      <c r="F858" t="s">
        <v>59</v>
      </c>
      <c r="G858" t="s">
        <v>35</v>
      </c>
      <c r="H858" t="s">
        <v>139</v>
      </c>
      <c r="I858" t="s">
        <v>140</v>
      </c>
      <c r="J858" t="s">
        <v>80</v>
      </c>
      <c r="K858" t="s">
        <v>71</v>
      </c>
      <c r="L858" t="s">
        <v>40</v>
      </c>
      <c r="M858" t="s">
        <v>189</v>
      </c>
      <c r="N858" t="s">
        <v>190</v>
      </c>
      <c r="O858" t="s">
        <v>104</v>
      </c>
      <c r="P858" t="s">
        <v>105</v>
      </c>
      <c r="Q858">
        <v>8054.76</v>
      </c>
      <c r="R858">
        <v>8252.4699999999993</v>
      </c>
      <c r="S858">
        <v>5214.6000000000004</v>
      </c>
      <c r="T858">
        <v>436.4</v>
      </c>
      <c r="U858">
        <v>481.08</v>
      </c>
      <c r="V858">
        <v>516.32000000000005</v>
      </c>
      <c r="W858">
        <v>160.88</v>
      </c>
      <c r="X858">
        <v>6809.28</v>
      </c>
      <c r="Y858">
        <v>2840.16</v>
      </c>
      <c r="Z858">
        <v>-3969.12</v>
      </c>
      <c r="AA858">
        <v>-0.48380000000000001</v>
      </c>
      <c r="AB858">
        <v>-197.72</v>
      </c>
      <c r="AC858">
        <v>241.64</v>
      </c>
      <c r="AD858">
        <v>390.66</v>
      </c>
      <c r="AE858">
        <v>8203.77</v>
      </c>
    </row>
    <row r="859" spans="1:31" x14ac:dyDescent="0.25">
      <c r="A859" t="s">
        <v>1063</v>
      </c>
      <c r="B859" s="2">
        <v>45859</v>
      </c>
      <c r="C859" t="s">
        <v>32</v>
      </c>
      <c r="D859" t="s">
        <v>33</v>
      </c>
      <c r="E859">
        <v>2025</v>
      </c>
      <c r="F859" t="s">
        <v>47</v>
      </c>
      <c r="G859" t="s">
        <v>35</v>
      </c>
      <c r="H859" t="s">
        <v>48</v>
      </c>
      <c r="I859" t="s">
        <v>265</v>
      </c>
      <c r="J859" t="s">
        <v>80</v>
      </c>
      <c r="K859" t="s">
        <v>101</v>
      </c>
      <c r="L859" t="s">
        <v>94</v>
      </c>
      <c r="M859" t="s">
        <v>186</v>
      </c>
      <c r="N859" t="s">
        <v>187</v>
      </c>
      <c r="O859" t="s">
        <v>173</v>
      </c>
      <c r="P859" t="s">
        <v>174</v>
      </c>
      <c r="Q859">
        <v>13230.45</v>
      </c>
      <c r="R859">
        <v>11982.81</v>
      </c>
      <c r="S859">
        <v>9357.2099999999991</v>
      </c>
      <c r="T859">
        <v>970.29</v>
      </c>
      <c r="U859">
        <v>525.52</v>
      </c>
      <c r="V859">
        <v>665.9</v>
      </c>
      <c r="W859">
        <v>570.37</v>
      </c>
      <c r="X859">
        <v>12089.29</v>
      </c>
      <c r="Y859">
        <v>3873.24</v>
      </c>
      <c r="Z859">
        <v>-8216.0499999999993</v>
      </c>
      <c r="AA859">
        <v>-0.55400000000000005</v>
      </c>
      <c r="AB859">
        <v>1247.6400000000001</v>
      </c>
      <c r="AC859">
        <v>661.52</v>
      </c>
      <c r="AD859">
        <v>2262.41</v>
      </c>
      <c r="AE859">
        <v>14831.33</v>
      </c>
    </row>
    <row r="860" spans="1:31" x14ac:dyDescent="0.25">
      <c r="A860" t="s">
        <v>1064</v>
      </c>
      <c r="B860" s="2">
        <v>45790</v>
      </c>
      <c r="C860" t="s">
        <v>65</v>
      </c>
      <c r="D860" t="s">
        <v>66</v>
      </c>
      <c r="E860">
        <v>2025</v>
      </c>
      <c r="F860" t="s">
        <v>34</v>
      </c>
      <c r="G860" t="s">
        <v>35</v>
      </c>
      <c r="H860" t="s">
        <v>134</v>
      </c>
      <c r="I860" t="s">
        <v>154</v>
      </c>
      <c r="J860" t="s">
        <v>100</v>
      </c>
      <c r="K860" t="s">
        <v>39</v>
      </c>
      <c r="L860" t="s">
        <v>94</v>
      </c>
      <c r="M860" t="s">
        <v>186</v>
      </c>
      <c r="N860" t="s">
        <v>187</v>
      </c>
      <c r="O860" t="s">
        <v>173</v>
      </c>
      <c r="P860" t="s">
        <v>174</v>
      </c>
      <c r="Q860">
        <v>29239.66</v>
      </c>
      <c r="R860">
        <v>27058.45</v>
      </c>
      <c r="S860">
        <v>19546.11</v>
      </c>
      <c r="T860">
        <v>1747.49</v>
      </c>
      <c r="U860">
        <v>1090.83</v>
      </c>
      <c r="V860">
        <v>1664.37</v>
      </c>
      <c r="W860">
        <v>862.31</v>
      </c>
      <c r="X860">
        <v>24911.119999999999</v>
      </c>
      <c r="Y860">
        <v>9693.5400000000009</v>
      </c>
      <c r="Z860">
        <v>-15217.58</v>
      </c>
      <c r="AA860">
        <v>-0.50509999999999999</v>
      </c>
      <c r="AB860">
        <v>2181.21</v>
      </c>
      <c r="AC860">
        <v>2339.17</v>
      </c>
      <c r="AD860">
        <v>3228.06</v>
      </c>
      <c r="AE860">
        <v>30128.54</v>
      </c>
    </row>
    <row r="861" spans="1:31" x14ac:dyDescent="0.25">
      <c r="A861" t="s">
        <v>1065</v>
      </c>
      <c r="B861" s="2">
        <v>46099</v>
      </c>
      <c r="C861" t="s">
        <v>125</v>
      </c>
      <c r="D861" t="s">
        <v>58</v>
      </c>
      <c r="E861">
        <v>2026</v>
      </c>
      <c r="F861" t="s">
        <v>67</v>
      </c>
      <c r="G861" t="s">
        <v>35</v>
      </c>
      <c r="H861" t="s">
        <v>118</v>
      </c>
      <c r="I861" t="s">
        <v>119</v>
      </c>
      <c r="J861" t="s">
        <v>38</v>
      </c>
      <c r="K861" t="s">
        <v>101</v>
      </c>
      <c r="L861" t="s">
        <v>72</v>
      </c>
      <c r="M861" t="s">
        <v>211</v>
      </c>
      <c r="N861" t="s">
        <v>212</v>
      </c>
      <c r="O861" t="s">
        <v>112</v>
      </c>
      <c r="P861" t="s">
        <v>113</v>
      </c>
      <c r="Q861">
        <v>19234.740000000002</v>
      </c>
      <c r="R861">
        <v>18191.23</v>
      </c>
      <c r="S861">
        <v>12559.91</v>
      </c>
      <c r="T861">
        <v>1933.15</v>
      </c>
      <c r="U861">
        <v>605.47</v>
      </c>
      <c r="V861">
        <v>2193.36</v>
      </c>
      <c r="W861">
        <v>568.32000000000005</v>
      </c>
      <c r="X861">
        <v>17860.21</v>
      </c>
      <c r="Y861">
        <v>6674.83</v>
      </c>
      <c r="Z861">
        <v>-11185.38</v>
      </c>
      <c r="AA861">
        <v>-0.56510000000000005</v>
      </c>
      <c r="AB861">
        <v>1043.51</v>
      </c>
      <c r="AC861">
        <v>384.69</v>
      </c>
      <c r="AD861">
        <v>942.5</v>
      </c>
      <c r="AE861">
        <v>19792.55</v>
      </c>
    </row>
    <row r="862" spans="1:31" x14ac:dyDescent="0.25">
      <c r="A862" t="s">
        <v>1066</v>
      </c>
      <c r="B862" s="2">
        <v>45917</v>
      </c>
      <c r="C862" t="s">
        <v>46</v>
      </c>
      <c r="D862" t="s">
        <v>33</v>
      </c>
      <c r="E862">
        <v>2025</v>
      </c>
      <c r="F862" t="s">
        <v>59</v>
      </c>
      <c r="G862" t="s">
        <v>35</v>
      </c>
      <c r="H862" t="s">
        <v>60</v>
      </c>
      <c r="I862" t="s">
        <v>108</v>
      </c>
      <c r="J862" t="s">
        <v>70</v>
      </c>
      <c r="K862" t="s">
        <v>101</v>
      </c>
      <c r="L862" t="s">
        <v>40</v>
      </c>
      <c r="M862" t="s">
        <v>221</v>
      </c>
      <c r="N862" t="s">
        <v>222</v>
      </c>
      <c r="O862" t="s">
        <v>104</v>
      </c>
      <c r="P862" t="s">
        <v>223</v>
      </c>
      <c r="Q862">
        <v>8992.7099999999991</v>
      </c>
      <c r="R862">
        <v>9685.57</v>
      </c>
      <c r="S862">
        <v>5727.57</v>
      </c>
      <c r="T862">
        <v>517.92999999999995</v>
      </c>
      <c r="U862">
        <v>411.19</v>
      </c>
      <c r="V862">
        <v>1073.96</v>
      </c>
      <c r="W862">
        <v>303.45999999999998</v>
      </c>
      <c r="X862">
        <v>8034.11</v>
      </c>
      <c r="Y862">
        <v>3265.13</v>
      </c>
      <c r="Z862">
        <v>-4768.9799999999996</v>
      </c>
      <c r="AA862">
        <v>-0.53159999999999996</v>
      </c>
      <c r="AB862">
        <v>-692.86</v>
      </c>
      <c r="AC862">
        <v>449.64</v>
      </c>
      <c r="AD862">
        <v>427.15</v>
      </c>
      <c r="AE862">
        <v>8970.23</v>
      </c>
    </row>
    <row r="863" spans="1:31" x14ac:dyDescent="0.25">
      <c r="A863" t="s">
        <v>1067</v>
      </c>
      <c r="B863" s="2">
        <v>45845</v>
      </c>
      <c r="C863" t="s">
        <v>32</v>
      </c>
      <c r="D863" t="s">
        <v>33</v>
      </c>
      <c r="E863">
        <v>2025</v>
      </c>
      <c r="F863" t="s">
        <v>47</v>
      </c>
      <c r="G863" t="s">
        <v>35</v>
      </c>
      <c r="H863" t="s">
        <v>206</v>
      </c>
      <c r="I863" t="s">
        <v>296</v>
      </c>
      <c r="J863" t="s">
        <v>80</v>
      </c>
      <c r="K863" t="s">
        <v>50</v>
      </c>
      <c r="L863" t="s">
        <v>40</v>
      </c>
      <c r="M863" t="s">
        <v>120</v>
      </c>
      <c r="N863" t="s">
        <v>121</v>
      </c>
      <c r="O863" t="s">
        <v>43</v>
      </c>
      <c r="P863" t="s">
        <v>122</v>
      </c>
      <c r="Q863">
        <v>41515.629999999997</v>
      </c>
      <c r="R863">
        <v>38824.76</v>
      </c>
      <c r="S863">
        <v>24556.93</v>
      </c>
      <c r="T863">
        <v>2121.14</v>
      </c>
      <c r="U863">
        <v>2337.7199999999998</v>
      </c>
      <c r="V863">
        <v>1846.08</v>
      </c>
      <c r="W863">
        <v>1835.83</v>
      </c>
      <c r="X863">
        <v>32697.7</v>
      </c>
      <c r="Y863">
        <v>16958.7</v>
      </c>
      <c r="Z863">
        <v>-15739.01</v>
      </c>
      <c r="AA863">
        <v>-0.3679</v>
      </c>
      <c r="AB863">
        <v>2690.87</v>
      </c>
      <c r="AC863">
        <v>3321.25</v>
      </c>
      <c r="AD863">
        <v>4583.33</v>
      </c>
      <c r="AE863">
        <v>42777.71</v>
      </c>
    </row>
    <row r="864" spans="1:31" x14ac:dyDescent="0.25">
      <c r="A864" t="s">
        <v>1068</v>
      </c>
      <c r="B864" s="2">
        <v>45944</v>
      </c>
      <c r="C864" t="s">
        <v>92</v>
      </c>
      <c r="D864" t="s">
        <v>93</v>
      </c>
      <c r="E864">
        <v>2025</v>
      </c>
      <c r="F864" t="s">
        <v>67</v>
      </c>
      <c r="G864" t="s">
        <v>35</v>
      </c>
      <c r="H864" t="s">
        <v>68</v>
      </c>
      <c r="I864" t="s">
        <v>69</v>
      </c>
      <c r="J864" t="s">
        <v>38</v>
      </c>
      <c r="K864" t="s">
        <v>50</v>
      </c>
      <c r="L864" t="s">
        <v>81</v>
      </c>
      <c r="M864" t="s">
        <v>130</v>
      </c>
      <c r="N864" t="s">
        <v>131</v>
      </c>
      <c r="O864" t="s">
        <v>43</v>
      </c>
      <c r="P864" t="s">
        <v>132</v>
      </c>
      <c r="Q864">
        <v>68137.55</v>
      </c>
      <c r="R864">
        <v>76375.22</v>
      </c>
      <c r="S864">
        <v>47085.61</v>
      </c>
      <c r="T864">
        <v>8518.19</v>
      </c>
      <c r="U864">
        <v>3499.47</v>
      </c>
      <c r="V864">
        <v>5825.86</v>
      </c>
      <c r="W864">
        <v>2566.9499999999998</v>
      </c>
      <c r="X864">
        <v>67496.08</v>
      </c>
      <c r="Y864">
        <v>21051.94</v>
      </c>
      <c r="Z864">
        <v>-46444.14</v>
      </c>
      <c r="AA864">
        <v>-0.60799999999999998</v>
      </c>
      <c r="AB864">
        <v>-8237.67</v>
      </c>
      <c r="AC864">
        <v>3406.88</v>
      </c>
      <c r="AD864">
        <v>11651.52</v>
      </c>
      <c r="AE864">
        <v>76382.2</v>
      </c>
    </row>
    <row r="865" spans="1:31" x14ac:dyDescent="0.25">
      <c r="A865" t="s">
        <v>1069</v>
      </c>
      <c r="B865" s="2">
        <v>45981</v>
      </c>
      <c r="C865" t="s">
        <v>147</v>
      </c>
      <c r="D865" t="s">
        <v>93</v>
      </c>
      <c r="E865">
        <v>2025</v>
      </c>
      <c r="F865" t="s">
        <v>47</v>
      </c>
      <c r="G865" t="s">
        <v>35</v>
      </c>
      <c r="H865" t="s">
        <v>48</v>
      </c>
      <c r="I865" t="s">
        <v>126</v>
      </c>
      <c r="J865" t="s">
        <v>100</v>
      </c>
      <c r="K865" t="s">
        <v>50</v>
      </c>
      <c r="L865" t="s">
        <v>94</v>
      </c>
      <c r="M865" t="s">
        <v>130</v>
      </c>
      <c r="N865" t="s">
        <v>131</v>
      </c>
      <c r="O865" t="s">
        <v>43</v>
      </c>
      <c r="P865" t="s">
        <v>132</v>
      </c>
      <c r="Q865">
        <v>41106.980000000003</v>
      </c>
      <c r="R865">
        <v>45319.73</v>
      </c>
      <c r="S865">
        <v>26572.46</v>
      </c>
      <c r="T865">
        <v>2880.13</v>
      </c>
      <c r="U865">
        <v>1703.23</v>
      </c>
      <c r="V865">
        <v>3712.32</v>
      </c>
      <c r="W865">
        <v>1507.64</v>
      </c>
      <c r="X865">
        <v>36375.79</v>
      </c>
      <c r="Y865">
        <v>14534.51</v>
      </c>
      <c r="Z865">
        <v>-21841.279999999999</v>
      </c>
      <c r="AA865">
        <v>-0.4894</v>
      </c>
      <c r="AB865">
        <v>-4212.75</v>
      </c>
      <c r="AC865">
        <v>3288.56</v>
      </c>
      <c r="AD865">
        <v>6807.32</v>
      </c>
      <c r="AE865">
        <v>44625.73</v>
      </c>
    </row>
    <row r="866" spans="1:31" x14ac:dyDescent="0.25">
      <c r="A866" t="s">
        <v>1070</v>
      </c>
      <c r="B866" s="2">
        <v>45861</v>
      </c>
      <c r="C866" t="s">
        <v>32</v>
      </c>
      <c r="D866" t="s">
        <v>33</v>
      </c>
      <c r="E866">
        <v>2025</v>
      </c>
      <c r="F866" t="s">
        <v>47</v>
      </c>
      <c r="G866" t="s">
        <v>35</v>
      </c>
      <c r="H866" t="s">
        <v>48</v>
      </c>
      <c r="I866" t="s">
        <v>126</v>
      </c>
      <c r="J866" t="s">
        <v>100</v>
      </c>
      <c r="K866" t="s">
        <v>71</v>
      </c>
      <c r="L866" t="s">
        <v>51</v>
      </c>
      <c r="M866" t="s">
        <v>110</v>
      </c>
      <c r="N866" t="s">
        <v>111</v>
      </c>
      <c r="O866" t="s">
        <v>112</v>
      </c>
      <c r="P866" t="s">
        <v>113</v>
      </c>
      <c r="Q866">
        <v>10976.41</v>
      </c>
      <c r="R866">
        <v>11218.54</v>
      </c>
      <c r="S866">
        <v>7371.36</v>
      </c>
      <c r="T866">
        <v>660.52</v>
      </c>
      <c r="U866">
        <v>556.9</v>
      </c>
      <c r="V866">
        <v>677.43</v>
      </c>
      <c r="W866">
        <v>221.81</v>
      </c>
      <c r="X866">
        <v>9488.02</v>
      </c>
      <c r="Y866">
        <v>3605.05</v>
      </c>
      <c r="Z866">
        <v>-5882.98</v>
      </c>
      <c r="AA866">
        <v>-0.45419999999999999</v>
      </c>
      <c r="AB866">
        <v>-242.13</v>
      </c>
      <c r="AC866">
        <v>0</v>
      </c>
      <c r="AD866">
        <v>1975.75</v>
      </c>
      <c r="AE866">
        <v>12952.17</v>
      </c>
    </row>
    <row r="867" spans="1:31" x14ac:dyDescent="0.25">
      <c r="A867" t="s">
        <v>1071</v>
      </c>
      <c r="B867" s="2">
        <v>45814</v>
      </c>
      <c r="C867" t="s">
        <v>156</v>
      </c>
      <c r="D867" t="s">
        <v>66</v>
      </c>
      <c r="E867">
        <v>2025</v>
      </c>
      <c r="F867" t="s">
        <v>67</v>
      </c>
      <c r="G867" t="s">
        <v>35</v>
      </c>
      <c r="H867" t="s">
        <v>217</v>
      </c>
      <c r="I867" t="s">
        <v>218</v>
      </c>
      <c r="J867" t="s">
        <v>80</v>
      </c>
      <c r="K867" t="s">
        <v>39</v>
      </c>
      <c r="L867" t="s">
        <v>40</v>
      </c>
      <c r="M867" t="s">
        <v>211</v>
      </c>
      <c r="N867" t="s">
        <v>212</v>
      </c>
      <c r="O867" t="s">
        <v>112</v>
      </c>
      <c r="P867" t="s">
        <v>113</v>
      </c>
      <c r="Q867">
        <v>21397.759999999998</v>
      </c>
      <c r="R867">
        <v>19608.73</v>
      </c>
      <c r="S867">
        <v>11172.26</v>
      </c>
      <c r="T867">
        <v>1493.01</v>
      </c>
      <c r="U867">
        <v>1889.29</v>
      </c>
      <c r="V867">
        <v>1535.76</v>
      </c>
      <c r="W867">
        <v>662.57</v>
      </c>
      <c r="X867">
        <v>16752.89</v>
      </c>
      <c r="Y867">
        <v>10225.5</v>
      </c>
      <c r="Z867">
        <v>-6527.39</v>
      </c>
      <c r="AA867">
        <v>-0.27789999999999998</v>
      </c>
      <c r="AB867">
        <v>1789.04</v>
      </c>
      <c r="AC867">
        <v>427.96</v>
      </c>
      <c r="AD867">
        <v>2516.38</v>
      </c>
      <c r="AE867">
        <v>23486.18</v>
      </c>
    </row>
    <row r="868" spans="1:31" x14ac:dyDescent="0.25">
      <c r="A868" t="s">
        <v>1072</v>
      </c>
      <c r="B868" s="2">
        <v>45974</v>
      </c>
      <c r="C868" t="s">
        <v>147</v>
      </c>
      <c r="D868" t="s">
        <v>93</v>
      </c>
      <c r="E868">
        <v>2025</v>
      </c>
      <c r="F868" t="s">
        <v>59</v>
      </c>
      <c r="G868" t="s">
        <v>35</v>
      </c>
      <c r="H868" t="s">
        <v>139</v>
      </c>
      <c r="I868" t="s">
        <v>140</v>
      </c>
      <c r="J868" t="s">
        <v>70</v>
      </c>
      <c r="K868" t="s">
        <v>50</v>
      </c>
      <c r="L868" t="s">
        <v>72</v>
      </c>
      <c r="M868" t="s">
        <v>62</v>
      </c>
      <c r="N868" t="s">
        <v>63</v>
      </c>
      <c r="O868" t="s">
        <v>54</v>
      </c>
      <c r="P868" t="s">
        <v>55</v>
      </c>
      <c r="Q868">
        <v>8831.84</v>
      </c>
      <c r="R868">
        <v>9426.82</v>
      </c>
      <c r="S868">
        <v>6280.45</v>
      </c>
      <c r="T868">
        <v>1029.1099999999999</v>
      </c>
      <c r="U868">
        <v>486.91</v>
      </c>
      <c r="V868">
        <v>874.34</v>
      </c>
      <c r="W868">
        <v>127.93</v>
      </c>
      <c r="X868">
        <v>8798.73</v>
      </c>
      <c r="Y868">
        <v>2551.39</v>
      </c>
      <c r="Z868">
        <v>-6247.34</v>
      </c>
      <c r="AA868">
        <v>-0.65110000000000001</v>
      </c>
      <c r="AB868">
        <v>-594.98</v>
      </c>
      <c r="AC868">
        <v>264.95999999999998</v>
      </c>
      <c r="AD868">
        <v>1028.03</v>
      </c>
      <c r="AE868">
        <v>9594.91</v>
      </c>
    </row>
    <row r="869" spans="1:31" x14ac:dyDescent="0.25">
      <c r="A869" t="s">
        <v>1073</v>
      </c>
      <c r="B869" s="2">
        <v>45779</v>
      </c>
      <c r="C869" t="s">
        <v>65</v>
      </c>
      <c r="D869" t="s">
        <v>66</v>
      </c>
      <c r="E869">
        <v>2025</v>
      </c>
      <c r="F869" t="s">
        <v>59</v>
      </c>
      <c r="G869" t="s">
        <v>35</v>
      </c>
      <c r="H869" t="s">
        <v>139</v>
      </c>
      <c r="I869" t="s">
        <v>200</v>
      </c>
      <c r="J869" t="s">
        <v>100</v>
      </c>
      <c r="K869" t="s">
        <v>50</v>
      </c>
      <c r="L869" t="s">
        <v>51</v>
      </c>
      <c r="M869" t="s">
        <v>186</v>
      </c>
      <c r="N869" t="s">
        <v>187</v>
      </c>
      <c r="O869" t="s">
        <v>173</v>
      </c>
      <c r="P869" t="s">
        <v>174</v>
      </c>
      <c r="Q869">
        <v>12005.5</v>
      </c>
      <c r="R869">
        <v>14112.51</v>
      </c>
      <c r="S869">
        <v>6039.97</v>
      </c>
      <c r="T869">
        <v>874.7</v>
      </c>
      <c r="U869">
        <v>978.63</v>
      </c>
      <c r="V869">
        <v>549.63</v>
      </c>
      <c r="W869">
        <v>488.1</v>
      </c>
      <c r="X869">
        <v>8931.0300000000007</v>
      </c>
      <c r="Y869">
        <v>5965.53</v>
      </c>
      <c r="Z869">
        <v>-2965.5</v>
      </c>
      <c r="AA869">
        <v>-0.22739999999999999</v>
      </c>
      <c r="AB869">
        <v>-2107</v>
      </c>
      <c r="AC869">
        <v>360.17</v>
      </c>
      <c r="AD869">
        <v>1397.44</v>
      </c>
      <c r="AE869">
        <v>13042.78</v>
      </c>
    </row>
    <row r="870" spans="1:31" x14ac:dyDescent="0.25">
      <c r="A870" t="s">
        <v>1074</v>
      </c>
      <c r="B870" s="2">
        <v>45944</v>
      </c>
      <c r="C870" t="s">
        <v>92</v>
      </c>
      <c r="D870" t="s">
        <v>93</v>
      </c>
      <c r="E870">
        <v>2025</v>
      </c>
      <c r="F870" t="s">
        <v>47</v>
      </c>
      <c r="G870" t="s">
        <v>35</v>
      </c>
      <c r="H870" t="s">
        <v>78</v>
      </c>
      <c r="I870" t="s">
        <v>115</v>
      </c>
      <c r="J870" t="s">
        <v>38</v>
      </c>
      <c r="K870" t="s">
        <v>50</v>
      </c>
      <c r="L870" t="s">
        <v>81</v>
      </c>
      <c r="M870" t="s">
        <v>110</v>
      </c>
      <c r="N870" t="s">
        <v>111</v>
      </c>
      <c r="O870" t="s">
        <v>112</v>
      </c>
      <c r="P870" t="s">
        <v>113</v>
      </c>
      <c r="Q870">
        <v>10744.48</v>
      </c>
      <c r="R870">
        <v>9598.08</v>
      </c>
      <c r="S870">
        <v>5988.82</v>
      </c>
      <c r="T870">
        <v>1026.46</v>
      </c>
      <c r="U870">
        <v>630.27</v>
      </c>
      <c r="V870">
        <v>992.33</v>
      </c>
      <c r="W870">
        <v>305.82</v>
      </c>
      <c r="X870">
        <v>8943.7000000000007</v>
      </c>
      <c r="Y870">
        <v>4755.66</v>
      </c>
      <c r="Z870">
        <v>-4188.04</v>
      </c>
      <c r="AA870">
        <v>-0.37880000000000003</v>
      </c>
      <c r="AB870">
        <v>1146.4000000000001</v>
      </c>
      <c r="AC870">
        <v>214.89</v>
      </c>
      <c r="AD870">
        <v>526.48</v>
      </c>
      <c r="AE870">
        <v>11056.07</v>
      </c>
    </row>
    <row r="871" spans="1:31" x14ac:dyDescent="0.25">
      <c r="A871" t="s">
        <v>1075</v>
      </c>
      <c r="B871" s="2">
        <v>45758</v>
      </c>
      <c r="C871" t="s">
        <v>128</v>
      </c>
      <c r="D871" t="s">
        <v>66</v>
      </c>
      <c r="E871">
        <v>2025</v>
      </c>
      <c r="F871" t="s">
        <v>47</v>
      </c>
      <c r="G871" t="s">
        <v>35</v>
      </c>
      <c r="H871" t="s">
        <v>78</v>
      </c>
      <c r="I871" t="s">
        <v>115</v>
      </c>
      <c r="J871" t="s">
        <v>70</v>
      </c>
      <c r="K871" t="s">
        <v>101</v>
      </c>
      <c r="L871" t="s">
        <v>72</v>
      </c>
      <c r="M871" t="s">
        <v>197</v>
      </c>
      <c r="N871" t="s">
        <v>198</v>
      </c>
      <c r="O871" t="s">
        <v>43</v>
      </c>
      <c r="P871" t="s">
        <v>163</v>
      </c>
      <c r="Q871">
        <v>39602.379999999997</v>
      </c>
      <c r="R871">
        <v>37861.93</v>
      </c>
      <c r="S871">
        <v>27743.65</v>
      </c>
      <c r="T871">
        <v>4102.62</v>
      </c>
      <c r="U871">
        <v>1024.67</v>
      </c>
      <c r="V871">
        <v>2232.39</v>
      </c>
      <c r="W871">
        <v>1342.49</v>
      </c>
      <c r="X871">
        <v>36445.82</v>
      </c>
      <c r="Y871">
        <v>11858.73</v>
      </c>
      <c r="Z871">
        <v>-24587.08</v>
      </c>
      <c r="AA871">
        <v>-0.55379999999999996</v>
      </c>
      <c r="AB871">
        <v>1740.45</v>
      </c>
      <c r="AC871">
        <v>1980.12</v>
      </c>
      <c r="AD871">
        <v>6772.01</v>
      </c>
      <c r="AE871">
        <v>44394.27</v>
      </c>
    </row>
    <row r="872" spans="1:31" x14ac:dyDescent="0.25">
      <c r="A872" t="s">
        <v>1076</v>
      </c>
      <c r="B872" s="2">
        <v>46094</v>
      </c>
      <c r="C872" t="s">
        <v>125</v>
      </c>
      <c r="D872" t="s">
        <v>58</v>
      </c>
      <c r="E872">
        <v>2026</v>
      </c>
      <c r="F872" t="s">
        <v>34</v>
      </c>
      <c r="G872" t="s">
        <v>35</v>
      </c>
      <c r="H872" t="s">
        <v>134</v>
      </c>
      <c r="I872" t="s">
        <v>135</v>
      </c>
      <c r="J872" t="s">
        <v>38</v>
      </c>
      <c r="K872" t="s">
        <v>39</v>
      </c>
      <c r="L872" t="s">
        <v>51</v>
      </c>
      <c r="M872" t="s">
        <v>171</v>
      </c>
      <c r="N872" t="s">
        <v>172</v>
      </c>
      <c r="O872" t="s">
        <v>173</v>
      </c>
      <c r="P872" t="s">
        <v>174</v>
      </c>
      <c r="Q872">
        <v>14376.36</v>
      </c>
      <c r="R872">
        <v>13341.58</v>
      </c>
      <c r="S872">
        <v>7237.76</v>
      </c>
      <c r="T872">
        <v>1318.01</v>
      </c>
      <c r="U872">
        <v>1032.58</v>
      </c>
      <c r="V872">
        <v>1382.33</v>
      </c>
      <c r="W872">
        <v>370.67</v>
      </c>
      <c r="X872">
        <v>11341.34</v>
      </c>
      <c r="Y872">
        <v>7138.59</v>
      </c>
      <c r="Z872">
        <v>-4202.75</v>
      </c>
      <c r="AA872">
        <v>-0.26910000000000001</v>
      </c>
      <c r="AB872">
        <v>1034.77</v>
      </c>
      <c r="AC872">
        <v>431.29</v>
      </c>
      <c r="AD872">
        <v>1673.41</v>
      </c>
      <c r="AE872">
        <v>15618.47</v>
      </c>
    </row>
    <row r="873" spans="1:31" x14ac:dyDescent="0.25">
      <c r="A873" t="s">
        <v>1077</v>
      </c>
      <c r="B873" s="2">
        <v>46005</v>
      </c>
      <c r="C873" t="s">
        <v>107</v>
      </c>
      <c r="D873" t="s">
        <v>93</v>
      </c>
      <c r="E873">
        <v>2025</v>
      </c>
      <c r="F873" t="s">
        <v>47</v>
      </c>
      <c r="G873" t="s">
        <v>35</v>
      </c>
      <c r="H873" t="s">
        <v>48</v>
      </c>
      <c r="I873" t="s">
        <v>265</v>
      </c>
      <c r="J873" t="s">
        <v>100</v>
      </c>
      <c r="K873" t="s">
        <v>50</v>
      </c>
      <c r="L873" t="s">
        <v>72</v>
      </c>
      <c r="M873" t="s">
        <v>130</v>
      </c>
      <c r="N873" t="s">
        <v>131</v>
      </c>
      <c r="O873" t="s">
        <v>43</v>
      </c>
      <c r="P873" t="s">
        <v>132</v>
      </c>
      <c r="Q873">
        <v>48224.71</v>
      </c>
      <c r="R873">
        <v>54079.26</v>
      </c>
      <c r="S873">
        <v>31671.99</v>
      </c>
      <c r="T873">
        <v>5981.14</v>
      </c>
      <c r="U873">
        <v>2606.27</v>
      </c>
      <c r="V873">
        <v>2596.9</v>
      </c>
      <c r="W873">
        <v>562.95000000000005</v>
      </c>
      <c r="X873">
        <v>43419.24</v>
      </c>
      <c r="Y873">
        <v>16552.72</v>
      </c>
      <c r="Z873">
        <v>-26866.53</v>
      </c>
      <c r="AA873">
        <v>-0.54139999999999999</v>
      </c>
      <c r="AB873">
        <v>-5854.55</v>
      </c>
      <c r="AC873">
        <v>964.49</v>
      </c>
      <c r="AD873">
        <v>2363.0100000000002</v>
      </c>
      <c r="AE873">
        <v>49623.22</v>
      </c>
    </row>
    <row r="874" spans="1:31" x14ac:dyDescent="0.25">
      <c r="A874" t="s">
        <v>1078</v>
      </c>
      <c r="B874" s="2">
        <v>45885</v>
      </c>
      <c r="C874" t="s">
        <v>117</v>
      </c>
      <c r="D874" t="s">
        <v>33</v>
      </c>
      <c r="E874">
        <v>2025</v>
      </c>
      <c r="F874" t="s">
        <v>67</v>
      </c>
      <c r="G874" t="s">
        <v>35</v>
      </c>
      <c r="H874" t="s">
        <v>168</v>
      </c>
      <c r="I874" t="s">
        <v>278</v>
      </c>
      <c r="J874" t="s">
        <v>80</v>
      </c>
      <c r="K874" t="s">
        <v>50</v>
      </c>
      <c r="L874" t="s">
        <v>40</v>
      </c>
      <c r="M874" t="s">
        <v>171</v>
      </c>
      <c r="N874" t="s">
        <v>172</v>
      </c>
      <c r="O874" t="s">
        <v>173</v>
      </c>
      <c r="P874" t="s">
        <v>174</v>
      </c>
      <c r="Q874">
        <v>15057.89</v>
      </c>
      <c r="R874">
        <v>14650.34</v>
      </c>
      <c r="S874">
        <v>10382.74</v>
      </c>
      <c r="T874">
        <v>1158.75</v>
      </c>
      <c r="U874">
        <v>982.98</v>
      </c>
      <c r="V874">
        <v>946.75</v>
      </c>
      <c r="W874">
        <v>633.98</v>
      </c>
      <c r="X874">
        <v>14105.21</v>
      </c>
      <c r="Y874">
        <v>4675.1499999999996</v>
      </c>
      <c r="Z874">
        <v>-9430.06</v>
      </c>
      <c r="AA874">
        <v>-0.64829999999999999</v>
      </c>
      <c r="AB874">
        <v>407.56</v>
      </c>
      <c r="AC874">
        <v>1204.6300000000001</v>
      </c>
      <c r="AD874">
        <v>692.66</v>
      </c>
      <c r="AE874">
        <v>14545.93</v>
      </c>
    </row>
    <row r="875" spans="1:31" x14ac:dyDescent="0.25">
      <c r="A875" t="s">
        <v>1079</v>
      </c>
      <c r="B875" s="2">
        <v>46101</v>
      </c>
      <c r="C875" t="s">
        <v>125</v>
      </c>
      <c r="D875" t="s">
        <v>58</v>
      </c>
      <c r="E875">
        <v>2026</v>
      </c>
      <c r="F875" t="s">
        <v>59</v>
      </c>
      <c r="G875" t="s">
        <v>35</v>
      </c>
      <c r="H875" t="s">
        <v>254</v>
      </c>
      <c r="I875" t="s">
        <v>200</v>
      </c>
      <c r="J875" t="s">
        <v>80</v>
      </c>
      <c r="K875" t="s">
        <v>71</v>
      </c>
      <c r="L875" t="s">
        <v>81</v>
      </c>
      <c r="M875" t="s">
        <v>161</v>
      </c>
      <c r="N875" t="s">
        <v>162</v>
      </c>
      <c r="O875" t="s">
        <v>43</v>
      </c>
      <c r="P875" t="s">
        <v>163</v>
      </c>
      <c r="Q875">
        <v>40733.35</v>
      </c>
      <c r="R875">
        <v>46827.38</v>
      </c>
      <c r="S875">
        <v>29305.49</v>
      </c>
      <c r="T875">
        <v>4491.71</v>
      </c>
      <c r="U875">
        <v>3588.67</v>
      </c>
      <c r="V875">
        <v>4194.2299999999996</v>
      </c>
      <c r="W875">
        <v>1780.54</v>
      </c>
      <c r="X875">
        <v>43360.639999999999</v>
      </c>
      <c r="Y875">
        <v>11427.86</v>
      </c>
      <c r="Z875">
        <v>-31932.78</v>
      </c>
      <c r="AA875">
        <v>-0.78590000000000004</v>
      </c>
      <c r="AB875">
        <v>-6094.03</v>
      </c>
      <c r="AC875">
        <v>2036.67</v>
      </c>
      <c r="AD875">
        <v>1934.83</v>
      </c>
      <c r="AE875">
        <v>40631.51</v>
      </c>
    </row>
    <row r="876" spans="1:31" x14ac:dyDescent="0.25">
      <c r="A876" t="s">
        <v>1080</v>
      </c>
      <c r="B876" s="2">
        <v>46044</v>
      </c>
      <c r="C876" t="s">
        <v>77</v>
      </c>
      <c r="D876" t="s">
        <v>58</v>
      </c>
      <c r="E876">
        <v>2026</v>
      </c>
      <c r="F876" t="s">
        <v>34</v>
      </c>
      <c r="G876" t="s">
        <v>35</v>
      </c>
      <c r="H876" t="s">
        <v>157</v>
      </c>
      <c r="I876" t="s">
        <v>166</v>
      </c>
      <c r="J876" t="s">
        <v>70</v>
      </c>
      <c r="K876" t="s">
        <v>39</v>
      </c>
      <c r="L876" t="s">
        <v>94</v>
      </c>
      <c r="M876" t="s">
        <v>141</v>
      </c>
      <c r="N876" t="s">
        <v>142</v>
      </c>
      <c r="O876" t="s">
        <v>54</v>
      </c>
      <c r="P876" t="s">
        <v>143</v>
      </c>
      <c r="Q876">
        <v>5860.76</v>
      </c>
      <c r="R876">
        <v>5549.16</v>
      </c>
      <c r="S876">
        <v>3732.27</v>
      </c>
      <c r="T876">
        <v>614.48</v>
      </c>
      <c r="U876">
        <v>407.54</v>
      </c>
      <c r="V876">
        <v>247.08</v>
      </c>
      <c r="W876">
        <v>243.04</v>
      </c>
      <c r="X876">
        <v>5244.42</v>
      </c>
      <c r="Y876">
        <v>2128.4899999999998</v>
      </c>
      <c r="Z876">
        <v>-3115.93</v>
      </c>
      <c r="AA876">
        <v>-0.46450000000000002</v>
      </c>
      <c r="AB876">
        <v>311.60000000000002</v>
      </c>
      <c r="AC876">
        <v>175.82</v>
      </c>
      <c r="AD876">
        <v>1023.29</v>
      </c>
      <c r="AE876">
        <v>6708.23</v>
      </c>
    </row>
    <row r="877" spans="1:31" x14ac:dyDescent="0.25">
      <c r="A877" t="s">
        <v>1081</v>
      </c>
      <c r="B877" s="2">
        <v>45893</v>
      </c>
      <c r="C877" t="s">
        <v>117</v>
      </c>
      <c r="D877" t="s">
        <v>33</v>
      </c>
      <c r="E877">
        <v>2025</v>
      </c>
      <c r="F877" t="s">
        <v>34</v>
      </c>
      <c r="G877" t="s">
        <v>35</v>
      </c>
      <c r="H877" t="s">
        <v>157</v>
      </c>
      <c r="I877" t="s">
        <v>194</v>
      </c>
      <c r="J877" t="s">
        <v>100</v>
      </c>
      <c r="K877" t="s">
        <v>39</v>
      </c>
      <c r="L877" t="s">
        <v>81</v>
      </c>
      <c r="M877" t="s">
        <v>221</v>
      </c>
      <c r="N877" t="s">
        <v>222</v>
      </c>
      <c r="O877" t="s">
        <v>104</v>
      </c>
      <c r="P877" t="s">
        <v>223</v>
      </c>
      <c r="Q877">
        <v>18238.560000000001</v>
      </c>
      <c r="R877">
        <v>18220.78</v>
      </c>
      <c r="S877">
        <v>9208.07</v>
      </c>
      <c r="T877">
        <v>2133.29</v>
      </c>
      <c r="U877">
        <v>1108.3499999999999</v>
      </c>
      <c r="V877">
        <v>1737.7</v>
      </c>
      <c r="W877">
        <v>618.11</v>
      </c>
      <c r="X877">
        <v>14805.53</v>
      </c>
      <c r="Y877">
        <v>9030.49</v>
      </c>
      <c r="Z877">
        <v>-5775.05</v>
      </c>
      <c r="AA877">
        <v>-0.32779999999999998</v>
      </c>
      <c r="AB877">
        <v>17.78</v>
      </c>
      <c r="AC877">
        <v>1459.08</v>
      </c>
      <c r="AD877">
        <v>838.97</v>
      </c>
      <c r="AE877">
        <v>17618.45</v>
      </c>
    </row>
    <row r="878" spans="1:31" x14ac:dyDescent="0.25">
      <c r="A878" t="s">
        <v>1082</v>
      </c>
      <c r="B878" s="2">
        <v>45824</v>
      </c>
      <c r="C878" t="s">
        <v>156</v>
      </c>
      <c r="D878" t="s">
        <v>66</v>
      </c>
      <c r="E878">
        <v>2025</v>
      </c>
      <c r="F878" t="s">
        <v>59</v>
      </c>
      <c r="G878" t="s">
        <v>35</v>
      </c>
      <c r="H878" t="s">
        <v>60</v>
      </c>
      <c r="I878" t="s">
        <v>185</v>
      </c>
      <c r="J878" t="s">
        <v>70</v>
      </c>
      <c r="K878" t="s">
        <v>50</v>
      </c>
      <c r="L878" t="s">
        <v>81</v>
      </c>
      <c r="M878" t="s">
        <v>88</v>
      </c>
      <c r="N878" t="s">
        <v>89</v>
      </c>
      <c r="O878" t="s">
        <v>43</v>
      </c>
      <c r="P878" t="s">
        <v>90</v>
      </c>
      <c r="Q878">
        <v>49304.86</v>
      </c>
      <c r="R878">
        <v>50753.5</v>
      </c>
      <c r="S878">
        <v>28385.83</v>
      </c>
      <c r="T878">
        <v>5425.07</v>
      </c>
      <c r="U878">
        <v>1467.13</v>
      </c>
      <c r="V878">
        <v>2325.13</v>
      </c>
      <c r="W878">
        <v>1618.14</v>
      </c>
      <c r="X878">
        <v>39221.300000000003</v>
      </c>
      <c r="Y878">
        <v>20919.03</v>
      </c>
      <c r="Z878">
        <v>-18302.28</v>
      </c>
      <c r="AA878">
        <v>-0.32429999999999998</v>
      </c>
      <c r="AB878">
        <v>-1448.65</v>
      </c>
      <c r="AC878">
        <v>1479.15</v>
      </c>
      <c r="AD878">
        <v>8608.6299999999992</v>
      </c>
      <c r="AE878">
        <v>56434.34</v>
      </c>
    </row>
    <row r="879" spans="1:31" x14ac:dyDescent="0.25">
      <c r="A879" t="s">
        <v>1083</v>
      </c>
      <c r="B879" s="2">
        <v>45874</v>
      </c>
      <c r="C879" t="s">
        <v>117</v>
      </c>
      <c r="D879" t="s">
        <v>33</v>
      </c>
      <c r="E879">
        <v>2025</v>
      </c>
      <c r="F879" t="s">
        <v>47</v>
      </c>
      <c r="G879" t="s">
        <v>35</v>
      </c>
      <c r="H879" t="s">
        <v>206</v>
      </c>
      <c r="I879" t="s">
        <v>344</v>
      </c>
      <c r="J879" t="s">
        <v>80</v>
      </c>
      <c r="K879" t="s">
        <v>71</v>
      </c>
      <c r="L879" t="s">
        <v>40</v>
      </c>
      <c r="M879" t="s">
        <v>189</v>
      </c>
      <c r="N879" t="s">
        <v>190</v>
      </c>
      <c r="O879" t="s">
        <v>104</v>
      </c>
      <c r="P879" t="s">
        <v>105</v>
      </c>
      <c r="Q879">
        <v>23440.6</v>
      </c>
      <c r="R879">
        <v>26060.27</v>
      </c>
      <c r="S879">
        <v>12744.97</v>
      </c>
      <c r="T879">
        <v>1563.47</v>
      </c>
      <c r="U879">
        <v>2024.74</v>
      </c>
      <c r="V879">
        <v>973.82</v>
      </c>
      <c r="W879">
        <v>1026.43</v>
      </c>
      <c r="X879">
        <v>18333.439999999999</v>
      </c>
      <c r="Y879">
        <v>10695.63</v>
      </c>
      <c r="Z879">
        <v>-7637.81</v>
      </c>
      <c r="AA879">
        <v>-0.27610000000000001</v>
      </c>
      <c r="AB879">
        <v>-2619.67</v>
      </c>
      <c r="AC879">
        <v>0</v>
      </c>
      <c r="AD879">
        <v>4219.3100000000004</v>
      </c>
      <c r="AE879">
        <v>27659.91</v>
      </c>
    </row>
    <row r="880" spans="1:31" x14ac:dyDescent="0.25">
      <c r="A880" t="s">
        <v>1084</v>
      </c>
      <c r="B880" s="2">
        <v>45816</v>
      </c>
      <c r="C880" t="s">
        <v>156</v>
      </c>
      <c r="D880" t="s">
        <v>66</v>
      </c>
      <c r="E880">
        <v>2025</v>
      </c>
      <c r="F880" t="s">
        <v>59</v>
      </c>
      <c r="G880" t="s">
        <v>35</v>
      </c>
      <c r="H880" t="s">
        <v>139</v>
      </c>
      <c r="I880" t="s">
        <v>152</v>
      </c>
      <c r="J880" t="s">
        <v>100</v>
      </c>
      <c r="K880" t="s">
        <v>39</v>
      </c>
      <c r="L880" t="s">
        <v>81</v>
      </c>
      <c r="M880" t="s">
        <v>52</v>
      </c>
      <c r="N880" t="s">
        <v>53</v>
      </c>
      <c r="O880" t="s">
        <v>54</v>
      </c>
      <c r="P880" t="s">
        <v>55</v>
      </c>
      <c r="Q880">
        <v>4805.16</v>
      </c>
      <c r="R880">
        <v>4321.34</v>
      </c>
      <c r="S880">
        <v>2421.41</v>
      </c>
      <c r="T880">
        <v>401.32</v>
      </c>
      <c r="U880">
        <v>374.62</v>
      </c>
      <c r="V880">
        <v>533.63</v>
      </c>
      <c r="W880">
        <v>89.22</v>
      </c>
      <c r="X880">
        <v>3820.21</v>
      </c>
      <c r="Y880">
        <v>2383.75</v>
      </c>
      <c r="Z880">
        <v>-1436.46</v>
      </c>
      <c r="AA880">
        <v>-0.26669999999999999</v>
      </c>
      <c r="AB880">
        <v>483.82</v>
      </c>
      <c r="AC880">
        <v>240.26</v>
      </c>
      <c r="AD880">
        <v>821.68</v>
      </c>
      <c r="AE880">
        <v>5386.58</v>
      </c>
    </row>
    <row r="881" spans="1:31" x14ac:dyDescent="0.25">
      <c r="A881" t="s">
        <v>1085</v>
      </c>
      <c r="B881" s="2">
        <v>46072</v>
      </c>
      <c r="C881" t="s">
        <v>57</v>
      </c>
      <c r="D881" t="s">
        <v>58</v>
      </c>
      <c r="E881">
        <v>2026</v>
      </c>
      <c r="F881" t="s">
        <v>67</v>
      </c>
      <c r="G881" t="s">
        <v>35</v>
      </c>
      <c r="H881" t="s">
        <v>68</v>
      </c>
      <c r="I881" t="s">
        <v>204</v>
      </c>
      <c r="J881" t="s">
        <v>80</v>
      </c>
      <c r="K881" t="s">
        <v>101</v>
      </c>
      <c r="L881" t="s">
        <v>40</v>
      </c>
      <c r="M881" t="s">
        <v>62</v>
      </c>
      <c r="N881" t="s">
        <v>63</v>
      </c>
      <c r="O881" t="s">
        <v>54</v>
      </c>
      <c r="P881" t="s">
        <v>55</v>
      </c>
      <c r="Q881">
        <v>2552.92</v>
      </c>
      <c r="R881">
        <v>2306.21</v>
      </c>
      <c r="S881">
        <v>1342.85</v>
      </c>
      <c r="T881">
        <v>313.76</v>
      </c>
      <c r="U881">
        <v>67.03</v>
      </c>
      <c r="V881">
        <v>235.57</v>
      </c>
      <c r="W881">
        <v>59.88</v>
      </c>
      <c r="X881">
        <v>2019.08</v>
      </c>
      <c r="Y881">
        <v>1210.06</v>
      </c>
      <c r="Z881">
        <v>-809.02</v>
      </c>
      <c r="AA881">
        <v>-0.29780000000000001</v>
      </c>
      <c r="AB881">
        <v>246.71</v>
      </c>
      <c r="AC881">
        <v>127.65</v>
      </c>
      <c r="AD881">
        <v>291.02999999999997</v>
      </c>
      <c r="AE881">
        <v>2716.3</v>
      </c>
    </row>
    <row r="882" spans="1:31" x14ac:dyDescent="0.25">
      <c r="A882" t="s">
        <v>1086</v>
      </c>
      <c r="B882" s="2">
        <v>46002</v>
      </c>
      <c r="C882" t="s">
        <v>107</v>
      </c>
      <c r="D882" t="s">
        <v>93</v>
      </c>
      <c r="E882">
        <v>2025</v>
      </c>
      <c r="F882" t="s">
        <v>59</v>
      </c>
      <c r="G882" t="s">
        <v>35</v>
      </c>
      <c r="H882" t="s">
        <v>230</v>
      </c>
      <c r="I882" t="s">
        <v>363</v>
      </c>
      <c r="J882" t="s">
        <v>80</v>
      </c>
      <c r="K882" t="s">
        <v>71</v>
      </c>
      <c r="L882" t="s">
        <v>94</v>
      </c>
      <c r="M882" t="s">
        <v>120</v>
      </c>
      <c r="N882" t="s">
        <v>121</v>
      </c>
      <c r="O882" t="s">
        <v>43</v>
      </c>
      <c r="P882" t="s">
        <v>122</v>
      </c>
      <c r="Q882">
        <v>48189.3</v>
      </c>
      <c r="R882">
        <v>55292.55</v>
      </c>
      <c r="S882">
        <v>28329.77</v>
      </c>
      <c r="T882">
        <v>4529.04</v>
      </c>
      <c r="U882">
        <v>4013.1</v>
      </c>
      <c r="V882">
        <v>3083.78</v>
      </c>
      <c r="W882">
        <v>788.57</v>
      </c>
      <c r="X882">
        <v>40744.26</v>
      </c>
      <c r="Y882">
        <v>19859.53</v>
      </c>
      <c r="Z882">
        <v>-20884.73</v>
      </c>
      <c r="AA882">
        <v>-0.42549999999999999</v>
      </c>
      <c r="AB882">
        <v>-7103.25</v>
      </c>
      <c r="AC882">
        <v>1445.68</v>
      </c>
      <c r="AD882">
        <v>2337.1799999999998</v>
      </c>
      <c r="AE882">
        <v>49080.81</v>
      </c>
    </row>
    <row r="883" spans="1:31" x14ac:dyDescent="0.25">
      <c r="A883" t="s">
        <v>1087</v>
      </c>
      <c r="B883" s="2">
        <v>46099</v>
      </c>
      <c r="C883" t="s">
        <v>125</v>
      </c>
      <c r="D883" t="s">
        <v>58</v>
      </c>
      <c r="E883">
        <v>2026</v>
      </c>
      <c r="F883" t="s">
        <v>67</v>
      </c>
      <c r="G883" t="s">
        <v>35</v>
      </c>
      <c r="H883" t="s">
        <v>118</v>
      </c>
      <c r="I883" t="s">
        <v>227</v>
      </c>
      <c r="J883" t="s">
        <v>100</v>
      </c>
      <c r="K883" t="s">
        <v>39</v>
      </c>
      <c r="L883" t="s">
        <v>40</v>
      </c>
      <c r="M883" t="s">
        <v>130</v>
      </c>
      <c r="N883" t="s">
        <v>131</v>
      </c>
      <c r="O883" t="s">
        <v>43</v>
      </c>
      <c r="P883" t="s">
        <v>132</v>
      </c>
      <c r="Q883">
        <v>52770.61</v>
      </c>
      <c r="R883">
        <v>48349.57</v>
      </c>
      <c r="S883">
        <v>29458.400000000001</v>
      </c>
      <c r="T883">
        <v>5015.24</v>
      </c>
      <c r="U883">
        <v>1961.3</v>
      </c>
      <c r="V883">
        <v>5490.78</v>
      </c>
      <c r="W883">
        <v>2323.25</v>
      </c>
      <c r="X883">
        <v>44248.97</v>
      </c>
      <c r="Y883">
        <v>23312.21</v>
      </c>
      <c r="Z883">
        <v>-20936.759999999998</v>
      </c>
      <c r="AA883">
        <v>-0.3856</v>
      </c>
      <c r="AB883">
        <v>4421.04</v>
      </c>
      <c r="AC883">
        <v>1055.4100000000001</v>
      </c>
      <c r="AD883">
        <v>2585.7600000000002</v>
      </c>
      <c r="AE883">
        <v>54300.959999999999</v>
      </c>
    </row>
    <row r="884" spans="1:31" x14ac:dyDescent="0.25">
      <c r="A884" t="s">
        <v>1088</v>
      </c>
      <c r="B884" s="2">
        <v>45977</v>
      </c>
      <c r="C884" t="s">
        <v>147</v>
      </c>
      <c r="D884" t="s">
        <v>93</v>
      </c>
      <c r="E884">
        <v>2025</v>
      </c>
      <c r="F884" t="s">
        <v>34</v>
      </c>
      <c r="G884" t="s">
        <v>35</v>
      </c>
      <c r="H884" t="s">
        <v>134</v>
      </c>
      <c r="I884" t="s">
        <v>176</v>
      </c>
      <c r="J884" t="s">
        <v>80</v>
      </c>
      <c r="K884" t="s">
        <v>50</v>
      </c>
      <c r="L884" t="s">
        <v>81</v>
      </c>
      <c r="M884" t="s">
        <v>130</v>
      </c>
      <c r="N884" t="s">
        <v>131</v>
      </c>
      <c r="O884" t="s">
        <v>43</v>
      </c>
      <c r="P884" t="s">
        <v>132</v>
      </c>
      <c r="Q884">
        <v>50253.23</v>
      </c>
      <c r="R884">
        <v>54694.73</v>
      </c>
      <c r="S884">
        <v>32795.32</v>
      </c>
      <c r="T884">
        <v>4774.87</v>
      </c>
      <c r="U884">
        <v>4439.8500000000004</v>
      </c>
      <c r="V884">
        <v>4779.55</v>
      </c>
      <c r="W884">
        <v>2076.77</v>
      </c>
      <c r="X884">
        <v>48866.37</v>
      </c>
      <c r="Y884">
        <v>17457.91</v>
      </c>
      <c r="Z884">
        <v>-31408.46</v>
      </c>
      <c r="AA884">
        <v>-0.5575</v>
      </c>
      <c r="AB884">
        <v>-4441.5</v>
      </c>
      <c r="AC884">
        <v>2512.66</v>
      </c>
      <c r="AD884">
        <v>8593.2999999999993</v>
      </c>
      <c r="AE884">
        <v>56333.87</v>
      </c>
    </row>
    <row r="885" spans="1:31" x14ac:dyDescent="0.25">
      <c r="A885" t="s">
        <v>1089</v>
      </c>
      <c r="B885" s="2">
        <v>45943</v>
      </c>
      <c r="C885" t="s">
        <v>92</v>
      </c>
      <c r="D885" t="s">
        <v>93</v>
      </c>
      <c r="E885">
        <v>2025</v>
      </c>
      <c r="F885" t="s">
        <v>59</v>
      </c>
      <c r="G885" t="s">
        <v>35</v>
      </c>
      <c r="H885" t="s">
        <v>230</v>
      </c>
      <c r="I885" t="s">
        <v>363</v>
      </c>
      <c r="J885" t="s">
        <v>38</v>
      </c>
      <c r="K885" t="s">
        <v>50</v>
      </c>
      <c r="L885" t="s">
        <v>81</v>
      </c>
      <c r="M885" t="s">
        <v>120</v>
      </c>
      <c r="N885" t="s">
        <v>121</v>
      </c>
      <c r="O885" t="s">
        <v>43</v>
      </c>
      <c r="P885" t="s">
        <v>122</v>
      </c>
      <c r="Q885">
        <v>36857.9</v>
      </c>
      <c r="R885">
        <v>33656.81</v>
      </c>
      <c r="S885">
        <v>25028.99</v>
      </c>
      <c r="T885">
        <v>3620.12</v>
      </c>
      <c r="U885">
        <v>1369.24</v>
      </c>
      <c r="V885">
        <v>3072.58</v>
      </c>
      <c r="W885">
        <v>733.01</v>
      </c>
      <c r="X885">
        <v>33823.94</v>
      </c>
      <c r="Y885">
        <v>11828.91</v>
      </c>
      <c r="Z885">
        <v>-21995.03</v>
      </c>
      <c r="AA885">
        <v>-0.54369999999999996</v>
      </c>
      <c r="AB885">
        <v>3201.09</v>
      </c>
      <c r="AC885">
        <v>737.16</v>
      </c>
      <c r="AD885">
        <v>4334.49</v>
      </c>
      <c r="AE885">
        <v>40455.230000000003</v>
      </c>
    </row>
    <row r="886" spans="1:31" x14ac:dyDescent="0.25">
      <c r="A886" t="s">
        <v>1090</v>
      </c>
      <c r="B886" s="2">
        <v>45936</v>
      </c>
      <c r="C886" t="s">
        <v>92</v>
      </c>
      <c r="D886" t="s">
        <v>93</v>
      </c>
      <c r="E886">
        <v>2025</v>
      </c>
      <c r="F886" t="s">
        <v>67</v>
      </c>
      <c r="G886" t="s">
        <v>35</v>
      </c>
      <c r="H886" t="s">
        <v>68</v>
      </c>
      <c r="I886" t="s">
        <v>204</v>
      </c>
      <c r="J886" t="s">
        <v>80</v>
      </c>
      <c r="K886" t="s">
        <v>39</v>
      </c>
      <c r="L886" t="s">
        <v>51</v>
      </c>
      <c r="M886" t="s">
        <v>110</v>
      </c>
      <c r="N886" t="s">
        <v>111</v>
      </c>
      <c r="O886" t="s">
        <v>112</v>
      </c>
      <c r="P886" t="s">
        <v>113</v>
      </c>
      <c r="Q886">
        <v>16053.35</v>
      </c>
      <c r="R886">
        <v>18843.72</v>
      </c>
      <c r="S886">
        <v>8698.73</v>
      </c>
      <c r="T886">
        <v>1391.94</v>
      </c>
      <c r="U886">
        <v>627</v>
      </c>
      <c r="V886">
        <v>1276.46</v>
      </c>
      <c r="W886">
        <v>585.30999999999995</v>
      </c>
      <c r="X886">
        <v>12579.45</v>
      </c>
      <c r="Y886">
        <v>7354.62</v>
      </c>
      <c r="Z886">
        <v>-5224.83</v>
      </c>
      <c r="AA886">
        <v>-0.29959999999999998</v>
      </c>
      <c r="AB886">
        <v>-2790.37</v>
      </c>
      <c r="AC886">
        <v>481.6</v>
      </c>
      <c r="AD886">
        <v>1868.61</v>
      </c>
      <c r="AE886">
        <v>17440.36</v>
      </c>
    </row>
    <row r="887" spans="1:31" x14ac:dyDescent="0.25">
      <c r="A887" t="s">
        <v>1091</v>
      </c>
      <c r="B887" s="2">
        <v>46075</v>
      </c>
      <c r="C887" t="s">
        <v>57</v>
      </c>
      <c r="D887" t="s">
        <v>58</v>
      </c>
      <c r="E887">
        <v>2026</v>
      </c>
      <c r="F887" t="s">
        <v>34</v>
      </c>
      <c r="G887" t="s">
        <v>35</v>
      </c>
      <c r="H887" t="s">
        <v>98</v>
      </c>
      <c r="I887" t="s">
        <v>304</v>
      </c>
      <c r="J887" t="s">
        <v>100</v>
      </c>
      <c r="K887" t="s">
        <v>50</v>
      </c>
      <c r="L887" t="s">
        <v>72</v>
      </c>
      <c r="M887" t="s">
        <v>88</v>
      </c>
      <c r="N887" t="s">
        <v>89</v>
      </c>
      <c r="O887" t="s">
        <v>43</v>
      </c>
      <c r="P887" t="s">
        <v>90</v>
      </c>
      <c r="Q887">
        <v>40382.06</v>
      </c>
      <c r="R887">
        <v>42046.1</v>
      </c>
      <c r="S887">
        <v>23931.17</v>
      </c>
      <c r="T887">
        <v>3670.97</v>
      </c>
      <c r="U887">
        <v>2679.86</v>
      </c>
      <c r="V887">
        <v>3747.46</v>
      </c>
      <c r="W887">
        <v>812.23</v>
      </c>
      <c r="X887">
        <v>34841.69</v>
      </c>
      <c r="Y887">
        <v>16450.89</v>
      </c>
      <c r="Z887">
        <v>-18390.79</v>
      </c>
      <c r="AA887">
        <v>-0.43369999999999997</v>
      </c>
      <c r="AB887">
        <v>-1664.04</v>
      </c>
      <c r="AC887">
        <v>0</v>
      </c>
      <c r="AD887">
        <v>2019.1</v>
      </c>
      <c r="AE887">
        <v>42401.16</v>
      </c>
    </row>
    <row r="888" spans="1:31" x14ac:dyDescent="0.25">
      <c r="A888" t="s">
        <v>1092</v>
      </c>
      <c r="B888" s="2">
        <v>46034</v>
      </c>
      <c r="C888" t="s">
        <v>77</v>
      </c>
      <c r="D888" t="s">
        <v>58</v>
      </c>
      <c r="E888">
        <v>2026</v>
      </c>
      <c r="F888" t="s">
        <v>59</v>
      </c>
      <c r="G888" t="s">
        <v>35</v>
      </c>
      <c r="H888" t="s">
        <v>139</v>
      </c>
      <c r="I888" t="s">
        <v>140</v>
      </c>
      <c r="J888" t="s">
        <v>80</v>
      </c>
      <c r="K888" t="s">
        <v>71</v>
      </c>
      <c r="L888" t="s">
        <v>40</v>
      </c>
      <c r="M888" t="s">
        <v>62</v>
      </c>
      <c r="N888" t="s">
        <v>63</v>
      </c>
      <c r="O888" t="s">
        <v>54</v>
      </c>
      <c r="P888" t="s">
        <v>55</v>
      </c>
      <c r="Q888">
        <v>8989.15</v>
      </c>
      <c r="R888">
        <v>10231.620000000001</v>
      </c>
      <c r="S888">
        <v>4348.05</v>
      </c>
      <c r="T888">
        <v>526.57000000000005</v>
      </c>
      <c r="U888">
        <v>278.82</v>
      </c>
      <c r="V888">
        <v>872.02</v>
      </c>
      <c r="W888">
        <v>111.78</v>
      </c>
      <c r="X888">
        <v>6137.25</v>
      </c>
      <c r="Y888">
        <v>4641.1000000000004</v>
      </c>
      <c r="Z888">
        <v>-1496.15</v>
      </c>
      <c r="AA888">
        <v>-0.1532</v>
      </c>
      <c r="AB888">
        <v>-1242.47</v>
      </c>
      <c r="AC888">
        <v>269.67</v>
      </c>
      <c r="AD888">
        <v>1046.3399999999999</v>
      </c>
      <c r="AE888">
        <v>9765.82</v>
      </c>
    </row>
    <row r="889" spans="1:31" x14ac:dyDescent="0.25">
      <c r="A889" t="s">
        <v>1093</v>
      </c>
      <c r="B889" s="2">
        <v>45790</v>
      </c>
      <c r="C889" t="s">
        <v>65</v>
      </c>
      <c r="D889" t="s">
        <v>66</v>
      </c>
      <c r="E889">
        <v>2025</v>
      </c>
      <c r="F889" t="s">
        <v>59</v>
      </c>
      <c r="G889" t="s">
        <v>35</v>
      </c>
      <c r="H889" t="s">
        <v>254</v>
      </c>
      <c r="I889" t="s">
        <v>314</v>
      </c>
      <c r="J889" t="s">
        <v>38</v>
      </c>
      <c r="K889" t="s">
        <v>71</v>
      </c>
      <c r="L889" t="s">
        <v>72</v>
      </c>
      <c r="M889" t="s">
        <v>197</v>
      </c>
      <c r="N889" t="s">
        <v>198</v>
      </c>
      <c r="O889" t="s">
        <v>43</v>
      </c>
      <c r="P889" t="s">
        <v>163</v>
      </c>
      <c r="Q889">
        <v>73809.570000000007</v>
      </c>
      <c r="R889">
        <v>84356.15</v>
      </c>
      <c r="S889">
        <v>41086.26</v>
      </c>
      <c r="T889">
        <v>7152.82</v>
      </c>
      <c r="U889">
        <v>2216.06</v>
      </c>
      <c r="V889">
        <v>4475.04</v>
      </c>
      <c r="W889">
        <v>981.5</v>
      </c>
      <c r="X889">
        <v>55911.69</v>
      </c>
      <c r="Y889">
        <v>32723.31</v>
      </c>
      <c r="Z889">
        <v>-23188.38</v>
      </c>
      <c r="AA889">
        <v>-0.2717</v>
      </c>
      <c r="AB889">
        <v>-10546.58</v>
      </c>
      <c r="AC889">
        <v>1476.19</v>
      </c>
      <c r="AD889">
        <v>13020.01</v>
      </c>
      <c r="AE889">
        <v>85353.39</v>
      </c>
    </row>
    <row r="890" spans="1:31" x14ac:dyDescent="0.25">
      <c r="A890" t="s">
        <v>1094</v>
      </c>
      <c r="B890" s="2">
        <v>46033</v>
      </c>
      <c r="C890" t="s">
        <v>77</v>
      </c>
      <c r="D890" t="s">
        <v>58</v>
      </c>
      <c r="E890">
        <v>2026</v>
      </c>
      <c r="F890" t="s">
        <v>67</v>
      </c>
      <c r="G890" t="s">
        <v>35</v>
      </c>
      <c r="H890" t="s">
        <v>217</v>
      </c>
      <c r="I890" t="s">
        <v>241</v>
      </c>
      <c r="J890" t="s">
        <v>38</v>
      </c>
      <c r="K890" t="s">
        <v>101</v>
      </c>
      <c r="L890" t="s">
        <v>72</v>
      </c>
      <c r="M890" t="s">
        <v>189</v>
      </c>
      <c r="N890" t="s">
        <v>190</v>
      </c>
      <c r="O890" t="s">
        <v>104</v>
      </c>
      <c r="P890" t="s">
        <v>105</v>
      </c>
      <c r="Q890">
        <v>18985.59</v>
      </c>
      <c r="R890">
        <v>17439.599999999999</v>
      </c>
      <c r="S890">
        <v>11373.57</v>
      </c>
      <c r="T890">
        <v>1649.4</v>
      </c>
      <c r="U890">
        <v>1348.84</v>
      </c>
      <c r="V890">
        <v>895.68</v>
      </c>
      <c r="W890">
        <v>618.36</v>
      </c>
      <c r="X890">
        <v>15885.85</v>
      </c>
      <c r="Y890">
        <v>7612.02</v>
      </c>
      <c r="Z890">
        <v>-8273.83</v>
      </c>
      <c r="AA890">
        <v>-0.43690000000000001</v>
      </c>
      <c r="AB890">
        <v>1545.99</v>
      </c>
      <c r="AC890">
        <v>949.28</v>
      </c>
      <c r="AD890">
        <v>901.82</v>
      </c>
      <c r="AE890">
        <v>18938.13</v>
      </c>
    </row>
    <row r="891" spans="1:31" x14ac:dyDescent="0.25">
      <c r="A891" t="s">
        <v>1095</v>
      </c>
      <c r="B891" s="2">
        <v>45920</v>
      </c>
      <c r="C891" t="s">
        <v>46</v>
      </c>
      <c r="D891" t="s">
        <v>33</v>
      </c>
      <c r="E891">
        <v>2025</v>
      </c>
      <c r="F891" t="s">
        <v>67</v>
      </c>
      <c r="G891" t="s">
        <v>35</v>
      </c>
      <c r="H891" t="s">
        <v>217</v>
      </c>
      <c r="I891" t="s">
        <v>241</v>
      </c>
      <c r="J891" t="s">
        <v>80</v>
      </c>
      <c r="K891" t="s">
        <v>39</v>
      </c>
      <c r="L891" t="s">
        <v>40</v>
      </c>
      <c r="M891" t="s">
        <v>235</v>
      </c>
      <c r="N891" t="s">
        <v>236</v>
      </c>
      <c r="O891" t="s">
        <v>104</v>
      </c>
      <c r="P891" t="s">
        <v>237</v>
      </c>
      <c r="Q891">
        <v>20273.27</v>
      </c>
      <c r="R891">
        <v>23099.439999999999</v>
      </c>
      <c r="S891">
        <v>14236.74</v>
      </c>
      <c r="T891">
        <v>1052.27</v>
      </c>
      <c r="U891">
        <v>574.77</v>
      </c>
      <c r="V891">
        <v>2365.88</v>
      </c>
      <c r="W891">
        <v>399.4</v>
      </c>
      <c r="X891">
        <v>18629.060000000001</v>
      </c>
      <c r="Y891">
        <v>6036.53</v>
      </c>
      <c r="Z891">
        <v>-12592.53</v>
      </c>
      <c r="AA891">
        <v>-0.6028</v>
      </c>
      <c r="AB891">
        <v>-2826.16</v>
      </c>
      <c r="AC891">
        <v>1621.86</v>
      </c>
      <c r="AD891">
        <v>2238.17</v>
      </c>
      <c r="AE891">
        <v>20889.580000000002</v>
      </c>
    </row>
    <row r="892" spans="1:31" x14ac:dyDescent="0.25">
      <c r="A892" t="s">
        <v>1096</v>
      </c>
      <c r="B892" s="2">
        <v>46110</v>
      </c>
      <c r="C892" t="s">
        <v>125</v>
      </c>
      <c r="D892" t="s">
        <v>58</v>
      </c>
      <c r="E892">
        <v>2026</v>
      </c>
      <c r="F892" t="s">
        <v>59</v>
      </c>
      <c r="G892" t="s">
        <v>35</v>
      </c>
      <c r="H892" t="s">
        <v>139</v>
      </c>
      <c r="I892" t="s">
        <v>152</v>
      </c>
      <c r="J892" t="s">
        <v>38</v>
      </c>
      <c r="K892" t="s">
        <v>50</v>
      </c>
      <c r="L892" t="s">
        <v>81</v>
      </c>
      <c r="M892" t="s">
        <v>130</v>
      </c>
      <c r="N892" t="s">
        <v>131</v>
      </c>
      <c r="O892" t="s">
        <v>43</v>
      </c>
      <c r="P892" t="s">
        <v>132</v>
      </c>
      <c r="Q892">
        <v>46740.14</v>
      </c>
      <c r="R892">
        <v>54886.28</v>
      </c>
      <c r="S892">
        <v>29671.8</v>
      </c>
      <c r="T892">
        <v>5606.53</v>
      </c>
      <c r="U892">
        <v>2987.53</v>
      </c>
      <c r="V892">
        <v>4448.87</v>
      </c>
      <c r="W892">
        <v>1593.18</v>
      </c>
      <c r="X892">
        <v>44307.9</v>
      </c>
      <c r="Y892">
        <v>17068.34</v>
      </c>
      <c r="Z892">
        <v>-27239.56</v>
      </c>
      <c r="AA892">
        <v>-0.54769999999999996</v>
      </c>
      <c r="AB892">
        <v>-8146.13</v>
      </c>
      <c r="AC892">
        <v>2337.0100000000002</v>
      </c>
      <c r="AD892">
        <v>5328.38</v>
      </c>
      <c r="AE892">
        <v>49731.51</v>
      </c>
    </row>
    <row r="893" spans="1:31" x14ac:dyDescent="0.25">
      <c r="A893" t="s">
        <v>1097</v>
      </c>
      <c r="B893" s="2">
        <v>46034</v>
      </c>
      <c r="C893" t="s">
        <v>77</v>
      </c>
      <c r="D893" t="s">
        <v>58</v>
      </c>
      <c r="E893">
        <v>2026</v>
      </c>
      <c r="F893" t="s">
        <v>47</v>
      </c>
      <c r="G893" t="s">
        <v>35</v>
      </c>
      <c r="H893" t="s">
        <v>48</v>
      </c>
      <c r="I893" t="s">
        <v>126</v>
      </c>
      <c r="J893" t="s">
        <v>70</v>
      </c>
      <c r="K893" t="s">
        <v>71</v>
      </c>
      <c r="L893" t="s">
        <v>40</v>
      </c>
      <c r="M893" t="s">
        <v>211</v>
      </c>
      <c r="N893" t="s">
        <v>212</v>
      </c>
      <c r="O893" t="s">
        <v>112</v>
      </c>
      <c r="P893" t="s">
        <v>113</v>
      </c>
      <c r="Q893">
        <v>14762.64</v>
      </c>
      <c r="R893">
        <v>13768.17</v>
      </c>
      <c r="S893">
        <v>9942.49</v>
      </c>
      <c r="T893">
        <v>1787.38</v>
      </c>
      <c r="U893">
        <v>1185.94</v>
      </c>
      <c r="V893">
        <v>1102.32</v>
      </c>
      <c r="W893">
        <v>539.63</v>
      </c>
      <c r="X893">
        <v>14557.76</v>
      </c>
      <c r="Y893">
        <v>4820.1400000000003</v>
      </c>
      <c r="Z893">
        <v>-9737.61</v>
      </c>
      <c r="AA893">
        <v>-0.62819999999999998</v>
      </c>
      <c r="AB893">
        <v>994.46</v>
      </c>
      <c r="AC893">
        <v>0</v>
      </c>
      <c r="AD893">
        <v>738.13</v>
      </c>
      <c r="AE893">
        <v>15500.77</v>
      </c>
    </row>
    <row r="894" spans="1:31" x14ac:dyDescent="0.25">
      <c r="A894" t="s">
        <v>1098</v>
      </c>
      <c r="B894" s="2">
        <v>45766</v>
      </c>
      <c r="C894" t="s">
        <v>128</v>
      </c>
      <c r="D894" t="s">
        <v>66</v>
      </c>
      <c r="E894">
        <v>2025</v>
      </c>
      <c r="F894" t="s">
        <v>59</v>
      </c>
      <c r="G894" t="s">
        <v>35</v>
      </c>
      <c r="H894" t="s">
        <v>230</v>
      </c>
      <c r="I894" t="s">
        <v>231</v>
      </c>
      <c r="J894" t="s">
        <v>38</v>
      </c>
      <c r="K894" t="s">
        <v>50</v>
      </c>
      <c r="L894" t="s">
        <v>40</v>
      </c>
      <c r="M894" t="s">
        <v>102</v>
      </c>
      <c r="N894" t="s">
        <v>103</v>
      </c>
      <c r="O894" t="s">
        <v>104</v>
      </c>
      <c r="P894" t="s">
        <v>105</v>
      </c>
      <c r="Q894">
        <v>30922.47</v>
      </c>
      <c r="R894">
        <v>29974.85</v>
      </c>
      <c r="S894">
        <v>21891.62</v>
      </c>
      <c r="T894">
        <v>1921.32</v>
      </c>
      <c r="U894">
        <v>937.82</v>
      </c>
      <c r="V894">
        <v>2304.63</v>
      </c>
      <c r="W894">
        <v>1205.71</v>
      </c>
      <c r="X894">
        <v>28261.09</v>
      </c>
      <c r="Y894">
        <v>9030.85</v>
      </c>
      <c r="Z894">
        <v>-19230.240000000002</v>
      </c>
      <c r="AA894">
        <v>-0.54330000000000001</v>
      </c>
      <c r="AB894">
        <v>947.62</v>
      </c>
      <c r="AC894">
        <v>927.67</v>
      </c>
      <c r="AD894">
        <v>5399.06</v>
      </c>
      <c r="AE894">
        <v>35393.86</v>
      </c>
    </row>
    <row r="895" spans="1:31" x14ac:dyDescent="0.25">
      <c r="A895" t="s">
        <v>1099</v>
      </c>
      <c r="B895" s="2">
        <v>46051</v>
      </c>
      <c r="C895" t="s">
        <v>77</v>
      </c>
      <c r="D895" t="s">
        <v>58</v>
      </c>
      <c r="E895">
        <v>2026</v>
      </c>
      <c r="F895" t="s">
        <v>47</v>
      </c>
      <c r="G895" t="s">
        <v>35</v>
      </c>
      <c r="H895" t="s">
        <v>206</v>
      </c>
      <c r="I895" t="s">
        <v>207</v>
      </c>
      <c r="J895" t="s">
        <v>70</v>
      </c>
      <c r="K895" t="s">
        <v>50</v>
      </c>
      <c r="L895" t="s">
        <v>51</v>
      </c>
      <c r="M895" t="s">
        <v>130</v>
      </c>
      <c r="N895" t="s">
        <v>131</v>
      </c>
      <c r="O895" t="s">
        <v>43</v>
      </c>
      <c r="P895" t="s">
        <v>132</v>
      </c>
      <c r="Q895">
        <v>33927.15</v>
      </c>
      <c r="R895">
        <v>34154.660000000003</v>
      </c>
      <c r="S895">
        <v>17684.2</v>
      </c>
      <c r="T895">
        <v>2668.43</v>
      </c>
      <c r="U895">
        <v>1273.6500000000001</v>
      </c>
      <c r="V895">
        <v>1910.47</v>
      </c>
      <c r="W895">
        <v>561.39</v>
      </c>
      <c r="X895">
        <v>24098.14</v>
      </c>
      <c r="Y895">
        <v>16242.95</v>
      </c>
      <c r="Z895">
        <v>-7855.19</v>
      </c>
      <c r="AA895">
        <v>-0.20230000000000001</v>
      </c>
      <c r="AB895">
        <v>-227.5</v>
      </c>
      <c r="AC895">
        <v>1017.81</v>
      </c>
      <c r="AD895">
        <v>5923.68</v>
      </c>
      <c r="AE895">
        <v>38833.019999999997</v>
      </c>
    </row>
    <row r="896" spans="1:31" x14ac:dyDescent="0.25">
      <c r="A896" t="s">
        <v>1100</v>
      </c>
      <c r="B896" s="2">
        <v>46044</v>
      </c>
      <c r="C896" t="s">
        <v>77</v>
      </c>
      <c r="D896" t="s">
        <v>58</v>
      </c>
      <c r="E896">
        <v>2026</v>
      </c>
      <c r="F896" t="s">
        <v>47</v>
      </c>
      <c r="G896" t="s">
        <v>35</v>
      </c>
      <c r="H896" t="s">
        <v>78</v>
      </c>
      <c r="I896" t="s">
        <v>183</v>
      </c>
      <c r="J896" t="s">
        <v>70</v>
      </c>
      <c r="K896" t="s">
        <v>39</v>
      </c>
      <c r="L896" t="s">
        <v>81</v>
      </c>
      <c r="M896" t="s">
        <v>73</v>
      </c>
      <c r="N896" t="s">
        <v>74</v>
      </c>
      <c r="O896" t="s">
        <v>43</v>
      </c>
      <c r="P896" t="s">
        <v>75</v>
      </c>
      <c r="Q896">
        <v>56509.77</v>
      </c>
      <c r="R896">
        <v>55747.97</v>
      </c>
      <c r="S896">
        <v>40388.339999999997</v>
      </c>
      <c r="T896">
        <v>6007.45</v>
      </c>
      <c r="U896">
        <v>4466.5600000000004</v>
      </c>
      <c r="V896">
        <v>2442.34</v>
      </c>
      <c r="W896">
        <v>1031.71</v>
      </c>
      <c r="X896">
        <v>54336.4</v>
      </c>
      <c r="Y896">
        <v>16121.43</v>
      </c>
      <c r="Z896">
        <v>-38214.959999999999</v>
      </c>
      <c r="AA896">
        <v>-0.66400000000000003</v>
      </c>
      <c r="AB896">
        <v>761.8</v>
      </c>
      <c r="AC896">
        <v>1695.29</v>
      </c>
      <c r="AD896">
        <v>2740.72</v>
      </c>
      <c r="AE896">
        <v>57555.199999999997</v>
      </c>
    </row>
    <row r="897" spans="1:31" x14ac:dyDescent="0.25">
      <c r="A897" t="s">
        <v>1101</v>
      </c>
      <c r="B897" s="2">
        <v>45971</v>
      </c>
      <c r="C897" t="s">
        <v>147</v>
      </c>
      <c r="D897" t="s">
        <v>93</v>
      </c>
      <c r="E897">
        <v>2025</v>
      </c>
      <c r="F897" t="s">
        <v>34</v>
      </c>
      <c r="G897" t="s">
        <v>35</v>
      </c>
      <c r="H897" t="s">
        <v>157</v>
      </c>
      <c r="I897" t="s">
        <v>158</v>
      </c>
      <c r="J897" t="s">
        <v>80</v>
      </c>
      <c r="K897" t="s">
        <v>39</v>
      </c>
      <c r="L897" t="s">
        <v>40</v>
      </c>
      <c r="M897" t="s">
        <v>41</v>
      </c>
      <c r="N897" t="s">
        <v>42</v>
      </c>
      <c r="O897" t="s">
        <v>43</v>
      </c>
      <c r="P897" t="s">
        <v>44</v>
      </c>
      <c r="Q897">
        <v>38854.75</v>
      </c>
      <c r="R897">
        <v>36305.79</v>
      </c>
      <c r="S897">
        <v>23087.15</v>
      </c>
      <c r="T897">
        <v>3974.27</v>
      </c>
      <c r="U897">
        <v>1339.77</v>
      </c>
      <c r="V897">
        <v>2129.9299999999998</v>
      </c>
      <c r="W897">
        <v>666.58</v>
      </c>
      <c r="X897">
        <v>31197.7</v>
      </c>
      <c r="Y897">
        <v>15767.6</v>
      </c>
      <c r="Z897">
        <v>-15430.1</v>
      </c>
      <c r="AA897">
        <v>-0.38590000000000002</v>
      </c>
      <c r="AB897">
        <v>2548.96</v>
      </c>
      <c r="AC897">
        <v>777.1</v>
      </c>
      <c r="AD897">
        <v>1903.88</v>
      </c>
      <c r="AE897">
        <v>39981.54</v>
      </c>
    </row>
    <row r="898" spans="1:31" x14ac:dyDescent="0.25">
      <c r="A898" t="s">
        <v>1102</v>
      </c>
      <c r="B898" s="2">
        <v>45820</v>
      </c>
      <c r="C898" t="s">
        <v>156</v>
      </c>
      <c r="D898" t="s">
        <v>66</v>
      </c>
      <c r="E898">
        <v>2025</v>
      </c>
      <c r="F898" t="s">
        <v>34</v>
      </c>
      <c r="G898" t="s">
        <v>35</v>
      </c>
      <c r="H898" t="s">
        <v>157</v>
      </c>
      <c r="I898" t="s">
        <v>166</v>
      </c>
      <c r="J898" t="s">
        <v>70</v>
      </c>
      <c r="K898" t="s">
        <v>39</v>
      </c>
      <c r="L898" t="s">
        <v>51</v>
      </c>
      <c r="M898" t="s">
        <v>211</v>
      </c>
      <c r="N898" t="s">
        <v>212</v>
      </c>
      <c r="O898" t="s">
        <v>112</v>
      </c>
      <c r="P898" t="s">
        <v>113</v>
      </c>
      <c r="Q898">
        <v>18303.400000000001</v>
      </c>
      <c r="R898">
        <v>18181.97</v>
      </c>
      <c r="S898">
        <v>12341.97</v>
      </c>
      <c r="T898">
        <v>2318.83</v>
      </c>
      <c r="U898">
        <v>897.98</v>
      </c>
      <c r="V898">
        <v>1963.87</v>
      </c>
      <c r="W898">
        <v>736.41</v>
      </c>
      <c r="X898">
        <v>18259.060000000001</v>
      </c>
      <c r="Y898">
        <v>5961.43</v>
      </c>
      <c r="Z898">
        <v>-12297.64</v>
      </c>
      <c r="AA898">
        <v>-0.56940000000000002</v>
      </c>
      <c r="AB898">
        <v>121.43</v>
      </c>
      <c r="AC898">
        <v>0</v>
      </c>
      <c r="AD898">
        <v>3294.61</v>
      </c>
      <c r="AE898">
        <v>21598.01</v>
      </c>
    </row>
    <row r="899" spans="1:31" x14ac:dyDescent="0.25">
      <c r="A899" t="s">
        <v>1103</v>
      </c>
      <c r="B899" s="2">
        <v>45899</v>
      </c>
      <c r="C899" t="s">
        <v>117</v>
      </c>
      <c r="D899" t="s">
        <v>33</v>
      </c>
      <c r="E899">
        <v>2025</v>
      </c>
      <c r="F899" t="s">
        <v>47</v>
      </c>
      <c r="G899" t="s">
        <v>35</v>
      </c>
      <c r="H899" t="s">
        <v>206</v>
      </c>
      <c r="I899" t="s">
        <v>296</v>
      </c>
      <c r="J899" t="s">
        <v>70</v>
      </c>
      <c r="K899" t="s">
        <v>39</v>
      </c>
      <c r="L899" t="s">
        <v>72</v>
      </c>
      <c r="M899" t="s">
        <v>82</v>
      </c>
      <c r="N899" t="s">
        <v>83</v>
      </c>
      <c r="O899" t="s">
        <v>43</v>
      </c>
      <c r="P899" t="s">
        <v>75</v>
      </c>
      <c r="Q899">
        <v>43010.91</v>
      </c>
      <c r="R899">
        <v>45313.8</v>
      </c>
      <c r="S899">
        <v>30839.81</v>
      </c>
      <c r="T899">
        <v>3432.16</v>
      </c>
      <c r="U899">
        <v>2354.66</v>
      </c>
      <c r="V899">
        <v>2837.27</v>
      </c>
      <c r="W899">
        <v>705.42</v>
      </c>
      <c r="X899">
        <v>40169.33</v>
      </c>
      <c r="Y899">
        <v>12171.1</v>
      </c>
      <c r="Z899">
        <v>-27998.23</v>
      </c>
      <c r="AA899">
        <v>-0.55169999999999997</v>
      </c>
      <c r="AB899">
        <v>-2302.89</v>
      </c>
      <c r="AC899">
        <v>0</v>
      </c>
      <c r="AD899">
        <v>7741.96</v>
      </c>
      <c r="AE899">
        <v>50752.87</v>
      </c>
    </row>
    <row r="900" spans="1:31" x14ac:dyDescent="0.25">
      <c r="A900" t="s">
        <v>1104</v>
      </c>
      <c r="B900" s="2">
        <v>45975</v>
      </c>
      <c r="C900" t="s">
        <v>147</v>
      </c>
      <c r="D900" t="s">
        <v>93</v>
      </c>
      <c r="E900">
        <v>2025</v>
      </c>
      <c r="F900" t="s">
        <v>59</v>
      </c>
      <c r="G900" t="s">
        <v>35</v>
      </c>
      <c r="H900" t="s">
        <v>60</v>
      </c>
      <c r="I900" t="s">
        <v>185</v>
      </c>
      <c r="J900" t="s">
        <v>100</v>
      </c>
      <c r="K900" t="s">
        <v>101</v>
      </c>
      <c r="L900" t="s">
        <v>81</v>
      </c>
      <c r="M900" t="s">
        <v>211</v>
      </c>
      <c r="N900" t="s">
        <v>212</v>
      </c>
      <c r="O900" t="s">
        <v>112</v>
      </c>
      <c r="P900" t="s">
        <v>113</v>
      </c>
      <c r="Q900">
        <v>28280.9</v>
      </c>
      <c r="R900">
        <v>31610.87</v>
      </c>
      <c r="S900">
        <v>14199.75</v>
      </c>
      <c r="T900">
        <v>1539.93</v>
      </c>
      <c r="U900">
        <v>2179.44</v>
      </c>
      <c r="V900">
        <v>1718.09</v>
      </c>
      <c r="W900">
        <v>858.86</v>
      </c>
      <c r="X900">
        <v>20496.07</v>
      </c>
      <c r="Y900">
        <v>14081.15</v>
      </c>
      <c r="Z900">
        <v>-6414.92</v>
      </c>
      <c r="AA900">
        <v>-0.22270000000000001</v>
      </c>
      <c r="AB900">
        <v>-3329.97</v>
      </c>
      <c r="AC900">
        <v>848.43</v>
      </c>
      <c r="AD900">
        <v>1371.62</v>
      </c>
      <c r="AE900">
        <v>28804.1</v>
      </c>
    </row>
    <row r="901" spans="1:31" x14ac:dyDescent="0.25">
      <c r="A901" t="s">
        <v>1105</v>
      </c>
      <c r="B901" s="2">
        <v>46086</v>
      </c>
      <c r="C901" t="s">
        <v>125</v>
      </c>
      <c r="D901" t="s">
        <v>58</v>
      </c>
      <c r="E901">
        <v>2026</v>
      </c>
      <c r="F901" t="s">
        <v>85</v>
      </c>
      <c r="G901" t="s">
        <v>35</v>
      </c>
      <c r="H901" t="s">
        <v>60</v>
      </c>
      <c r="I901" t="s">
        <v>61</v>
      </c>
      <c r="J901" t="s">
        <v>38</v>
      </c>
      <c r="K901" t="s">
        <v>39</v>
      </c>
      <c r="L901" t="s">
        <v>40</v>
      </c>
      <c r="M901" t="s">
        <v>186</v>
      </c>
      <c r="N901" t="s">
        <v>187</v>
      </c>
      <c r="O901" t="s">
        <v>173</v>
      </c>
      <c r="P901" t="s">
        <v>174</v>
      </c>
      <c r="Q901">
        <v>26816.34</v>
      </c>
      <c r="R901">
        <v>29789.73</v>
      </c>
      <c r="S901">
        <v>19063.68</v>
      </c>
      <c r="T901">
        <v>3013.37</v>
      </c>
      <c r="U901">
        <v>2195.38</v>
      </c>
      <c r="V901">
        <v>2588.38</v>
      </c>
      <c r="W901">
        <v>981.95</v>
      </c>
      <c r="X901">
        <v>27842.76</v>
      </c>
      <c r="Y901">
        <v>7752.65</v>
      </c>
      <c r="Z901">
        <v>-20090.11</v>
      </c>
      <c r="AA901">
        <v>-0.65449999999999997</v>
      </c>
      <c r="AB901">
        <v>-2973.4</v>
      </c>
      <c r="AC901">
        <v>804.49</v>
      </c>
      <c r="AD901">
        <v>4682.13</v>
      </c>
      <c r="AE901">
        <v>30693.98</v>
      </c>
    </row>
    <row r="902" spans="1:31" x14ac:dyDescent="0.25">
      <c r="A902" t="s">
        <v>1106</v>
      </c>
      <c r="B902" s="2">
        <v>45779</v>
      </c>
      <c r="C902" t="s">
        <v>65</v>
      </c>
      <c r="D902" t="s">
        <v>66</v>
      </c>
      <c r="E902">
        <v>2025</v>
      </c>
      <c r="F902" t="s">
        <v>59</v>
      </c>
      <c r="G902" t="s">
        <v>35</v>
      </c>
      <c r="H902" t="s">
        <v>139</v>
      </c>
      <c r="I902" t="s">
        <v>152</v>
      </c>
      <c r="J902" t="s">
        <v>70</v>
      </c>
      <c r="K902" t="s">
        <v>50</v>
      </c>
      <c r="L902" t="s">
        <v>94</v>
      </c>
      <c r="M902" t="s">
        <v>197</v>
      </c>
      <c r="N902" t="s">
        <v>198</v>
      </c>
      <c r="O902" t="s">
        <v>43</v>
      </c>
      <c r="P902" t="s">
        <v>163</v>
      </c>
      <c r="Q902">
        <v>68277.009999999995</v>
      </c>
      <c r="R902">
        <v>66190.66</v>
      </c>
      <c r="S902">
        <v>35216.76</v>
      </c>
      <c r="T902">
        <v>7944.84</v>
      </c>
      <c r="U902">
        <v>5419.41</v>
      </c>
      <c r="V902">
        <v>7180.05</v>
      </c>
      <c r="W902">
        <v>2224.3200000000002</v>
      </c>
      <c r="X902">
        <v>57985.38</v>
      </c>
      <c r="Y902">
        <v>33060.239999999998</v>
      </c>
      <c r="Z902">
        <v>-24925.14</v>
      </c>
      <c r="AA902">
        <v>-0.33600000000000002</v>
      </c>
      <c r="AB902">
        <v>2086.35</v>
      </c>
      <c r="AC902">
        <v>2048.31</v>
      </c>
      <c r="AD902">
        <v>7947.44</v>
      </c>
      <c r="AE902">
        <v>74176.14</v>
      </c>
    </row>
    <row r="903" spans="1:31" x14ac:dyDescent="0.25">
      <c r="A903" t="s">
        <v>1107</v>
      </c>
      <c r="B903" s="2">
        <v>46054</v>
      </c>
      <c r="C903" t="s">
        <v>57</v>
      </c>
      <c r="D903" t="s">
        <v>58</v>
      </c>
      <c r="E903">
        <v>2026</v>
      </c>
      <c r="F903" t="s">
        <v>34</v>
      </c>
      <c r="G903" t="s">
        <v>35</v>
      </c>
      <c r="H903" t="s">
        <v>134</v>
      </c>
      <c r="I903" t="s">
        <v>154</v>
      </c>
      <c r="J903" t="s">
        <v>38</v>
      </c>
      <c r="K903" t="s">
        <v>39</v>
      </c>
      <c r="L903" t="s">
        <v>94</v>
      </c>
      <c r="M903" t="s">
        <v>189</v>
      </c>
      <c r="N903" t="s">
        <v>190</v>
      </c>
      <c r="O903" t="s">
        <v>104</v>
      </c>
      <c r="P903" t="s">
        <v>105</v>
      </c>
      <c r="Q903">
        <v>22351.17</v>
      </c>
      <c r="R903">
        <v>19881.02</v>
      </c>
      <c r="S903">
        <v>14877.25</v>
      </c>
      <c r="T903">
        <v>1210.6300000000001</v>
      </c>
      <c r="U903">
        <v>614.21</v>
      </c>
      <c r="V903">
        <v>1662.6</v>
      </c>
      <c r="W903">
        <v>272.85000000000002</v>
      </c>
      <c r="X903">
        <v>18637.55</v>
      </c>
      <c r="Y903">
        <v>7473.92</v>
      </c>
      <c r="Z903">
        <v>-11163.64</v>
      </c>
      <c r="AA903">
        <v>-0.48470000000000002</v>
      </c>
      <c r="AB903">
        <v>2470.15</v>
      </c>
      <c r="AC903">
        <v>1788.09</v>
      </c>
      <c r="AD903">
        <v>2467.5700000000002</v>
      </c>
      <c r="AE903">
        <v>23030.639999999999</v>
      </c>
    </row>
    <row r="904" spans="1:31" x14ac:dyDescent="0.25">
      <c r="A904" t="s">
        <v>1108</v>
      </c>
      <c r="B904" s="2">
        <v>45918</v>
      </c>
      <c r="C904" t="s">
        <v>46</v>
      </c>
      <c r="D904" t="s">
        <v>33</v>
      </c>
      <c r="E904">
        <v>2025</v>
      </c>
      <c r="F904" t="s">
        <v>59</v>
      </c>
      <c r="G904" t="s">
        <v>35</v>
      </c>
      <c r="H904" t="s">
        <v>254</v>
      </c>
      <c r="I904" t="s">
        <v>255</v>
      </c>
      <c r="J904" t="s">
        <v>38</v>
      </c>
      <c r="K904" t="s">
        <v>39</v>
      </c>
      <c r="L904" t="s">
        <v>72</v>
      </c>
      <c r="M904" t="s">
        <v>62</v>
      </c>
      <c r="N904" t="s">
        <v>63</v>
      </c>
      <c r="O904" t="s">
        <v>54</v>
      </c>
      <c r="P904" t="s">
        <v>55</v>
      </c>
      <c r="Q904">
        <v>5275.47</v>
      </c>
      <c r="R904">
        <v>5612.65</v>
      </c>
      <c r="S904">
        <v>3327.7</v>
      </c>
      <c r="T904">
        <v>573.59</v>
      </c>
      <c r="U904">
        <v>344.79</v>
      </c>
      <c r="V904">
        <v>620.08000000000004</v>
      </c>
      <c r="W904">
        <v>89.18</v>
      </c>
      <c r="X904">
        <v>4955.33</v>
      </c>
      <c r="Y904">
        <v>1947.77</v>
      </c>
      <c r="Z904">
        <v>-3007.56</v>
      </c>
      <c r="AA904">
        <v>-0.56559999999999999</v>
      </c>
      <c r="AB904">
        <v>-337.18</v>
      </c>
      <c r="AC904">
        <v>527.54999999999995</v>
      </c>
      <c r="AD904">
        <v>569.75</v>
      </c>
      <c r="AE904">
        <v>5317.67</v>
      </c>
    </row>
    <row r="905" spans="1:31" x14ac:dyDescent="0.25">
      <c r="A905" t="s">
        <v>1109</v>
      </c>
      <c r="B905" s="2">
        <v>46080</v>
      </c>
      <c r="C905" t="s">
        <v>57</v>
      </c>
      <c r="D905" t="s">
        <v>58</v>
      </c>
      <c r="E905">
        <v>2026</v>
      </c>
      <c r="F905" t="s">
        <v>67</v>
      </c>
      <c r="G905" t="s">
        <v>35</v>
      </c>
      <c r="H905" t="s">
        <v>68</v>
      </c>
      <c r="I905" t="s">
        <v>69</v>
      </c>
      <c r="J905" t="s">
        <v>70</v>
      </c>
      <c r="K905" t="s">
        <v>71</v>
      </c>
      <c r="L905" t="s">
        <v>72</v>
      </c>
      <c r="M905" t="s">
        <v>41</v>
      </c>
      <c r="N905" t="s">
        <v>42</v>
      </c>
      <c r="O905" t="s">
        <v>43</v>
      </c>
      <c r="P905" t="s">
        <v>44</v>
      </c>
      <c r="Q905">
        <v>35024.53</v>
      </c>
      <c r="R905">
        <v>35992.94</v>
      </c>
      <c r="S905">
        <v>19657.05</v>
      </c>
      <c r="T905">
        <v>3026.37</v>
      </c>
      <c r="U905">
        <v>1666.63</v>
      </c>
      <c r="V905">
        <v>3161.92</v>
      </c>
      <c r="W905">
        <v>402.83</v>
      </c>
      <c r="X905">
        <v>27914.81</v>
      </c>
      <c r="Y905">
        <v>15367.48</v>
      </c>
      <c r="Z905">
        <v>-12547.33</v>
      </c>
      <c r="AA905">
        <v>-0.31990000000000002</v>
      </c>
      <c r="AB905">
        <v>-968.42</v>
      </c>
      <c r="AC905">
        <v>0</v>
      </c>
      <c r="AD905">
        <v>4202.9399999999996</v>
      </c>
      <c r="AE905">
        <v>39227.47</v>
      </c>
    </row>
    <row r="906" spans="1:31" x14ac:dyDescent="0.25">
      <c r="A906" t="s">
        <v>1110</v>
      </c>
      <c r="B906" s="2">
        <v>45982</v>
      </c>
      <c r="C906" t="s">
        <v>147</v>
      </c>
      <c r="D906" t="s">
        <v>93</v>
      </c>
      <c r="E906">
        <v>2025</v>
      </c>
      <c r="F906" t="s">
        <v>34</v>
      </c>
      <c r="G906" t="s">
        <v>35</v>
      </c>
      <c r="H906" t="s">
        <v>98</v>
      </c>
      <c r="I906" t="s">
        <v>304</v>
      </c>
      <c r="J906" t="s">
        <v>70</v>
      </c>
      <c r="K906" t="s">
        <v>101</v>
      </c>
      <c r="L906" t="s">
        <v>40</v>
      </c>
      <c r="M906" t="s">
        <v>110</v>
      </c>
      <c r="N906" t="s">
        <v>111</v>
      </c>
      <c r="O906" t="s">
        <v>112</v>
      </c>
      <c r="P906" t="s">
        <v>113</v>
      </c>
      <c r="Q906">
        <v>36948.11</v>
      </c>
      <c r="R906">
        <v>43535.07</v>
      </c>
      <c r="S906">
        <v>19226.53</v>
      </c>
      <c r="T906">
        <v>2272.58</v>
      </c>
      <c r="U906">
        <v>2132.63</v>
      </c>
      <c r="V906">
        <v>3365.66</v>
      </c>
      <c r="W906">
        <v>590.69000000000005</v>
      </c>
      <c r="X906">
        <v>27588.1</v>
      </c>
      <c r="Y906">
        <v>17721.580000000002</v>
      </c>
      <c r="Z906">
        <v>-9866.52</v>
      </c>
      <c r="AA906">
        <v>-0.25919999999999999</v>
      </c>
      <c r="AB906">
        <v>-6586.96</v>
      </c>
      <c r="AC906">
        <v>2955.85</v>
      </c>
      <c r="AD906">
        <v>4079.07</v>
      </c>
      <c r="AE906">
        <v>38071.33</v>
      </c>
    </row>
    <row r="907" spans="1:31" x14ac:dyDescent="0.25">
      <c r="A907" t="s">
        <v>1111</v>
      </c>
      <c r="B907" s="2">
        <v>45813</v>
      </c>
      <c r="C907" t="s">
        <v>156</v>
      </c>
      <c r="D907" t="s">
        <v>66</v>
      </c>
      <c r="E907">
        <v>2025</v>
      </c>
      <c r="F907" t="s">
        <v>34</v>
      </c>
      <c r="G907" t="s">
        <v>35</v>
      </c>
      <c r="H907" t="s">
        <v>134</v>
      </c>
      <c r="I907" t="s">
        <v>135</v>
      </c>
      <c r="J907" t="s">
        <v>100</v>
      </c>
      <c r="K907" t="s">
        <v>71</v>
      </c>
      <c r="L907" t="s">
        <v>40</v>
      </c>
      <c r="M907" t="s">
        <v>62</v>
      </c>
      <c r="N907" t="s">
        <v>63</v>
      </c>
      <c r="O907" t="s">
        <v>54</v>
      </c>
      <c r="P907" t="s">
        <v>55</v>
      </c>
      <c r="Q907">
        <v>2398.1799999999998</v>
      </c>
      <c r="R907">
        <v>2819.38</v>
      </c>
      <c r="S907">
        <v>1347.08</v>
      </c>
      <c r="T907">
        <v>179.76</v>
      </c>
      <c r="U907">
        <v>201.18</v>
      </c>
      <c r="V907">
        <v>208.18</v>
      </c>
      <c r="W907">
        <v>42.02</v>
      </c>
      <c r="X907">
        <v>1978.22</v>
      </c>
      <c r="Y907">
        <v>1051.0999999999999</v>
      </c>
      <c r="Z907">
        <v>-927.11</v>
      </c>
      <c r="AA907">
        <v>-0.35610000000000003</v>
      </c>
      <c r="AB907">
        <v>-421.2</v>
      </c>
      <c r="AC907">
        <v>191.85</v>
      </c>
      <c r="AD907">
        <v>397.14</v>
      </c>
      <c r="AE907">
        <v>2603.4699999999998</v>
      </c>
    </row>
    <row r="908" spans="1:31" x14ac:dyDescent="0.25">
      <c r="A908" t="s">
        <v>1112</v>
      </c>
      <c r="B908" s="2">
        <v>45981</v>
      </c>
      <c r="C908" t="s">
        <v>147</v>
      </c>
      <c r="D908" t="s">
        <v>93</v>
      </c>
      <c r="E908">
        <v>2025</v>
      </c>
      <c r="F908" t="s">
        <v>67</v>
      </c>
      <c r="G908" t="s">
        <v>35</v>
      </c>
      <c r="H908" t="s">
        <v>118</v>
      </c>
      <c r="I908" t="s">
        <v>209</v>
      </c>
      <c r="J908" t="s">
        <v>70</v>
      </c>
      <c r="K908" t="s">
        <v>39</v>
      </c>
      <c r="L908" t="s">
        <v>40</v>
      </c>
      <c r="M908" t="s">
        <v>73</v>
      </c>
      <c r="N908" t="s">
        <v>74</v>
      </c>
      <c r="O908" t="s">
        <v>43</v>
      </c>
      <c r="P908" t="s">
        <v>75</v>
      </c>
      <c r="Q908">
        <v>57839.199999999997</v>
      </c>
      <c r="R908">
        <v>54591.83</v>
      </c>
      <c r="S908">
        <v>28880.5</v>
      </c>
      <c r="T908">
        <v>5491.48</v>
      </c>
      <c r="U908">
        <v>1497.13</v>
      </c>
      <c r="V908">
        <v>4219.4799999999996</v>
      </c>
      <c r="W908">
        <v>726.95</v>
      </c>
      <c r="X908">
        <v>40815.53</v>
      </c>
      <c r="Y908">
        <v>28958.7</v>
      </c>
      <c r="Z908">
        <v>-11856.83</v>
      </c>
      <c r="AA908">
        <v>-0.20130000000000001</v>
      </c>
      <c r="AB908">
        <v>3247.37</v>
      </c>
      <c r="AC908">
        <v>1735.18</v>
      </c>
      <c r="AD908">
        <v>2805.2</v>
      </c>
      <c r="AE908">
        <v>58909.23</v>
      </c>
    </row>
    <row r="909" spans="1:31" x14ac:dyDescent="0.25">
      <c r="A909" t="s">
        <v>1113</v>
      </c>
      <c r="B909" s="2">
        <v>45844</v>
      </c>
      <c r="C909" t="s">
        <v>32</v>
      </c>
      <c r="D909" t="s">
        <v>33</v>
      </c>
      <c r="E909">
        <v>2025</v>
      </c>
      <c r="F909" t="s">
        <v>59</v>
      </c>
      <c r="G909" t="s">
        <v>35</v>
      </c>
      <c r="H909" t="s">
        <v>254</v>
      </c>
      <c r="I909" t="s">
        <v>314</v>
      </c>
      <c r="J909" t="s">
        <v>100</v>
      </c>
      <c r="K909" t="s">
        <v>50</v>
      </c>
      <c r="L909" t="s">
        <v>40</v>
      </c>
      <c r="M909" t="s">
        <v>41</v>
      </c>
      <c r="N909" t="s">
        <v>42</v>
      </c>
      <c r="O909" t="s">
        <v>43</v>
      </c>
      <c r="P909" t="s">
        <v>44</v>
      </c>
      <c r="Q909">
        <v>44224.53</v>
      </c>
      <c r="R909">
        <v>47901.75</v>
      </c>
      <c r="S909">
        <v>31288.57</v>
      </c>
      <c r="T909">
        <v>4470.1400000000003</v>
      </c>
      <c r="U909">
        <v>3266.32</v>
      </c>
      <c r="V909">
        <v>4428.04</v>
      </c>
      <c r="W909">
        <v>954.13</v>
      </c>
      <c r="X909">
        <v>44407.19</v>
      </c>
      <c r="Y909">
        <v>12935.96</v>
      </c>
      <c r="Z909">
        <v>-31471.23</v>
      </c>
      <c r="AA909">
        <v>-0.67769999999999997</v>
      </c>
      <c r="AB909">
        <v>-3677.22</v>
      </c>
      <c r="AC909">
        <v>0</v>
      </c>
      <c r="AD909">
        <v>2211.23</v>
      </c>
      <c r="AE909">
        <v>46435.75</v>
      </c>
    </row>
    <row r="910" spans="1:31" x14ac:dyDescent="0.25">
      <c r="A910" t="s">
        <v>1114</v>
      </c>
      <c r="B910" s="2">
        <v>46028</v>
      </c>
      <c r="C910" t="s">
        <v>77</v>
      </c>
      <c r="D910" t="s">
        <v>58</v>
      </c>
      <c r="E910">
        <v>2026</v>
      </c>
      <c r="F910" t="s">
        <v>34</v>
      </c>
      <c r="G910" t="s">
        <v>35</v>
      </c>
      <c r="H910" t="s">
        <v>98</v>
      </c>
      <c r="I910" t="s">
        <v>304</v>
      </c>
      <c r="J910" t="s">
        <v>70</v>
      </c>
      <c r="K910" t="s">
        <v>50</v>
      </c>
      <c r="L910" t="s">
        <v>51</v>
      </c>
      <c r="M910" t="s">
        <v>130</v>
      </c>
      <c r="N910" t="s">
        <v>131</v>
      </c>
      <c r="O910" t="s">
        <v>43</v>
      </c>
      <c r="P910" t="s">
        <v>132</v>
      </c>
      <c r="Q910">
        <v>62430.06</v>
      </c>
      <c r="R910">
        <v>69119.44</v>
      </c>
      <c r="S910">
        <v>31516.22</v>
      </c>
      <c r="T910">
        <v>4275.97</v>
      </c>
      <c r="U910">
        <v>3160.28</v>
      </c>
      <c r="V910">
        <v>3346.78</v>
      </c>
      <c r="W910">
        <v>1705.71</v>
      </c>
      <c r="X910">
        <v>44004.959999999999</v>
      </c>
      <c r="Y910">
        <v>30913.84</v>
      </c>
      <c r="Z910">
        <v>-13091.12</v>
      </c>
      <c r="AA910">
        <v>-0.1832</v>
      </c>
      <c r="AB910">
        <v>-6689.38</v>
      </c>
      <c r="AC910">
        <v>1872.9</v>
      </c>
      <c r="AD910">
        <v>10900.29</v>
      </c>
      <c r="AE910">
        <v>71457.45</v>
      </c>
    </row>
    <row r="911" spans="1:31" x14ac:dyDescent="0.25">
      <c r="A911" t="s">
        <v>1115</v>
      </c>
      <c r="B911" s="2">
        <v>45863</v>
      </c>
      <c r="C911" t="s">
        <v>32</v>
      </c>
      <c r="D911" t="s">
        <v>33</v>
      </c>
      <c r="E911">
        <v>2025</v>
      </c>
      <c r="F911" t="s">
        <v>59</v>
      </c>
      <c r="G911" t="s">
        <v>35</v>
      </c>
      <c r="H911" t="s">
        <v>230</v>
      </c>
      <c r="I911" t="s">
        <v>231</v>
      </c>
      <c r="J911" t="s">
        <v>38</v>
      </c>
      <c r="K911" t="s">
        <v>71</v>
      </c>
      <c r="L911" t="s">
        <v>94</v>
      </c>
      <c r="M911" t="s">
        <v>189</v>
      </c>
      <c r="N911" t="s">
        <v>190</v>
      </c>
      <c r="O911" t="s">
        <v>104</v>
      </c>
      <c r="P911" t="s">
        <v>105</v>
      </c>
      <c r="Q911">
        <v>12866.93</v>
      </c>
      <c r="R911">
        <v>12715.64</v>
      </c>
      <c r="S911">
        <v>8727.98</v>
      </c>
      <c r="T911">
        <v>1108.76</v>
      </c>
      <c r="U911">
        <v>759.67</v>
      </c>
      <c r="V911">
        <v>1525.96</v>
      </c>
      <c r="W911">
        <v>155.68</v>
      </c>
      <c r="X911">
        <v>12278.05</v>
      </c>
      <c r="Y911">
        <v>4138.96</v>
      </c>
      <c r="Z911">
        <v>-8139.09</v>
      </c>
      <c r="AA911">
        <v>-0.55259999999999998</v>
      </c>
      <c r="AB911">
        <v>151.29</v>
      </c>
      <c r="AC911">
        <v>386.01</v>
      </c>
      <c r="AD911">
        <v>2246.5700000000002</v>
      </c>
      <c r="AE911">
        <v>14727.49</v>
      </c>
    </row>
    <row r="912" spans="1:31" x14ac:dyDescent="0.25">
      <c r="A912" t="s">
        <v>1116</v>
      </c>
      <c r="B912" s="2">
        <v>45952</v>
      </c>
      <c r="C912" t="s">
        <v>92</v>
      </c>
      <c r="D912" t="s">
        <v>93</v>
      </c>
      <c r="E912">
        <v>2025</v>
      </c>
      <c r="F912" t="s">
        <v>34</v>
      </c>
      <c r="G912" t="s">
        <v>35</v>
      </c>
      <c r="H912" t="s">
        <v>98</v>
      </c>
      <c r="I912" t="s">
        <v>99</v>
      </c>
      <c r="J912" t="s">
        <v>38</v>
      </c>
      <c r="K912" t="s">
        <v>71</v>
      </c>
      <c r="L912" t="s">
        <v>94</v>
      </c>
      <c r="M912" t="s">
        <v>189</v>
      </c>
      <c r="N912" t="s">
        <v>190</v>
      </c>
      <c r="O912" t="s">
        <v>104</v>
      </c>
      <c r="P912" t="s">
        <v>105</v>
      </c>
      <c r="Q912">
        <v>13937.35</v>
      </c>
      <c r="R912">
        <v>13032.39</v>
      </c>
      <c r="S912">
        <v>7642.87</v>
      </c>
      <c r="T912">
        <v>1161.4100000000001</v>
      </c>
      <c r="U912">
        <v>668.8</v>
      </c>
      <c r="V912">
        <v>1142.73</v>
      </c>
      <c r="W912">
        <v>431.88</v>
      </c>
      <c r="X912">
        <v>11047.69</v>
      </c>
      <c r="Y912">
        <v>6294.48</v>
      </c>
      <c r="Z912">
        <v>-4753.21</v>
      </c>
      <c r="AA912">
        <v>-0.30420000000000003</v>
      </c>
      <c r="AB912">
        <v>904.97</v>
      </c>
      <c r="AC912">
        <v>696.87</v>
      </c>
      <c r="AD912">
        <v>2383.29</v>
      </c>
      <c r="AE912">
        <v>15623.77</v>
      </c>
    </row>
    <row r="913" spans="1:31" x14ac:dyDescent="0.25">
      <c r="A913" t="s">
        <v>1117</v>
      </c>
      <c r="B913" s="2">
        <v>45751</v>
      </c>
      <c r="C913" t="s">
        <v>128</v>
      </c>
      <c r="D913" t="s">
        <v>66</v>
      </c>
      <c r="E913">
        <v>2025</v>
      </c>
      <c r="F913" t="s">
        <v>85</v>
      </c>
      <c r="G913" t="s">
        <v>35</v>
      </c>
      <c r="H913" t="s">
        <v>178</v>
      </c>
      <c r="I913" t="s">
        <v>329</v>
      </c>
      <c r="J913" t="s">
        <v>80</v>
      </c>
      <c r="K913" t="s">
        <v>71</v>
      </c>
      <c r="L913" t="s">
        <v>40</v>
      </c>
      <c r="M913" t="s">
        <v>52</v>
      </c>
      <c r="N913" t="s">
        <v>53</v>
      </c>
      <c r="O913" t="s">
        <v>54</v>
      </c>
      <c r="P913" t="s">
        <v>55</v>
      </c>
      <c r="Q913">
        <v>4590.33</v>
      </c>
      <c r="R913">
        <v>4773.93</v>
      </c>
      <c r="S913">
        <v>2929.9</v>
      </c>
      <c r="T913">
        <v>244.79</v>
      </c>
      <c r="U913">
        <v>330.03</v>
      </c>
      <c r="V913">
        <v>206.37</v>
      </c>
      <c r="W913">
        <v>121.14</v>
      </c>
      <c r="X913">
        <v>3832.23</v>
      </c>
      <c r="Y913">
        <v>1660.42</v>
      </c>
      <c r="Z913">
        <v>-2171.81</v>
      </c>
      <c r="AA913">
        <v>-0.4592</v>
      </c>
      <c r="AB913">
        <v>-183.6</v>
      </c>
      <c r="AC913">
        <v>367.23</v>
      </c>
      <c r="AD913">
        <v>506.77</v>
      </c>
      <c r="AE913">
        <v>4729.87</v>
      </c>
    </row>
    <row r="914" spans="1:31" x14ac:dyDescent="0.25">
      <c r="A914" t="s">
        <v>1118</v>
      </c>
      <c r="B914" s="2">
        <v>45973</v>
      </c>
      <c r="C914" t="s">
        <v>147</v>
      </c>
      <c r="D914" t="s">
        <v>93</v>
      </c>
      <c r="E914">
        <v>2025</v>
      </c>
      <c r="F914" t="s">
        <v>47</v>
      </c>
      <c r="G914" t="s">
        <v>35</v>
      </c>
      <c r="H914" t="s">
        <v>206</v>
      </c>
      <c r="I914" t="s">
        <v>207</v>
      </c>
      <c r="J914" t="s">
        <v>80</v>
      </c>
      <c r="K914" t="s">
        <v>71</v>
      </c>
      <c r="L914" t="s">
        <v>94</v>
      </c>
      <c r="M914" t="s">
        <v>235</v>
      </c>
      <c r="N914" t="s">
        <v>236</v>
      </c>
      <c r="O914" t="s">
        <v>104</v>
      </c>
      <c r="P914" t="s">
        <v>237</v>
      </c>
      <c r="Q914">
        <v>28945.13</v>
      </c>
      <c r="R914">
        <v>31544.73</v>
      </c>
      <c r="S914">
        <v>16266.71</v>
      </c>
      <c r="T914">
        <v>2450.33</v>
      </c>
      <c r="U914">
        <v>993.33</v>
      </c>
      <c r="V914">
        <v>1547.05</v>
      </c>
      <c r="W914">
        <v>455.89</v>
      </c>
      <c r="X914">
        <v>21713.32</v>
      </c>
      <c r="Y914">
        <v>12678.41</v>
      </c>
      <c r="Z914">
        <v>-9034.9</v>
      </c>
      <c r="AA914">
        <v>-0.29730000000000001</v>
      </c>
      <c r="AB914">
        <v>-2599.6</v>
      </c>
      <c r="AC914">
        <v>0</v>
      </c>
      <c r="AD914">
        <v>1447.26</v>
      </c>
      <c r="AE914">
        <v>30392.38</v>
      </c>
    </row>
    <row r="915" spans="1:31" x14ac:dyDescent="0.25">
      <c r="A915" t="s">
        <v>1119</v>
      </c>
      <c r="B915" s="2">
        <v>45886</v>
      </c>
      <c r="C915" t="s">
        <v>117</v>
      </c>
      <c r="D915" t="s">
        <v>33</v>
      </c>
      <c r="E915">
        <v>2025</v>
      </c>
      <c r="F915" t="s">
        <v>34</v>
      </c>
      <c r="G915" t="s">
        <v>35</v>
      </c>
      <c r="H915" t="s">
        <v>98</v>
      </c>
      <c r="I915" t="s">
        <v>304</v>
      </c>
      <c r="J915" t="s">
        <v>38</v>
      </c>
      <c r="K915" t="s">
        <v>50</v>
      </c>
      <c r="L915" t="s">
        <v>40</v>
      </c>
      <c r="M915" t="s">
        <v>197</v>
      </c>
      <c r="N915" t="s">
        <v>198</v>
      </c>
      <c r="O915" t="s">
        <v>43</v>
      </c>
      <c r="P915" t="s">
        <v>163</v>
      </c>
      <c r="Q915">
        <v>26443.96</v>
      </c>
      <c r="R915">
        <v>31162.25</v>
      </c>
      <c r="S915">
        <v>17891.8</v>
      </c>
      <c r="T915">
        <v>2497.8000000000002</v>
      </c>
      <c r="U915">
        <v>1494.3</v>
      </c>
      <c r="V915">
        <v>2824.28</v>
      </c>
      <c r="W915">
        <v>1130.72</v>
      </c>
      <c r="X915">
        <v>25838.9</v>
      </c>
      <c r="Y915">
        <v>8552.15</v>
      </c>
      <c r="Z915">
        <v>-17286.740000000002</v>
      </c>
      <c r="AA915">
        <v>-0.64849999999999997</v>
      </c>
      <c r="AB915">
        <v>-4718.29</v>
      </c>
      <c r="AC915">
        <v>2644.4</v>
      </c>
      <c r="AD915">
        <v>2855.95</v>
      </c>
      <c r="AE915">
        <v>26655.51</v>
      </c>
    </row>
    <row r="916" spans="1:31" x14ac:dyDescent="0.25">
      <c r="A916" t="s">
        <v>1120</v>
      </c>
      <c r="B916" s="2">
        <v>45905</v>
      </c>
      <c r="C916" t="s">
        <v>46</v>
      </c>
      <c r="D916" t="s">
        <v>33</v>
      </c>
      <c r="E916">
        <v>2025</v>
      </c>
      <c r="F916" t="s">
        <v>59</v>
      </c>
      <c r="G916" t="s">
        <v>35</v>
      </c>
      <c r="H916" t="s">
        <v>254</v>
      </c>
      <c r="I916" t="s">
        <v>314</v>
      </c>
      <c r="J916" t="s">
        <v>38</v>
      </c>
      <c r="K916" t="s">
        <v>50</v>
      </c>
      <c r="L916" t="s">
        <v>94</v>
      </c>
      <c r="M916" t="s">
        <v>171</v>
      </c>
      <c r="N916" t="s">
        <v>172</v>
      </c>
      <c r="O916" t="s">
        <v>173</v>
      </c>
      <c r="P916" t="s">
        <v>174</v>
      </c>
      <c r="Q916">
        <v>16054.21</v>
      </c>
      <c r="R916">
        <v>16915.71</v>
      </c>
      <c r="S916">
        <v>9717.7199999999993</v>
      </c>
      <c r="T916">
        <v>814.04</v>
      </c>
      <c r="U916">
        <v>908.21</v>
      </c>
      <c r="V916">
        <v>1718.02</v>
      </c>
      <c r="W916">
        <v>283.95999999999998</v>
      </c>
      <c r="X916">
        <v>13441.95</v>
      </c>
      <c r="Y916">
        <v>6336.49</v>
      </c>
      <c r="Z916">
        <v>-7105.46</v>
      </c>
      <c r="AA916">
        <v>-0.43459999999999999</v>
      </c>
      <c r="AB916">
        <v>-861.5</v>
      </c>
      <c r="AC916">
        <v>481.63</v>
      </c>
      <c r="AD916">
        <v>778.63</v>
      </c>
      <c r="AE916">
        <v>16351.21</v>
      </c>
    </row>
    <row r="917" spans="1:31" x14ac:dyDescent="0.25">
      <c r="A917" t="s">
        <v>1121</v>
      </c>
      <c r="B917" s="2">
        <v>45887</v>
      </c>
      <c r="C917" t="s">
        <v>117</v>
      </c>
      <c r="D917" t="s">
        <v>33</v>
      </c>
      <c r="E917">
        <v>2025</v>
      </c>
      <c r="F917" t="s">
        <v>59</v>
      </c>
      <c r="G917" t="s">
        <v>35</v>
      </c>
      <c r="H917" t="s">
        <v>60</v>
      </c>
      <c r="I917" t="s">
        <v>185</v>
      </c>
      <c r="J917" t="s">
        <v>80</v>
      </c>
      <c r="K917" t="s">
        <v>160</v>
      </c>
      <c r="L917" t="s">
        <v>72</v>
      </c>
      <c r="M917" t="s">
        <v>189</v>
      </c>
      <c r="N917" t="s">
        <v>190</v>
      </c>
      <c r="O917" t="s">
        <v>104</v>
      </c>
      <c r="P917" t="s">
        <v>105</v>
      </c>
      <c r="Q917">
        <v>26169.1</v>
      </c>
      <c r="R917">
        <v>27080.76</v>
      </c>
      <c r="S917">
        <v>14651.12</v>
      </c>
      <c r="T917">
        <v>1887.67</v>
      </c>
      <c r="U917">
        <v>1769.99</v>
      </c>
      <c r="V917">
        <v>1297.6500000000001</v>
      </c>
      <c r="W917">
        <v>1067.03</v>
      </c>
      <c r="X917">
        <v>20673.47</v>
      </c>
      <c r="Y917">
        <v>11517.98</v>
      </c>
      <c r="Z917">
        <v>-9155.49</v>
      </c>
      <c r="AA917">
        <v>-0.35070000000000001</v>
      </c>
      <c r="AB917">
        <v>-911.66</v>
      </c>
      <c r="AC917">
        <v>1308.45</v>
      </c>
      <c r="AD917">
        <v>1243.03</v>
      </c>
      <c r="AE917">
        <v>26103.68</v>
      </c>
    </row>
    <row r="918" spans="1:31" x14ac:dyDescent="0.25">
      <c r="A918" t="s">
        <v>1122</v>
      </c>
      <c r="B918" s="2">
        <v>45888</v>
      </c>
      <c r="C918" t="s">
        <v>117</v>
      </c>
      <c r="D918" t="s">
        <v>33</v>
      </c>
      <c r="E918">
        <v>2025</v>
      </c>
      <c r="F918" t="s">
        <v>47</v>
      </c>
      <c r="G918" t="s">
        <v>35</v>
      </c>
      <c r="H918" t="s">
        <v>78</v>
      </c>
      <c r="I918" t="s">
        <v>79</v>
      </c>
      <c r="J918" t="s">
        <v>70</v>
      </c>
      <c r="K918" t="s">
        <v>71</v>
      </c>
      <c r="L918" t="s">
        <v>51</v>
      </c>
      <c r="M918" t="s">
        <v>235</v>
      </c>
      <c r="N918" t="s">
        <v>236</v>
      </c>
      <c r="O918" t="s">
        <v>104</v>
      </c>
      <c r="P918" t="s">
        <v>237</v>
      </c>
      <c r="Q918">
        <v>16954.439999999999</v>
      </c>
      <c r="R918">
        <v>16283.1</v>
      </c>
      <c r="S918">
        <v>9665.64</v>
      </c>
      <c r="T918">
        <v>2044.35</v>
      </c>
      <c r="U918">
        <v>1471.28</v>
      </c>
      <c r="V918">
        <v>1649.98</v>
      </c>
      <c r="W918">
        <v>461.82</v>
      </c>
      <c r="X918">
        <v>15293.06</v>
      </c>
      <c r="Y918">
        <v>7288.8</v>
      </c>
      <c r="Z918">
        <v>-8004.26</v>
      </c>
      <c r="AA918">
        <v>-0.44369999999999998</v>
      </c>
      <c r="AB918">
        <v>671.34</v>
      </c>
      <c r="AC918">
        <v>847.72</v>
      </c>
      <c r="AD918">
        <v>1932.81</v>
      </c>
      <c r="AE918">
        <v>18039.52</v>
      </c>
    </row>
    <row r="919" spans="1:31" x14ac:dyDescent="0.25">
      <c r="A919" t="s">
        <v>1123</v>
      </c>
      <c r="B919" s="2">
        <v>46019</v>
      </c>
      <c r="C919" t="s">
        <v>107</v>
      </c>
      <c r="D919" t="s">
        <v>93</v>
      </c>
      <c r="E919">
        <v>2025</v>
      </c>
      <c r="F919" t="s">
        <v>67</v>
      </c>
      <c r="G919" t="s">
        <v>35</v>
      </c>
      <c r="H919" t="s">
        <v>68</v>
      </c>
      <c r="I919" t="s">
        <v>260</v>
      </c>
      <c r="J919" t="s">
        <v>38</v>
      </c>
      <c r="K919" t="s">
        <v>101</v>
      </c>
      <c r="L919" t="s">
        <v>81</v>
      </c>
      <c r="M919" t="s">
        <v>235</v>
      </c>
      <c r="N919" t="s">
        <v>236</v>
      </c>
      <c r="O919" t="s">
        <v>104</v>
      </c>
      <c r="P919" t="s">
        <v>237</v>
      </c>
      <c r="Q919">
        <v>23905.94</v>
      </c>
      <c r="R919">
        <v>22594.62</v>
      </c>
      <c r="S919">
        <v>17121.91</v>
      </c>
      <c r="T919">
        <v>2804.98</v>
      </c>
      <c r="U919">
        <v>1823.67</v>
      </c>
      <c r="V919">
        <v>1587.77</v>
      </c>
      <c r="W919">
        <v>687.23</v>
      </c>
      <c r="X919">
        <v>24025.56</v>
      </c>
      <c r="Y919">
        <v>6784.03</v>
      </c>
      <c r="Z919">
        <v>-17241.53</v>
      </c>
      <c r="AA919">
        <v>-0.64390000000000003</v>
      </c>
      <c r="AB919">
        <v>1311.32</v>
      </c>
      <c r="AC919">
        <v>0</v>
      </c>
      <c r="AD919">
        <v>2868.71</v>
      </c>
      <c r="AE919">
        <v>26774.65</v>
      </c>
    </row>
    <row r="920" spans="1:31" x14ac:dyDescent="0.25">
      <c r="A920" t="s">
        <v>1124</v>
      </c>
      <c r="B920" s="2">
        <v>46083</v>
      </c>
      <c r="C920" t="s">
        <v>125</v>
      </c>
      <c r="D920" t="s">
        <v>58</v>
      </c>
      <c r="E920">
        <v>2026</v>
      </c>
      <c r="F920" t="s">
        <v>85</v>
      </c>
      <c r="G920" t="s">
        <v>35</v>
      </c>
      <c r="H920" t="s">
        <v>60</v>
      </c>
      <c r="I920" t="s">
        <v>108</v>
      </c>
      <c r="J920" t="s">
        <v>100</v>
      </c>
      <c r="K920" t="s">
        <v>101</v>
      </c>
      <c r="L920" t="s">
        <v>72</v>
      </c>
      <c r="M920" t="s">
        <v>211</v>
      </c>
      <c r="N920" t="s">
        <v>212</v>
      </c>
      <c r="O920" t="s">
        <v>112</v>
      </c>
      <c r="P920" t="s">
        <v>113</v>
      </c>
      <c r="Q920">
        <v>17400.38</v>
      </c>
      <c r="R920">
        <v>19907.97</v>
      </c>
      <c r="S920">
        <v>8567.25</v>
      </c>
      <c r="T920">
        <v>1642.52</v>
      </c>
      <c r="U920">
        <v>1316.88</v>
      </c>
      <c r="V920">
        <v>858.65</v>
      </c>
      <c r="W920">
        <v>420.34</v>
      </c>
      <c r="X920">
        <v>12805.64</v>
      </c>
      <c r="Y920">
        <v>8833.1299999999992</v>
      </c>
      <c r="Z920">
        <v>-3972.51</v>
      </c>
      <c r="AA920">
        <v>-0.19350000000000001</v>
      </c>
      <c r="AB920">
        <v>-2507.58</v>
      </c>
      <c r="AC920">
        <v>0</v>
      </c>
      <c r="AD920">
        <v>3132.07</v>
      </c>
      <c r="AE920">
        <v>20532.45</v>
      </c>
    </row>
    <row r="921" spans="1:31" x14ac:dyDescent="0.25">
      <c r="A921" t="s">
        <v>1125</v>
      </c>
      <c r="B921" s="2">
        <v>45822</v>
      </c>
      <c r="C921" t="s">
        <v>156</v>
      </c>
      <c r="D921" t="s">
        <v>66</v>
      </c>
      <c r="E921">
        <v>2025</v>
      </c>
      <c r="F921" t="s">
        <v>59</v>
      </c>
      <c r="G921" t="s">
        <v>35</v>
      </c>
      <c r="H921" t="s">
        <v>230</v>
      </c>
      <c r="I921" t="s">
        <v>301</v>
      </c>
      <c r="J921" t="s">
        <v>70</v>
      </c>
      <c r="K921" t="s">
        <v>50</v>
      </c>
      <c r="L921" t="s">
        <v>72</v>
      </c>
      <c r="M921" t="s">
        <v>211</v>
      </c>
      <c r="N921" t="s">
        <v>212</v>
      </c>
      <c r="O921" t="s">
        <v>112</v>
      </c>
      <c r="P921" t="s">
        <v>113</v>
      </c>
      <c r="Q921">
        <v>28206.23</v>
      </c>
      <c r="R921">
        <v>31839.759999999998</v>
      </c>
      <c r="S921">
        <v>14830.56</v>
      </c>
      <c r="T921">
        <v>3231.71</v>
      </c>
      <c r="U921">
        <v>1910.61</v>
      </c>
      <c r="V921">
        <v>1563.17</v>
      </c>
      <c r="W921">
        <v>580.70000000000005</v>
      </c>
      <c r="X921">
        <v>22116.75</v>
      </c>
      <c r="Y921">
        <v>13375.67</v>
      </c>
      <c r="Z921">
        <v>-8741.08</v>
      </c>
      <c r="AA921">
        <v>-0.2767</v>
      </c>
      <c r="AB921">
        <v>-3633.53</v>
      </c>
      <c r="AC921">
        <v>0</v>
      </c>
      <c r="AD921">
        <v>3384.75</v>
      </c>
      <c r="AE921">
        <v>31590.98</v>
      </c>
    </row>
    <row r="922" spans="1:31" x14ac:dyDescent="0.25">
      <c r="A922" t="s">
        <v>1126</v>
      </c>
      <c r="B922" s="2">
        <v>46053</v>
      </c>
      <c r="C922" t="s">
        <v>77</v>
      </c>
      <c r="D922" t="s">
        <v>58</v>
      </c>
      <c r="E922">
        <v>2026</v>
      </c>
      <c r="F922" t="s">
        <v>85</v>
      </c>
      <c r="G922" t="s">
        <v>35</v>
      </c>
      <c r="H922" t="s">
        <v>178</v>
      </c>
      <c r="I922" t="s">
        <v>249</v>
      </c>
      <c r="J922" t="s">
        <v>70</v>
      </c>
      <c r="K922" t="s">
        <v>39</v>
      </c>
      <c r="L922" t="s">
        <v>81</v>
      </c>
      <c r="M922" t="s">
        <v>82</v>
      </c>
      <c r="N922" t="s">
        <v>83</v>
      </c>
      <c r="O922" t="s">
        <v>43</v>
      </c>
      <c r="P922" t="s">
        <v>75</v>
      </c>
      <c r="Q922">
        <v>44966.93</v>
      </c>
      <c r="R922">
        <v>45933.53</v>
      </c>
      <c r="S922">
        <v>24486.16</v>
      </c>
      <c r="T922">
        <v>2449.9</v>
      </c>
      <c r="U922">
        <v>2318.62</v>
      </c>
      <c r="V922">
        <v>1987.87</v>
      </c>
      <c r="W922">
        <v>1316.06</v>
      </c>
      <c r="X922">
        <v>32558.61</v>
      </c>
      <c r="Y922">
        <v>20480.77</v>
      </c>
      <c r="Z922">
        <v>-12077.83</v>
      </c>
      <c r="AA922">
        <v>-0.2447</v>
      </c>
      <c r="AB922">
        <v>-966.6</v>
      </c>
      <c r="AC922">
        <v>899.34</v>
      </c>
      <c r="AD922">
        <v>5288.11</v>
      </c>
      <c r="AE922">
        <v>49355.7</v>
      </c>
    </row>
    <row r="923" spans="1:31" x14ac:dyDescent="0.25">
      <c r="A923" t="s">
        <v>1127</v>
      </c>
      <c r="B923" s="2">
        <v>46049</v>
      </c>
      <c r="C923" t="s">
        <v>77</v>
      </c>
      <c r="D923" t="s">
        <v>58</v>
      </c>
      <c r="E923">
        <v>2026</v>
      </c>
      <c r="F923" t="s">
        <v>67</v>
      </c>
      <c r="G923" t="s">
        <v>35</v>
      </c>
      <c r="H923" t="s">
        <v>168</v>
      </c>
      <c r="I923" t="s">
        <v>278</v>
      </c>
      <c r="J923" t="s">
        <v>100</v>
      </c>
      <c r="K923" t="s">
        <v>71</v>
      </c>
      <c r="L923" t="s">
        <v>81</v>
      </c>
      <c r="M923" t="s">
        <v>171</v>
      </c>
      <c r="N923" t="s">
        <v>172</v>
      </c>
      <c r="O923" t="s">
        <v>173</v>
      </c>
      <c r="P923" t="s">
        <v>174</v>
      </c>
      <c r="Q923">
        <v>16229.31</v>
      </c>
      <c r="R923">
        <v>17250.45</v>
      </c>
      <c r="S923">
        <v>8858.66</v>
      </c>
      <c r="T923">
        <v>1718.45</v>
      </c>
      <c r="U923">
        <v>566.98</v>
      </c>
      <c r="V923">
        <v>789.43</v>
      </c>
      <c r="W923">
        <v>466.12</v>
      </c>
      <c r="X923">
        <v>12399.64</v>
      </c>
      <c r="Y923">
        <v>7370.65</v>
      </c>
      <c r="Z923">
        <v>-5028.99</v>
      </c>
      <c r="AA923">
        <v>-0.31059999999999999</v>
      </c>
      <c r="AB923">
        <v>-1021.14</v>
      </c>
      <c r="AC923">
        <v>811.47</v>
      </c>
      <c r="AD923">
        <v>770.89</v>
      </c>
      <c r="AE923">
        <v>16188.74</v>
      </c>
    </row>
    <row r="924" spans="1:31" x14ac:dyDescent="0.25">
      <c r="A924" t="s">
        <v>1128</v>
      </c>
      <c r="B924" s="2">
        <v>46032</v>
      </c>
      <c r="C924" t="s">
        <v>77</v>
      </c>
      <c r="D924" t="s">
        <v>58</v>
      </c>
      <c r="E924">
        <v>2026</v>
      </c>
      <c r="F924" t="s">
        <v>34</v>
      </c>
      <c r="G924" t="s">
        <v>35</v>
      </c>
      <c r="H924" t="s">
        <v>98</v>
      </c>
      <c r="I924" t="s">
        <v>149</v>
      </c>
      <c r="J924" t="s">
        <v>70</v>
      </c>
      <c r="K924" t="s">
        <v>50</v>
      </c>
      <c r="L924" t="s">
        <v>40</v>
      </c>
      <c r="M924" t="s">
        <v>197</v>
      </c>
      <c r="N924" t="s">
        <v>198</v>
      </c>
      <c r="O924" t="s">
        <v>43</v>
      </c>
      <c r="P924" t="s">
        <v>163</v>
      </c>
      <c r="Q924">
        <v>44694.52</v>
      </c>
      <c r="R924">
        <v>47291.38</v>
      </c>
      <c r="S924">
        <v>30098.06</v>
      </c>
      <c r="T924">
        <v>3763.03</v>
      </c>
      <c r="U924">
        <v>1446.8</v>
      </c>
      <c r="V924">
        <v>3338.6</v>
      </c>
      <c r="W924">
        <v>1162.3</v>
      </c>
      <c r="X924">
        <v>39808.800000000003</v>
      </c>
      <c r="Y924">
        <v>14596.45</v>
      </c>
      <c r="Z924">
        <v>-25212.34</v>
      </c>
      <c r="AA924">
        <v>-0.5655</v>
      </c>
      <c r="AB924">
        <v>-2596.86</v>
      </c>
      <c r="AC924">
        <v>2234.73</v>
      </c>
      <c r="AD924">
        <v>2122.9899999999998</v>
      </c>
      <c r="AE924">
        <v>44582.78</v>
      </c>
    </row>
    <row r="925" spans="1:31" x14ac:dyDescent="0.25">
      <c r="A925" t="s">
        <v>1129</v>
      </c>
      <c r="B925" s="2">
        <v>46043</v>
      </c>
      <c r="C925" t="s">
        <v>77</v>
      </c>
      <c r="D925" t="s">
        <v>58</v>
      </c>
      <c r="E925">
        <v>2026</v>
      </c>
      <c r="F925" t="s">
        <v>34</v>
      </c>
      <c r="G925" t="s">
        <v>35</v>
      </c>
      <c r="H925" t="s">
        <v>98</v>
      </c>
      <c r="I925" t="s">
        <v>304</v>
      </c>
      <c r="J925" t="s">
        <v>38</v>
      </c>
      <c r="K925" t="s">
        <v>39</v>
      </c>
      <c r="L925" t="s">
        <v>72</v>
      </c>
      <c r="M925" t="s">
        <v>186</v>
      </c>
      <c r="N925" t="s">
        <v>187</v>
      </c>
      <c r="O925" t="s">
        <v>173</v>
      </c>
      <c r="P925" t="s">
        <v>174</v>
      </c>
      <c r="Q925">
        <v>9562.7099999999991</v>
      </c>
      <c r="R925">
        <v>10787.68</v>
      </c>
      <c r="S925">
        <v>6337.75</v>
      </c>
      <c r="T925">
        <v>858.84</v>
      </c>
      <c r="U925">
        <v>409.92</v>
      </c>
      <c r="V925">
        <v>900.89</v>
      </c>
      <c r="W925">
        <v>108.49</v>
      </c>
      <c r="X925">
        <v>8615.9</v>
      </c>
      <c r="Y925">
        <v>3224.96</v>
      </c>
      <c r="Z925">
        <v>-5390.94</v>
      </c>
      <c r="AA925">
        <v>-0.52980000000000005</v>
      </c>
      <c r="AB925">
        <v>-1224.97</v>
      </c>
      <c r="AC925">
        <v>478.14</v>
      </c>
      <c r="AD925">
        <v>1090.1500000000001</v>
      </c>
      <c r="AE925">
        <v>10174.73</v>
      </c>
    </row>
    <row r="926" spans="1:31" x14ac:dyDescent="0.25">
      <c r="A926" t="s">
        <v>1130</v>
      </c>
      <c r="B926" s="2">
        <v>45830</v>
      </c>
      <c r="C926" t="s">
        <v>156</v>
      </c>
      <c r="D926" t="s">
        <v>66</v>
      </c>
      <c r="E926">
        <v>2025</v>
      </c>
      <c r="F926" t="s">
        <v>47</v>
      </c>
      <c r="G926" t="s">
        <v>35</v>
      </c>
      <c r="H926" t="s">
        <v>214</v>
      </c>
      <c r="I926" t="s">
        <v>220</v>
      </c>
      <c r="J926" t="s">
        <v>38</v>
      </c>
      <c r="K926" t="s">
        <v>71</v>
      </c>
      <c r="L926" t="s">
        <v>40</v>
      </c>
      <c r="M926" t="s">
        <v>235</v>
      </c>
      <c r="N926" t="s">
        <v>236</v>
      </c>
      <c r="O926" t="s">
        <v>104</v>
      </c>
      <c r="P926" t="s">
        <v>237</v>
      </c>
      <c r="Q926">
        <v>10900.69</v>
      </c>
      <c r="R926">
        <v>12680.56</v>
      </c>
      <c r="S926">
        <v>6304.73</v>
      </c>
      <c r="T926">
        <v>1137.72</v>
      </c>
      <c r="U926">
        <v>965.5</v>
      </c>
      <c r="V926">
        <v>1159.77</v>
      </c>
      <c r="W926">
        <v>360.44</v>
      </c>
      <c r="X926">
        <v>9928.15</v>
      </c>
      <c r="Y926">
        <v>4595.96</v>
      </c>
      <c r="Z926">
        <v>-5332.19</v>
      </c>
      <c r="AA926">
        <v>-0.43640000000000001</v>
      </c>
      <c r="AB926">
        <v>-1779.87</v>
      </c>
      <c r="AC926">
        <v>545.03</v>
      </c>
      <c r="AD926">
        <v>1864.02</v>
      </c>
      <c r="AE926">
        <v>12219.68</v>
      </c>
    </row>
    <row r="927" spans="1:31" x14ac:dyDescent="0.25">
      <c r="A927" t="s">
        <v>1131</v>
      </c>
      <c r="B927" s="2">
        <v>45824</v>
      </c>
      <c r="C927" t="s">
        <v>156</v>
      </c>
      <c r="D927" t="s">
        <v>66</v>
      </c>
      <c r="E927">
        <v>2025</v>
      </c>
      <c r="F927" t="s">
        <v>85</v>
      </c>
      <c r="G927" t="s">
        <v>35</v>
      </c>
      <c r="H927" t="s">
        <v>60</v>
      </c>
      <c r="I927" t="s">
        <v>61</v>
      </c>
      <c r="J927" t="s">
        <v>80</v>
      </c>
      <c r="K927" t="s">
        <v>101</v>
      </c>
      <c r="L927" t="s">
        <v>51</v>
      </c>
      <c r="M927" t="s">
        <v>73</v>
      </c>
      <c r="N927" t="s">
        <v>74</v>
      </c>
      <c r="O927" t="s">
        <v>43</v>
      </c>
      <c r="P927" t="s">
        <v>75</v>
      </c>
      <c r="Q927">
        <v>64969.2</v>
      </c>
      <c r="R927">
        <v>67661.72</v>
      </c>
      <c r="S927">
        <v>32546.880000000001</v>
      </c>
      <c r="T927">
        <v>8061.8</v>
      </c>
      <c r="U927">
        <v>3548.24</v>
      </c>
      <c r="V927">
        <v>4487.21</v>
      </c>
      <c r="W927">
        <v>2081.2800000000002</v>
      </c>
      <c r="X927">
        <v>50725.4</v>
      </c>
      <c r="Y927">
        <v>32422.32</v>
      </c>
      <c r="Z927">
        <v>-18303.080000000002</v>
      </c>
      <c r="AA927">
        <v>-0.28239999999999998</v>
      </c>
      <c r="AB927">
        <v>-2692.52</v>
      </c>
      <c r="AC927">
        <v>3248.46</v>
      </c>
      <c r="AD927">
        <v>3086.04</v>
      </c>
      <c r="AE927">
        <v>64806.78</v>
      </c>
    </row>
    <row r="928" spans="1:31" x14ac:dyDescent="0.25">
      <c r="A928" t="s">
        <v>1132</v>
      </c>
      <c r="B928" s="2">
        <v>45768</v>
      </c>
      <c r="C928" t="s">
        <v>128</v>
      </c>
      <c r="D928" t="s">
        <v>66</v>
      </c>
      <c r="E928">
        <v>2025</v>
      </c>
      <c r="F928" t="s">
        <v>47</v>
      </c>
      <c r="G928" t="s">
        <v>35</v>
      </c>
      <c r="H928" t="s">
        <v>206</v>
      </c>
      <c r="I928" t="s">
        <v>207</v>
      </c>
      <c r="J928" t="s">
        <v>100</v>
      </c>
      <c r="K928" t="s">
        <v>71</v>
      </c>
      <c r="L928" t="s">
        <v>94</v>
      </c>
      <c r="M928" t="s">
        <v>110</v>
      </c>
      <c r="N928" t="s">
        <v>111</v>
      </c>
      <c r="O928" t="s">
        <v>112</v>
      </c>
      <c r="P928" t="s">
        <v>113</v>
      </c>
      <c r="Q928">
        <v>33912.1</v>
      </c>
      <c r="R928">
        <v>31273.119999999999</v>
      </c>
      <c r="S928">
        <v>16857.11</v>
      </c>
      <c r="T928">
        <v>3208.64</v>
      </c>
      <c r="U928">
        <v>1487.7</v>
      </c>
      <c r="V928">
        <v>3602.97</v>
      </c>
      <c r="W928">
        <v>1136.72</v>
      </c>
      <c r="X928">
        <v>26293.14</v>
      </c>
      <c r="Y928">
        <v>17054.990000000002</v>
      </c>
      <c r="Z928">
        <v>-9238.15</v>
      </c>
      <c r="AA928">
        <v>-0.27029999999999998</v>
      </c>
      <c r="AB928">
        <v>2638.98</v>
      </c>
      <c r="AC928">
        <v>3391.21</v>
      </c>
      <c r="AD928">
        <v>3662.51</v>
      </c>
      <c r="AE928">
        <v>34183.39</v>
      </c>
    </row>
    <row r="929" spans="1:31" x14ac:dyDescent="0.25">
      <c r="A929" t="s">
        <v>1133</v>
      </c>
      <c r="B929" s="2">
        <v>46017</v>
      </c>
      <c r="C929" t="s">
        <v>107</v>
      </c>
      <c r="D929" t="s">
        <v>93</v>
      </c>
      <c r="E929">
        <v>2025</v>
      </c>
      <c r="F929" t="s">
        <v>59</v>
      </c>
      <c r="G929" t="s">
        <v>35</v>
      </c>
      <c r="H929" t="s">
        <v>139</v>
      </c>
      <c r="I929" t="s">
        <v>140</v>
      </c>
      <c r="J929" t="s">
        <v>38</v>
      </c>
      <c r="K929" t="s">
        <v>39</v>
      </c>
      <c r="L929" t="s">
        <v>72</v>
      </c>
      <c r="M929" t="s">
        <v>141</v>
      </c>
      <c r="N929" t="s">
        <v>142</v>
      </c>
      <c r="O929" t="s">
        <v>54</v>
      </c>
      <c r="P929" t="s">
        <v>143</v>
      </c>
      <c r="Q929">
        <v>3062.94</v>
      </c>
      <c r="R929">
        <v>3175.13</v>
      </c>
      <c r="S929">
        <v>1716.65</v>
      </c>
      <c r="T929">
        <v>153.47</v>
      </c>
      <c r="U929">
        <v>137.88</v>
      </c>
      <c r="V929">
        <v>190.79</v>
      </c>
      <c r="W929">
        <v>72.81</v>
      </c>
      <c r="X929">
        <v>2271.6</v>
      </c>
      <c r="Y929">
        <v>1346.29</v>
      </c>
      <c r="Z929">
        <v>-925.32</v>
      </c>
      <c r="AA929">
        <v>-0.2697</v>
      </c>
      <c r="AB929">
        <v>-112.19</v>
      </c>
      <c r="AC929">
        <v>0</v>
      </c>
      <c r="AD929">
        <v>367.55</v>
      </c>
      <c r="AE929">
        <v>3430.49</v>
      </c>
    </row>
    <row r="930" spans="1:31" x14ac:dyDescent="0.25">
      <c r="A930" t="s">
        <v>1134</v>
      </c>
      <c r="B930" s="2">
        <v>46093</v>
      </c>
      <c r="C930" t="s">
        <v>125</v>
      </c>
      <c r="D930" t="s">
        <v>58</v>
      </c>
      <c r="E930">
        <v>2026</v>
      </c>
      <c r="F930" t="s">
        <v>85</v>
      </c>
      <c r="G930" t="s">
        <v>35</v>
      </c>
      <c r="H930" t="s">
        <v>86</v>
      </c>
      <c r="I930" t="s">
        <v>181</v>
      </c>
      <c r="J930" t="s">
        <v>80</v>
      </c>
      <c r="K930" t="s">
        <v>101</v>
      </c>
      <c r="L930" t="s">
        <v>40</v>
      </c>
      <c r="M930" t="s">
        <v>161</v>
      </c>
      <c r="N930" t="s">
        <v>162</v>
      </c>
      <c r="O930" t="s">
        <v>43</v>
      </c>
      <c r="P930" t="s">
        <v>163</v>
      </c>
      <c r="Q930">
        <v>44615.85</v>
      </c>
      <c r="R930">
        <v>45078.99</v>
      </c>
      <c r="S930">
        <v>25888.65</v>
      </c>
      <c r="T930">
        <v>4944.17</v>
      </c>
      <c r="U930">
        <v>1622.43</v>
      </c>
      <c r="V930">
        <v>2993.14</v>
      </c>
      <c r="W930">
        <v>796.22</v>
      </c>
      <c r="X930">
        <v>36244.6</v>
      </c>
      <c r="Y930">
        <v>18727.2</v>
      </c>
      <c r="Z930">
        <v>-17517.39</v>
      </c>
      <c r="AA930">
        <v>-0.38550000000000001</v>
      </c>
      <c r="AB930">
        <v>-463.14</v>
      </c>
      <c r="AC930">
        <v>1338.48</v>
      </c>
      <c r="AD930">
        <v>2163.87</v>
      </c>
      <c r="AE930">
        <v>45441.24</v>
      </c>
    </row>
    <row r="931" spans="1:31" x14ac:dyDescent="0.25">
      <c r="A931" t="s">
        <v>1135</v>
      </c>
      <c r="B931" s="2">
        <v>45880</v>
      </c>
      <c r="C931" t="s">
        <v>117</v>
      </c>
      <c r="D931" t="s">
        <v>33</v>
      </c>
      <c r="E931">
        <v>2025</v>
      </c>
      <c r="F931" t="s">
        <v>34</v>
      </c>
      <c r="G931" t="s">
        <v>35</v>
      </c>
      <c r="H931" t="s">
        <v>157</v>
      </c>
      <c r="I931" t="s">
        <v>158</v>
      </c>
      <c r="J931" t="s">
        <v>80</v>
      </c>
      <c r="K931" t="s">
        <v>50</v>
      </c>
      <c r="L931" t="s">
        <v>51</v>
      </c>
      <c r="M931" t="s">
        <v>186</v>
      </c>
      <c r="N931" t="s">
        <v>187</v>
      </c>
      <c r="O931" t="s">
        <v>173</v>
      </c>
      <c r="P931" t="s">
        <v>174</v>
      </c>
      <c r="Q931">
        <v>10468.870000000001</v>
      </c>
      <c r="R931">
        <v>11420.92</v>
      </c>
      <c r="S931">
        <v>5916.92</v>
      </c>
      <c r="T931">
        <v>1271.07</v>
      </c>
      <c r="U931">
        <v>603.44000000000005</v>
      </c>
      <c r="V931">
        <v>959.59</v>
      </c>
      <c r="W931">
        <v>181.48</v>
      </c>
      <c r="X931">
        <v>8932.5</v>
      </c>
      <c r="Y931">
        <v>4551.95</v>
      </c>
      <c r="Z931">
        <v>-4380.55</v>
      </c>
      <c r="AA931">
        <v>-0.36559999999999998</v>
      </c>
      <c r="AB931">
        <v>-952.06</v>
      </c>
      <c r="AC931">
        <v>314.07</v>
      </c>
      <c r="AD931">
        <v>1827.86</v>
      </c>
      <c r="AE931">
        <v>11982.67</v>
      </c>
    </row>
    <row r="932" spans="1:31" x14ac:dyDescent="0.25">
      <c r="A932" t="s">
        <v>1136</v>
      </c>
      <c r="B932" s="2">
        <v>45956</v>
      </c>
      <c r="C932" t="s">
        <v>92</v>
      </c>
      <c r="D932" t="s">
        <v>93</v>
      </c>
      <c r="E932">
        <v>2025</v>
      </c>
      <c r="F932" t="s">
        <v>47</v>
      </c>
      <c r="G932" t="s">
        <v>35</v>
      </c>
      <c r="H932" t="s">
        <v>48</v>
      </c>
      <c r="I932" t="s">
        <v>49</v>
      </c>
      <c r="J932" t="s">
        <v>38</v>
      </c>
      <c r="K932" t="s">
        <v>50</v>
      </c>
      <c r="L932" t="s">
        <v>40</v>
      </c>
      <c r="M932" t="s">
        <v>120</v>
      </c>
      <c r="N932" t="s">
        <v>121</v>
      </c>
      <c r="O932" t="s">
        <v>43</v>
      </c>
      <c r="P932" t="s">
        <v>122</v>
      </c>
      <c r="Q932">
        <v>37742.67</v>
      </c>
      <c r="R932">
        <v>41604.629999999997</v>
      </c>
      <c r="S932">
        <v>20979.8</v>
      </c>
      <c r="T932">
        <v>4191.97</v>
      </c>
      <c r="U932">
        <v>997.88</v>
      </c>
      <c r="V932">
        <v>3099.5</v>
      </c>
      <c r="W932">
        <v>708.12</v>
      </c>
      <c r="X932">
        <v>29977.279999999999</v>
      </c>
      <c r="Y932">
        <v>16762.86</v>
      </c>
      <c r="Z932">
        <v>-13214.41</v>
      </c>
      <c r="AA932">
        <v>-0.29670000000000002</v>
      </c>
      <c r="AB932">
        <v>-3861.97</v>
      </c>
      <c r="AC932">
        <v>0</v>
      </c>
      <c r="AD932">
        <v>6793.68</v>
      </c>
      <c r="AE932">
        <v>44536.35</v>
      </c>
    </row>
    <row r="933" spans="1:31" x14ac:dyDescent="0.25">
      <c r="A933" t="s">
        <v>1137</v>
      </c>
      <c r="B933" s="2">
        <v>46043</v>
      </c>
      <c r="C933" t="s">
        <v>77</v>
      </c>
      <c r="D933" t="s">
        <v>58</v>
      </c>
      <c r="E933">
        <v>2026</v>
      </c>
      <c r="F933" t="s">
        <v>34</v>
      </c>
      <c r="G933" t="s">
        <v>35</v>
      </c>
      <c r="H933" t="s">
        <v>134</v>
      </c>
      <c r="I933" t="s">
        <v>154</v>
      </c>
      <c r="J933" t="s">
        <v>100</v>
      </c>
      <c r="K933" t="s">
        <v>39</v>
      </c>
      <c r="L933" t="s">
        <v>94</v>
      </c>
      <c r="M933" t="s">
        <v>211</v>
      </c>
      <c r="N933" t="s">
        <v>212</v>
      </c>
      <c r="O933" t="s">
        <v>112</v>
      </c>
      <c r="P933" t="s">
        <v>113</v>
      </c>
      <c r="Q933">
        <v>12650.5</v>
      </c>
      <c r="R933">
        <v>13007.18</v>
      </c>
      <c r="S933">
        <v>6331.9</v>
      </c>
      <c r="T933">
        <v>1511.66</v>
      </c>
      <c r="U933">
        <v>545.54</v>
      </c>
      <c r="V933">
        <v>712.07</v>
      </c>
      <c r="W933">
        <v>250.89</v>
      </c>
      <c r="X933">
        <v>9352.07</v>
      </c>
      <c r="Y933">
        <v>6318.6</v>
      </c>
      <c r="Z933">
        <v>-3033.48</v>
      </c>
      <c r="AA933">
        <v>-0.2404</v>
      </c>
      <c r="AB933">
        <v>-356.69</v>
      </c>
      <c r="AC933">
        <v>632.52</v>
      </c>
      <c r="AD933">
        <v>600.9</v>
      </c>
      <c r="AE933">
        <v>12618.87</v>
      </c>
    </row>
    <row r="934" spans="1:31" x14ac:dyDescent="0.25">
      <c r="A934" t="s">
        <v>1138</v>
      </c>
      <c r="B934" s="2">
        <v>46099</v>
      </c>
      <c r="C934" t="s">
        <v>125</v>
      </c>
      <c r="D934" t="s">
        <v>58</v>
      </c>
      <c r="E934">
        <v>2026</v>
      </c>
      <c r="F934" t="s">
        <v>59</v>
      </c>
      <c r="G934" t="s">
        <v>35</v>
      </c>
      <c r="H934" t="s">
        <v>60</v>
      </c>
      <c r="I934" t="s">
        <v>185</v>
      </c>
      <c r="J934" t="s">
        <v>100</v>
      </c>
      <c r="K934" t="s">
        <v>50</v>
      </c>
      <c r="L934" t="s">
        <v>81</v>
      </c>
      <c r="M934" t="s">
        <v>197</v>
      </c>
      <c r="N934" t="s">
        <v>198</v>
      </c>
      <c r="O934" t="s">
        <v>43</v>
      </c>
      <c r="P934" t="s">
        <v>163</v>
      </c>
      <c r="Q934">
        <v>28923.75</v>
      </c>
      <c r="R934">
        <v>28472.12</v>
      </c>
      <c r="S934">
        <v>15202.92</v>
      </c>
      <c r="T934">
        <v>2954.33</v>
      </c>
      <c r="U934">
        <v>778.11</v>
      </c>
      <c r="V934">
        <v>1832.45</v>
      </c>
      <c r="W934">
        <v>841.13</v>
      </c>
      <c r="X934">
        <v>21608.93</v>
      </c>
      <c r="Y934">
        <v>13720.84</v>
      </c>
      <c r="Z934">
        <v>-7888.1</v>
      </c>
      <c r="AA934">
        <v>-0.2485</v>
      </c>
      <c r="AB934">
        <v>451.64</v>
      </c>
      <c r="AC934">
        <v>578.48</v>
      </c>
      <c r="AD934">
        <v>3401.43</v>
      </c>
      <c r="AE934">
        <v>31746.71</v>
      </c>
    </row>
    <row r="935" spans="1:31" x14ac:dyDescent="0.25">
      <c r="A935" t="s">
        <v>1139</v>
      </c>
      <c r="B935" s="2">
        <v>46087</v>
      </c>
      <c r="C935" t="s">
        <v>125</v>
      </c>
      <c r="D935" t="s">
        <v>58</v>
      </c>
      <c r="E935">
        <v>2026</v>
      </c>
      <c r="F935" t="s">
        <v>85</v>
      </c>
      <c r="G935" t="s">
        <v>35</v>
      </c>
      <c r="H935" t="s">
        <v>60</v>
      </c>
      <c r="I935" t="s">
        <v>108</v>
      </c>
      <c r="J935" t="s">
        <v>100</v>
      </c>
      <c r="K935" t="s">
        <v>39</v>
      </c>
      <c r="L935" t="s">
        <v>40</v>
      </c>
      <c r="M935" t="s">
        <v>95</v>
      </c>
      <c r="N935" t="s">
        <v>96</v>
      </c>
      <c r="O935" t="s">
        <v>43</v>
      </c>
      <c r="P935" t="s">
        <v>90</v>
      </c>
      <c r="Q935">
        <v>28708.51</v>
      </c>
      <c r="R935">
        <v>28396.62</v>
      </c>
      <c r="S935">
        <v>18851.53</v>
      </c>
      <c r="T935">
        <v>2613.5700000000002</v>
      </c>
      <c r="U935">
        <v>2096.1</v>
      </c>
      <c r="V935">
        <v>3232.1</v>
      </c>
      <c r="W935">
        <v>1212.53</v>
      </c>
      <c r="X935">
        <v>28005.83</v>
      </c>
      <c r="Y935">
        <v>9856.98</v>
      </c>
      <c r="Z935">
        <v>-18148.84</v>
      </c>
      <c r="AA935">
        <v>-0.59419999999999995</v>
      </c>
      <c r="AB935">
        <v>311.89</v>
      </c>
      <c r="AC935">
        <v>1435.43</v>
      </c>
      <c r="AD935">
        <v>3272.77</v>
      </c>
      <c r="AE935">
        <v>30545.86</v>
      </c>
    </row>
    <row r="936" spans="1:31" x14ac:dyDescent="0.25">
      <c r="A936" t="s">
        <v>1140</v>
      </c>
      <c r="B936" s="2">
        <v>46024</v>
      </c>
      <c r="C936" t="s">
        <v>77</v>
      </c>
      <c r="D936" t="s">
        <v>58</v>
      </c>
      <c r="E936">
        <v>2026</v>
      </c>
      <c r="F936" t="s">
        <v>59</v>
      </c>
      <c r="G936" t="s">
        <v>35</v>
      </c>
      <c r="H936" t="s">
        <v>230</v>
      </c>
      <c r="I936" t="s">
        <v>301</v>
      </c>
      <c r="J936" t="s">
        <v>100</v>
      </c>
      <c r="K936" t="s">
        <v>50</v>
      </c>
      <c r="L936" t="s">
        <v>51</v>
      </c>
      <c r="M936" t="s">
        <v>235</v>
      </c>
      <c r="N936" t="s">
        <v>236</v>
      </c>
      <c r="O936" t="s">
        <v>104</v>
      </c>
      <c r="P936" t="s">
        <v>237</v>
      </c>
      <c r="Q936">
        <v>18124.87</v>
      </c>
      <c r="R936">
        <v>19494.86</v>
      </c>
      <c r="S936">
        <v>12669.98</v>
      </c>
      <c r="T936">
        <v>2114.77</v>
      </c>
      <c r="U936">
        <v>1263.17</v>
      </c>
      <c r="V936">
        <v>1241.3399999999999</v>
      </c>
      <c r="W936">
        <v>334.2</v>
      </c>
      <c r="X936">
        <v>17623.47</v>
      </c>
      <c r="Y936">
        <v>5454.89</v>
      </c>
      <c r="Z936">
        <v>-12168.58</v>
      </c>
      <c r="AA936">
        <v>-0.5806</v>
      </c>
      <c r="AB936">
        <v>-1369.99</v>
      </c>
      <c r="AC936">
        <v>362.5</v>
      </c>
      <c r="AD936">
        <v>3197.23</v>
      </c>
      <c r="AE936">
        <v>20959.599999999999</v>
      </c>
    </row>
    <row r="937" spans="1:31" x14ac:dyDescent="0.25">
      <c r="A937" t="s">
        <v>1141</v>
      </c>
      <c r="B937" s="2">
        <v>45859</v>
      </c>
      <c r="C937" t="s">
        <v>32</v>
      </c>
      <c r="D937" t="s">
        <v>33</v>
      </c>
      <c r="E937">
        <v>2025</v>
      </c>
      <c r="F937" t="s">
        <v>47</v>
      </c>
      <c r="G937" t="s">
        <v>35</v>
      </c>
      <c r="H937" t="s">
        <v>48</v>
      </c>
      <c r="I937" t="s">
        <v>49</v>
      </c>
      <c r="J937" t="s">
        <v>80</v>
      </c>
      <c r="K937" t="s">
        <v>39</v>
      </c>
      <c r="L937" t="s">
        <v>81</v>
      </c>
      <c r="M937" t="s">
        <v>161</v>
      </c>
      <c r="N937" t="s">
        <v>162</v>
      </c>
      <c r="O937" t="s">
        <v>43</v>
      </c>
      <c r="P937" t="s">
        <v>163</v>
      </c>
      <c r="Q937">
        <v>35111.69</v>
      </c>
      <c r="R937">
        <v>32478.07</v>
      </c>
      <c r="S937">
        <v>23459.49</v>
      </c>
      <c r="T937">
        <v>2689.41</v>
      </c>
      <c r="U937">
        <v>2227.39</v>
      </c>
      <c r="V937">
        <v>3414.65</v>
      </c>
      <c r="W937">
        <v>1443.67</v>
      </c>
      <c r="X937">
        <v>33234.61</v>
      </c>
      <c r="Y937">
        <v>11652.2</v>
      </c>
      <c r="Z937">
        <v>-21582.400000000001</v>
      </c>
      <c r="AA937">
        <v>-0.56620000000000004</v>
      </c>
      <c r="AB937">
        <v>2633.62</v>
      </c>
      <c r="AC937">
        <v>2808.94</v>
      </c>
      <c r="AD937">
        <v>5814.5</v>
      </c>
      <c r="AE937">
        <v>38117.25</v>
      </c>
    </row>
    <row r="938" spans="1:31" x14ac:dyDescent="0.25">
      <c r="A938" t="s">
        <v>1142</v>
      </c>
      <c r="B938" s="2">
        <v>45825</v>
      </c>
      <c r="C938" t="s">
        <v>156</v>
      </c>
      <c r="D938" t="s">
        <v>66</v>
      </c>
      <c r="E938">
        <v>2025</v>
      </c>
      <c r="F938" t="s">
        <v>47</v>
      </c>
      <c r="G938" t="s">
        <v>35</v>
      </c>
      <c r="H938" t="s">
        <v>78</v>
      </c>
      <c r="I938" t="s">
        <v>183</v>
      </c>
      <c r="J938" t="s">
        <v>70</v>
      </c>
      <c r="K938" t="s">
        <v>50</v>
      </c>
      <c r="L938" t="s">
        <v>94</v>
      </c>
      <c r="M938" t="s">
        <v>110</v>
      </c>
      <c r="N938" t="s">
        <v>111</v>
      </c>
      <c r="O938" t="s">
        <v>112</v>
      </c>
      <c r="P938" t="s">
        <v>113</v>
      </c>
      <c r="Q938">
        <v>25300.01</v>
      </c>
      <c r="R938">
        <v>24785.62</v>
      </c>
      <c r="S938">
        <v>14641.56</v>
      </c>
      <c r="T938">
        <v>2485.16</v>
      </c>
      <c r="U938">
        <v>2276.6799999999998</v>
      </c>
      <c r="V938">
        <v>2009.82</v>
      </c>
      <c r="W938">
        <v>437.62</v>
      </c>
      <c r="X938">
        <v>21850.84</v>
      </c>
      <c r="Y938">
        <v>10658.45</v>
      </c>
      <c r="Z938">
        <v>-11192.38</v>
      </c>
      <c r="AA938">
        <v>-0.42130000000000001</v>
      </c>
      <c r="AB938">
        <v>514.39</v>
      </c>
      <c r="AC938">
        <v>0</v>
      </c>
      <c r="AD938">
        <v>1265</v>
      </c>
      <c r="AE938">
        <v>26565.01</v>
      </c>
    </row>
    <row r="939" spans="1:31" x14ac:dyDescent="0.25">
      <c r="A939" t="s">
        <v>1143</v>
      </c>
      <c r="B939" s="2">
        <v>46101</v>
      </c>
      <c r="C939" t="s">
        <v>125</v>
      </c>
      <c r="D939" t="s">
        <v>58</v>
      </c>
      <c r="E939">
        <v>2026</v>
      </c>
      <c r="F939" t="s">
        <v>34</v>
      </c>
      <c r="G939" t="s">
        <v>35</v>
      </c>
      <c r="H939" t="s">
        <v>134</v>
      </c>
      <c r="I939" t="s">
        <v>176</v>
      </c>
      <c r="J939" t="s">
        <v>80</v>
      </c>
      <c r="K939" t="s">
        <v>39</v>
      </c>
      <c r="L939" t="s">
        <v>81</v>
      </c>
      <c r="M939" t="s">
        <v>221</v>
      </c>
      <c r="N939" t="s">
        <v>222</v>
      </c>
      <c r="O939" t="s">
        <v>104</v>
      </c>
      <c r="P939" t="s">
        <v>223</v>
      </c>
      <c r="Q939">
        <v>22037.279999999999</v>
      </c>
      <c r="R939">
        <v>20517.37</v>
      </c>
      <c r="S939">
        <v>12249.47</v>
      </c>
      <c r="T939">
        <v>2668.46</v>
      </c>
      <c r="U939">
        <v>1353.75</v>
      </c>
      <c r="V939">
        <v>1910</v>
      </c>
      <c r="W939">
        <v>589.1</v>
      </c>
      <c r="X939">
        <v>18770.78</v>
      </c>
      <c r="Y939">
        <v>9787.81</v>
      </c>
      <c r="Z939">
        <v>-8982.98</v>
      </c>
      <c r="AA939">
        <v>-0.40860000000000002</v>
      </c>
      <c r="AB939">
        <v>1519.9</v>
      </c>
      <c r="AC939">
        <v>1101.8599999999999</v>
      </c>
      <c r="AD939">
        <v>1046.77</v>
      </c>
      <c r="AE939">
        <v>21982.18</v>
      </c>
    </row>
    <row r="940" spans="1:31" x14ac:dyDescent="0.25">
      <c r="A940" t="s">
        <v>1144</v>
      </c>
      <c r="B940" s="2">
        <v>45748</v>
      </c>
      <c r="C940" t="s">
        <v>128</v>
      </c>
      <c r="D940" t="s">
        <v>66</v>
      </c>
      <c r="E940">
        <v>2025</v>
      </c>
      <c r="F940" t="s">
        <v>34</v>
      </c>
      <c r="G940" t="s">
        <v>35</v>
      </c>
      <c r="H940" t="s">
        <v>36</v>
      </c>
      <c r="I940" t="s">
        <v>245</v>
      </c>
      <c r="J940" t="s">
        <v>70</v>
      </c>
      <c r="K940" t="s">
        <v>50</v>
      </c>
      <c r="L940" t="s">
        <v>40</v>
      </c>
      <c r="M940" t="s">
        <v>73</v>
      </c>
      <c r="N940" t="s">
        <v>74</v>
      </c>
      <c r="O940" t="s">
        <v>43</v>
      </c>
      <c r="P940" t="s">
        <v>75</v>
      </c>
      <c r="Q940">
        <v>31284.85</v>
      </c>
      <c r="R940">
        <v>34539.230000000003</v>
      </c>
      <c r="S940">
        <v>19241.439999999999</v>
      </c>
      <c r="T940">
        <v>1772.73</v>
      </c>
      <c r="U940">
        <v>1159.5</v>
      </c>
      <c r="V940">
        <v>1800.33</v>
      </c>
      <c r="W940">
        <v>595.20000000000005</v>
      </c>
      <c r="X940">
        <v>24569.200000000001</v>
      </c>
      <c r="Y940">
        <v>12043.42</v>
      </c>
      <c r="Z940">
        <v>-12525.78</v>
      </c>
      <c r="AA940">
        <v>-0.37630000000000002</v>
      </c>
      <c r="AB940">
        <v>-3254.38</v>
      </c>
      <c r="AC940">
        <v>1564.24</v>
      </c>
      <c r="AD940">
        <v>3566.47</v>
      </c>
      <c r="AE940">
        <v>33287.08</v>
      </c>
    </row>
    <row r="941" spans="1:31" x14ac:dyDescent="0.25">
      <c r="A941" t="s">
        <v>1145</v>
      </c>
      <c r="B941" s="2">
        <v>45780</v>
      </c>
      <c r="C941" t="s">
        <v>65</v>
      </c>
      <c r="D941" t="s">
        <v>66</v>
      </c>
      <c r="E941">
        <v>2025</v>
      </c>
      <c r="F941" t="s">
        <v>34</v>
      </c>
      <c r="G941" t="s">
        <v>35</v>
      </c>
      <c r="H941" t="s">
        <v>134</v>
      </c>
      <c r="I941" t="s">
        <v>154</v>
      </c>
      <c r="J941" t="s">
        <v>100</v>
      </c>
      <c r="K941" t="s">
        <v>101</v>
      </c>
      <c r="L941" t="s">
        <v>72</v>
      </c>
      <c r="M941" t="s">
        <v>82</v>
      </c>
      <c r="N941" t="s">
        <v>83</v>
      </c>
      <c r="O941" t="s">
        <v>43</v>
      </c>
      <c r="P941" t="s">
        <v>75</v>
      </c>
      <c r="Q941">
        <v>64157.27</v>
      </c>
      <c r="R941">
        <v>68682.3</v>
      </c>
      <c r="S941">
        <v>44730.86</v>
      </c>
      <c r="T941">
        <v>6790.28</v>
      </c>
      <c r="U941">
        <v>3150.9</v>
      </c>
      <c r="V941">
        <v>3496.61</v>
      </c>
      <c r="W941">
        <v>2717.87</v>
      </c>
      <c r="X941">
        <v>60886.53</v>
      </c>
      <c r="Y941">
        <v>19426.41</v>
      </c>
      <c r="Z941">
        <v>-41460.11</v>
      </c>
      <c r="AA941">
        <v>-0.57699999999999996</v>
      </c>
      <c r="AB941">
        <v>-4525.0200000000004</v>
      </c>
      <c r="AC941">
        <v>0</v>
      </c>
      <c r="AD941">
        <v>7698.87</v>
      </c>
      <c r="AE941">
        <v>71856.149999999994</v>
      </c>
    </row>
    <row r="942" spans="1:31" x14ac:dyDescent="0.25">
      <c r="A942" t="s">
        <v>1146</v>
      </c>
      <c r="B942" s="2">
        <v>45940</v>
      </c>
      <c r="C942" t="s">
        <v>92</v>
      </c>
      <c r="D942" t="s">
        <v>93</v>
      </c>
      <c r="E942">
        <v>2025</v>
      </c>
      <c r="F942" t="s">
        <v>47</v>
      </c>
      <c r="G942" t="s">
        <v>35</v>
      </c>
      <c r="H942" t="s">
        <v>48</v>
      </c>
      <c r="I942" t="s">
        <v>126</v>
      </c>
      <c r="J942" t="s">
        <v>70</v>
      </c>
      <c r="K942" t="s">
        <v>160</v>
      </c>
      <c r="L942" t="s">
        <v>81</v>
      </c>
      <c r="M942" t="s">
        <v>221</v>
      </c>
      <c r="N942" t="s">
        <v>222</v>
      </c>
      <c r="O942" t="s">
        <v>104</v>
      </c>
      <c r="P942" t="s">
        <v>223</v>
      </c>
      <c r="Q942">
        <v>7741.77</v>
      </c>
      <c r="R942">
        <v>8227.3700000000008</v>
      </c>
      <c r="S942">
        <v>5216.0600000000004</v>
      </c>
      <c r="T942">
        <v>624.84</v>
      </c>
      <c r="U942">
        <v>430.98</v>
      </c>
      <c r="V942">
        <v>847.79</v>
      </c>
      <c r="W942">
        <v>189.83</v>
      </c>
      <c r="X942">
        <v>7309.49</v>
      </c>
      <c r="Y942">
        <v>2525.71</v>
      </c>
      <c r="Z942">
        <v>-4783.78</v>
      </c>
      <c r="AA942">
        <v>-0.61950000000000005</v>
      </c>
      <c r="AB942">
        <v>-485.6</v>
      </c>
      <c r="AC942">
        <v>387.09</v>
      </c>
      <c r="AD942">
        <v>367.73</v>
      </c>
      <c r="AE942">
        <v>7722.41</v>
      </c>
    </row>
    <row r="943" spans="1:31" x14ac:dyDescent="0.25">
      <c r="A943" t="s">
        <v>1147</v>
      </c>
      <c r="B943" s="2">
        <v>46020</v>
      </c>
      <c r="C943" t="s">
        <v>107</v>
      </c>
      <c r="D943" t="s">
        <v>93</v>
      </c>
      <c r="E943">
        <v>2025</v>
      </c>
      <c r="F943" t="s">
        <v>59</v>
      </c>
      <c r="G943" t="s">
        <v>35</v>
      </c>
      <c r="H943" t="s">
        <v>139</v>
      </c>
      <c r="I943" t="s">
        <v>140</v>
      </c>
      <c r="J943" t="s">
        <v>70</v>
      </c>
      <c r="K943" t="s">
        <v>39</v>
      </c>
      <c r="L943" t="s">
        <v>40</v>
      </c>
      <c r="M943" t="s">
        <v>82</v>
      </c>
      <c r="N943" t="s">
        <v>83</v>
      </c>
      <c r="O943" t="s">
        <v>43</v>
      </c>
      <c r="P943" t="s">
        <v>75</v>
      </c>
      <c r="Q943">
        <v>59440.22</v>
      </c>
      <c r="R943">
        <v>60399.87</v>
      </c>
      <c r="S943">
        <v>37522.720000000001</v>
      </c>
      <c r="T943">
        <v>5537.81</v>
      </c>
      <c r="U943">
        <v>1688.09</v>
      </c>
      <c r="V943">
        <v>5909.81</v>
      </c>
      <c r="W943">
        <v>952.99</v>
      </c>
      <c r="X943">
        <v>51611.42</v>
      </c>
      <c r="Y943">
        <v>21917.5</v>
      </c>
      <c r="Z943">
        <v>-29693.919999999998</v>
      </c>
      <c r="AA943">
        <v>-0.44600000000000001</v>
      </c>
      <c r="AB943">
        <v>-959.65</v>
      </c>
      <c r="AC943">
        <v>0</v>
      </c>
      <c r="AD943">
        <v>7132.83</v>
      </c>
      <c r="AE943">
        <v>66573.05</v>
      </c>
    </row>
    <row r="944" spans="1:31" x14ac:dyDescent="0.25">
      <c r="A944" t="s">
        <v>1148</v>
      </c>
      <c r="B944" s="2">
        <v>45946</v>
      </c>
      <c r="C944" t="s">
        <v>92</v>
      </c>
      <c r="D944" t="s">
        <v>93</v>
      </c>
      <c r="E944">
        <v>2025</v>
      </c>
      <c r="F944" t="s">
        <v>47</v>
      </c>
      <c r="G944" t="s">
        <v>35</v>
      </c>
      <c r="H944" t="s">
        <v>214</v>
      </c>
      <c r="I944" t="s">
        <v>220</v>
      </c>
      <c r="J944" t="s">
        <v>80</v>
      </c>
      <c r="K944" t="s">
        <v>50</v>
      </c>
      <c r="L944" t="s">
        <v>81</v>
      </c>
      <c r="M944" t="s">
        <v>120</v>
      </c>
      <c r="N944" t="s">
        <v>121</v>
      </c>
      <c r="O944" t="s">
        <v>43</v>
      </c>
      <c r="P944" t="s">
        <v>122</v>
      </c>
      <c r="Q944">
        <v>66940.94</v>
      </c>
      <c r="R944">
        <v>72882.559999999998</v>
      </c>
      <c r="S944">
        <v>39963.26</v>
      </c>
      <c r="T944">
        <v>5302.88</v>
      </c>
      <c r="U944">
        <v>3307.76</v>
      </c>
      <c r="V944">
        <v>5371.72</v>
      </c>
      <c r="W944">
        <v>850.55</v>
      </c>
      <c r="X944">
        <v>54796.18</v>
      </c>
      <c r="Y944">
        <v>26977.69</v>
      </c>
      <c r="Z944">
        <v>-27818.49</v>
      </c>
      <c r="AA944">
        <v>-0.3906</v>
      </c>
      <c r="AB944">
        <v>-5941.62</v>
      </c>
      <c r="AC944">
        <v>3347.05</v>
      </c>
      <c r="AD944">
        <v>7631.27</v>
      </c>
      <c r="AE944">
        <v>71225.16</v>
      </c>
    </row>
    <row r="945" spans="1:31" x14ac:dyDescent="0.25">
      <c r="A945" t="s">
        <v>1149</v>
      </c>
      <c r="B945" s="2">
        <v>45885</v>
      </c>
      <c r="C945" t="s">
        <v>117</v>
      </c>
      <c r="D945" t="s">
        <v>33</v>
      </c>
      <c r="E945">
        <v>2025</v>
      </c>
      <c r="F945" t="s">
        <v>67</v>
      </c>
      <c r="G945" t="s">
        <v>35</v>
      </c>
      <c r="H945" t="s">
        <v>118</v>
      </c>
      <c r="I945" t="s">
        <v>209</v>
      </c>
      <c r="J945" t="s">
        <v>38</v>
      </c>
      <c r="K945" t="s">
        <v>160</v>
      </c>
      <c r="L945" t="s">
        <v>94</v>
      </c>
      <c r="M945" t="s">
        <v>110</v>
      </c>
      <c r="N945" t="s">
        <v>111</v>
      </c>
      <c r="O945" t="s">
        <v>112</v>
      </c>
      <c r="P945" t="s">
        <v>113</v>
      </c>
      <c r="Q945">
        <v>29984.33</v>
      </c>
      <c r="R945">
        <v>34189.19</v>
      </c>
      <c r="S945">
        <v>17803.96</v>
      </c>
      <c r="T945">
        <v>3724.37</v>
      </c>
      <c r="U945">
        <v>1161.8</v>
      </c>
      <c r="V945">
        <v>2529.94</v>
      </c>
      <c r="W945">
        <v>431.9</v>
      </c>
      <c r="X945">
        <v>25651.98</v>
      </c>
      <c r="Y945">
        <v>12180.37</v>
      </c>
      <c r="Z945">
        <v>-13471.6</v>
      </c>
      <c r="AA945">
        <v>-0.41360000000000002</v>
      </c>
      <c r="AB945">
        <v>-4204.8599999999997</v>
      </c>
      <c r="AC945">
        <v>899.53</v>
      </c>
      <c r="AD945">
        <v>3490.18</v>
      </c>
      <c r="AE945">
        <v>32574.98</v>
      </c>
    </row>
    <row r="946" spans="1:31" x14ac:dyDescent="0.25">
      <c r="A946" t="s">
        <v>1150</v>
      </c>
      <c r="B946" s="2">
        <v>45765</v>
      </c>
      <c r="C946" t="s">
        <v>128</v>
      </c>
      <c r="D946" t="s">
        <v>66</v>
      </c>
      <c r="E946">
        <v>2025</v>
      </c>
      <c r="F946" t="s">
        <v>47</v>
      </c>
      <c r="G946" t="s">
        <v>35</v>
      </c>
      <c r="H946" t="s">
        <v>206</v>
      </c>
      <c r="I946" t="s">
        <v>296</v>
      </c>
      <c r="J946" t="s">
        <v>100</v>
      </c>
      <c r="K946" t="s">
        <v>39</v>
      </c>
      <c r="L946" t="s">
        <v>81</v>
      </c>
      <c r="M946" t="s">
        <v>186</v>
      </c>
      <c r="N946" t="s">
        <v>187</v>
      </c>
      <c r="O946" t="s">
        <v>173</v>
      </c>
      <c r="P946" t="s">
        <v>174</v>
      </c>
      <c r="Q946">
        <v>43942.91</v>
      </c>
      <c r="R946">
        <v>49962.29</v>
      </c>
      <c r="S946">
        <v>29992.28</v>
      </c>
      <c r="T946">
        <v>2544.02</v>
      </c>
      <c r="U946">
        <v>3936.07</v>
      </c>
      <c r="V946">
        <v>3165.23</v>
      </c>
      <c r="W946">
        <v>690.31</v>
      </c>
      <c r="X946">
        <v>40327.910000000003</v>
      </c>
      <c r="Y946">
        <v>13950.63</v>
      </c>
      <c r="Z946">
        <v>-26377.279999999999</v>
      </c>
      <c r="AA946">
        <v>-0.62139999999999995</v>
      </c>
      <c r="AB946">
        <v>-6019.38</v>
      </c>
      <c r="AC946">
        <v>3515.43</v>
      </c>
      <c r="AD946">
        <v>2021.37</v>
      </c>
      <c r="AE946">
        <v>42448.85</v>
      </c>
    </row>
    <row r="947" spans="1:31" x14ac:dyDescent="0.25">
      <c r="A947" t="s">
        <v>1151</v>
      </c>
      <c r="B947" s="2">
        <v>46032</v>
      </c>
      <c r="C947" t="s">
        <v>77</v>
      </c>
      <c r="D947" t="s">
        <v>58</v>
      </c>
      <c r="E947">
        <v>2026</v>
      </c>
      <c r="F947" t="s">
        <v>59</v>
      </c>
      <c r="G947" t="s">
        <v>35</v>
      </c>
      <c r="H947" t="s">
        <v>60</v>
      </c>
      <c r="I947" t="s">
        <v>108</v>
      </c>
      <c r="J947" t="s">
        <v>38</v>
      </c>
      <c r="K947" t="s">
        <v>39</v>
      </c>
      <c r="L947" t="s">
        <v>51</v>
      </c>
      <c r="M947" t="s">
        <v>197</v>
      </c>
      <c r="N947" t="s">
        <v>198</v>
      </c>
      <c r="O947" t="s">
        <v>43</v>
      </c>
      <c r="P947" t="s">
        <v>163</v>
      </c>
      <c r="Q947">
        <v>22137</v>
      </c>
      <c r="R947">
        <v>22594.86</v>
      </c>
      <c r="S947">
        <v>12015.72</v>
      </c>
      <c r="T947">
        <v>2738.97</v>
      </c>
      <c r="U947">
        <v>1154.5899999999999</v>
      </c>
      <c r="V947">
        <v>2415.79</v>
      </c>
      <c r="W947">
        <v>306.33999999999997</v>
      </c>
      <c r="X947">
        <v>18631.41</v>
      </c>
      <c r="Y947">
        <v>10121.280000000001</v>
      </c>
      <c r="Z947">
        <v>-8510.1299999999992</v>
      </c>
      <c r="AA947">
        <v>-0.37359999999999999</v>
      </c>
      <c r="AB947">
        <v>-457.86</v>
      </c>
      <c r="AC947">
        <v>442.74</v>
      </c>
      <c r="AD947">
        <v>1084.71</v>
      </c>
      <c r="AE947">
        <v>22778.98</v>
      </c>
    </row>
    <row r="948" spans="1:31" x14ac:dyDescent="0.25">
      <c r="A948" t="s">
        <v>1152</v>
      </c>
      <c r="B948" s="2">
        <v>45757</v>
      </c>
      <c r="C948" t="s">
        <v>128</v>
      </c>
      <c r="D948" t="s">
        <v>66</v>
      </c>
      <c r="E948">
        <v>2025</v>
      </c>
      <c r="F948" t="s">
        <v>59</v>
      </c>
      <c r="G948" t="s">
        <v>35</v>
      </c>
      <c r="H948" t="s">
        <v>60</v>
      </c>
      <c r="I948" t="s">
        <v>185</v>
      </c>
      <c r="J948" t="s">
        <v>100</v>
      </c>
      <c r="K948" t="s">
        <v>50</v>
      </c>
      <c r="L948" t="s">
        <v>94</v>
      </c>
      <c r="M948" t="s">
        <v>95</v>
      </c>
      <c r="N948" t="s">
        <v>96</v>
      </c>
      <c r="O948" t="s">
        <v>43</v>
      </c>
      <c r="P948" t="s">
        <v>90</v>
      </c>
      <c r="Q948">
        <v>49586.38</v>
      </c>
      <c r="R948">
        <v>56399.75</v>
      </c>
      <c r="S948">
        <v>27876.05</v>
      </c>
      <c r="T948">
        <v>3537.13</v>
      </c>
      <c r="U948">
        <v>4414</v>
      </c>
      <c r="V948">
        <v>5597.85</v>
      </c>
      <c r="W948">
        <v>546.17999999999995</v>
      </c>
      <c r="X948">
        <v>41971.21</v>
      </c>
      <c r="Y948">
        <v>21710.32</v>
      </c>
      <c r="Z948">
        <v>-20260.89</v>
      </c>
      <c r="AA948">
        <v>-0.40960000000000002</v>
      </c>
      <c r="AB948">
        <v>-6813.37</v>
      </c>
      <c r="AC948">
        <v>2479.3200000000002</v>
      </c>
      <c r="AD948">
        <v>2355.35</v>
      </c>
      <c r="AE948">
        <v>49462.41</v>
      </c>
    </row>
    <row r="949" spans="1:31" x14ac:dyDescent="0.25">
      <c r="A949" t="s">
        <v>1153</v>
      </c>
      <c r="B949" s="2">
        <v>46024</v>
      </c>
      <c r="C949" t="s">
        <v>77</v>
      </c>
      <c r="D949" t="s">
        <v>58</v>
      </c>
      <c r="E949">
        <v>2026</v>
      </c>
      <c r="F949" t="s">
        <v>67</v>
      </c>
      <c r="G949" t="s">
        <v>35</v>
      </c>
      <c r="H949" t="s">
        <v>217</v>
      </c>
      <c r="I949" t="s">
        <v>218</v>
      </c>
      <c r="J949" t="s">
        <v>100</v>
      </c>
      <c r="K949" t="s">
        <v>71</v>
      </c>
      <c r="L949" t="s">
        <v>40</v>
      </c>
      <c r="M949" t="s">
        <v>102</v>
      </c>
      <c r="N949" t="s">
        <v>103</v>
      </c>
      <c r="O949" t="s">
        <v>104</v>
      </c>
      <c r="P949" t="s">
        <v>105</v>
      </c>
      <c r="Q949">
        <v>10111.879999999999</v>
      </c>
      <c r="R949">
        <v>9145.42</v>
      </c>
      <c r="S949">
        <v>6524.4</v>
      </c>
      <c r="T949">
        <v>689.03</v>
      </c>
      <c r="U949">
        <v>275.92</v>
      </c>
      <c r="V949">
        <v>452.72</v>
      </c>
      <c r="W949">
        <v>233.31</v>
      </c>
      <c r="X949">
        <v>8175.39</v>
      </c>
      <c r="Y949">
        <v>3587.48</v>
      </c>
      <c r="Z949">
        <v>-4587.91</v>
      </c>
      <c r="AA949">
        <v>-0.40510000000000002</v>
      </c>
      <c r="AB949">
        <v>966.46</v>
      </c>
      <c r="AC949">
        <v>0</v>
      </c>
      <c r="AD949">
        <v>1213.43</v>
      </c>
      <c r="AE949">
        <v>11325.31</v>
      </c>
    </row>
    <row r="950" spans="1:31" x14ac:dyDescent="0.25">
      <c r="A950" t="s">
        <v>1154</v>
      </c>
      <c r="B950" s="2">
        <v>45917</v>
      </c>
      <c r="C950" t="s">
        <v>46</v>
      </c>
      <c r="D950" t="s">
        <v>33</v>
      </c>
      <c r="E950">
        <v>2025</v>
      </c>
      <c r="F950" t="s">
        <v>85</v>
      </c>
      <c r="G950" t="s">
        <v>35</v>
      </c>
      <c r="H950" t="s">
        <v>178</v>
      </c>
      <c r="I950" t="s">
        <v>179</v>
      </c>
      <c r="J950" t="s">
        <v>38</v>
      </c>
      <c r="K950" t="s">
        <v>101</v>
      </c>
      <c r="L950" t="s">
        <v>94</v>
      </c>
      <c r="M950" t="s">
        <v>130</v>
      </c>
      <c r="N950" t="s">
        <v>131</v>
      </c>
      <c r="O950" t="s">
        <v>43</v>
      </c>
      <c r="P950" t="s">
        <v>132</v>
      </c>
      <c r="Q950">
        <v>41810.19</v>
      </c>
      <c r="R950">
        <v>40975.53</v>
      </c>
      <c r="S950">
        <v>24499.279999999999</v>
      </c>
      <c r="T950">
        <v>3860.55</v>
      </c>
      <c r="U950">
        <v>2266.48</v>
      </c>
      <c r="V950">
        <v>3322.06</v>
      </c>
      <c r="W950">
        <v>855.04</v>
      </c>
      <c r="X950">
        <v>34803.42</v>
      </c>
      <c r="Y950">
        <v>17310.900000000001</v>
      </c>
      <c r="Z950">
        <v>-17492.509999999998</v>
      </c>
      <c r="AA950">
        <v>-0.39850000000000002</v>
      </c>
      <c r="AB950">
        <v>834.65</v>
      </c>
      <c r="AC950">
        <v>0</v>
      </c>
      <c r="AD950">
        <v>2090.5100000000002</v>
      </c>
      <c r="AE950">
        <v>43900.7</v>
      </c>
    </row>
    <row r="951" spans="1:31" x14ac:dyDescent="0.25">
      <c r="A951" t="s">
        <v>1155</v>
      </c>
      <c r="B951" s="2">
        <v>46071</v>
      </c>
      <c r="C951" t="s">
        <v>57</v>
      </c>
      <c r="D951" t="s">
        <v>58</v>
      </c>
      <c r="E951">
        <v>2026</v>
      </c>
      <c r="F951" t="s">
        <v>85</v>
      </c>
      <c r="G951" t="s">
        <v>35</v>
      </c>
      <c r="H951" t="s">
        <v>86</v>
      </c>
      <c r="I951" t="s">
        <v>87</v>
      </c>
      <c r="J951" t="s">
        <v>70</v>
      </c>
      <c r="K951" t="s">
        <v>50</v>
      </c>
      <c r="L951" t="s">
        <v>72</v>
      </c>
      <c r="M951" t="s">
        <v>211</v>
      </c>
      <c r="N951" t="s">
        <v>212</v>
      </c>
      <c r="O951" t="s">
        <v>112</v>
      </c>
      <c r="P951" t="s">
        <v>113</v>
      </c>
      <c r="Q951">
        <v>22846.26</v>
      </c>
      <c r="R951">
        <v>26626.17</v>
      </c>
      <c r="S951">
        <v>14882.88</v>
      </c>
      <c r="T951">
        <v>1739.53</v>
      </c>
      <c r="U951">
        <v>1001.13</v>
      </c>
      <c r="V951">
        <v>1871.01</v>
      </c>
      <c r="W951">
        <v>291.75</v>
      </c>
      <c r="X951">
        <v>19786.3</v>
      </c>
      <c r="Y951">
        <v>7963.38</v>
      </c>
      <c r="Z951">
        <v>-11822.92</v>
      </c>
      <c r="AA951">
        <v>-0.4929</v>
      </c>
      <c r="AB951">
        <v>-3779.91</v>
      </c>
      <c r="AC951">
        <v>0</v>
      </c>
      <c r="AD951">
        <v>1142.31</v>
      </c>
      <c r="AE951">
        <v>23988.57</v>
      </c>
    </row>
    <row r="952" spans="1:31" x14ac:dyDescent="0.25">
      <c r="A952" t="s">
        <v>1156</v>
      </c>
      <c r="B952" s="2">
        <v>46022</v>
      </c>
      <c r="C952" t="s">
        <v>107</v>
      </c>
      <c r="D952" t="s">
        <v>93</v>
      </c>
      <c r="E952">
        <v>2025</v>
      </c>
      <c r="F952" t="s">
        <v>67</v>
      </c>
      <c r="G952" t="s">
        <v>35</v>
      </c>
      <c r="H952" t="s">
        <v>68</v>
      </c>
      <c r="I952" t="s">
        <v>69</v>
      </c>
      <c r="J952" t="s">
        <v>80</v>
      </c>
      <c r="K952" t="s">
        <v>39</v>
      </c>
      <c r="L952" t="s">
        <v>81</v>
      </c>
      <c r="M952" t="s">
        <v>120</v>
      </c>
      <c r="N952" t="s">
        <v>121</v>
      </c>
      <c r="O952" t="s">
        <v>43</v>
      </c>
      <c r="P952" t="s">
        <v>122</v>
      </c>
      <c r="Q952">
        <v>30338.55</v>
      </c>
      <c r="R952">
        <v>35609.75</v>
      </c>
      <c r="S952">
        <v>15097.27</v>
      </c>
      <c r="T952">
        <v>2206.02</v>
      </c>
      <c r="U952">
        <v>1237.6600000000001</v>
      </c>
      <c r="V952">
        <v>1816.79</v>
      </c>
      <c r="W952">
        <v>705.51</v>
      </c>
      <c r="X952">
        <v>21063.26</v>
      </c>
      <c r="Y952">
        <v>15241.28</v>
      </c>
      <c r="Z952">
        <v>-5821.98</v>
      </c>
      <c r="AA952">
        <v>-0.17680000000000001</v>
      </c>
      <c r="AB952">
        <v>-5271.2</v>
      </c>
      <c r="AC952">
        <v>2427.08</v>
      </c>
      <c r="AD952">
        <v>5024.0600000000004</v>
      </c>
      <c r="AE952">
        <v>32935.53</v>
      </c>
    </row>
    <row r="953" spans="1:31" x14ac:dyDescent="0.25">
      <c r="A953" t="s">
        <v>1157</v>
      </c>
      <c r="B953" s="2">
        <v>45783</v>
      </c>
      <c r="C953" t="s">
        <v>65</v>
      </c>
      <c r="D953" t="s">
        <v>66</v>
      </c>
      <c r="E953">
        <v>2025</v>
      </c>
      <c r="F953" t="s">
        <v>34</v>
      </c>
      <c r="G953" t="s">
        <v>35</v>
      </c>
      <c r="H953" t="s">
        <v>134</v>
      </c>
      <c r="I953" t="s">
        <v>135</v>
      </c>
      <c r="J953" t="s">
        <v>38</v>
      </c>
      <c r="K953" t="s">
        <v>50</v>
      </c>
      <c r="L953" t="s">
        <v>51</v>
      </c>
      <c r="M953" t="s">
        <v>211</v>
      </c>
      <c r="N953" t="s">
        <v>212</v>
      </c>
      <c r="O953" t="s">
        <v>112</v>
      </c>
      <c r="P953" t="s">
        <v>113</v>
      </c>
      <c r="Q953">
        <v>20652.080000000002</v>
      </c>
      <c r="R953">
        <v>22904.84</v>
      </c>
      <c r="S953">
        <v>10577.16</v>
      </c>
      <c r="T953">
        <v>1178.8499999999999</v>
      </c>
      <c r="U953">
        <v>1735.39</v>
      </c>
      <c r="V953">
        <v>1710.83</v>
      </c>
      <c r="W953">
        <v>826.56</v>
      </c>
      <c r="X953">
        <v>16028.8</v>
      </c>
      <c r="Y953">
        <v>10074.92</v>
      </c>
      <c r="Z953">
        <v>-5953.88</v>
      </c>
      <c r="AA953">
        <v>-0.25740000000000002</v>
      </c>
      <c r="AB953">
        <v>-2252.7600000000002</v>
      </c>
      <c r="AC953">
        <v>0</v>
      </c>
      <c r="AD953">
        <v>2478.25</v>
      </c>
      <c r="AE953">
        <v>23130.33</v>
      </c>
    </row>
    <row r="954" spans="1:31" x14ac:dyDescent="0.25">
      <c r="A954" t="s">
        <v>1158</v>
      </c>
      <c r="B954" s="2">
        <v>46067</v>
      </c>
      <c r="C954" t="s">
        <v>57</v>
      </c>
      <c r="D954" t="s">
        <v>58</v>
      </c>
      <c r="E954">
        <v>2026</v>
      </c>
      <c r="F954" t="s">
        <v>47</v>
      </c>
      <c r="G954" t="s">
        <v>35</v>
      </c>
      <c r="H954" t="s">
        <v>48</v>
      </c>
      <c r="I954" t="s">
        <v>265</v>
      </c>
      <c r="J954" t="s">
        <v>70</v>
      </c>
      <c r="K954" t="s">
        <v>50</v>
      </c>
      <c r="L954" t="s">
        <v>40</v>
      </c>
      <c r="M954" t="s">
        <v>95</v>
      </c>
      <c r="N954" t="s">
        <v>96</v>
      </c>
      <c r="O954" t="s">
        <v>43</v>
      </c>
      <c r="P954" t="s">
        <v>90</v>
      </c>
      <c r="Q954">
        <v>77085.31</v>
      </c>
      <c r="R954">
        <v>90792.42</v>
      </c>
      <c r="S954">
        <v>54746.48</v>
      </c>
      <c r="T954">
        <v>3890.91</v>
      </c>
      <c r="U954">
        <v>2166.1799999999998</v>
      </c>
      <c r="V954">
        <v>3993.68</v>
      </c>
      <c r="W954">
        <v>1712.08</v>
      </c>
      <c r="X954">
        <v>66509.33</v>
      </c>
      <c r="Y954">
        <v>22338.83</v>
      </c>
      <c r="Z954">
        <v>-44170.5</v>
      </c>
      <c r="AA954">
        <v>-0.52780000000000005</v>
      </c>
      <c r="AB954">
        <v>-13707.11</v>
      </c>
      <c r="AC954">
        <v>6166.82</v>
      </c>
      <c r="AD954">
        <v>12765.33</v>
      </c>
      <c r="AE954">
        <v>83683.81</v>
      </c>
    </row>
    <row r="955" spans="1:31" x14ac:dyDescent="0.25">
      <c r="A955" t="s">
        <v>1159</v>
      </c>
      <c r="B955" s="2">
        <v>46038</v>
      </c>
      <c r="C955" t="s">
        <v>77</v>
      </c>
      <c r="D955" t="s">
        <v>58</v>
      </c>
      <c r="E955">
        <v>2026</v>
      </c>
      <c r="F955" t="s">
        <v>67</v>
      </c>
      <c r="G955" t="s">
        <v>35</v>
      </c>
      <c r="H955" t="s">
        <v>217</v>
      </c>
      <c r="I955" t="s">
        <v>284</v>
      </c>
      <c r="J955" t="s">
        <v>38</v>
      </c>
      <c r="K955" t="s">
        <v>101</v>
      </c>
      <c r="L955" t="s">
        <v>72</v>
      </c>
      <c r="M955" t="s">
        <v>141</v>
      </c>
      <c r="N955" t="s">
        <v>142</v>
      </c>
      <c r="O955" t="s">
        <v>54</v>
      </c>
      <c r="P955" t="s">
        <v>143</v>
      </c>
      <c r="Q955">
        <v>4653.95</v>
      </c>
      <c r="R955">
        <v>4901.99</v>
      </c>
      <c r="S955">
        <v>2723.85</v>
      </c>
      <c r="T955">
        <v>239.16</v>
      </c>
      <c r="U955">
        <v>417.04</v>
      </c>
      <c r="V955">
        <v>388.53</v>
      </c>
      <c r="W955">
        <v>123.69</v>
      </c>
      <c r="X955">
        <v>3892.26</v>
      </c>
      <c r="Y955">
        <v>1930.09</v>
      </c>
      <c r="Z955">
        <v>-1962.17</v>
      </c>
      <c r="AA955">
        <v>-0.44619999999999999</v>
      </c>
      <c r="AB955">
        <v>-248.04</v>
      </c>
      <c r="AC955">
        <v>465.39</v>
      </c>
      <c r="AD955">
        <v>209.43</v>
      </c>
      <c r="AE955">
        <v>4397.9799999999996</v>
      </c>
    </row>
    <row r="956" spans="1:31" x14ac:dyDescent="0.25">
      <c r="A956" t="s">
        <v>1160</v>
      </c>
      <c r="B956" s="2">
        <v>45810</v>
      </c>
      <c r="C956" t="s">
        <v>156</v>
      </c>
      <c r="D956" t="s">
        <v>66</v>
      </c>
      <c r="E956">
        <v>2025</v>
      </c>
      <c r="F956" t="s">
        <v>59</v>
      </c>
      <c r="G956" t="s">
        <v>35</v>
      </c>
      <c r="H956" t="s">
        <v>254</v>
      </c>
      <c r="I956" t="s">
        <v>200</v>
      </c>
      <c r="J956" t="s">
        <v>38</v>
      </c>
      <c r="K956" t="s">
        <v>71</v>
      </c>
      <c r="L956" t="s">
        <v>72</v>
      </c>
      <c r="M956" t="s">
        <v>171</v>
      </c>
      <c r="N956" t="s">
        <v>172</v>
      </c>
      <c r="O956" t="s">
        <v>173</v>
      </c>
      <c r="P956" t="s">
        <v>174</v>
      </c>
      <c r="Q956">
        <v>17749.43</v>
      </c>
      <c r="R956">
        <v>17307.09</v>
      </c>
      <c r="S956">
        <v>11120.88</v>
      </c>
      <c r="T956">
        <v>2260.36</v>
      </c>
      <c r="U956">
        <v>1217.57</v>
      </c>
      <c r="V956">
        <v>1224.94</v>
      </c>
      <c r="W956">
        <v>758.81</v>
      </c>
      <c r="X956">
        <v>16582.560000000001</v>
      </c>
      <c r="Y956">
        <v>6628.55</v>
      </c>
      <c r="Z956">
        <v>-9954.01</v>
      </c>
      <c r="AA956">
        <v>-0.56220000000000003</v>
      </c>
      <c r="AB956">
        <v>442.34</v>
      </c>
      <c r="AC956">
        <v>887.47</v>
      </c>
      <c r="AD956">
        <v>843.1</v>
      </c>
      <c r="AE956">
        <v>17705.060000000001</v>
      </c>
    </row>
    <row r="957" spans="1:31" x14ac:dyDescent="0.25">
      <c r="A957" t="s">
        <v>1161</v>
      </c>
      <c r="B957" s="2">
        <v>45752</v>
      </c>
      <c r="C957" t="s">
        <v>128</v>
      </c>
      <c r="D957" t="s">
        <v>66</v>
      </c>
      <c r="E957">
        <v>2025</v>
      </c>
      <c r="F957" t="s">
        <v>34</v>
      </c>
      <c r="G957" t="s">
        <v>35</v>
      </c>
      <c r="H957" t="s">
        <v>134</v>
      </c>
      <c r="I957" t="s">
        <v>176</v>
      </c>
      <c r="J957" t="s">
        <v>100</v>
      </c>
      <c r="K957" t="s">
        <v>160</v>
      </c>
      <c r="L957" t="s">
        <v>94</v>
      </c>
      <c r="M957" t="s">
        <v>102</v>
      </c>
      <c r="N957" t="s">
        <v>103</v>
      </c>
      <c r="O957" t="s">
        <v>104</v>
      </c>
      <c r="P957" t="s">
        <v>105</v>
      </c>
      <c r="Q957">
        <v>6812.52</v>
      </c>
      <c r="R957">
        <v>7504.03</v>
      </c>
      <c r="S957">
        <v>4570.09</v>
      </c>
      <c r="T957">
        <v>563.73</v>
      </c>
      <c r="U957">
        <v>345.63</v>
      </c>
      <c r="V957">
        <v>792.56</v>
      </c>
      <c r="W957">
        <v>286.7</v>
      </c>
      <c r="X957">
        <v>6558.72</v>
      </c>
      <c r="Y957">
        <v>2242.42</v>
      </c>
      <c r="Z957">
        <v>-4316.3</v>
      </c>
      <c r="AA957">
        <v>-0.54790000000000005</v>
      </c>
      <c r="AB957">
        <v>-691.51</v>
      </c>
      <c r="AC957">
        <v>136.25</v>
      </c>
      <c r="AD957">
        <v>1201.73</v>
      </c>
      <c r="AE957">
        <v>7877.99</v>
      </c>
    </row>
    <row r="958" spans="1:31" x14ac:dyDescent="0.25">
      <c r="A958" t="s">
        <v>1162</v>
      </c>
      <c r="B958" s="2">
        <v>46020</v>
      </c>
      <c r="C958" t="s">
        <v>107</v>
      </c>
      <c r="D958" t="s">
        <v>93</v>
      </c>
      <c r="E958">
        <v>2025</v>
      </c>
      <c r="F958" t="s">
        <v>67</v>
      </c>
      <c r="G958" t="s">
        <v>35</v>
      </c>
      <c r="H958" t="s">
        <v>217</v>
      </c>
      <c r="I958" t="s">
        <v>241</v>
      </c>
      <c r="J958" t="s">
        <v>80</v>
      </c>
      <c r="K958" t="s">
        <v>160</v>
      </c>
      <c r="L958" t="s">
        <v>40</v>
      </c>
      <c r="M958" t="s">
        <v>73</v>
      </c>
      <c r="N958" t="s">
        <v>74</v>
      </c>
      <c r="O958" t="s">
        <v>43</v>
      </c>
      <c r="P958" t="s">
        <v>75</v>
      </c>
      <c r="Q958">
        <v>75340.639999999999</v>
      </c>
      <c r="R958">
        <v>76451.31</v>
      </c>
      <c r="S958">
        <v>45863.11</v>
      </c>
      <c r="T958">
        <v>8239.81</v>
      </c>
      <c r="U958">
        <v>5292.64</v>
      </c>
      <c r="V958">
        <v>8381.9699999999993</v>
      </c>
      <c r="W958">
        <v>2642.32</v>
      </c>
      <c r="X958">
        <v>70419.850000000006</v>
      </c>
      <c r="Y958">
        <v>29477.53</v>
      </c>
      <c r="Z958">
        <v>-40942.32</v>
      </c>
      <c r="AA958">
        <v>-0.53910000000000002</v>
      </c>
      <c r="AB958">
        <v>-1110.6600000000001</v>
      </c>
      <c r="AC958">
        <v>7534.06</v>
      </c>
      <c r="AD958">
        <v>8136.79</v>
      </c>
      <c r="AE958">
        <v>75943.37</v>
      </c>
    </row>
    <row r="959" spans="1:31" x14ac:dyDescent="0.25">
      <c r="A959" t="s">
        <v>1163</v>
      </c>
      <c r="B959" s="2">
        <v>46025</v>
      </c>
      <c r="C959" t="s">
        <v>77</v>
      </c>
      <c r="D959" t="s">
        <v>58</v>
      </c>
      <c r="E959">
        <v>2026</v>
      </c>
      <c r="F959" t="s">
        <v>47</v>
      </c>
      <c r="G959" t="s">
        <v>35</v>
      </c>
      <c r="H959" t="s">
        <v>214</v>
      </c>
      <c r="I959" t="s">
        <v>215</v>
      </c>
      <c r="J959" t="s">
        <v>100</v>
      </c>
      <c r="K959" t="s">
        <v>50</v>
      </c>
      <c r="L959" t="s">
        <v>72</v>
      </c>
      <c r="M959" t="s">
        <v>211</v>
      </c>
      <c r="N959" t="s">
        <v>212</v>
      </c>
      <c r="O959" t="s">
        <v>112</v>
      </c>
      <c r="P959" t="s">
        <v>113</v>
      </c>
      <c r="Q959">
        <v>24502.68</v>
      </c>
      <c r="R959">
        <v>26160.26</v>
      </c>
      <c r="S959">
        <v>14067.29</v>
      </c>
      <c r="T959">
        <v>3164.86</v>
      </c>
      <c r="U959">
        <v>1375.19</v>
      </c>
      <c r="V959">
        <v>1427.66</v>
      </c>
      <c r="W959">
        <v>572.51</v>
      </c>
      <c r="X959">
        <v>20607.509999999998</v>
      </c>
      <c r="Y959">
        <v>10435.39</v>
      </c>
      <c r="Z959">
        <v>-10172.120000000001</v>
      </c>
      <c r="AA959">
        <v>-0.41620000000000001</v>
      </c>
      <c r="AB959">
        <v>-1657.58</v>
      </c>
      <c r="AC959">
        <v>1225.1300000000001</v>
      </c>
      <c r="AD959">
        <v>1163.8800000000001</v>
      </c>
      <c r="AE959">
        <v>24441.42</v>
      </c>
    </row>
    <row r="960" spans="1:31" x14ac:dyDescent="0.25">
      <c r="A960" t="s">
        <v>1164</v>
      </c>
      <c r="B960" s="2">
        <v>45987</v>
      </c>
      <c r="C960" t="s">
        <v>147</v>
      </c>
      <c r="D960" t="s">
        <v>93</v>
      </c>
      <c r="E960">
        <v>2025</v>
      </c>
      <c r="F960" t="s">
        <v>85</v>
      </c>
      <c r="G960" t="s">
        <v>35</v>
      </c>
      <c r="H960" t="s">
        <v>178</v>
      </c>
      <c r="I960" t="s">
        <v>249</v>
      </c>
      <c r="J960" t="s">
        <v>38</v>
      </c>
      <c r="K960" t="s">
        <v>160</v>
      </c>
      <c r="L960" t="s">
        <v>51</v>
      </c>
      <c r="M960" t="s">
        <v>186</v>
      </c>
      <c r="N960" t="s">
        <v>187</v>
      </c>
      <c r="O960" t="s">
        <v>173</v>
      </c>
      <c r="P960" t="s">
        <v>174</v>
      </c>
      <c r="Q960">
        <v>20225.53</v>
      </c>
      <c r="R960">
        <v>19551.91</v>
      </c>
      <c r="S960">
        <v>13294.23</v>
      </c>
      <c r="T960">
        <v>1059.1600000000001</v>
      </c>
      <c r="U960">
        <v>1006.45</v>
      </c>
      <c r="V960">
        <v>1468.43</v>
      </c>
      <c r="W960">
        <v>545.66</v>
      </c>
      <c r="X960">
        <v>17373.93</v>
      </c>
      <c r="Y960">
        <v>6931.3</v>
      </c>
      <c r="Z960">
        <v>-10442.629999999999</v>
      </c>
      <c r="AA960">
        <v>-0.48530000000000001</v>
      </c>
      <c r="AB960">
        <v>673.61</v>
      </c>
      <c r="AC960">
        <v>1011.28</v>
      </c>
      <c r="AD960">
        <v>2305.71</v>
      </c>
      <c r="AE960">
        <v>21519.96</v>
      </c>
    </row>
    <row r="961" spans="1:31" x14ac:dyDescent="0.25">
      <c r="A961" t="s">
        <v>1165</v>
      </c>
      <c r="B961" s="2">
        <v>46039</v>
      </c>
      <c r="C961" t="s">
        <v>77</v>
      </c>
      <c r="D961" t="s">
        <v>58</v>
      </c>
      <c r="E961">
        <v>2026</v>
      </c>
      <c r="F961" t="s">
        <v>85</v>
      </c>
      <c r="G961" t="s">
        <v>35</v>
      </c>
      <c r="H961" t="s">
        <v>178</v>
      </c>
      <c r="I961" t="s">
        <v>329</v>
      </c>
      <c r="J961" t="s">
        <v>100</v>
      </c>
      <c r="K961" t="s">
        <v>50</v>
      </c>
      <c r="L961" t="s">
        <v>94</v>
      </c>
      <c r="M961" t="s">
        <v>102</v>
      </c>
      <c r="N961" t="s">
        <v>103</v>
      </c>
      <c r="O961" t="s">
        <v>104</v>
      </c>
      <c r="P961" t="s">
        <v>105</v>
      </c>
      <c r="Q961">
        <v>28630.89</v>
      </c>
      <c r="R961">
        <v>25690.29</v>
      </c>
      <c r="S961">
        <v>20183.14</v>
      </c>
      <c r="T961">
        <v>2774.37</v>
      </c>
      <c r="U961">
        <v>2016.98</v>
      </c>
      <c r="V961">
        <v>2348.14</v>
      </c>
      <c r="W961">
        <v>1122.78</v>
      </c>
      <c r="X961">
        <v>28445.41</v>
      </c>
      <c r="Y961">
        <v>8447.75</v>
      </c>
      <c r="Z961">
        <v>-19997.66</v>
      </c>
      <c r="AA961">
        <v>-0.62360000000000004</v>
      </c>
      <c r="AB961">
        <v>2940.6</v>
      </c>
      <c r="AC961">
        <v>0</v>
      </c>
      <c r="AD961">
        <v>3435.71</v>
      </c>
      <c r="AE961">
        <v>32066.6</v>
      </c>
    </row>
    <row r="962" spans="1:31" x14ac:dyDescent="0.25">
      <c r="A962" t="s">
        <v>1166</v>
      </c>
      <c r="B962" s="2">
        <v>46096</v>
      </c>
      <c r="C962" t="s">
        <v>125</v>
      </c>
      <c r="D962" t="s">
        <v>58</v>
      </c>
      <c r="E962">
        <v>2026</v>
      </c>
      <c r="F962" t="s">
        <v>59</v>
      </c>
      <c r="G962" t="s">
        <v>35</v>
      </c>
      <c r="H962" t="s">
        <v>60</v>
      </c>
      <c r="I962" t="s">
        <v>185</v>
      </c>
      <c r="J962" t="s">
        <v>100</v>
      </c>
      <c r="K962" t="s">
        <v>50</v>
      </c>
      <c r="L962" t="s">
        <v>72</v>
      </c>
      <c r="M962" t="s">
        <v>52</v>
      </c>
      <c r="N962" t="s">
        <v>53</v>
      </c>
      <c r="O962" t="s">
        <v>54</v>
      </c>
      <c r="P962" t="s">
        <v>55</v>
      </c>
      <c r="Q962">
        <v>8520.2900000000009</v>
      </c>
      <c r="R962">
        <v>8507.61</v>
      </c>
      <c r="S962">
        <v>5243.49</v>
      </c>
      <c r="T962">
        <v>581.21</v>
      </c>
      <c r="U962">
        <v>557.59</v>
      </c>
      <c r="V962">
        <v>349.08</v>
      </c>
      <c r="W962">
        <v>230.92</v>
      </c>
      <c r="X962">
        <v>6962.3</v>
      </c>
      <c r="Y962">
        <v>3276.8</v>
      </c>
      <c r="Z962">
        <v>-3685.5</v>
      </c>
      <c r="AA962">
        <v>-0.38590000000000002</v>
      </c>
      <c r="AB962">
        <v>12.68</v>
      </c>
      <c r="AC962">
        <v>426.01</v>
      </c>
      <c r="AD962">
        <v>1456.97</v>
      </c>
      <c r="AE962">
        <v>9551.25</v>
      </c>
    </row>
    <row r="963" spans="1:31" x14ac:dyDescent="0.25">
      <c r="A963" t="s">
        <v>1167</v>
      </c>
      <c r="B963" s="2">
        <v>46099</v>
      </c>
      <c r="C963" t="s">
        <v>125</v>
      </c>
      <c r="D963" t="s">
        <v>58</v>
      </c>
      <c r="E963">
        <v>2026</v>
      </c>
      <c r="F963" t="s">
        <v>85</v>
      </c>
      <c r="G963" t="s">
        <v>35</v>
      </c>
      <c r="H963" t="s">
        <v>178</v>
      </c>
      <c r="I963" t="s">
        <v>329</v>
      </c>
      <c r="J963" t="s">
        <v>38</v>
      </c>
      <c r="K963" t="s">
        <v>160</v>
      </c>
      <c r="L963" t="s">
        <v>40</v>
      </c>
      <c r="M963" t="s">
        <v>235</v>
      </c>
      <c r="N963" t="s">
        <v>236</v>
      </c>
      <c r="O963" t="s">
        <v>104</v>
      </c>
      <c r="P963" t="s">
        <v>237</v>
      </c>
      <c r="Q963">
        <v>17898.580000000002</v>
      </c>
      <c r="R963">
        <v>19368.45</v>
      </c>
      <c r="S963">
        <v>11048.2</v>
      </c>
      <c r="T963">
        <v>2308.19</v>
      </c>
      <c r="U963">
        <v>1408.28</v>
      </c>
      <c r="V963">
        <v>1094.96</v>
      </c>
      <c r="W963">
        <v>633.64</v>
      </c>
      <c r="X963">
        <v>16493.28</v>
      </c>
      <c r="Y963">
        <v>6850.38</v>
      </c>
      <c r="Z963">
        <v>-9642.9</v>
      </c>
      <c r="AA963">
        <v>-0.46589999999999998</v>
      </c>
      <c r="AB963">
        <v>-1469.87</v>
      </c>
      <c r="AC963">
        <v>357.97</v>
      </c>
      <c r="AD963">
        <v>3157.31</v>
      </c>
      <c r="AE963">
        <v>20697.919999999998</v>
      </c>
    </row>
    <row r="964" spans="1:31" x14ac:dyDescent="0.25">
      <c r="A964" t="s">
        <v>1168</v>
      </c>
      <c r="B964" s="2">
        <v>45851</v>
      </c>
      <c r="C964" t="s">
        <v>32</v>
      </c>
      <c r="D964" t="s">
        <v>33</v>
      </c>
      <c r="E964">
        <v>2025</v>
      </c>
      <c r="F964" t="s">
        <v>59</v>
      </c>
      <c r="G964" t="s">
        <v>35</v>
      </c>
      <c r="H964" t="s">
        <v>230</v>
      </c>
      <c r="I964" t="s">
        <v>301</v>
      </c>
      <c r="J964" t="s">
        <v>70</v>
      </c>
      <c r="K964" t="s">
        <v>71</v>
      </c>
      <c r="L964" t="s">
        <v>94</v>
      </c>
      <c r="M964" t="s">
        <v>82</v>
      </c>
      <c r="N964" t="s">
        <v>83</v>
      </c>
      <c r="O964" t="s">
        <v>43</v>
      </c>
      <c r="P964" t="s">
        <v>75</v>
      </c>
      <c r="Q964">
        <v>68065.820000000007</v>
      </c>
      <c r="R964">
        <v>76845.460000000006</v>
      </c>
      <c r="S964">
        <v>35947.08</v>
      </c>
      <c r="T964">
        <v>8243.52</v>
      </c>
      <c r="U964">
        <v>3127.12</v>
      </c>
      <c r="V964">
        <v>2795.63</v>
      </c>
      <c r="W964">
        <v>2689.87</v>
      </c>
      <c r="X964">
        <v>52803.22</v>
      </c>
      <c r="Y964">
        <v>32118.75</v>
      </c>
      <c r="Z964">
        <v>-20684.47</v>
      </c>
      <c r="AA964">
        <v>-0.28610000000000002</v>
      </c>
      <c r="AB964">
        <v>-8779.6299999999992</v>
      </c>
      <c r="AC964">
        <v>6806.58</v>
      </c>
      <c r="AD964">
        <v>11026.66</v>
      </c>
      <c r="AE964">
        <v>72285.91</v>
      </c>
    </row>
    <row r="965" spans="1:31" x14ac:dyDescent="0.25">
      <c r="A965" t="s">
        <v>1169</v>
      </c>
      <c r="B965" s="2">
        <v>45838</v>
      </c>
      <c r="C965" t="s">
        <v>156</v>
      </c>
      <c r="D965" t="s">
        <v>66</v>
      </c>
      <c r="E965">
        <v>2025</v>
      </c>
      <c r="F965" t="s">
        <v>34</v>
      </c>
      <c r="G965" t="s">
        <v>35</v>
      </c>
      <c r="H965" t="s">
        <v>157</v>
      </c>
      <c r="I965" t="s">
        <v>158</v>
      </c>
      <c r="J965" t="s">
        <v>80</v>
      </c>
      <c r="K965" t="s">
        <v>50</v>
      </c>
      <c r="L965" t="s">
        <v>81</v>
      </c>
      <c r="M965" t="s">
        <v>141</v>
      </c>
      <c r="N965" t="s">
        <v>142</v>
      </c>
      <c r="O965" t="s">
        <v>54</v>
      </c>
      <c r="P965" t="s">
        <v>143</v>
      </c>
      <c r="Q965">
        <v>9775.2999999999993</v>
      </c>
      <c r="R965">
        <v>9855.93</v>
      </c>
      <c r="S965">
        <v>5548.58</v>
      </c>
      <c r="T965">
        <v>1116.1199999999999</v>
      </c>
      <c r="U965">
        <v>580.80999999999995</v>
      </c>
      <c r="V965">
        <v>926.27</v>
      </c>
      <c r="W965">
        <v>310.83999999999997</v>
      </c>
      <c r="X965">
        <v>8482.6299999999992</v>
      </c>
      <c r="Y965">
        <v>4226.72</v>
      </c>
      <c r="Z965">
        <v>-4255.8999999999996</v>
      </c>
      <c r="AA965">
        <v>-0.36899999999999999</v>
      </c>
      <c r="AB965">
        <v>-80.63</v>
      </c>
      <c r="AC965">
        <v>0</v>
      </c>
      <c r="AD965">
        <v>1759.55</v>
      </c>
      <c r="AE965">
        <v>11534.85</v>
      </c>
    </row>
    <row r="966" spans="1:31" x14ac:dyDescent="0.25">
      <c r="A966" t="s">
        <v>1170</v>
      </c>
      <c r="B966" s="2">
        <v>46077</v>
      </c>
      <c r="C966" t="s">
        <v>57</v>
      </c>
      <c r="D966" t="s">
        <v>58</v>
      </c>
      <c r="E966">
        <v>2026</v>
      </c>
      <c r="F966" t="s">
        <v>34</v>
      </c>
      <c r="G966" t="s">
        <v>35</v>
      </c>
      <c r="H966" t="s">
        <v>134</v>
      </c>
      <c r="I966" t="s">
        <v>176</v>
      </c>
      <c r="J966" t="s">
        <v>100</v>
      </c>
      <c r="K966" t="s">
        <v>71</v>
      </c>
      <c r="L966" t="s">
        <v>40</v>
      </c>
      <c r="M966" t="s">
        <v>221</v>
      </c>
      <c r="N966" t="s">
        <v>222</v>
      </c>
      <c r="O966" t="s">
        <v>104</v>
      </c>
      <c r="P966" t="s">
        <v>223</v>
      </c>
      <c r="Q966">
        <v>11521.3</v>
      </c>
      <c r="R966">
        <v>12723.75</v>
      </c>
      <c r="S966">
        <v>7069.88</v>
      </c>
      <c r="T966">
        <v>1389.89</v>
      </c>
      <c r="U966">
        <v>518.22</v>
      </c>
      <c r="V966">
        <v>1098.6600000000001</v>
      </c>
      <c r="W966">
        <v>418.84</v>
      </c>
      <c r="X966">
        <v>10495.48</v>
      </c>
      <c r="Y966">
        <v>4451.42</v>
      </c>
      <c r="Z966">
        <v>-6044.06</v>
      </c>
      <c r="AA966">
        <v>-0.46839999999999998</v>
      </c>
      <c r="AB966">
        <v>-1202.45</v>
      </c>
      <c r="AC966">
        <v>0</v>
      </c>
      <c r="AD966">
        <v>1382.56</v>
      </c>
      <c r="AE966">
        <v>12903.85</v>
      </c>
    </row>
    <row r="967" spans="1:31" x14ac:dyDescent="0.25">
      <c r="A967" t="s">
        <v>1171</v>
      </c>
      <c r="B967" s="2">
        <v>45789</v>
      </c>
      <c r="C967" t="s">
        <v>65</v>
      </c>
      <c r="D967" t="s">
        <v>66</v>
      </c>
      <c r="E967">
        <v>2025</v>
      </c>
      <c r="F967" t="s">
        <v>47</v>
      </c>
      <c r="G967" t="s">
        <v>35</v>
      </c>
      <c r="H967" t="s">
        <v>48</v>
      </c>
      <c r="I967" t="s">
        <v>126</v>
      </c>
      <c r="J967" t="s">
        <v>70</v>
      </c>
      <c r="K967" t="s">
        <v>39</v>
      </c>
      <c r="L967" t="s">
        <v>81</v>
      </c>
      <c r="M967" t="s">
        <v>161</v>
      </c>
      <c r="N967" t="s">
        <v>162</v>
      </c>
      <c r="O967" t="s">
        <v>43</v>
      </c>
      <c r="P967" t="s">
        <v>163</v>
      </c>
      <c r="Q967">
        <v>67467.710000000006</v>
      </c>
      <c r="R967">
        <v>71747.199999999997</v>
      </c>
      <c r="S967">
        <v>33500.68</v>
      </c>
      <c r="T967">
        <v>8039.33</v>
      </c>
      <c r="U967">
        <v>2938.5</v>
      </c>
      <c r="V967">
        <v>6018.4</v>
      </c>
      <c r="W967">
        <v>2986.72</v>
      </c>
      <c r="X967">
        <v>53483.62</v>
      </c>
      <c r="Y967">
        <v>33967.03</v>
      </c>
      <c r="Z967">
        <v>-19516.580000000002</v>
      </c>
      <c r="AA967">
        <v>-0.25800000000000001</v>
      </c>
      <c r="AB967">
        <v>-4279.5</v>
      </c>
      <c r="AC967">
        <v>3373.39</v>
      </c>
      <c r="AD967">
        <v>11536.98</v>
      </c>
      <c r="AE967">
        <v>75631.3</v>
      </c>
    </row>
    <row r="968" spans="1:31" x14ac:dyDescent="0.25">
      <c r="A968" t="s">
        <v>1172</v>
      </c>
      <c r="B968" s="2">
        <v>46108</v>
      </c>
      <c r="C968" t="s">
        <v>125</v>
      </c>
      <c r="D968" t="s">
        <v>58</v>
      </c>
      <c r="E968">
        <v>2026</v>
      </c>
      <c r="F968" t="s">
        <v>47</v>
      </c>
      <c r="G968" t="s">
        <v>35</v>
      </c>
      <c r="H968" t="s">
        <v>78</v>
      </c>
      <c r="I968" t="s">
        <v>183</v>
      </c>
      <c r="J968" t="s">
        <v>38</v>
      </c>
      <c r="K968" t="s">
        <v>160</v>
      </c>
      <c r="L968" t="s">
        <v>94</v>
      </c>
      <c r="M968" t="s">
        <v>235</v>
      </c>
      <c r="N968" t="s">
        <v>236</v>
      </c>
      <c r="O968" t="s">
        <v>104</v>
      </c>
      <c r="P968" t="s">
        <v>237</v>
      </c>
      <c r="Q968">
        <v>20973.51</v>
      </c>
      <c r="R968">
        <v>21692.52</v>
      </c>
      <c r="S968">
        <v>13073.13</v>
      </c>
      <c r="T968">
        <v>1816.38</v>
      </c>
      <c r="U968">
        <v>988.89</v>
      </c>
      <c r="V968">
        <v>1623.88</v>
      </c>
      <c r="W968">
        <v>438.34</v>
      </c>
      <c r="X968">
        <v>17940.62</v>
      </c>
      <c r="Y968">
        <v>7900.38</v>
      </c>
      <c r="Z968">
        <v>-10040.24</v>
      </c>
      <c r="AA968">
        <v>-0.44059999999999999</v>
      </c>
      <c r="AB968">
        <v>-719</v>
      </c>
      <c r="AC968">
        <v>629.21</v>
      </c>
      <c r="AD968">
        <v>2441.3200000000002</v>
      </c>
      <c r="AE968">
        <v>22785.62</v>
      </c>
    </row>
    <row r="969" spans="1:31" x14ac:dyDescent="0.25">
      <c r="A969" t="s">
        <v>1173</v>
      </c>
      <c r="B969" s="2">
        <v>45907</v>
      </c>
      <c r="C969" t="s">
        <v>46</v>
      </c>
      <c r="D969" t="s">
        <v>33</v>
      </c>
      <c r="E969">
        <v>2025</v>
      </c>
      <c r="F969" t="s">
        <v>85</v>
      </c>
      <c r="G969" t="s">
        <v>35</v>
      </c>
      <c r="H969" t="s">
        <v>86</v>
      </c>
      <c r="I969" t="s">
        <v>87</v>
      </c>
      <c r="J969" t="s">
        <v>100</v>
      </c>
      <c r="K969" t="s">
        <v>50</v>
      </c>
      <c r="L969" t="s">
        <v>40</v>
      </c>
      <c r="M969" t="s">
        <v>62</v>
      </c>
      <c r="N969" t="s">
        <v>63</v>
      </c>
      <c r="O969" t="s">
        <v>54</v>
      </c>
      <c r="P969" t="s">
        <v>55</v>
      </c>
      <c r="Q969">
        <v>2376.16</v>
      </c>
      <c r="R969">
        <v>2746.57</v>
      </c>
      <c r="S969">
        <v>1541.37</v>
      </c>
      <c r="T969">
        <v>264.91000000000003</v>
      </c>
      <c r="U969">
        <v>117.64</v>
      </c>
      <c r="V969">
        <v>267.87</v>
      </c>
      <c r="W969">
        <v>89.41</v>
      </c>
      <c r="X969">
        <v>2281.21</v>
      </c>
      <c r="Y969">
        <v>834.78</v>
      </c>
      <c r="Z969">
        <v>-1446.43</v>
      </c>
      <c r="AA969">
        <v>-0.54300000000000004</v>
      </c>
      <c r="AB969">
        <v>-370.41</v>
      </c>
      <c r="AC969">
        <v>118.81</v>
      </c>
      <c r="AD969">
        <v>406.32</v>
      </c>
      <c r="AE969">
        <v>2663.67</v>
      </c>
    </row>
    <row r="970" spans="1:31" x14ac:dyDescent="0.25">
      <c r="A970" t="s">
        <v>1174</v>
      </c>
      <c r="B970" s="2">
        <v>46098</v>
      </c>
      <c r="C970" t="s">
        <v>125</v>
      </c>
      <c r="D970" t="s">
        <v>58</v>
      </c>
      <c r="E970">
        <v>2026</v>
      </c>
      <c r="F970" t="s">
        <v>34</v>
      </c>
      <c r="G970" t="s">
        <v>35</v>
      </c>
      <c r="H970" t="s">
        <v>98</v>
      </c>
      <c r="I970" t="s">
        <v>149</v>
      </c>
      <c r="J970" t="s">
        <v>80</v>
      </c>
      <c r="K970" t="s">
        <v>50</v>
      </c>
      <c r="L970" t="s">
        <v>40</v>
      </c>
      <c r="M970" t="s">
        <v>197</v>
      </c>
      <c r="N970" t="s">
        <v>198</v>
      </c>
      <c r="O970" t="s">
        <v>43</v>
      </c>
      <c r="P970" t="s">
        <v>163</v>
      </c>
      <c r="Q970">
        <v>51887.5</v>
      </c>
      <c r="R970">
        <v>48528</v>
      </c>
      <c r="S970">
        <v>35892.699999999997</v>
      </c>
      <c r="T970">
        <v>4019.2</v>
      </c>
      <c r="U970">
        <v>2604.04</v>
      </c>
      <c r="V970">
        <v>4866.6400000000003</v>
      </c>
      <c r="W970">
        <v>1406.56</v>
      </c>
      <c r="X970">
        <v>48789.14</v>
      </c>
      <c r="Y970">
        <v>15994.8</v>
      </c>
      <c r="Z970">
        <v>-32794.339999999997</v>
      </c>
      <c r="AA970">
        <v>-0.56430000000000002</v>
      </c>
      <c r="AB970">
        <v>3359.5</v>
      </c>
      <c r="AC970">
        <v>0</v>
      </c>
      <c r="AD970">
        <v>6226.5</v>
      </c>
      <c r="AE970">
        <v>58114.01</v>
      </c>
    </row>
    <row r="971" spans="1:31" x14ac:dyDescent="0.25">
      <c r="A971" t="s">
        <v>1175</v>
      </c>
      <c r="B971" s="2">
        <v>45866</v>
      </c>
      <c r="C971" t="s">
        <v>32</v>
      </c>
      <c r="D971" t="s">
        <v>33</v>
      </c>
      <c r="E971">
        <v>2025</v>
      </c>
      <c r="F971" t="s">
        <v>34</v>
      </c>
      <c r="G971" t="s">
        <v>35</v>
      </c>
      <c r="H971" t="s">
        <v>157</v>
      </c>
      <c r="I971" t="s">
        <v>194</v>
      </c>
      <c r="J971" t="s">
        <v>70</v>
      </c>
      <c r="K971" t="s">
        <v>71</v>
      </c>
      <c r="L971" t="s">
        <v>40</v>
      </c>
      <c r="M971" t="s">
        <v>141</v>
      </c>
      <c r="N971" t="s">
        <v>142</v>
      </c>
      <c r="O971" t="s">
        <v>54</v>
      </c>
      <c r="P971" t="s">
        <v>143</v>
      </c>
      <c r="Q971">
        <v>6881.97</v>
      </c>
      <c r="R971">
        <v>6449.8</v>
      </c>
      <c r="S971">
        <v>4216.24</v>
      </c>
      <c r="T971">
        <v>568.41999999999996</v>
      </c>
      <c r="U971">
        <v>346.52</v>
      </c>
      <c r="V971">
        <v>721.09</v>
      </c>
      <c r="W971">
        <v>167</v>
      </c>
      <c r="X971">
        <v>6019.27</v>
      </c>
      <c r="Y971">
        <v>2665.73</v>
      </c>
      <c r="Z971">
        <v>-3353.54</v>
      </c>
      <c r="AA971">
        <v>-0.46410000000000001</v>
      </c>
      <c r="AB971">
        <v>432.17</v>
      </c>
      <c r="AC971">
        <v>0</v>
      </c>
      <c r="AD971">
        <v>344.1</v>
      </c>
      <c r="AE971">
        <v>7226.07</v>
      </c>
    </row>
    <row r="972" spans="1:31" x14ac:dyDescent="0.25">
      <c r="A972" t="s">
        <v>1176</v>
      </c>
      <c r="B972" s="2">
        <v>46066</v>
      </c>
      <c r="C972" t="s">
        <v>57</v>
      </c>
      <c r="D972" t="s">
        <v>58</v>
      </c>
      <c r="E972">
        <v>2026</v>
      </c>
      <c r="F972" t="s">
        <v>85</v>
      </c>
      <c r="G972" t="s">
        <v>35</v>
      </c>
      <c r="H972" t="s">
        <v>60</v>
      </c>
      <c r="I972" t="s">
        <v>61</v>
      </c>
      <c r="J972" t="s">
        <v>100</v>
      </c>
      <c r="K972" t="s">
        <v>50</v>
      </c>
      <c r="L972" t="s">
        <v>40</v>
      </c>
      <c r="M972" t="s">
        <v>130</v>
      </c>
      <c r="N972" t="s">
        <v>131</v>
      </c>
      <c r="O972" t="s">
        <v>43</v>
      </c>
      <c r="P972" t="s">
        <v>132</v>
      </c>
      <c r="Q972">
        <v>69769.06</v>
      </c>
      <c r="R972">
        <v>69332.429999999993</v>
      </c>
      <c r="S972">
        <v>41504.82</v>
      </c>
      <c r="T972">
        <v>4527.3500000000004</v>
      </c>
      <c r="U972">
        <v>3068.51</v>
      </c>
      <c r="V972">
        <v>7133.89</v>
      </c>
      <c r="W972">
        <v>2880.71</v>
      </c>
      <c r="X972">
        <v>59115.28</v>
      </c>
      <c r="Y972">
        <v>28264.25</v>
      </c>
      <c r="Z972">
        <v>-30851.03</v>
      </c>
      <c r="AA972">
        <v>-0.41560000000000002</v>
      </c>
      <c r="AB972">
        <v>436.63</v>
      </c>
      <c r="AC972">
        <v>3488.45</v>
      </c>
      <c r="AD972">
        <v>7953.67</v>
      </c>
      <c r="AE972">
        <v>74234.28</v>
      </c>
    </row>
    <row r="973" spans="1:31" x14ac:dyDescent="0.25">
      <c r="A973" t="s">
        <v>1177</v>
      </c>
      <c r="B973" s="2">
        <v>45913</v>
      </c>
      <c r="C973" t="s">
        <v>46</v>
      </c>
      <c r="D973" t="s">
        <v>33</v>
      </c>
      <c r="E973">
        <v>2025</v>
      </c>
      <c r="F973" t="s">
        <v>67</v>
      </c>
      <c r="G973" t="s">
        <v>35</v>
      </c>
      <c r="H973" t="s">
        <v>68</v>
      </c>
      <c r="I973" t="s">
        <v>69</v>
      </c>
      <c r="J973" t="s">
        <v>70</v>
      </c>
      <c r="K973" t="s">
        <v>101</v>
      </c>
      <c r="L973" t="s">
        <v>40</v>
      </c>
      <c r="M973" t="s">
        <v>221</v>
      </c>
      <c r="N973" t="s">
        <v>222</v>
      </c>
      <c r="O973" t="s">
        <v>104</v>
      </c>
      <c r="P973" t="s">
        <v>223</v>
      </c>
      <c r="Q973">
        <v>6919.75</v>
      </c>
      <c r="R973">
        <v>6844.89</v>
      </c>
      <c r="S973">
        <v>4729.9399999999996</v>
      </c>
      <c r="T973">
        <v>642.13</v>
      </c>
      <c r="U973">
        <v>231.66</v>
      </c>
      <c r="V973">
        <v>718.31</v>
      </c>
      <c r="W973">
        <v>241.11</v>
      </c>
      <c r="X973">
        <v>6563.16</v>
      </c>
      <c r="Y973">
        <v>2189.8000000000002</v>
      </c>
      <c r="Z973">
        <v>-4373.3500000000004</v>
      </c>
      <c r="AA973">
        <v>-0.58169999999999999</v>
      </c>
      <c r="AB973">
        <v>74.86</v>
      </c>
      <c r="AC973">
        <v>207.59</v>
      </c>
      <c r="AD973">
        <v>805.46</v>
      </c>
      <c r="AE973">
        <v>7517.61</v>
      </c>
    </row>
    <row r="974" spans="1:31" x14ac:dyDescent="0.25">
      <c r="A974" t="s">
        <v>1178</v>
      </c>
      <c r="B974" s="2">
        <v>45794</v>
      </c>
      <c r="C974" t="s">
        <v>65</v>
      </c>
      <c r="D974" t="s">
        <v>66</v>
      </c>
      <c r="E974">
        <v>2025</v>
      </c>
      <c r="F974" t="s">
        <v>85</v>
      </c>
      <c r="G974" t="s">
        <v>35</v>
      </c>
      <c r="H974" t="s">
        <v>86</v>
      </c>
      <c r="I974" t="s">
        <v>181</v>
      </c>
      <c r="J974" t="s">
        <v>70</v>
      </c>
      <c r="K974" t="s">
        <v>50</v>
      </c>
      <c r="L974" t="s">
        <v>72</v>
      </c>
      <c r="M974" t="s">
        <v>110</v>
      </c>
      <c r="N974" t="s">
        <v>111</v>
      </c>
      <c r="O974" t="s">
        <v>112</v>
      </c>
      <c r="P974" t="s">
        <v>113</v>
      </c>
      <c r="Q974">
        <v>23973.78</v>
      </c>
      <c r="R974">
        <v>25385.79</v>
      </c>
      <c r="S974">
        <v>13899.74</v>
      </c>
      <c r="T974">
        <v>1774.04</v>
      </c>
      <c r="U974">
        <v>674.97</v>
      </c>
      <c r="V974">
        <v>2386.41</v>
      </c>
      <c r="W974">
        <v>865.77</v>
      </c>
      <c r="X974">
        <v>19600.939999999999</v>
      </c>
      <c r="Y974">
        <v>10074.040000000001</v>
      </c>
      <c r="Z974">
        <v>-9526.9</v>
      </c>
      <c r="AA974">
        <v>-0.35449999999999998</v>
      </c>
      <c r="AB974">
        <v>-1412.01</v>
      </c>
      <c r="AC974">
        <v>1198.69</v>
      </c>
      <c r="AD974">
        <v>4099.5200000000004</v>
      </c>
      <c r="AE974">
        <v>26874.61</v>
      </c>
    </row>
    <row r="975" spans="1:31" x14ac:dyDescent="0.25">
      <c r="A975" t="s">
        <v>1179</v>
      </c>
      <c r="B975" s="2">
        <v>46003</v>
      </c>
      <c r="C975" t="s">
        <v>107</v>
      </c>
      <c r="D975" t="s">
        <v>93</v>
      </c>
      <c r="E975">
        <v>2025</v>
      </c>
      <c r="F975" t="s">
        <v>34</v>
      </c>
      <c r="G975" t="s">
        <v>35</v>
      </c>
      <c r="H975" t="s">
        <v>134</v>
      </c>
      <c r="I975" t="s">
        <v>135</v>
      </c>
      <c r="J975" t="s">
        <v>100</v>
      </c>
      <c r="K975" t="s">
        <v>101</v>
      </c>
      <c r="L975" t="s">
        <v>94</v>
      </c>
      <c r="M975" t="s">
        <v>41</v>
      </c>
      <c r="N975" t="s">
        <v>42</v>
      </c>
      <c r="O975" t="s">
        <v>43</v>
      </c>
      <c r="P975" t="s">
        <v>44</v>
      </c>
      <c r="Q975">
        <v>62520.87</v>
      </c>
      <c r="R975">
        <v>69538.649999999994</v>
      </c>
      <c r="S975">
        <v>37068.49</v>
      </c>
      <c r="T975">
        <v>4602.68</v>
      </c>
      <c r="U975">
        <v>4567.29</v>
      </c>
      <c r="V975">
        <v>6493.18</v>
      </c>
      <c r="W975">
        <v>1069.07</v>
      </c>
      <c r="X975">
        <v>53800.7</v>
      </c>
      <c r="Y975">
        <v>25452.38</v>
      </c>
      <c r="Z975">
        <v>-28348.32</v>
      </c>
      <c r="AA975">
        <v>-0.41310000000000002</v>
      </c>
      <c r="AB975">
        <v>-7017.78</v>
      </c>
      <c r="AC975">
        <v>1250.42</v>
      </c>
      <c r="AD975">
        <v>7352.45</v>
      </c>
      <c r="AE975">
        <v>68622.899999999994</v>
      </c>
    </row>
    <row r="976" spans="1:31" x14ac:dyDescent="0.25">
      <c r="A976" t="s">
        <v>1180</v>
      </c>
      <c r="B976" s="2">
        <v>46010</v>
      </c>
      <c r="C976" t="s">
        <v>107</v>
      </c>
      <c r="D976" t="s">
        <v>93</v>
      </c>
      <c r="E976">
        <v>2025</v>
      </c>
      <c r="F976" t="s">
        <v>47</v>
      </c>
      <c r="G976" t="s">
        <v>35</v>
      </c>
      <c r="H976" t="s">
        <v>48</v>
      </c>
      <c r="I976" t="s">
        <v>126</v>
      </c>
      <c r="J976" t="s">
        <v>100</v>
      </c>
      <c r="K976" t="s">
        <v>39</v>
      </c>
      <c r="L976" t="s">
        <v>94</v>
      </c>
      <c r="M976" t="s">
        <v>235</v>
      </c>
      <c r="N976" t="s">
        <v>236</v>
      </c>
      <c r="O976" t="s">
        <v>104</v>
      </c>
      <c r="P976" t="s">
        <v>237</v>
      </c>
      <c r="Q976">
        <v>19654.2</v>
      </c>
      <c r="R976">
        <v>20659.82</v>
      </c>
      <c r="S976">
        <v>13577.13</v>
      </c>
      <c r="T976">
        <v>1290.69</v>
      </c>
      <c r="U976">
        <v>704.67</v>
      </c>
      <c r="V976">
        <v>1691.17</v>
      </c>
      <c r="W976">
        <v>515.26</v>
      </c>
      <c r="X976">
        <v>17778.919999999998</v>
      </c>
      <c r="Y976">
        <v>6077.07</v>
      </c>
      <c r="Z976">
        <v>-11701.85</v>
      </c>
      <c r="AA976">
        <v>-0.53110000000000002</v>
      </c>
      <c r="AB976">
        <v>-1005.62</v>
      </c>
      <c r="AC976">
        <v>982.71</v>
      </c>
      <c r="AD976">
        <v>3360.87</v>
      </c>
      <c r="AE976">
        <v>22032.36</v>
      </c>
    </row>
    <row r="977" spans="1:31" x14ac:dyDescent="0.25">
      <c r="A977" t="s">
        <v>1181</v>
      </c>
      <c r="B977" s="2">
        <v>45966</v>
      </c>
      <c r="C977" t="s">
        <v>147</v>
      </c>
      <c r="D977" t="s">
        <v>93</v>
      </c>
      <c r="E977">
        <v>2025</v>
      </c>
      <c r="F977" t="s">
        <v>47</v>
      </c>
      <c r="G977" t="s">
        <v>35</v>
      </c>
      <c r="H977" t="s">
        <v>214</v>
      </c>
      <c r="I977" t="s">
        <v>220</v>
      </c>
      <c r="J977" t="s">
        <v>80</v>
      </c>
      <c r="K977" t="s">
        <v>50</v>
      </c>
      <c r="L977" t="s">
        <v>94</v>
      </c>
      <c r="M977" t="s">
        <v>189</v>
      </c>
      <c r="N977" t="s">
        <v>190</v>
      </c>
      <c r="O977" t="s">
        <v>104</v>
      </c>
      <c r="P977" t="s">
        <v>105</v>
      </c>
      <c r="Q977">
        <v>6968.31</v>
      </c>
      <c r="R977">
        <v>6566.7</v>
      </c>
      <c r="S977">
        <v>4008</v>
      </c>
      <c r="T977">
        <v>410.41</v>
      </c>
      <c r="U977">
        <v>188.63</v>
      </c>
      <c r="V977">
        <v>644.87</v>
      </c>
      <c r="W977">
        <v>218.52</v>
      </c>
      <c r="X977">
        <v>5470.43</v>
      </c>
      <c r="Y977">
        <v>2960.31</v>
      </c>
      <c r="Z977">
        <v>-2510.12</v>
      </c>
      <c r="AA977">
        <v>-0.32129999999999997</v>
      </c>
      <c r="AB977">
        <v>401.61</v>
      </c>
      <c r="AC977">
        <v>348.42</v>
      </c>
      <c r="AD977">
        <v>1191.58</v>
      </c>
      <c r="AE977">
        <v>7811.48</v>
      </c>
    </row>
    <row r="978" spans="1:31" x14ac:dyDescent="0.25">
      <c r="A978" t="s">
        <v>1182</v>
      </c>
      <c r="B978" s="2">
        <v>45877</v>
      </c>
      <c r="C978" t="s">
        <v>117</v>
      </c>
      <c r="D978" t="s">
        <v>33</v>
      </c>
      <c r="E978">
        <v>2025</v>
      </c>
      <c r="F978" t="s">
        <v>67</v>
      </c>
      <c r="G978" t="s">
        <v>35</v>
      </c>
      <c r="H978" t="s">
        <v>217</v>
      </c>
      <c r="I978" t="s">
        <v>284</v>
      </c>
      <c r="J978" t="s">
        <v>80</v>
      </c>
      <c r="K978" t="s">
        <v>39</v>
      </c>
      <c r="L978" t="s">
        <v>51</v>
      </c>
      <c r="M978" t="s">
        <v>73</v>
      </c>
      <c r="N978" t="s">
        <v>74</v>
      </c>
      <c r="O978" t="s">
        <v>43</v>
      </c>
      <c r="P978" t="s">
        <v>75</v>
      </c>
      <c r="Q978">
        <v>48962.01</v>
      </c>
      <c r="R978">
        <v>44738.17</v>
      </c>
      <c r="S978">
        <v>24495.25</v>
      </c>
      <c r="T978">
        <v>2621.4</v>
      </c>
      <c r="U978">
        <v>2929.34</v>
      </c>
      <c r="V978">
        <v>4724.76</v>
      </c>
      <c r="W978">
        <v>713.29</v>
      </c>
      <c r="X978">
        <v>35484.050000000003</v>
      </c>
      <c r="Y978">
        <v>24466.76</v>
      </c>
      <c r="Z978">
        <v>-11017.29</v>
      </c>
      <c r="AA978">
        <v>-0.21149999999999999</v>
      </c>
      <c r="AB978">
        <v>4223.8500000000004</v>
      </c>
      <c r="AC978">
        <v>2448.1</v>
      </c>
      <c r="AD978">
        <v>5581.67</v>
      </c>
      <c r="AE978">
        <v>52095.58</v>
      </c>
    </row>
    <row r="979" spans="1:31" x14ac:dyDescent="0.25">
      <c r="A979" t="s">
        <v>1183</v>
      </c>
      <c r="B979" s="2">
        <v>45804</v>
      </c>
      <c r="C979" t="s">
        <v>65</v>
      </c>
      <c r="D979" t="s">
        <v>66</v>
      </c>
      <c r="E979">
        <v>2025</v>
      </c>
      <c r="F979" t="s">
        <v>47</v>
      </c>
      <c r="G979" t="s">
        <v>35</v>
      </c>
      <c r="H979" t="s">
        <v>214</v>
      </c>
      <c r="I979" t="s">
        <v>321</v>
      </c>
      <c r="J979" t="s">
        <v>100</v>
      </c>
      <c r="K979" t="s">
        <v>160</v>
      </c>
      <c r="L979" t="s">
        <v>72</v>
      </c>
      <c r="M979" t="s">
        <v>88</v>
      </c>
      <c r="N979" t="s">
        <v>89</v>
      </c>
      <c r="O979" t="s">
        <v>43</v>
      </c>
      <c r="P979" t="s">
        <v>90</v>
      </c>
      <c r="Q979">
        <v>40467.839999999997</v>
      </c>
      <c r="R979">
        <v>40811.93</v>
      </c>
      <c r="S979">
        <v>24585.65</v>
      </c>
      <c r="T979">
        <v>2909.1</v>
      </c>
      <c r="U979">
        <v>3449.53</v>
      </c>
      <c r="V979">
        <v>3205.8</v>
      </c>
      <c r="W979">
        <v>1597.28</v>
      </c>
      <c r="X979">
        <v>35747.360000000001</v>
      </c>
      <c r="Y979">
        <v>15882.19</v>
      </c>
      <c r="Z979">
        <v>-19865.169999999998</v>
      </c>
      <c r="AA979">
        <v>-0.4289</v>
      </c>
      <c r="AB979">
        <v>-344.09</v>
      </c>
      <c r="AC979">
        <v>1214.04</v>
      </c>
      <c r="AD979">
        <v>7065.68</v>
      </c>
      <c r="AE979">
        <v>46319.49</v>
      </c>
    </row>
    <row r="980" spans="1:31" x14ac:dyDescent="0.25">
      <c r="A980" t="s">
        <v>1184</v>
      </c>
      <c r="B980" s="2">
        <v>46112</v>
      </c>
      <c r="C980" t="s">
        <v>125</v>
      </c>
      <c r="D980" t="s">
        <v>58</v>
      </c>
      <c r="E980">
        <v>2026</v>
      </c>
      <c r="F980" t="s">
        <v>34</v>
      </c>
      <c r="G980" t="s">
        <v>35</v>
      </c>
      <c r="H980" t="s">
        <v>157</v>
      </c>
      <c r="I980" t="s">
        <v>158</v>
      </c>
      <c r="J980" t="s">
        <v>38</v>
      </c>
      <c r="K980" t="s">
        <v>160</v>
      </c>
      <c r="L980" t="s">
        <v>81</v>
      </c>
      <c r="M980" t="s">
        <v>41</v>
      </c>
      <c r="N980" t="s">
        <v>42</v>
      </c>
      <c r="O980" t="s">
        <v>43</v>
      </c>
      <c r="P980" t="s">
        <v>44</v>
      </c>
      <c r="Q980">
        <v>49584.06</v>
      </c>
      <c r="R980">
        <v>44021.59</v>
      </c>
      <c r="S980">
        <v>30528.53</v>
      </c>
      <c r="T980">
        <v>2860.31</v>
      </c>
      <c r="U980">
        <v>3929</v>
      </c>
      <c r="V980">
        <v>4968.3999999999996</v>
      </c>
      <c r="W980">
        <v>1295.03</v>
      </c>
      <c r="X980">
        <v>43581.27</v>
      </c>
      <c r="Y980">
        <v>19055.53</v>
      </c>
      <c r="Z980">
        <v>-24525.74</v>
      </c>
      <c r="AA980">
        <v>-0.43209999999999998</v>
      </c>
      <c r="AB980">
        <v>5562.47</v>
      </c>
      <c r="AC980">
        <v>1487.52</v>
      </c>
      <c r="AD980">
        <v>8657.3799999999992</v>
      </c>
      <c r="AE980">
        <v>56753.91</v>
      </c>
    </row>
    <row r="981" spans="1:31" x14ac:dyDescent="0.25">
      <c r="A981" t="s">
        <v>1185</v>
      </c>
      <c r="B981" s="2">
        <v>45765</v>
      </c>
      <c r="C981" t="s">
        <v>128</v>
      </c>
      <c r="D981" t="s">
        <v>66</v>
      </c>
      <c r="E981">
        <v>2025</v>
      </c>
      <c r="F981" t="s">
        <v>67</v>
      </c>
      <c r="G981" t="s">
        <v>35</v>
      </c>
      <c r="H981" t="s">
        <v>168</v>
      </c>
      <c r="I981" t="s">
        <v>278</v>
      </c>
      <c r="J981" t="s">
        <v>70</v>
      </c>
      <c r="K981" t="s">
        <v>71</v>
      </c>
      <c r="L981" t="s">
        <v>40</v>
      </c>
      <c r="M981" t="s">
        <v>197</v>
      </c>
      <c r="N981" t="s">
        <v>198</v>
      </c>
      <c r="O981" t="s">
        <v>43</v>
      </c>
      <c r="P981" t="s">
        <v>163</v>
      </c>
      <c r="Q981">
        <v>22716.95</v>
      </c>
      <c r="R981">
        <v>20168.310000000001</v>
      </c>
      <c r="S981">
        <v>12196.5</v>
      </c>
      <c r="T981">
        <v>2542.83</v>
      </c>
      <c r="U981">
        <v>922.36</v>
      </c>
      <c r="V981">
        <v>2233.7199999999998</v>
      </c>
      <c r="W981">
        <v>427.46</v>
      </c>
      <c r="X981">
        <v>18322.87</v>
      </c>
      <c r="Y981">
        <v>10520.45</v>
      </c>
      <c r="Z981">
        <v>-7802.42</v>
      </c>
      <c r="AA981">
        <v>-0.30009999999999998</v>
      </c>
      <c r="AB981">
        <v>2548.64</v>
      </c>
      <c r="AC981">
        <v>681.51</v>
      </c>
      <c r="AD981">
        <v>3966.38</v>
      </c>
      <c r="AE981">
        <v>26001.82</v>
      </c>
    </row>
    <row r="982" spans="1:31" x14ac:dyDescent="0.25">
      <c r="A982" t="s">
        <v>1186</v>
      </c>
      <c r="B982" s="2">
        <v>46096</v>
      </c>
      <c r="C982" t="s">
        <v>125</v>
      </c>
      <c r="D982" t="s">
        <v>58</v>
      </c>
      <c r="E982">
        <v>2026</v>
      </c>
      <c r="F982" t="s">
        <v>47</v>
      </c>
      <c r="G982" t="s">
        <v>35</v>
      </c>
      <c r="H982" t="s">
        <v>78</v>
      </c>
      <c r="I982" t="s">
        <v>79</v>
      </c>
      <c r="J982" t="s">
        <v>80</v>
      </c>
      <c r="K982" t="s">
        <v>50</v>
      </c>
      <c r="L982" t="s">
        <v>40</v>
      </c>
      <c r="M982" t="s">
        <v>171</v>
      </c>
      <c r="N982" t="s">
        <v>172</v>
      </c>
      <c r="O982" t="s">
        <v>173</v>
      </c>
      <c r="P982" t="s">
        <v>174</v>
      </c>
      <c r="Q982">
        <v>33355.06</v>
      </c>
      <c r="R982">
        <v>30795.919999999998</v>
      </c>
      <c r="S982">
        <v>20992</v>
      </c>
      <c r="T982">
        <v>2901.17</v>
      </c>
      <c r="U982">
        <v>2862.49</v>
      </c>
      <c r="V982">
        <v>2379.9299999999998</v>
      </c>
      <c r="W982">
        <v>803.87</v>
      </c>
      <c r="X982">
        <v>29939.46</v>
      </c>
      <c r="Y982">
        <v>12363.05</v>
      </c>
      <c r="Z982">
        <v>-17576.41</v>
      </c>
      <c r="AA982">
        <v>-0.49530000000000002</v>
      </c>
      <c r="AB982">
        <v>2559.13</v>
      </c>
      <c r="AC982">
        <v>1667.75</v>
      </c>
      <c r="AD982">
        <v>3802.48</v>
      </c>
      <c r="AE982">
        <v>35489.78</v>
      </c>
    </row>
    <row r="983" spans="1:31" x14ac:dyDescent="0.25">
      <c r="A983" t="s">
        <v>1187</v>
      </c>
      <c r="B983" s="2">
        <v>45848</v>
      </c>
      <c r="C983" t="s">
        <v>32</v>
      </c>
      <c r="D983" t="s">
        <v>33</v>
      </c>
      <c r="E983">
        <v>2025</v>
      </c>
      <c r="F983" t="s">
        <v>34</v>
      </c>
      <c r="G983" t="s">
        <v>35</v>
      </c>
      <c r="H983" t="s">
        <v>36</v>
      </c>
      <c r="I983" t="s">
        <v>145</v>
      </c>
      <c r="J983" t="s">
        <v>100</v>
      </c>
      <c r="K983" t="s">
        <v>160</v>
      </c>
      <c r="L983" t="s">
        <v>81</v>
      </c>
      <c r="M983" t="s">
        <v>171</v>
      </c>
      <c r="N983" t="s">
        <v>172</v>
      </c>
      <c r="O983" t="s">
        <v>173</v>
      </c>
      <c r="P983" t="s">
        <v>174</v>
      </c>
      <c r="Q983">
        <v>13952.52</v>
      </c>
      <c r="R983">
        <v>12958.2</v>
      </c>
      <c r="S983">
        <v>9998.2800000000007</v>
      </c>
      <c r="T983">
        <v>1215.76</v>
      </c>
      <c r="U983">
        <v>890.57</v>
      </c>
      <c r="V983">
        <v>737.11</v>
      </c>
      <c r="W983">
        <v>280.83999999999997</v>
      </c>
      <c r="X983">
        <v>13122.56</v>
      </c>
      <c r="Y983">
        <v>3954.24</v>
      </c>
      <c r="Z983">
        <v>-9168.32</v>
      </c>
      <c r="AA983">
        <v>-0.61760000000000004</v>
      </c>
      <c r="AB983">
        <v>994.32</v>
      </c>
      <c r="AC983">
        <v>697.63</v>
      </c>
      <c r="AD983">
        <v>1590.59</v>
      </c>
      <c r="AE983">
        <v>14845.49</v>
      </c>
    </row>
    <row r="984" spans="1:31" x14ac:dyDescent="0.25">
      <c r="A984" t="s">
        <v>1188</v>
      </c>
      <c r="B984" s="2">
        <v>46084</v>
      </c>
      <c r="C984" t="s">
        <v>125</v>
      </c>
      <c r="D984" t="s">
        <v>58</v>
      </c>
      <c r="E984">
        <v>2026</v>
      </c>
      <c r="F984" t="s">
        <v>34</v>
      </c>
      <c r="G984" t="s">
        <v>35</v>
      </c>
      <c r="H984" t="s">
        <v>134</v>
      </c>
      <c r="I984" t="s">
        <v>135</v>
      </c>
      <c r="J984" t="s">
        <v>100</v>
      </c>
      <c r="K984" t="s">
        <v>50</v>
      </c>
      <c r="L984" t="s">
        <v>51</v>
      </c>
      <c r="M984" t="s">
        <v>171</v>
      </c>
      <c r="N984" t="s">
        <v>172</v>
      </c>
      <c r="O984" t="s">
        <v>173</v>
      </c>
      <c r="P984" t="s">
        <v>174</v>
      </c>
      <c r="Q984">
        <v>36252.6</v>
      </c>
      <c r="R984">
        <v>38665.75</v>
      </c>
      <c r="S984">
        <v>21717.040000000001</v>
      </c>
      <c r="T984">
        <v>2678.88</v>
      </c>
      <c r="U984">
        <v>1187.31</v>
      </c>
      <c r="V984">
        <v>2636.51</v>
      </c>
      <c r="W984">
        <v>398.71</v>
      </c>
      <c r="X984">
        <v>28618.45</v>
      </c>
      <c r="Y984">
        <v>14535.56</v>
      </c>
      <c r="Z984">
        <v>-14082.89</v>
      </c>
      <c r="AA984">
        <v>-0.35389999999999999</v>
      </c>
      <c r="AB984">
        <v>-2413.15</v>
      </c>
      <c r="AC984">
        <v>725.05</v>
      </c>
      <c r="AD984">
        <v>4263.3100000000004</v>
      </c>
      <c r="AE984">
        <v>39790.85</v>
      </c>
    </row>
    <row r="985" spans="1:31" x14ac:dyDescent="0.25">
      <c r="A985" t="s">
        <v>1189</v>
      </c>
      <c r="B985" s="2">
        <v>46009</v>
      </c>
      <c r="C985" t="s">
        <v>107</v>
      </c>
      <c r="D985" t="s">
        <v>93</v>
      </c>
      <c r="E985">
        <v>2025</v>
      </c>
      <c r="F985" t="s">
        <v>59</v>
      </c>
      <c r="G985" t="s">
        <v>35</v>
      </c>
      <c r="H985" t="s">
        <v>139</v>
      </c>
      <c r="I985" t="s">
        <v>152</v>
      </c>
      <c r="J985" t="s">
        <v>70</v>
      </c>
      <c r="K985" t="s">
        <v>160</v>
      </c>
      <c r="L985" t="s">
        <v>72</v>
      </c>
      <c r="M985" t="s">
        <v>62</v>
      </c>
      <c r="N985" t="s">
        <v>63</v>
      </c>
      <c r="O985" t="s">
        <v>54</v>
      </c>
      <c r="P985" t="s">
        <v>55</v>
      </c>
      <c r="Q985">
        <v>1803.65</v>
      </c>
      <c r="R985">
        <v>1909.64</v>
      </c>
      <c r="S985">
        <v>1088.21</v>
      </c>
      <c r="T985">
        <v>95.14</v>
      </c>
      <c r="U985">
        <v>121.67</v>
      </c>
      <c r="V985">
        <v>96.91</v>
      </c>
      <c r="W985">
        <v>76.819999999999993</v>
      </c>
      <c r="X985">
        <v>1478.76</v>
      </c>
      <c r="Y985">
        <v>715.43</v>
      </c>
      <c r="Z985">
        <v>-763.32</v>
      </c>
      <c r="AA985">
        <v>-0.3775</v>
      </c>
      <c r="AB985">
        <v>-105.99</v>
      </c>
      <c r="AC985">
        <v>90.18</v>
      </c>
      <c r="AD985">
        <v>308.42</v>
      </c>
      <c r="AE985">
        <v>2021.89</v>
      </c>
    </row>
    <row r="986" spans="1:31" x14ac:dyDescent="0.25">
      <c r="A986" t="s">
        <v>1190</v>
      </c>
      <c r="B986" s="2">
        <v>45854</v>
      </c>
      <c r="C986" t="s">
        <v>32</v>
      </c>
      <c r="D986" t="s">
        <v>33</v>
      </c>
      <c r="E986">
        <v>2025</v>
      </c>
      <c r="F986" t="s">
        <v>59</v>
      </c>
      <c r="G986" t="s">
        <v>35</v>
      </c>
      <c r="H986" t="s">
        <v>139</v>
      </c>
      <c r="I986" t="s">
        <v>200</v>
      </c>
      <c r="J986" t="s">
        <v>70</v>
      </c>
      <c r="K986" t="s">
        <v>101</v>
      </c>
      <c r="L986" t="s">
        <v>72</v>
      </c>
      <c r="M986" t="s">
        <v>52</v>
      </c>
      <c r="N986" t="s">
        <v>53</v>
      </c>
      <c r="O986" t="s">
        <v>54</v>
      </c>
      <c r="P986" t="s">
        <v>55</v>
      </c>
      <c r="Q986">
        <v>9539.2199999999993</v>
      </c>
      <c r="R986">
        <v>9471.01</v>
      </c>
      <c r="S986">
        <v>5737.84</v>
      </c>
      <c r="T986">
        <v>754.08</v>
      </c>
      <c r="U986">
        <v>397.88</v>
      </c>
      <c r="V986">
        <v>954.71</v>
      </c>
      <c r="W986">
        <v>208.79</v>
      </c>
      <c r="X986">
        <v>8053.31</v>
      </c>
      <c r="Y986">
        <v>3801.37</v>
      </c>
      <c r="Z986">
        <v>-4251.93</v>
      </c>
      <c r="AA986">
        <v>-0.4103</v>
      </c>
      <c r="AB986">
        <v>68.209999999999994</v>
      </c>
      <c r="AC986">
        <v>286.18</v>
      </c>
      <c r="AD986">
        <v>1110.3599999999999</v>
      </c>
      <c r="AE986">
        <v>10363.4</v>
      </c>
    </row>
    <row r="987" spans="1:31" x14ac:dyDescent="0.25">
      <c r="A987" t="s">
        <v>1191</v>
      </c>
      <c r="B987" s="2">
        <v>46077</v>
      </c>
      <c r="C987" t="s">
        <v>57</v>
      </c>
      <c r="D987" t="s">
        <v>58</v>
      </c>
      <c r="E987">
        <v>2026</v>
      </c>
      <c r="F987" t="s">
        <v>67</v>
      </c>
      <c r="G987" t="s">
        <v>35</v>
      </c>
      <c r="H987" t="s">
        <v>217</v>
      </c>
      <c r="I987" t="s">
        <v>241</v>
      </c>
      <c r="J987" t="s">
        <v>100</v>
      </c>
      <c r="K987" t="s">
        <v>39</v>
      </c>
      <c r="L987" t="s">
        <v>51</v>
      </c>
      <c r="M987" t="s">
        <v>62</v>
      </c>
      <c r="N987" t="s">
        <v>63</v>
      </c>
      <c r="O987" t="s">
        <v>54</v>
      </c>
      <c r="P987" t="s">
        <v>55</v>
      </c>
      <c r="Q987">
        <v>1350.58</v>
      </c>
      <c r="R987">
        <v>1203.8800000000001</v>
      </c>
      <c r="S987">
        <v>796.35</v>
      </c>
      <c r="T987">
        <v>156.76</v>
      </c>
      <c r="U987">
        <v>61.25</v>
      </c>
      <c r="V987">
        <v>95.53</v>
      </c>
      <c r="W987">
        <v>56.5</v>
      </c>
      <c r="X987">
        <v>1166.3900000000001</v>
      </c>
      <c r="Y987">
        <v>554.23</v>
      </c>
      <c r="Z987">
        <v>-612.16</v>
      </c>
      <c r="AA987">
        <v>-0.41749999999999998</v>
      </c>
      <c r="AB987">
        <v>146.71</v>
      </c>
      <c r="AC987">
        <v>108.05</v>
      </c>
      <c r="AD987">
        <v>223.66</v>
      </c>
      <c r="AE987">
        <v>1466.19</v>
      </c>
    </row>
    <row r="988" spans="1:31" x14ac:dyDescent="0.25">
      <c r="A988" t="s">
        <v>1192</v>
      </c>
      <c r="B988" s="2">
        <v>45911</v>
      </c>
      <c r="C988" t="s">
        <v>46</v>
      </c>
      <c r="D988" t="s">
        <v>33</v>
      </c>
      <c r="E988">
        <v>2025</v>
      </c>
      <c r="F988" t="s">
        <v>67</v>
      </c>
      <c r="G988" t="s">
        <v>35</v>
      </c>
      <c r="H988" t="s">
        <v>68</v>
      </c>
      <c r="I988" t="s">
        <v>260</v>
      </c>
      <c r="J988" t="s">
        <v>100</v>
      </c>
      <c r="K988" t="s">
        <v>50</v>
      </c>
      <c r="L988" t="s">
        <v>40</v>
      </c>
      <c r="M988" t="s">
        <v>130</v>
      </c>
      <c r="N988" t="s">
        <v>131</v>
      </c>
      <c r="O988" t="s">
        <v>43</v>
      </c>
      <c r="P988" t="s">
        <v>132</v>
      </c>
      <c r="Q988">
        <v>17473.13</v>
      </c>
      <c r="R988">
        <v>16325.57</v>
      </c>
      <c r="S988">
        <v>11037.35</v>
      </c>
      <c r="T988">
        <v>1734.44</v>
      </c>
      <c r="U988">
        <v>1062.3599999999999</v>
      </c>
      <c r="V988">
        <v>1049.0899999999999</v>
      </c>
      <c r="W988">
        <v>401.69</v>
      </c>
      <c r="X988">
        <v>15284.93</v>
      </c>
      <c r="Y988">
        <v>6435.78</v>
      </c>
      <c r="Z988">
        <v>-8849.15</v>
      </c>
      <c r="AA988">
        <v>-0.48230000000000001</v>
      </c>
      <c r="AB988">
        <v>1147.56</v>
      </c>
      <c r="AC988">
        <v>0</v>
      </c>
      <c r="AD988">
        <v>873.66</v>
      </c>
      <c r="AE988">
        <v>18346.78</v>
      </c>
    </row>
    <row r="989" spans="1:31" x14ac:dyDescent="0.25">
      <c r="A989" t="s">
        <v>1193</v>
      </c>
      <c r="B989" s="2">
        <v>45874</v>
      </c>
      <c r="C989" t="s">
        <v>117</v>
      </c>
      <c r="D989" t="s">
        <v>33</v>
      </c>
      <c r="E989">
        <v>2025</v>
      </c>
      <c r="F989" t="s">
        <v>85</v>
      </c>
      <c r="G989" t="s">
        <v>35</v>
      </c>
      <c r="H989" t="s">
        <v>60</v>
      </c>
      <c r="I989" t="s">
        <v>61</v>
      </c>
      <c r="J989" t="s">
        <v>70</v>
      </c>
      <c r="K989" t="s">
        <v>160</v>
      </c>
      <c r="L989" t="s">
        <v>81</v>
      </c>
      <c r="M989" t="s">
        <v>120</v>
      </c>
      <c r="N989" t="s">
        <v>121</v>
      </c>
      <c r="O989" t="s">
        <v>43</v>
      </c>
      <c r="P989" t="s">
        <v>122</v>
      </c>
      <c r="Q989">
        <v>26249.89</v>
      </c>
      <c r="R989">
        <v>28871.03</v>
      </c>
      <c r="S989">
        <v>15077.62</v>
      </c>
      <c r="T989">
        <v>2827.67</v>
      </c>
      <c r="U989">
        <v>1210.47</v>
      </c>
      <c r="V989">
        <v>2707.08</v>
      </c>
      <c r="W989">
        <v>575.86</v>
      </c>
      <c r="X989">
        <v>22398.7</v>
      </c>
      <c r="Y989">
        <v>11172.27</v>
      </c>
      <c r="Z989">
        <v>-11226.44</v>
      </c>
      <c r="AA989">
        <v>-0.36980000000000002</v>
      </c>
      <c r="AB989">
        <v>-2621.14</v>
      </c>
      <c r="AC989">
        <v>525</v>
      </c>
      <c r="AD989">
        <v>4630.4799999999996</v>
      </c>
      <c r="AE989">
        <v>30355.37</v>
      </c>
    </row>
    <row r="990" spans="1:31" x14ac:dyDescent="0.25">
      <c r="A990" t="s">
        <v>1194</v>
      </c>
      <c r="B990" s="2">
        <v>46005</v>
      </c>
      <c r="C990" t="s">
        <v>107</v>
      </c>
      <c r="D990" t="s">
        <v>93</v>
      </c>
      <c r="E990">
        <v>2025</v>
      </c>
      <c r="F990" t="s">
        <v>67</v>
      </c>
      <c r="G990" t="s">
        <v>35</v>
      </c>
      <c r="H990" t="s">
        <v>118</v>
      </c>
      <c r="I990" t="s">
        <v>209</v>
      </c>
      <c r="J990" t="s">
        <v>70</v>
      </c>
      <c r="K990" t="s">
        <v>39</v>
      </c>
      <c r="L990" t="s">
        <v>81</v>
      </c>
      <c r="M990" t="s">
        <v>88</v>
      </c>
      <c r="N990" t="s">
        <v>89</v>
      </c>
      <c r="O990" t="s">
        <v>43</v>
      </c>
      <c r="P990" t="s">
        <v>90</v>
      </c>
      <c r="Q990">
        <v>59651.87</v>
      </c>
      <c r="R990">
        <v>64951.7</v>
      </c>
      <c r="S990">
        <v>32136.98</v>
      </c>
      <c r="T990">
        <v>6079</v>
      </c>
      <c r="U990">
        <v>3892.01</v>
      </c>
      <c r="V990">
        <v>6303.26</v>
      </c>
      <c r="W990">
        <v>968.43</v>
      </c>
      <c r="X990">
        <v>49379.68</v>
      </c>
      <c r="Y990">
        <v>27514.89</v>
      </c>
      <c r="Z990">
        <v>-21864.78</v>
      </c>
      <c r="AA990">
        <v>-0.36749999999999999</v>
      </c>
      <c r="AB990">
        <v>-5299.83</v>
      </c>
      <c r="AC990">
        <v>2982.59</v>
      </c>
      <c r="AD990">
        <v>2833.46</v>
      </c>
      <c r="AE990">
        <v>59502.74</v>
      </c>
    </row>
    <row r="991" spans="1:31" x14ac:dyDescent="0.25">
      <c r="A991" t="s">
        <v>1195</v>
      </c>
      <c r="B991" s="2">
        <v>46015</v>
      </c>
      <c r="C991" t="s">
        <v>107</v>
      </c>
      <c r="D991" t="s">
        <v>93</v>
      </c>
      <c r="E991">
        <v>2025</v>
      </c>
      <c r="F991" t="s">
        <v>85</v>
      </c>
      <c r="G991" t="s">
        <v>35</v>
      </c>
      <c r="H991" t="s">
        <v>86</v>
      </c>
      <c r="I991" t="s">
        <v>87</v>
      </c>
      <c r="J991" t="s">
        <v>70</v>
      </c>
      <c r="K991" t="s">
        <v>39</v>
      </c>
      <c r="L991" t="s">
        <v>81</v>
      </c>
      <c r="M991" t="s">
        <v>120</v>
      </c>
      <c r="N991" t="s">
        <v>121</v>
      </c>
      <c r="O991" t="s">
        <v>43</v>
      </c>
      <c r="P991" t="s">
        <v>122</v>
      </c>
      <c r="Q991">
        <v>39263.89</v>
      </c>
      <c r="R991">
        <v>45144.98</v>
      </c>
      <c r="S991">
        <v>25693.27</v>
      </c>
      <c r="T991">
        <v>4196.6000000000004</v>
      </c>
      <c r="U991">
        <v>1956.44</v>
      </c>
      <c r="V991">
        <v>4433.46</v>
      </c>
      <c r="W991">
        <v>773.75</v>
      </c>
      <c r="X991">
        <v>37053.519999999997</v>
      </c>
      <c r="Y991">
        <v>13570.62</v>
      </c>
      <c r="Z991">
        <v>-23482.9</v>
      </c>
      <c r="AA991">
        <v>-0.54490000000000005</v>
      </c>
      <c r="AB991">
        <v>-5881.09</v>
      </c>
      <c r="AC991">
        <v>785.28</v>
      </c>
      <c r="AD991">
        <v>4617.43</v>
      </c>
      <c r="AE991">
        <v>43096.04</v>
      </c>
    </row>
    <row r="992" spans="1:31" x14ac:dyDescent="0.25">
      <c r="A992" t="s">
        <v>1196</v>
      </c>
      <c r="B992" s="2">
        <v>46091</v>
      </c>
      <c r="C992" t="s">
        <v>125</v>
      </c>
      <c r="D992" t="s">
        <v>58</v>
      </c>
      <c r="E992">
        <v>2026</v>
      </c>
      <c r="F992" t="s">
        <v>34</v>
      </c>
      <c r="G992" t="s">
        <v>35</v>
      </c>
      <c r="H992" t="s">
        <v>157</v>
      </c>
      <c r="I992" t="s">
        <v>166</v>
      </c>
      <c r="J992" t="s">
        <v>80</v>
      </c>
      <c r="K992" t="s">
        <v>71</v>
      </c>
      <c r="L992" t="s">
        <v>72</v>
      </c>
      <c r="M992" t="s">
        <v>211</v>
      </c>
      <c r="N992" t="s">
        <v>212</v>
      </c>
      <c r="O992" t="s">
        <v>112</v>
      </c>
      <c r="P992" t="s">
        <v>113</v>
      </c>
      <c r="Q992">
        <v>21249.9</v>
      </c>
      <c r="R992">
        <v>19781.02</v>
      </c>
      <c r="S992">
        <v>14600.21</v>
      </c>
      <c r="T992">
        <v>1909.34</v>
      </c>
      <c r="U992">
        <v>870.95</v>
      </c>
      <c r="V992">
        <v>2020.83</v>
      </c>
      <c r="W992">
        <v>875.83</v>
      </c>
      <c r="X992">
        <v>20277.16</v>
      </c>
      <c r="Y992">
        <v>6649.69</v>
      </c>
      <c r="Z992">
        <v>-13627.47</v>
      </c>
      <c r="AA992">
        <v>-0.60270000000000001</v>
      </c>
      <c r="AB992">
        <v>1468.88</v>
      </c>
      <c r="AC992">
        <v>1062.5</v>
      </c>
      <c r="AD992">
        <v>2422.4899999999998</v>
      </c>
      <c r="AE992">
        <v>22609.89</v>
      </c>
    </row>
    <row r="993" spans="1:31" x14ac:dyDescent="0.25">
      <c r="A993" t="s">
        <v>1197</v>
      </c>
      <c r="B993" s="2">
        <v>45834</v>
      </c>
      <c r="C993" t="s">
        <v>156</v>
      </c>
      <c r="D993" t="s">
        <v>66</v>
      </c>
      <c r="E993">
        <v>2025</v>
      </c>
      <c r="F993" t="s">
        <v>85</v>
      </c>
      <c r="G993" t="s">
        <v>35</v>
      </c>
      <c r="H993" t="s">
        <v>60</v>
      </c>
      <c r="I993" t="s">
        <v>108</v>
      </c>
      <c r="J993" t="s">
        <v>38</v>
      </c>
      <c r="K993" t="s">
        <v>50</v>
      </c>
      <c r="L993" t="s">
        <v>81</v>
      </c>
      <c r="M993" t="s">
        <v>102</v>
      </c>
      <c r="N993" t="s">
        <v>103</v>
      </c>
      <c r="O993" t="s">
        <v>104</v>
      </c>
      <c r="P993" t="s">
        <v>105</v>
      </c>
      <c r="Q993">
        <v>10423.24</v>
      </c>
      <c r="R993">
        <v>11014.86</v>
      </c>
      <c r="S993">
        <v>6809.1</v>
      </c>
      <c r="T993">
        <v>1166.17</v>
      </c>
      <c r="U993">
        <v>362.08</v>
      </c>
      <c r="V993">
        <v>787.3</v>
      </c>
      <c r="W993">
        <v>168.75</v>
      </c>
      <c r="X993">
        <v>9293.4</v>
      </c>
      <c r="Y993">
        <v>3614.13</v>
      </c>
      <c r="Z993">
        <v>-5679.27</v>
      </c>
      <c r="AA993">
        <v>-0.54620000000000002</v>
      </c>
      <c r="AB993">
        <v>-591.63</v>
      </c>
      <c r="AC993">
        <v>521.16</v>
      </c>
      <c r="AD993">
        <v>495.1</v>
      </c>
      <c r="AE993">
        <v>10397.18</v>
      </c>
    </row>
    <row r="994" spans="1:31" x14ac:dyDescent="0.25">
      <c r="A994" t="s">
        <v>1198</v>
      </c>
      <c r="B994" s="2">
        <v>46034</v>
      </c>
      <c r="C994" t="s">
        <v>77</v>
      </c>
      <c r="D994" t="s">
        <v>58</v>
      </c>
      <c r="E994">
        <v>2026</v>
      </c>
      <c r="F994" t="s">
        <v>47</v>
      </c>
      <c r="G994" t="s">
        <v>35</v>
      </c>
      <c r="H994" t="s">
        <v>206</v>
      </c>
      <c r="I994" t="s">
        <v>296</v>
      </c>
      <c r="J994" t="s">
        <v>80</v>
      </c>
      <c r="K994" t="s">
        <v>50</v>
      </c>
      <c r="L994" t="s">
        <v>81</v>
      </c>
      <c r="M994" t="s">
        <v>102</v>
      </c>
      <c r="N994" t="s">
        <v>103</v>
      </c>
      <c r="O994" t="s">
        <v>104</v>
      </c>
      <c r="P994" t="s">
        <v>105</v>
      </c>
      <c r="Q994">
        <v>16410.79</v>
      </c>
      <c r="R994">
        <v>16372.7</v>
      </c>
      <c r="S994">
        <v>9606.26</v>
      </c>
      <c r="T994">
        <v>1866.97</v>
      </c>
      <c r="U994">
        <v>510.15</v>
      </c>
      <c r="V994">
        <v>895.78</v>
      </c>
      <c r="W994">
        <v>723.46</v>
      </c>
      <c r="X994">
        <v>13602.63</v>
      </c>
      <c r="Y994">
        <v>6804.53</v>
      </c>
      <c r="Z994">
        <v>-6798.1</v>
      </c>
      <c r="AA994">
        <v>-0.40670000000000001</v>
      </c>
      <c r="AB994">
        <v>38.1</v>
      </c>
      <c r="AC994">
        <v>492.32</v>
      </c>
      <c r="AD994">
        <v>795.92</v>
      </c>
      <c r="AE994">
        <v>16714.39</v>
      </c>
    </row>
    <row r="995" spans="1:31" x14ac:dyDescent="0.25">
      <c r="A995" t="s">
        <v>1199</v>
      </c>
      <c r="B995" s="2">
        <v>45971</v>
      </c>
      <c r="C995" t="s">
        <v>147</v>
      </c>
      <c r="D995" t="s">
        <v>93</v>
      </c>
      <c r="E995">
        <v>2025</v>
      </c>
      <c r="F995" t="s">
        <v>47</v>
      </c>
      <c r="G995" t="s">
        <v>35</v>
      </c>
      <c r="H995" t="s">
        <v>48</v>
      </c>
      <c r="I995" t="s">
        <v>126</v>
      </c>
      <c r="J995" t="s">
        <v>100</v>
      </c>
      <c r="K995" t="s">
        <v>101</v>
      </c>
      <c r="L995" t="s">
        <v>51</v>
      </c>
      <c r="M995" t="s">
        <v>102</v>
      </c>
      <c r="N995" t="s">
        <v>103</v>
      </c>
      <c r="O995" t="s">
        <v>104</v>
      </c>
      <c r="P995" t="s">
        <v>105</v>
      </c>
      <c r="Q995">
        <v>22013.01</v>
      </c>
      <c r="R995">
        <v>19435.28</v>
      </c>
      <c r="S995">
        <v>10953.58</v>
      </c>
      <c r="T995">
        <v>1494.02</v>
      </c>
      <c r="U995">
        <v>597.95000000000005</v>
      </c>
      <c r="V995">
        <v>1766.05</v>
      </c>
      <c r="W995">
        <v>462.12</v>
      </c>
      <c r="X995">
        <v>15273.72</v>
      </c>
      <c r="Y995">
        <v>11059.42</v>
      </c>
      <c r="Z995">
        <v>-4214.3</v>
      </c>
      <c r="AA995">
        <v>-0.1656</v>
      </c>
      <c r="AB995">
        <v>2577.73</v>
      </c>
      <c r="AC995">
        <v>440.26</v>
      </c>
      <c r="AD995">
        <v>3883.09</v>
      </c>
      <c r="AE995">
        <v>25455.84</v>
      </c>
    </row>
    <row r="996" spans="1:31" x14ac:dyDescent="0.25">
      <c r="A996" t="s">
        <v>1200</v>
      </c>
      <c r="B996" s="2">
        <v>45764</v>
      </c>
      <c r="C996" t="s">
        <v>128</v>
      </c>
      <c r="D996" t="s">
        <v>66</v>
      </c>
      <c r="E996">
        <v>2025</v>
      </c>
      <c r="F996" t="s">
        <v>67</v>
      </c>
      <c r="G996" t="s">
        <v>35</v>
      </c>
      <c r="H996" t="s">
        <v>68</v>
      </c>
      <c r="I996" t="s">
        <v>260</v>
      </c>
      <c r="J996" t="s">
        <v>70</v>
      </c>
      <c r="K996" t="s">
        <v>39</v>
      </c>
      <c r="L996" t="s">
        <v>81</v>
      </c>
      <c r="M996" t="s">
        <v>110</v>
      </c>
      <c r="N996" t="s">
        <v>111</v>
      </c>
      <c r="O996" t="s">
        <v>112</v>
      </c>
      <c r="P996" t="s">
        <v>113</v>
      </c>
      <c r="Q996">
        <v>9264.2199999999993</v>
      </c>
      <c r="R996">
        <v>10527.19</v>
      </c>
      <c r="S996">
        <v>5754.14</v>
      </c>
      <c r="T996">
        <v>668.41</v>
      </c>
      <c r="U996">
        <v>471.08</v>
      </c>
      <c r="V996">
        <v>874.74</v>
      </c>
      <c r="W996">
        <v>381.49</v>
      </c>
      <c r="X996">
        <v>8149.85</v>
      </c>
      <c r="Y996">
        <v>3510.09</v>
      </c>
      <c r="Z996">
        <v>-4639.7700000000004</v>
      </c>
      <c r="AA996">
        <v>-0.47699999999999998</v>
      </c>
      <c r="AB996">
        <v>-1262.96</v>
      </c>
      <c r="AC996">
        <v>0</v>
      </c>
      <c r="AD996">
        <v>463.21</v>
      </c>
      <c r="AE996">
        <v>9727.43</v>
      </c>
    </row>
    <row r="997" spans="1:31" x14ac:dyDescent="0.25">
      <c r="A997" t="s">
        <v>1201</v>
      </c>
      <c r="B997" s="2">
        <v>46109</v>
      </c>
      <c r="C997" t="s">
        <v>125</v>
      </c>
      <c r="D997" t="s">
        <v>58</v>
      </c>
      <c r="E997">
        <v>2026</v>
      </c>
      <c r="F997" t="s">
        <v>47</v>
      </c>
      <c r="G997" t="s">
        <v>35</v>
      </c>
      <c r="H997" t="s">
        <v>78</v>
      </c>
      <c r="I997" t="s">
        <v>115</v>
      </c>
      <c r="J997" t="s">
        <v>38</v>
      </c>
      <c r="K997" t="s">
        <v>50</v>
      </c>
      <c r="L997" t="s">
        <v>81</v>
      </c>
      <c r="M997" t="s">
        <v>130</v>
      </c>
      <c r="N997" t="s">
        <v>131</v>
      </c>
      <c r="O997" t="s">
        <v>43</v>
      </c>
      <c r="P997" t="s">
        <v>132</v>
      </c>
      <c r="Q997">
        <v>42585.33</v>
      </c>
      <c r="R997">
        <v>40587.910000000003</v>
      </c>
      <c r="S997">
        <v>30221.71</v>
      </c>
      <c r="T997">
        <v>3702.45</v>
      </c>
      <c r="U997">
        <v>1146.0899999999999</v>
      </c>
      <c r="V997">
        <v>2861.2</v>
      </c>
      <c r="W997">
        <v>1297.03</v>
      </c>
      <c r="X997">
        <v>39228.47</v>
      </c>
      <c r="Y997">
        <v>12363.62</v>
      </c>
      <c r="Z997">
        <v>-26864.86</v>
      </c>
      <c r="AA997">
        <v>-0.61309999999999998</v>
      </c>
      <c r="AB997">
        <v>1997.41</v>
      </c>
      <c r="AC997">
        <v>851.71</v>
      </c>
      <c r="AD997">
        <v>2086.6799999999998</v>
      </c>
      <c r="AE997">
        <v>43820.3</v>
      </c>
    </row>
    <row r="998" spans="1:31" x14ac:dyDescent="0.25">
      <c r="A998" t="s">
        <v>1202</v>
      </c>
      <c r="B998" s="2">
        <v>45770</v>
      </c>
      <c r="C998" t="s">
        <v>128</v>
      </c>
      <c r="D998" t="s">
        <v>66</v>
      </c>
      <c r="E998">
        <v>2025</v>
      </c>
      <c r="F998" t="s">
        <v>34</v>
      </c>
      <c r="G998" t="s">
        <v>35</v>
      </c>
      <c r="H998" t="s">
        <v>98</v>
      </c>
      <c r="I998" t="s">
        <v>99</v>
      </c>
      <c r="J998" t="s">
        <v>100</v>
      </c>
      <c r="K998" t="s">
        <v>160</v>
      </c>
      <c r="L998" t="s">
        <v>81</v>
      </c>
      <c r="M998" t="s">
        <v>41</v>
      </c>
      <c r="N998" t="s">
        <v>42</v>
      </c>
      <c r="O998" t="s">
        <v>43</v>
      </c>
      <c r="P998" t="s">
        <v>44</v>
      </c>
      <c r="Q998">
        <v>29317.69</v>
      </c>
      <c r="R998">
        <v>25928.23</v>
      </c>
      <c r="S998">
        <v>20259.62</v>
      </c>
      <c r="T998">
        <v>1828.42</v>
      </c>
      <c r="U998">
        <v>2374.61</v>
      </c>
      <c r="V998">
        <v>1945.26</v>
      </c>
      <c r="W998">
        <v>670.93</v>
      </c>
      <c r="X998">
        <v>27078.83</v>
      </c>
      <c r="Y998">
        <v>9058.08</v>
      </c>
      <c r="Z998">
        <v>-18020.759999999998</v>
      </c>
      <c r="AA998">
        <v>-0.54879999999999995</v>
      </c>
      <c r="AB998">
        <v>3389.46</v>
      </c>
      <c r="AC998">
        <v>0</v>
      </c>
      <c r="AD998">
        <v>3518.12</v>
      </c>
      <c r="AE998">
        <v>32835.82</v>
      </c>
    </row>
    <row r="999" spans="1:31" x14ac:dyDescent="0.25">
      <c r="A999" t="s">
        <v>1203</v>
      </c>
      <c r="B999" s="2">
        <v>46109</v>
      </c>
      <c r="C999" t="s">
        <v>125</v>
      </c>
      <c r="D999" t="s">
        <v>58</v>
      </c>
      <c r="E999">
        <v>2026</v>
      </c>
      <c r="F999" t="s">
        <v>59</v>
      </c>
      <c r="G999" t="s">
        <v>35</v>
      </c>
      <c r="H999" t="s">
        <v>254</v>
      </c>
      <c r="I999" t="s">
        <v>314</v>
      </c>
      <c r="J999" t="s">
        <v>80</v>
      </c>
      <c r="K999" t="s">
        <v>50</v>
      </c>
      <c r="L999" t="s">
        <v>94</v>
      </c>
      <c r="M999" t="s">
        <v>95</v>
      </c>
      <c r="N999" t="s">
        <v>96</v>
      </c>
      <c r="O999" t="s">
        <v>43</v>
      </c>
      <c r="P999" t="s">
        <v>90</v>
      </c>
      <c r="Q999">
        <v>52298.9</v>
      </c>
      <c r="R999">
        <v>57668.25</v>
      </c>
      <c r="S999">
        <v>33739.58</v>
      </c>
      <c r="T999">
        <v>4024.62</v>
      </c>
      <c r="U999">
        <v>1687.28</v>
      </c>
      <c r="V999">
        <v>3270.63</v>
      </c>
      <c r="W999">
        <v>907.93</v>
      </c>
      <c r="X999">
        <v>43630.04</v>
      </c>
      <c r="Y999">
        <v>18559.32</v>
      </c>
      <c r="Z999">
        <v>-25070.73</v>
      </c>
      <c r="AA999">
        <v>-0.45650000000000002</v>
      </c>
      <c r="AB999">
        <v>-5369.35</v>
      </c>
      <c r="AC999">
        <v>0</v>
      </c>
      <c r="AD999">
        <v>2614.94</v>
      </c>
      <c r="AE999">
        <v>54913.84</v>
      </c>
    </row>
    <row r="1000" spans="1:31" x14ac:dyDescent="0.25">
      <c r="A1000" t="s">
        <v>1204</v>
      </c>
      <c r="B1000" s="2">
        <v>45929</v>
      </c>
      <c r="C1000" t="s">
        <v>46</v>
      </c>
      <c r="D1000" t="s">
        <v>33</v>
      </c>
      <c r="E1000">
        <v>2025</v>
      </c>
      <c r="F1000" t="s">
        <v>67</v>
      </c>
      <c r="G1000" t="s">
        <v>35</v>
      </c>
      <c r="H1000" t="s">
        <v>68</v>
      </c>
      <c r="I1000" t="s">
        <v>69</v>
      </c>
      <c r="J1000" t="s">
        <v>70</v>
      </c>
      <c r="K1000" t="s">
        <v>50</v>
      </c>
      <c r="L1000" t="s">
        <v>72</v>
      </c>
      <c r="M1000" t="s">
        <v>82</v>
      </c>
      <c r="N1000" t="s">
        <v>83</v>
      </c>
      <c r="O1000" t="s">
        <v>43</v>
      </c>
      <c r="P1000" t="s">
        <v>75</v>
      </c>
      <c r="Q1000">
        <v>36351.79</v>
      </c>
      <c r="R1000">
        <v>32907.5</v>
      </c>
      <c r="S1000">
        <v>19295.57</v>
      </c>
      <c r="T1000">
        <v>2052.34</v>
      </c>
      <c r="U1000">
        <v>3225.31</v>
      </c>
      <c r="V1000">
        <v>4124.95</v>
      </c>
      <c r="W1000">
        <v>1275.3</v>
      </c>
      <c r="X1000">
        <v>29973.47</v>
      </c>
      <c r="Y1000">
        <v>17056.22</v>
      </c>
      <c r="Z1000">
        <v>-12917.25</v>
      </c>
      <c r="AA1000">
        <v>-0.34889999999999999</v>
      </c>
      <c r="AB1000">
        <v>3444.29</v>
      </c>
      <c r="AC1000">
        <v>1090.55</v>
      </c>
      <c r="AD1000">
        <v>1763.06</v>
      </c>
      <c r="AE1000">
        <v>37024.300000000003</v>
      </c>
    </row>
    <row r="1001" spans="1:31" x14ac:dyDescent="0.25">
      <c r="A1001" t="s">
        <v>1205</v>
      </c>
      <c r="B1001" s="2">
        <v>46000</v>
      </c>
      <c r="C1001" t="s">
        <v>107</v>
      </c>
      <c r="D1001" t="s">
        <v>93</v>
      </c>
      <c r="E1001">
        <v>2025</v>
      </c>
      <c r="F1001" t="s">
        <v>34</v>
      </c>
      <c r="G1001" t="s">
        <v>35</v>
      </c>
      <c r="H1001" t="s">
        <v>98</v>
      </c>
      <c r="I1001" t="s">
        <v>149</v>
      </c>
      <c r="J1001" t="s">
        <v>80</v>
      </c>
      <c r="K1001" t="s">
        <v>101</v>
      </c>
      <c r="L1001" t="s">
        <v>51</v>
      </c>
      <c r="M1001" t="s">
        <v>171</v>
      </c>
      <c r="N1001" t="s">
        <v>172</v>
      </c>
      <c r="O1001" t="s">
        <v>173</v>
      </c>
      <c r="P1001" t="s">
        <v>174</v>
      </c>
      <c r="Q1001">
        <v>34733.42</v>
      </c>
      <c r="R1001">
        <v>30619.73</v>
      </c>
      <c r="S1001">
        <v>24454.69</v>
      </c>
      <c r="T1001">
        <v>3158</v>
      </c>
      <c r="U1001">
        <v>2450.36</v>
      </c>
      <c r="V1001">
        <v>3766.84</v>
      </c>
      <c r="W1001">
        <v>915.18</v>
      </c>
      <c r="X1001">
        <v>34745.07</v>
      </c>
      <c r="Y1001">
        <v>10278.73</v>
      </c>
      <c r="Z1001">
        <v>-24466.34</v>
      </c>
      <c r="AA1001">
        <v>-0.72919999999999996</v>
      </c>
      <c r="AB1001">
        <v>4113.7</v>
      </c>
      <c r="AC1001">
        <v>2778.67</v>
      </c>
      <c r="AD1001">
        <v>1597.74</v>
      </c>
      <c r="AE1001">
        <v>33552.49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B393E-FC67-448C-9F79-9E897D7D31FF}">
  <dimension ref="A1:AN1001"/>
  <sheetViews>
    <sheetView workbookViewId="0"/>
  </sheetViews>
  <sheetFormatPr defaultRowHeight="15" x14ac:dyDescent="0.25"/>
  <cols>
    <col min="1" max="1" width="18.140625" style="3" bestFit="1" customWidth="1"/>
    <col min="2" max="2" width="18.28515625" customWidth="1"/>
    <col min="3" max="3" width="11.5703125" customWidth="1"/>
    <col min="4" max="4" width="12.42578125" style="3" customWidth="1"/>
    <col min="5" max="5" width="9.5703125" style="3" customWidth="1"/>
    <col min="6" max="6" width="11.7109375" style="8" customWidth="1"/>
    <col min="7" max="7" width="12.5703125" style="3" customWidth="1"/>
    <col min="8" max="8" width="15.85546875" customWidth="1"/>
    <col min="9" max="9" width="20" customWidth="1"/>
    <col min="10" max="10" width="11.5703125" style="3" customWidth="1"/>
    <col min="11" max="11" width="16.28515625" customWidth="1"/>
    <col min="12" max="12" width="15.85546875" style="3" customWidth="1"/>
    <col min="13" max="13" width="14.7109375" style="3" customWidth="1"/>
    <col min="14" max="14" width="19.140625" customWidth="1"/>
    <col min="15" max="15" width="13.42578125" customWidth="1"/>
    <col min="16" max="16" width="20.85546875" customWidth="1"/>
    <col min="17" max="17" width="13.42578125" style="3" customWidth="1"/>
    <col min="18" max="18" width="20.28515625" style="3" customWidth="1"/>
    <col min="19" max="19" width="10.5703125" style="3" customWidth="1"/>
    <col min="20" max="20" width="22.5703125" style="3" customWidth="1"/>
    <col min="21" max="21" width="22.85546875" style="3" customWidth="1"/>
    <col min="22" max="22" width="18.85546875" style="3" customWidth="1"/>
    <col min="23" max="23" width="17.7109375" style="3" customWidth="1"/>
    <col min="24" max="24" width="18" style="3" customWidth="1"/>
    <col min="25" max="25" width="16" style="3" customWidth="1"/>
    <col min="26" max="26" width="14.28515625" style="3" customWidth="1"/>
    <col min="27" max="27" width="19.42578125" style="3" customWidth="1"/>
    <col min="28" max="28" width="20.140625" style="3" customWidth="1"/>
    <col min="29" max="29" width="13.28515625" style="3" customWidth="1"/>
    <col min="30" max="30" width="9" style="3" customWidth="1"/>
    <col min="31" max="31" width="17.140625" style="3" customWidth="1"/>
    <col min="32" max="32" width="20" customWidth="1"/>
    <col min="33" max="33" width="15.85546875" customWidth="1"/>
    <col min="34" max="34" width="22" customWidth="1"/>
    <col min="35" max="35" width="23.85546875" customWidth="1"/>
    <col min="36" max="36" width="21.42578125" style="3" customWidth="1"/>
    <col min="38" max="38" width="28" customWidth="1"/>
    <col min="39" max="39" width="12.140625" style="3" bestFit="1" customWidth="1"/>
    <col min="40" max="40" width="9.140625" style="3"/>
    <col min="46" max="46" width="24.140625" bestFit="1" customWidth="1"/>
  </cols>
  <sheetData>
    <row r="1" spans="1:40" x14ac:dyDescent="0.25">
      <c r="A1" s="6" t="s">
        <v>0</v>
      </c>
      <c r="B1" s="6" t="s">
        <v>1</v>
      </c>
      <c r="C1" s="6" t="s">
        <v>2</v>
      </c>
      <c r="D1" s="6" t="s">
        <v>3</v>
      </c>
      <c r="E1" s="6" t="s">
        <v>4</v>
      </c>
      <c r="F1" s="7"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1211</v>
      </c>
      <c r="AG1" s="6" t="s">
        <v>1212</v>
      </c>
      <c r="AH1" s="6" t="s">
        <v>1213</v>
      </c>
      <c r="AI1" s="6" t="s">
        <v>1214</v>
      </c>
      <c r="AJ1" s="6" t="s">
        <v>1215</v>
      </c>
      <c r="AL1" s="53" t="s">
        <v>1216</v>
      </c>
      <c r="AM1" s="9"/>
      <c r="AN1" s="9"/>
    </row>
    <row r="2" spans="1:40" x14ac:dyDescent="0.25">
      <c r="A2" s="3" t="s">
        <v>31</v>
      </c>
      <c r="B2" s="2">
        <v>45850</v>
      </c>
      <c r="C2" t="s">
        <v>32</v>
      </c>
      <c r="D2" s="3" t="str">
        <f t="shared" ref="D2:D65" si="0">"Q"&amp;INT(MOD(MONTH(B2)-4,12)/3)+1</f>
        <v>Q2</v>
      </c>
      <c r="E2" s="3" t="str">
        <f t="shared" ref="E2:E65" si="1">"FY"&amp; (YEAR(B2)+(MONTH(B2)&gt;=4))</f>
        <v>FY2026</v>
      </c>
      <c r="F2" s="8" t="s">
        <v>34</v>
      </c>
      <c r="G2" s="3" t="s">
        <v>35</v>
      </c>
      <c r="H2" t="s">
        <v>36</v>
      </c>
      <c r="I2" t="s">
        <v>37</v>
      </c>
      <c r="J2" s="3" t="s">
        <v>38</v>
      </c>
      <c r="K2" t="s">
        <v>39</v>
      </c>
      <c r="L2" s="3" t="s">
        <v>40</v>
      </c>
      <c r="M2" s="3" t="s">
        <v>41</v>
      </c>
      <c r="N2" t="s">
        <v>42</v>
      </c>
      <c r="O2" t="s">
        <v>43</v>
      </c>
      <c r="P2" t="s">
        <v>44</v>
      </c>
      <c r="Q2" s="3">
        <v>23278.76</v>
      </c>
      <c r="R2" s="3">
        <v>22815.81</v>
      </c>
      <c r="S2" s="3">
        <v>11971.99</v>
      </c>
      <c r="T2" s="3">
        <v>2376.09</v>
      </c>
      <c r="U2" s="3">
        <v>667.33</v>
      </c>
      <c r="V2" s="3">
        <v>2275.73</v>
      </c>
      <c r="W2" s="3">
        <v>997.48</v>
      </c>
      <c r="X2" s="3">
        <v>18288.61</v>
      </c>
      <c r="Y2" s="3">
        <v>11306.77</v>
      </c>
      <c r="Z2" s="3">
        <f>Q2-X2</f>
        <v>4990.1499999999978</v>
      </c>
      <c r="AA2" s="37">
        <f>Z2/Q2</f>
        <v>0.21436494040060544</v>
      </c>
      <c r="AB2" s="3">
        <v>462.95</v>
      </c>
      <c r="AC2" s="3">
        <v>0</v>
      </c>
      <c r="AD2" s="3">
        <v>4190.18</v>
      </c>
      <c r="AE2" s="3">
        <v>27468.94</v>
      </c>
      <c r="AF2" t="str">
        <f>IF(tbl_FinancialData[[#This Row],[City]]="","Unknown",PROPER(TRIM(tbl_FinancialData[[#This Row],[City]])))</f>
        <v>Vasco Da Gama</v>
      </c>
      <c r="AG2" t="str">
        <f>_xlfn.LET(_xlpm.city,LOWER(TRIM(tbl_FinancialData[[#This Row],[City]])),_xlpm.st,PROPER(TRIM(tbl_FinancialData[[#This Row],[State]])),IF(_xlpm.city="pune","Maharashtra",IF(_xlpm.city="jamshedpur","Jharkhand",IF(_xlpm.city="bhilai","Chhattisgarh",IF(_xlpm.city="mumbai","Maharashtra",_xlpm.st)))))</f>
        <v>Goa</v>
      </c>
      <c r="AH2" t="str">
        <f>_xlfn.LET(_xlpm.d,PROPER(TRIM(tbl_FinancialData[[#This Row],[Department]])),IF(_xlpm.d="It","IT",_xlpm.d))</f>
        <v>Operations</v>
      </c>
      <c r="AI2" t="str">
        <f>_xlfn.LET(_xlpm.pid,tbl_FinancialData[[#This Row],[Product ID]],_xlpm.n,PROPER(TRIM(tbl_FinancialData[[#This Row],[Product Name]])),IF(_xlpm.pid="P020","Document Scanner",IF(_xlpm.pid="P015","Network Router",SUBSTITUTE(SUBSTITUTE(_xlpm.n,"Crm","CRM"),"Ups","UPS"))))</f>
        <v>Conference Camera</v>
      </c>
      <c r="AJ2" s="3" t="str">
        <f>UPPER(TRIM(tbl_FinancialData[[#This Row],[Cost Center]]))</f>
        <v>CC-1002</v>
      </c>
    </row>
    <row r="3" spans="1:40" x14ac:dyDescent="0.25">
      <c r="A3" s="3" t="s">
        <v>45</v>
      </c>
      <c r="B3" s="2">
        <v>45908</v>
      </c>
      <c r="C3" t="s">
        <v>46</v>
      </c>
      <c r="D3" s="3" t="str">
        <f t="shared" si="0"/>
        <v>Q2</v>
      </c>
      <c r="E3" s="3" t="str">
        <f t="shared" si="1"/>
        <v>FY2026</v>
      </c>
      <c r="F3" s="8" t="s">
        <v>47</v>
      </c>
      <c r="G3" s="3" t="s">
        <v>35</v>
      </c>
      <c r="H3" t="s">
        <v>48</v>
      </c>
      <c r="I3" t="s">
        <v>49</v>
      </c>
      <c r="J3" s="3" t="s">
        <v>38</v>
      </c>
      <c r="K3" t="s">
        <v>50</v>
      </c>
      <c r="L3" s="3" t="s">
        <v>51</v>
      </c>
      <c r="M3" s="3" t="s">
        <v>52</v>
      </c>
      <c r="N3" t="s">
        <v>53</v>
      </c>
      <c r="O3" t="s">
        <v>54</v>
      </c>
      <c r="P3" t="s">
        <v>55</v>
      </c>
      <c r="Q3" s="3">
        <v>2086.7600000000002</v>
      </c>
      <c r="R3" s="3">
        <v>1982.07</v>
      </c>
      <c r="S3" s="3">
        <v>1047.02</v>
      </c>
      <c r="T3" s="3">
        <v>207.57</v>
      </c>
      <c r="U3" s="3">
        <v>104.05</v>
      </c>
      <c r="V3" s="3">
        <v>247.61</v>
      </c>
      <c r="W3" s="3">
        <v>54.96</v>
      </c>
      <c r="X3" s="3">
        <v>1661.21</v>
      </c>
      <c r="Y3" s="3">
        <v>1039.74</v>
      </c>
      <c r="Z3" s="3">
        <f t="shared" ref="Z3:Z66" si="2">Q3-X3</f>
        <v>425.55000000000018</v>
      </c>
      <c r="AA3" s="37">
        <f t="shared" ref="AA3:AA66" si="3">Z3/Q3</f>
        <v>0.20392857827445424</v>
      </c>
      <c r="AB3" s="3">
        <v>104.69</v>
      </c>
      <c r="AC3" s="3">
        <v>166.94</v>
      </c>
      <c r="AD3" s="3">
        <v>345.57</v>
      </c>
      <c r="AE3" s="3">
        <v>2265.39</v>
      </c>
      <c r="AF3" t="str">
        <f>IF(tbl_FinancialData[[#This Row],[City]]="","Unknown",PROPER(TRIM(tbl_FinancialData[[#This Row],[City]])))</f>
        <v>Chennai</v>
      </c>
      <c r="AG3" t="str">
        <f>_xlfn.LET(_xlpm.city,LOWER(TRIM(tbl_FinancialData[[#This Row],[City]])),_xlpm.st,PROPER(TRIM(tbl_FinancialData[[#This Row],[State]])),IF(_xlpm.city="pune","Maharashtra",IF(_xlpm.city="jamshedpur","Jharkhand",IF(_xlpm.city="bhilai","Chhattisgarh",IF(_xlpm.city="mumbai","Maharashtra",_xlpm.st)))))</f>
        <v>Tamil Nadu</v>
      </c>
      <c r="AH3" t="str">
        <f>_xlfn.LET(_xlpm.d,PROPER(TRIM(tbl_FinancialData[[#This Row],[Department]])),IF(_xlpm.d="It","IT",_xlpm.d))</f>
        <v>Sales</v>
      </c>
      <c r="AI3" t="str">
        <f>_xlfn.LET(_xlpm.pid,tbl_FinancialData[[#This Row],[Product ID]],_xlpm.n,PROPER(TRIM(tbl_FinancialData[[#This Row],[Product Name]])),IF(_xlpm.pid="P020","Document Scanner",IF(_xlpm.pid="P015","Network Router",SUBSTITUTE(SUBSTITUTE(_xlpm.n,"Crm","CRM"),"Ups","UPS"))))</f>
        <v>Mouse</v>
      </c>
      <c r="AJ3" s="3" t="str">
        <f>UPPER(TRIM(tbl_FinancialData[[#This Row],[Cost Center]]))</f>
        <v>CC-1003</v>
      </c>
      <c r="AL3" s="54" t="s">
        <v>1219</v>
      </c>
      <c r="AM3" s="55" t="s">
        <v>1220</v>
      </c>
      <c r="AN3" s="55" t="s">
        <v>1221</v>
      </c>
    </row>
    <row r="4" spans="1:40" x14ac:dyDescent="0.25">
      <c r="A4" s="3" t="s">
        <v>56</v>
      </c>
      <c r="B4" s="2">
        <v>46076</v>
      </c>
      <c r="C4" t="s">
        <v>57</v>
      </c>
      <c r="D4" s="3" t="str">
        <f t="shared" si="0"/>
        <v>Q4</v>
      </c>
      <c r="E4" s="3" t="str">
        <f t="shared" si="1"/>
        <v>FY2026</v>
      </c>
      <c r="F4" s="8" t="s">
        <v>59</v>
      </c>
      <c r="G4" s="3" t="s">
        <v>35</v>
      </c>
      <c r="H4" t="s">
        <v>60</v>
      </c>
      <c r="I4" t="s">
        <v>61</v>
      </c>
      <c r="J4" s="3" t="s">
        <v>38</v>
      </c>
      <c r="K4" t="s">
        <v>39</v>
      </c>
      <c r="L4" s="3" t="s">
        <v>40</v>
      </c>
      <c r="M4" s="3" t="s">
        <v>62</v>
      </c>
      <c r="N4" t="s">
        <v>63</v>
      </c>
      <c r="O4" t="s">
        <v>54</v>
      </c>
      <c r="P4" t="s">
        <v>55</v>
      </c>
      <c r="Q4" s="3">
        <v>1176.9000000000001</v>
      </c>
      <c r="R4" s="3">
        <v>1120.77</v>
      </c>
      <c r="S4" s="3">
        <v>757.9</v>
      </c>
      <c r="T4" s="3">
        <v>116.28</v>
      </c>
      <c r="U4" s="3">
        <v>93.16</v>
      </c>
      <c r="V4" s="3">
        <v>63.4</v>
      </c>
      <c r="W4" s="3">
        <v>27.88</v>
      </c>
      <c r="X4" s="3">
        <v>1058.6199999999999</v>
      </c>
      <c r="Y4" s="3">
        <v>419</v>
      </c>
      <c r="Z4" s="3">
        <f t="shared" si="2"/>
        <v>118.2800000000002</v>
      </c>
      <c r="AA4" s="37">
        <f t="shared" si="3"/>
        <v>0.10050131701928812</v>
      </c>
      <c r="AB4" s="3">
        <v>56.13</v>
      </c>
      <c r="AC4" s="3">
        <v>23.54</v>
      </c>
      <c r="AD4" s="3">
        <v>207.6</v>
      </c>
      <c r="AE4" s="3">
        <v>1360.97</v>
      </c>
      <c r="AF4" t="str">
        <f>IF(tbl_FinancialData[[#This Row],[City]]="","Unknown",PROPER(TRIM(tbl_FinancialData[[#This Row],[City]])))</f>
        <v>Lucknow</v>
      </c>
      <c r="AG4" t="str">
        <f>_xlfn.LET(_xlpm.city,LOWER(TRIM(tbl_FinancialData[[#This Row],[City]])),_xlpm.st,PROPER(TRIM(tbl_FinancialData[[#This Row],[State]])),IF(_xlpm.city="pune","Maharashtra",IF(_xlpm.city="jamshedpur","Jharkhand",IF(_xlpm.city="bhilai","Chhattisgarh",IF(_xlpm.city="mumbai","Maharashtra",_xlpm.st)))))</f>
        <v>Uttar Pradesh</v>
      </c>
      <c r="AH4" t="str">
        <f>_xlfn.LET(_xlpm.d,PROPER(TRIM(tbl_FinancialData[[#This Row],[Department]])),IF(_xlpm.d="It","IT",_xlpm.d))</f>
        <v>Operations</v>
      </c>
      <c r="AI4" t="str">
        <f>_xlfn.LET(_xlpm.pid,tbl_FinancialData[[#This Row],[Product ID]],_xlpm.n,PROPER(TRIM(tbl_FinancialData[[#This Row],[Product Name]])),IF(_xlpm.pid="P020","Document Scanner",IF(_xlpm.pid="P015","Network Router",SUBSTITUTE(SUBSTITUTE(_xlpm.n,"Crm","CRM"),"Ups","UPS"))))</f>
        <v>Keyboard</v>
      </c>
      <c r="AJ4" s="3" t="str">
        <f>UPPER(TRIM(tbl_FinancialData[[#This Row],[Cost Center]]))</f>
        <v>CC-1002</v>
      </c>
      <c r="AL4" s="4" t="s">
        <v>1217</v>
      </c>
      <c r="AM4" s="5">
        <f>ROWS(tbl_FinancialData[Transaction ID])</f>
        <v>1000</v>
      </c>
      <c r="AN4" s="5" t="str">
        <f>IF(AM4=1000,"PASS","CHECK")</f>
        <v>PASS</v>
      </c>
    </row>
    <row r="5" spans="1:40" x14ac:dyDescent="0.25">
      <c r="A5" s="3" t="s">
        <v>64</v>
      </c>
      <c r="B5" s="2">
        <v>45801</v>
      </c>
      <c r="C5" t="s">
        <v>65</v>
      </c>
      <c r="D5" s="3" t="str">
        <f t="shared" si="0"/>
        <v>Q1</v>
      </c>
      <c r="E5" s="3" t="str">
        <f t="shared" si="1"/>
        <v>FY2026</v>
      </c>
      <c r="F5" s="8" t="s">
        <v>67</v>
      </c>
      <c r="G5" s="3" t="s">
        <v>35</v>
      </c>
      <c r="H5" t="s">
        <v>68</v>
      </c>
      <c r="I5" t="s">
        <v>69</v>
      </c>
      <c r="J5" s="3" t="s">
        <v>70</v>
      </c>
      <c r="K5" t="s">
        <v>71</v>
      </c>
      <c r="L5" s="3" t="s">
        <v>72</v>
      </c>
      <c r="M5" s="3" t="s">
        <v>73</v>
      </c>
      <c r="N5" t="s">
        <v>74</v>
      </c>
      <c r="O5" t="s">
        <v>43</v>
      </c>
      <c r="P5" t="s">
        <v>75</v>
      </c>
      <c r="Q5" s="3">
        <v>47762.94</v>
      </c>
      <c r="R5" s="3">
        <v>52452.38</v>
      </c>
      <c r="S5" s="3">
        <v>26669.38</v>
      </c>
      <c r="T5" s="3">
        <v>4567.83</v>
      </c>
      <c r="U5" s="3">
        <v>2811.05</v>
      </c>
      <c r="V5" s="3">
        <v>5583.19</v>
      </c>
      <c r="W5" s="3">
        <v>1889.44</v>
      </c>
      <c r="X5" s="3">
        <v>41520.9</v>
      </c>
      <c r="Y5" s="3">
        <v>21093.56</v>
      </c>
      <c r="Z5" s="3">
        <f t="shared" si="2"/>
        <v>6242.0400000000009</v>
      </c>
      <c r="AA5" s="37">
        <f t="shared" si="3"/>
        <v>0.13068793503917472</v>
      </c>
      <c r="AB5" s="3">
        <v>-4689.4399999999996</v>
      </c>
      <c r="AC5" s="3">
        <v>2388.15</v>
      </c>
      <c r="AD5" s="3">
        <v>5444.98</v>
      </c>
      <c r="AE5" s="3">
        <v>50819.77</v>
      </c>
      <c r="AF5" t="str">
        <f>IF(tbl_FinancialData[[#This Row],[City]]="","Unknown",PROPER(TRIM(tbl_FinancialData[[#This Row],[City]])))</f>
        <v>Bhubaneswar</v>
      </c>
      <c r="AG5" t="str">
        <f>_xlfn.LET(_xlpm.city,LOWER(TRIM(tbl_FinancialData[[#This Row],[City]])),_xlpm.st,PROPER(TRIM(tbl_FinancialData[[#This Row],[State]])),IF(_xlpm.city="pune","Maharashtra",IF(_xlpm.city="jamshedpur","Jharkhand",IF(_xlpm.city="bhilai","Chhattisgarh",IF(_xlpm.city="mumbai","Maharashtra",_xlpm.st)))))</f>
        <v>Odisha</v>
      </c>
      <c r="AH5" t="str">
        <f>_xlfn.LET(_xlpm.d,PROPER(TRIM(tbl_FinancialData[[#This Row],[Department]])),IF(_xlpm.d="It","IT",_xlpm.d))</f>
        <v>Marketing</v>
      </c>
      <c r="AI5" t="str">
        <f>_xlfn.LET(_xlpm.pid,tbl_FinancialData[[#This Row],[Product ID]],_xlpm.n,PROPER(TRIM(tbl_FinancialData[[#This Row],[Product Name]])),IF(_xlpm.pid="P020","Document Scanner",IF(_xlpm.pid="P015","Network Router",SUBSTITUTE(SUBSTITUTE(_xlpm.n,"Crm","CRM"),"Ups","UPS"))))</f>
        <v>Monitor</v>
      </c>
      <c r="AJ5" s="3" t="str">
        <f>UPPER(TRIM(tbl_FinancialData[[#This Row],[Cost Center]]))</f>
        <v>CC-1004</v>
      </c>
      <c r="AL5" s="4" t="s">
        <v>1206</v>
      </c>
      <c r="AM5" s="5">
        <f>ROWS(tbl_FinancialData[Transaction ID])-ROWS(_xlfn.UNIQUE(tbl_FinancialData[Transaction ID]))</f>
        <v>0</v>
      </c>
      <c r="AN5" s="5" t="str">
        <f t="shared" ref="AN5:AN10" si="4">IF(AM5=0,"PASS","CHECK")</f>
        <v>PASS</v>
      </c>
    </row>
    <row r="6" spans="1:40" x14ac:dyDescent="0.25">
      <c r="A6" s="3" t="s">
        <v>76</v>
      </c>
      <c r="B6" s="2">
        <v>46027</v>
      </c>
      <c r="C6" t="s">
        <v>77</v>
      </c>
      <c r="D6" s="3" t="str">
        <f t="shared" si="0"/>
        <v>Q4</v>
      </c>
      <c r="E6" s="3" t="str">
        <f t="shared" si="1"/>
        <v>FY2026</v>
      </c>
      <c r="F6" s="8" t="s">
        <v>47</v>
      </c>
      <c r="G6" s="3" t="s">
        <v>35</v>
      </c>
      <c r="H6" t="s">
        <v>78</v>
      </c>
      <c r="I6" t="s">
        <v>79</v>
      </c>
      <c r="J6" s="3" t="s">
        <v>80</v>
      </c>
      <c r="K6" t="s">
        <v>50</v>
      </c>
      <c r="L6" s="3" t="s">
        <v>81</v>
      </c>
      <c r="M6" s="3" t="s">
        <v>82</v>
      </c>
      <c r="N6" t="s">
        <v>83</v>
      </c>
      <c r="O6" t="s">
        <v>43</v>
      </c>
      <c r="P6" t="s">
        <v>75</v>
      </c>
      <c r="Q6" s="3">
        <v>18810.62</v>
      </c>
      <c r="R6" s="3">
        <v>18781.73</v>
      </c>
      <c r="S6" s="3">
        <v>10354.06</v>
      </c>
      <c r="T6" s="3">
        <v>961.72</v>
      </c>
      <c r="U6" s="3">
        <v>713.39</v>
      </c>
      <c r="V6" s="3">
        <v>1822.89</v>
      </c>
      <c r="W6" s="3">
        <v>708.34</v>
      </c>
      <c r="X6" s="3">
        <v>14560.39</v>
      </c>
      <c r="Y6" s="3">
        <v>8456.5499999999993</v>
      </c>
      <c r="Z6" s="3">
        <f t="shared" si="2"/>
        <v>4250.2299999999996</v>
      </c>
      <c r="AA6" s="37">
        <f t="shared" si="3"/>
        <v>0.22594842700559575</v>
      </c>
      <c r="AB6" s="3">
        <v>28.88</v>
      </c>
      <c r="AC6" s="3">
        <v>940.53</v>
      </c>
      <c r="AD6" s="3">
        <v>3216.62</v>
      </c>
      <c r="AE6" s="3">
        <v>21086.7</v>
      </c>
      <c r="AF6" t="str">
        <f>IF(tbl_FinancialData[[#This Row],[City]]="","Unknown",PROPER(TRIM(tbl_FinancialData[[#This Row],[City]])))</f>
        <v>Kochi</v>
      </c>
      <c r="AG6" t="str">
        <f>_xlfn.LET(_xlpm.city,LOWER(TRIM(tbl_FinancialData[[#This Row],[City]])),_xlpm.st,PROPER(TRIM(tbl_FinancialData[[#This Row],[State]])),IF(_xlpm.city="pune","Maharashtra",IF(_xlpm.city="jamshedpur","Jharkhand",IF(_xlpm.city="bhilai","Chhattisgarh",IF(_xlpm.city="mumbai","Maharashtra",_xlpm.st)))))</f>
        <v>Kerala</v>
      </c>
      <c r="AH6" t="str">
        <f>_xlfn.LET(_xlpm.d,PROPER(TRIM(tbl_FinancialData[[#This Row],[Department]])),IF(_xlpm.d="It","IT",_xlpm.d))</f>
        <v>Sales</v>
      </c>
      <c r="AI6" t="str">
        <f>_xlfn.LET(_xlpm.pid,tbl_FinancialData[[#This Row],[Product ID]],_xlpm.n,PROPER(TRIM(tbl_FinancialData[[#This Row],[Product Name]])),IF(_xlpm.pid="P020","Document Scanner",IF(_xlpm.pid="P015","Network Router",SUBSTITUTE(SUBSTITUTE(_xlpm.n,"Crm","CRM"),"Ups","UPS"))))</f>
        <v>Business Laptop</v>
      </c>
      <c r="AJ6" s="3" t="str">
        <f>UPPER(TRIM(tbl_FinancialData[[#This Row],[Cost Center]]))</f>
        <v>CC-1005</v>
      </c>
      <c r="AL6" s="4" t="s">
        <v>1218</v>
      </c>
      <c r="AM6" s="5">
        <f>COUNTBLANK(tbl_FinancialData[Transaction ID])</f>
        <v>0</v>
      </c>
      <c r="AN6" s="5" t="str">
        <f t="shared" si="4"/>
        <v>PASS</v>
      </c>
    </row>
    <row r="7" spans="1:40" x14ac:dyDescent="0.25">
      <c r="A7" s="3" t="s">
        <v>84</v>
      </c>
      <c r="B7" s="2">
        <v>45788</v>
      </c>
      <c r="C7" t="s">
        <v>65</v>
      </c>
      <c r="D7" s="3" t="str">
        <f t="shared" si="0"/>
        <v>Q1</v>
      </c>
      <c r="E7" s="3" t="str">
        <f t="shared" si="1"/>
        <v>FY2026</v>
      </c>
      <c r="F7" s="8" t="s">
        <v>85</v>
      </c>
      <c r="G7" s="3" t="s">
        <v>35</v>
      </c>
      <c r="H7" t="s">
        <v>86</v>
      </c>
      <c r="I7" t="s">
        <v>87</v>
      </c>
      <c r="J7" s="3" t="s">
        <v>80</v>
      </c>
      <c r="K7" t="s">
        <v>50</v>
      </c>
      <c r="L7" s="3" t="s">
        <v>81</v>
      </c>
      <c r="M7" s="3" t="s">
        <v>88</v>
      </c>
      <c r="N7" t="s">
        <v>89</v>
      </c>
      <c r="O7" t="s">
        <v>43</v>
      </c>
      <c r="P7" t="s">
        <v>90</v>
      </c>
      <c r="Q7" s="3">
        <v>41891.120000000003</v>
      </c>
      <c r="R7" s="3">
        <v>43917.52</v>
      </c>
      <c r="S7" s="3">
        <v>23957.63</v>
      </c>
      <c r="T7" s="3">
        <v>5351.04</v>
      </c>
      <c r="U7" s="3">
        <v>3358.8</v>
      </c>
      <c r="V7" s="3">
        <v>4094.37</v>
      </c>
      <c r="W7" s="3">
        <v>764.91</v>
      </c>
      <c r="X7" s="3">
        <v>37526.76</v>
      </c>
      <c r="Y7" s="3">
        <v>17933.48</v>
      </c>
      <c r="Z7" s="3">
        <f t="shared" si="2"/>
        <v>4364.3600000000006</v>
      </c>
      <c r="AA7" s="37">
        <f t="shared" si="3"/>
        <v>0.1041834164376603</v>
      </c>
      <c r="AB7" s="3">
        <v>-2026.4</v>
      </c>
      <c r="AC7" s="3">
        <v>837.82</v>
      </c>
      <c r="AD7" s="3">
        <v>2052.66</v>
      </c>
      <c r="AE7" s="3">
        <v>43105.96</v>
      </c>
      <c r="AF7" t="str">
        <f>IF(tbl_FinancialData[[#This Row],[City]]="","Unknown",PROPER(TRIM(tbl_FinancialData[[#This Row],[City]])))</f>
        <v>Indore</v>
      </c>
      <c r="AG7" t="str">
        <f>_xlfn.LET(_xlpm.city,LOWER(TRIM(tbl_FinancialData[[#This Row],[City]])),_xlpm.st,PROPER(TRIM(tbl_FinancialData[[#This Row],[State]])),IF(_xlpm.city="pune","Maharashtra",IF(_xlpm.city="jamshedpur","Jharkhand",IF(_xlpm.city="bhilai","Chhattisgarh",IF(_xlpm.city="mumbai","Maharashtra",_xlpm.st)))))</f>
        <v>Madhya Pradesh</v>
      </c>
      <c r="AH7" t="str">
        <f>_xlfn.LET(_xlpm.d,PROPER(TRIM(tbl_FinancialData[[#This Row],[Department]])),IF(_xlpm.d="It","IT",_xlpm.d))</f>
        <v>Sales</v>
      </c>
      <c r="AI7" t="str">
        <f>_xlfn.LET(_xlpm.pid,tbl_FinancialData[[#This Row],[Product ID]],_xlpm.n,PROPER(TRIM(tbl_FinancialData[[#This Row],[Product Name]])),IF(_xlpm.pid="P020","Document Scanner",IF(_xlpm.pid="P015","Network Router",SUBSTITUTE(SUBSTITUTE(_xlpm.n,"Crm","CRM"),"Ups","UPS"))))</f>
        <v>Printer</v>
      </c>
      <c r="AJ7" s="3" t="str">
        <f>UPPER(TRIM(tbl_FinancialData[[#This Row],[Cost Center]]))</f>
        <v>CC-1005</v>
      </c>
      <c r="AL7" s="4" t="s">
        <v>1207</v>
      </c>
      <c r="AM7" s="5">
        <f>COUNTBLANK(tbl_FinancialData[Date])</f>
        <v>0</v>
      </c>
      <c r="AN7" s="5" t="str">
        <f t="shared" si="4"/>
        <v>PASS</v>
      </c>
    </row>
    <row r="8" spans="1:40" x14ac:dyDescent="0.25">
      <c r="A8" s="3" t="s">
        <v>91</v>
      </c>
      <c r="B8" s="2">
        <v>45954</v>
      </c>
      <c r="C8" t="s">
        <v>92</v>
      </c>
      <c r="D8" s="3" t="str">
        <f t="shared" si="0"/>
        <v>Q3</v>
      </c>
      <c r="E8" s="3" t="str">
        <f t="shared" si="1"/>
        <v>FY2026</v>
      </c>
      <c r="F8" s="8" t="s">
        <v>67</v>
      </c>
      <c r="G8" s="3" t="s">
        <v>35</v>
      </c>
      <c r="H8" t="s">
        <v>68</v>
      </c>
      <c r="I8" t="s">
        <v>69</v>
      </c>
      <c r="J8" s="3" t="s">
        <v>70</v>
      </c>
      <c r="K8" t="s">
        <v>50</v>
      </c>
      <c r="L8" s="3" t="s">
        <v>94</v>
      </c>
      <c r="M8" s="3" t="s">
        <v>95</v>
      </c>
      <c r="N8" t="s">
        <v>96</v>
      </c>
      <c r="O8" t="s">
        <v>43</v>
      </c>
      <c r="P8" t="s">
        <v>90</v>
      </c>
      <c r="Q8" s="3">
        <v>51914.87</v>
      </c>
      <c r="R8" s="3">
        <v>47855.1</v>
      </c>
      <c r="S8" s="3">
        <v>32449.919999999998</v>
      </c>
      <c r="T8" s="3">
        <v>4837.8100000000004</v>
      </c>
      <c r="U8" s="3">
        <v>1983.1</v>
      </c>
      <c r="V8" s="3">
        <v>5992.44</v>
      </c>
      <c r="W8" s="3">
        <v>1607.3</v>
      </c>
      <c r="X8" s="3">
        <v>46870.57</v>
      </c>
      <c r="Y8" s="3">
        <v>19464.95</v>
      </c>
      <c r="Z8" s="3">
        <f t="shared" si="2"/>
        <v>5044.3000000000029</v>
      </c>
      <c r="AA8" s="37">
        <f t="shared" si="3"/>
        <v>9.7164839284004809E-2</v>
      </c>
      <c r="AB8" s="3">
        <v>4059.77</v>
      </c>
      <c r="AC8" s="3">
        <v>2595.7399999999998</v>
      </c>
      <c r="AD8" s="3">
        <v>8877.44</v>
      </c>
      <c r="AE8" s="3">
        <v>58196.57</v>
      </c>
      <c r="AF8" t="str">
        <f>IF(tbl_FinancialData[[#This Row],[City]]="","Unknown",PROPER(TRIM(tbl_FinancialData[[#This Row],[City]])))</f>
        <v>Bhubaneswar</v>
      </c>
      <c r="AG8" t="str">
        <f>_xlfn.LET(_xlpm.city,LOWER(TRIM(tbl_FinancialData[[#This Row],[City]])),_xlpm.st,PROPER(TRIM(tbl_FinancialData[[#This Row],[State]])),IF(_xlpm.city="pune","Maharashtra",IF(_xlpm.city="jamshedpur","Jharkhand",IF(_xlpm.city="bhilai","Chhattisgarh",IF(_xlpm.city="mumbai","Maharashtra",_xlpm.st)))))</f>
        <v>Odisha</v>
      </c>
      <c r="AH8" t="str">
        <f>_xlfn.LET(_xlpm.d,PROPER(TRIM(tbl_FinancialData[[#This Row],[Department]])),IF(_xlpm.d="It","IT",_xlpm.d))</f>
        <v>Sales</v>
      </c>
      <c r="AI8" t="str">
        <f>_xlfn.LET(_xlpm.pid,tbl_FinancialData[[#This Row],[Product ID]],_xlpm.n,PROPER(TRIM(tbl_FinancialData[[#This Row],[Product Name]])),IF(_xlpm.pid="P020","Document Scanner",IF(_xlpm.pid="P015","Network Router",SUBSTITUTE(SUBSTITUTE(_xlpm.n,"Crm","CRM"),"Ups","UPS"))))</f>
        <v>Document Scanner</v>
      </c>
      <c r="AJ8" s="3" t="str">
        <f>UPPER(TRIM(tbl_FinancialData[[#This Row],[Cost Center]]))</f>
        <v>CC-1001</v>
      </c>
      <c r="AL8" s="4" t="s">
        <v>1208</v>
      </c>
      <c r="AM8" s="5">
        <f>COUNTBLANK(tbl_FinancialData[Revenue])</f>
        <v>0</v>
      </c>
      <c r="AN8" s="5" t="str">
        <f t="shared" si="4"/>
        <v>PASS</v>
      </c>
    </row>
    <row r="9" spans="1:40" x14ac:dyDescent="0.25">
      <c r="A9" s="3" t="s">
        <v>97</v>
      </c>
      <c r="B9" s="2">
        <v>45917</v>
      </c>
      <c r="C9" t="s">
        <v>46</v>
      </c>
      <c r="D9" s="3" t="str">
        <f t="shared" si="0"/>
        <v>Q2</v>
      </c>
      <c r="E9" s="3" t="str">
        <f t="shared" si="1"/>
        <v>FY2026</v>
      </c>
      <c r="F9" s="8" t="s">
        <v>34</v>
      </c>
      <c r="G9" s="3" t="s">
        <v>35</v>
      </c>
      <c r="H9" t="s">
        <v>98</v>
      </c>
      <c r="I9" t="s">
        <v>99</v>
      </c>
      <c r="J9" s="3" t="s">
        <v>100</v>
      </c>
      <c r="K9" t="s">
        <v>101</v>
      </c>
      <c r="L9" s="3" t="s">
        <v>72</v>
      </c>
      <c r="M9" s="3" t="s">
        <v>102</v>
      </c>
      <c r="N9" t="s">
        <v>103</v>
      </c>
      <c r="O9" t="s">
        <v>104</v>
      </c>
      <c r="P9" t="s">
        <v>105</v>
      </c>
      <c r="Q9" s="3">
        <v>18661.59</v>
      </c>
      <c r="R9" s="3">
        <v>18238.04</v>
      </c>
      <c r="S9" s="3">
        <v>9504.3700000000008</v>
      </c>
      <c r="T9" s="3">
        <v>1465.01</v>
      </c>
      <c r="U9" s="3">
        <v>1566.53</v>
      </c>
      <c r="V9" s="3">
        <v>1152.74</v>
      </c>
      <c r="W9" s="3">
        <v>609.66</v>
      </c>
      <c r="X9" s="3">
        <v>14298.29</v>
      </c>
      <c r="Y9" s="3">
        <v>9157.2199999999993</v>
      </c>
      <c r="Z9" s="3">
        <f t="shared" si="2"/>
        <v>4363.2999999999993</v>
      </c>
      <c r="AA9" s="37">
        <f t="shared" si="3"/>
        <v>0.23381180274563954</v>
      </c>
      <c r="AB9" s="3">
        <v>423.55</v>
      </c>
      <c r="AC9" s="3">
        <v>0</v>
      </c>
      <c r="AD9" s="3">
        <v>2239.39</v>
      </c>
      <c r="AE9" s="3">
        <v>20900.98</v>
      </c>
      <c r="AF9" t="str">
        <f>IF(tbl_FinancialData[[#This Row],[City]]="","Unknown",PROPER(TRIM(tbl_FinancialData[[#This Row],[City]])))</f>
        <v>Mumbai</v>
      </c>
      <c r="AG9" t="str">
        <f>_xlfn.LET(_xlpm.city,LOWER(TRIM(tbl_FinancialData[[#This Row],[City]])),_xlpm.st,PROPER(TRIM(tbl_FinancialData[[#This Row],[State]])),IF(_xlpm.city="pune","Maharashtra",IF(_xlpm.city="jamshedpur","Jharkhand",IF(_xlpm.city="bhilai","Chhattisgarh",IF(_xlpm.city="mumbai","Maharashtra",_xlpm.st)))))</f>
        <v>Maharashtra</v>
      </c>
      <c r="AH9" t="str">
        <f>_xlfn.LET(_xlpm.d,PROPER(TRIM(tbl_FinancialData[[#This Row],[Department]])),IF(_xlpm.d="It","IT",_xlpm.d))</f>
        <v>Finance</v>
      </c>
      <c r="AI9" t="str">
        <f>_xlfn.LET(_xlpm.pid,tbl_FinancialData[[#This Row],[Product ID]],_xlpm.n,PROPER(TRIM(tbl_FinancialData[[#This Row],[Product Name]])),IF(_xlpm.pid="P020","Document Scanner",IF(_xlpm.pid="P015","Network Router",SUBSTITUTE(SUBSTITUTE(_xlpm.n,"Crm","CRM"),"Ups","UPS"))))</f>
        <v>Accounting Software</v>
      </c>
      <c r="AJ9" s="3" t="str">
        <f>UPPER(TRIM(tbl_FinancialData[[#This Row],[Cost Center]]))</f>
        <v>CC-1004</v>
      </c>
      <c r="AL9" s="4" t="s">
        <v>1209</v>
      </c>
      <c r="AM9" s="5">
        <f>COUNTIF(tbl_FinancialData[Revenue],"&lt;0")</f>
        <v>0</v>
      </c>
      <c r="AN9" s="5" t="str">
        <f t="shared" si="4"/>
        <v>PASS</v>
      </c>
    </row>
    <row r="10" spans="1:40" x14ac:dyDescent="0.25">
      <c r="A10" s="3" t="s">
        <v>106</v>
      </c>
      <c r="B10" s="2">
        <v>46006</v>
      </c>
      <c r="C10" t="s">
        <v>107</v>
      </c>
      <c r="D10" s="3" t="str">
        <f t="shared" si="0"/>
        <v>Q3</v>
      </c>
      <c r="E10" s="3" t="str">
        <f t="shared" si="1"/>
        <v>FY2026</v>
      </c>
      <c r="F10" s="8" t="s">
        <v>59</v>
      </c>
      <c r="G10" s="3" t="s">
        <v>35</v>
      </c>
      <c r="H10" t="s">
        <v>60</v>
      </c>
      <c r="I10" t="s">
        <v>108</v>
      </c>
      <c r="J10" s="3" t="s">
        <v>80</v>
      </c>
      <c r="K10" t="s">
        <v>101</v>
      </c>
      <c r="L10" s="3" t="s">
        <v>94</v>
      </c>
      <c r="M10" s="3" t="s">
        <v>41</v>
      </c>
      <c r="N10" t="s">
        <v>42</v>
      </c>
      <c r="O10" t="s">
        <v>43</v>
      </c>
      <c r="P10" t="s">
        <v>44</v>
      </c>
      <c r="Q10" s="3">
        <v>27488.07</v>
      </c>
      <c r="R10" s="3">
        <v>25577.3</v>
      </c>
      <c r="S10" s="3">
        <v>14637.49</v>
      </c>
      <c r="T10" s="3">
        <v>2601.69</v>
      </c>
      <c r="U10" s="3">
        <v>1408.75</v>
      </c>
      <c r="V10" s="3">
        <v>1242.22</v>
      </c>
      <c r="W10" s="3">
        <v>519.16999999999996</v>
      </c>
      <c r="X10" s="3">
        <v>20409.32</v>
      </c>
      <c r="Y10" s="3">
        <v>12850.58</v>
      </c>
      <c r="Z10" s="3">
        <f t="shared" si="2"/>
        <v>7078.75</v>
      </c>
      <c r="AA10" s="37">
        <f t="shared" si="3"/>
        <v>0.25752080811784894</v>
      </c>
      <c r="AB10" s="3">
        <v>1910.77</v>
      </c>
      <c r="AC10" s="3">
        <v>549.76</v>
      </c>
      <c r="AD10" s="3">
        <v>4848.8900000000003</v>
      </c>
      <c r="AE10" s="3">
        <v>31787.200000000001</v>
      </c>
      <c r="AF10" t="str">
        <f>IF(tbl_FinancialData[[#This Row],[City]]="","Unknown",PROPER(TRIM(tbl_FinancialData[[#This Row],[City]])))</f>
        <v>Agra</v>
      </c>
      <c r="AG10" t="str">
        <f>_xlfn.LET(_xlpm.city,LOWER(TRIM(tbl_FinancialData[[#This Row],[City]])),_xlpm.st,PROPER(TRIM(tbl_FinancialData[[#This Row],[State]])),IF(_xlpm.city="pune","Maharashtra",IF(_xlpm.city="jamshedpur","Jharkhand",IF(_xlpm.city="bhilai","Chhattisgarh",IF(_xlpm.city="mumbai","Maharashtra",_xlpm.st)))))</f>
        <v>Uttar Pradesh</v>
      </c>
      <c r="AH10" t="str">
        <f>_xlfn.LET(_xlpm.d,PROPER(TRIM(tbl_FinancialData[[#This Row],[Department]])),IF(_xlpm.d="It","IT",_xlpm.d))</f>
        <v>Finance</v>
      </c>
      <c r="AI10" t="str">
        <f>_xlfn.LET(_xlpm.pid,tbl_FinancialData[[#This Row],[Product ID]],_xlpm.n,PROPER(TRIM(tbl_FinancialData[[#This Row],[Product Name]])),IF(_xlpm.pid="P020","Document Scanner",IF(_xlpm.pid="P015","Network Router",SUBSTITUTE(SUBSTITUTE(_xlpm.n,"Crm","CRM"),"Ups","UPS"))))</f>
        <v>Conference Camera</v>
      </c>
      <c r="AJ10" s="3" t="str">
        <f>UPPER(TRIM(tbl_FinancialData[[#This Row],[Cost Center]]))</f>
        <v>CC-1001</v>
      </c>
      <c r="AL10" s="4" t="s">
        <v>1210</v>
      </c>
      <c r="AM10" s="5">
        <f>COUNTIF(tbl_FinancialData[Budget Revenue],"&lt;0")</f>
        <v>0</v>
      </c>
      <c r="AN10" s="5" t="str">
        <f t="shared" si="4"/>
        <v>PASS</v>
      </c>
    </row>
    <row r="11" spans="1:40" x14ac:dyDescent="0.25">
      <c r="A11" s="3" t="s">
        <v>109</v>
      </c>
      <c r="B11" s="2">
        <v>45860</v>
      </c>
      <c r="C11" t="s">
        <v>32</v>
      </c>
      <c r="D11" s="3" t="str">
        <f t="shared" si="0"/>
        <v>Q2</v>
      </c>
      <c r="E11" s="3" t="str">
        <f t="shared" si="1"/>
        <v>FY2026</v>
      </c>
      <c r="F11" s="8" t="s">
        <v>59</v>
      </c>
      <c r="G11" s="3" t="s">
        <v>35</v>
      </c>
      <c r="H11" t="s">
        <v>60</v>
      </c>
      <c r="I11" t="s">
        <v>61</v>
      </c>
      <c r="J11" s="3" t="s">
        <v>70</v>
      </c>
      <c r="K11" t="s">
        <v>39</v>
      </c>
      <c r="L11" s="3" t="s">
        <v>40</v>
      </c>
      <c r="M11" s="3" t="s">
        <v>110</v>
      </c>
      <c r="N11" t="s">
        <v>111</v>
      </c>
      <c r="O11" t="s">
        <v>112</v>
      </c>
      <c r="P11" t="s">
        <v>113</v>
      </c>
      <c r="Q11" s="3">
        <v>17627.990000000002</v>
      </c>
      <c r="R11" s="3">
        <v>19112.48</v>
      </c>
      <c r="S11" s="3">
        <v>10707.67</v>
      </c>
      <c r="T11" s="3">
        <v>1512.88</v>
      </c>
      <c r="U11" s="3">
        <v>1074.22</v>
      </c>
      <c r="V11" s="3">
        <v>1540.96</v>
      </c>
      <c r="W11" s="3">
        <v>226.16</v>
      </c>
      <c r="X11" s="3">
        <v>15061.9</v>
      </c>
      <c r="Y11" s="3">
        <v>6920.32</v>
      </c>
      <c r="Z11" s="3">
        <f t="shared" si="2"/>
        <v>2566.090000000002</v>
      </c>
      <c r="AA11" s="37">
        <f t="shared" si="3"/>
        <v>0.14556906374464709</v>
      </c>
      <c r="AB11" s="3">
        <v>-1484.48</v>
      </c>
      <c r="AC11" s="3">
        <v>528.84</v>
      </c>
      <c r="AD11" s="3">
        <v>854.96</v>
      </c>
      <c r="AE11" s="3">
        <v>17954.11</v>
      </c>
      <c r="AF11" t="str">
        <f>IF(tbl_FinancialData[[#This Row],[City]]="","Unknown",PROPER(TRIM(tbl_FinancialData[[#This Row],[City]])))</f>
        <v>Lucknow</v>
      </c>
      <c r="AG11" t="str">
        <f>_xlfn.LET(_xlpm.city,LOWER(TRIM(tbl_FinancialData[[#This Row],[City]])),_xlpm.st,PROPER(TRIM(tbl_FinancialData[[#This Row],[State]])),IF(_xlpm.city="pune","Maharashtra",IF(_xlpm.city="jamshedpur","Jharkhand",IF(_xlpm.city="bhilai","Chhattisgarh",IF(_xlpm.city="mumbai","Maharashtra",_xlpm.st)))))</f>
        <v>Uttar Pradesh</v>
      </c>
      <c r="AH11" t="str">
        <f>_xlfn.LET(_xlpm.d,PROPER(TRIM(tbl_FinancialData[[#This Row],[Department]])),IF(_xlpm.d="It","IT",_xlpm.d))</f>
        <v>Operations</v>
      </c>
      <c r="AI11" t="str">
        <f>_xlfn.LET(_xlpm.pid,tbl_FinancialData[[#This Row],[Product ID]],_xlpm.n,PROPER(TRIM(tbl_FinancialData[[#This Row],[Product Name]])),IF(_xlpm.pid="P020","Document Scanner",IF(_xlpm.pid="P015","Network Router",SUBSTITUTE(SUBSTITUTE(_xlpm.n,"Crm","CRM"),"Ups","UPS"))))</f>
        <v>Office Desk</v>
      </c>
      <c r="AJ11" s="3" t="str">
        <f>UPPER(TRIM(tbl_FinancialData[[#This Row],[Cost Center]]))</f>
        <v>CC-1002</v>
      </c>
    </row>
    <row r="12" spans="1:40" x14ac:dyDescent="0.25">
      <c r="A12" s="3" t="s">
        <v>114</v>
      </c>
      <c r="B12" s="2">
        <v>46041</v>
      </c>
      <c r="C12" t="s">
        <v>77</v>
      </c>
      <c r="D12" s="3" t="str">
        <f t="shared" si="0"/>
        <v>Q4</v>
      </c>
      <c r="E12" s="3" t="str">
        <f t="shared" si="1"/>
        <v>FY2026</v>
      </c>
      <c r="F12" s="8" t="s">
        <v>47</v>
      </c>
      <c r="G12" s="3" t="s">
        <v>35</v>
      </c>
      <c r="H12" t="s">
        <v>78</v>
      </c>
      <c r="I12" t="s">
        <v>115</v>
      </c>
      <c r="J12" s="3" t="s">
        <v>100</v>
      </c>
      <c r="K12" t="s">
        <v>101</v>
      </c>
      <c r="L12" s="3" t="s">
        <v>94</v>
      </c>
      <c r="M12" s="3" t="s">
        <v>62</v>
      </c>
      <c r="N12" t="s">
        <v>63</v>
      </c>
      <c r="O12" t="s">
        <v>54</v>
      </c>
      <c r="P12" t="s">
        <v>55</v>
      </c>
      <c r="Q12" s="3">
        <v>3190.87</v>
      </c>
      <c r="R12" s="3">
        <v>2847</v>
      </c>
      <c r="S12" s="3">
        <v>1984.13</v>
      </c>
      <c r="T12" s="3">
        <v>332.5</v>
      </c>
      <c r="U12" s="3">
        <v>83.21</v>
      </c>
      <c r="V12" s="3">
        <v>258.36</v>
      </c>
      <c r="W12" s="3">
        <v>57.2</v>
      </c>
      <c r="X12" s="3">
        <v>2715.4</v>
      </c>
      <c r="Y12" s="3">
        <v>1206.74</v>
      </c>
      <c r="Z12" s="3">
        <f t="shared" si="2"/>
        <v>475.4699999999998</v>
      </c>
      <c r="AA12" s="37">
        <f t="shared" si="3"/>
        <v>0.14900951778041718</v>
      </c>
      <c r="AB12" s="3">
        <v>343.87</v>
      </c>
      <c r="AC12" s="3">
        <v>159.54</v>
      </c>
      <c r="AD12" s="3">
        <v>151.57</v>
      </c>
      <c r="AE12" s="3">
        <v>3182.89</v>
      </c>
      <c r="AF12" t="str">
        <f>IF(tbl_FinancialData[[#This Row],[City]]="","Unknown",PROPER(TRIM(tbl_FinancialData[[#This Row],[City]])))</f>
        <v>Thiruvananthapuram</v>
      </c>
      <c r="AG12" t="str">
        <f>_xlfn.LET(_xlpm.city,LOWER(TRIM(tbl_FinancialData[[#This Row],[City]])),_xlpm.st,PROPER(TRIM(tbl_FinancialData[[#This Row],[State]])),IF(_xlpm.city="pune","Maharashtra",IF(_xlpm.city="jamshedpur","Jharkhand",IF(_xlpm.city="bhilai","Chhattisgarh",IF(_xlpm.city="mumbai","Maharashtra",_xlpm.st)))))</f>
        <v>Kerala</v>
      </c>
      <c r="AH12" t="str">
        <f>_xlfn.LET(_xlpm.d,PROPER(TRIM(tbl_FinancialData[[#This Row],[Department]])),IF(_xlpm.d="It","IT",_xlpm.d))</f>
        <v>Finance</v>
      </c>
      <c r="AI12" t="str">
        <f>_xlfn.LET(_xlpm.pid,tbl_FinancialData[[#This Row],[Product ID]],_xlpm.n,PROPER(TRIM(tbl_FinancialData[[#This Row],[Product Name]])),IF(_xlpm.pid="P020","Document Scanner",IF(_xlpm.pid="P015","Network Router",SUBSTITUTE(SUBSTITUTE(_xlpm.n,"Crm","CRM"),"Ups","UPS"))))</f>
        <v>Keyboard</v>
      </c>
      <c r="AJ12" s="3" t="str">
        <f>UPPER(TRIM(tbl_FinancialData[[#This Row],[Cost Center]]))</f>
        <v>CC-1001</v>
      </c>
      <c r="AL12" s="53" t="s">
        <v>1222</v>
      </c>
    </row>
    <row r="13" spans="1:40" x14ac:dyDescent="0.25">
      <c r="A13" s="3" t="s">
        <v>116</v>
      </c>
      <c r="B13" s="2">
        <v>45875</v>
      </c>
      <c r="C13" t="s">
        <v>117</v>
      </c>
      <c r="D13" s="3" t="str">
        <f t="shared" si="0"/>
        <v>Q2</v>
      </c>
      <c r="E13" s="3" t="str">
        <f t="shared" si="1"/>
        <v>FY2026</v>
      </c>
      <c r="F13" s="8" t="s">
        <v>67</v>
      </c>
      <c r="G13" s="3" t="s">
        <v>35</v>
      </c>
      <c r="H13" t="s">
        <v>118</v>
      </c>
      <c r="I13" t="s">
        <v>119</v>
      </c>
      <c r="J13" s="3" t="s">
        <v>70</v>
      </c>
      <c r="K13" t="s">
        <v>50</v>
      </c>
      <c r="L13" s="3" t="s">
        <v>94</v>
      </c>
      <c r="M13" s="3" t="s">
        <v>120</v>
      </c>
      <c r="N13" t="s">
        <v>121</v>
      </c>
      <c r="O13" t="s">
        <v>43</v>
      </c>
      <c r="P13" t="s">
        <v>122</v>
      </c>
      <c r="Q13" s="3">
        <v>78448.53</v>
      </c>
      <c r="R13" s="3">
        <v>75105.25</v>
      </c>
      <c r="S13" s="3">
        <v>50081.24</v>
      </c>
      <c r="T13" s="3">
        <v>9051.2199999999993</v>
      </c>
      <c r="U13" s="3">
        <v>4792.2700000000004</v>
      </c>
      <c r="V13" s="3">
        <v>6461.97</v>
      </c>
      <c r="W13" s="3">
        <v>1448.54</v>
      </c>
      <c r="X13" s="3">
        <v>71835.23</v>
      </c>
      <c r="Y13" s="3">
        <v>28367.29</v>
      </c>
      <c r="Z13" s="3">
        <f t="shared" si="2"/>
        <v>6613.3000000000029</v>
      </c>
      <c r="AA13" s="37">
        <f t="shared" si="3"/>
        <v>8.4301133494789557E-2</v>
      </c>
      <c r="AB13" s="3">
        <v>3343.28</v>
      </c>
      <c r="AC13" s="3">
        <v>0</v>
      </c>
      <c r="AD13" s="3">
        <v>14120.74</v>
      </c>
      <c r="AE13" s="3">
        <v>92569.27</v>
      </c>
      <c r="AF13" t="str">
        <f>IF(tbl_FinancialData[[#This Row],[City]]="","Unknown",PROPER(TRIM(tbl_FinancialData[[#This Row],[City]])))</f>
        <v>Ranchi</v>
      </c>
      <c r="AG13" t="str">
        <f>_xlfn.LET(_xlpm.city,LOWER(TRIM(tbl_FinancialData[[#This Row],[City]])),_xlpm.st,PROPER(TRIM(tbl_FinancialData[[#This Row],[State]])),IF(_xlpm.city="pune","Maharashtra",IF(_xlpm.city="jamshedpur","Jharkhand",IF(_xlpm.city="bhilai","Chhattisgarh",IF(_xlpm.city="mumbai","Maharashtra",_xlpm.st)))))</f>
        <v>Jharkhand</v>
      </c>
      <c r="AH13" t="str">
        <f>_xlfn.LET(_xlpm.d,PROPER(TRIM(tbl_FinancialData[[#This Row],[Department]])),IF(_xlpm.d="It","IT",_xlpm.d))</f>
        <v>Sales</v>
      </c>
      <c r="AI13" t="str">
        <f>_xlfn.LET(_xlpm.pid,tbl_FinancialData[[#This Row],[Product ID]],_xlpm.n,PROPER(TRIM(tbl_FinancialData[[#This Row],[Product Name]])),IF(_xlpm.pid="P020","Document Scanner",IF(_xlpm.pid="P015","Network Router",SUBSTITUTE(SUBSTITUTE(_xlpm.n,"Crm","CRM"),"Ups","UPS"))))</f>
        <v>Projector</v>
      </c>
      <c r="AJ13" s="3" t="str">
        <f>UPPER(TRIM(tbl_FinancialData[[#This Row],[Cost Center]]))</f>
        <v>CC-1001</v>
      </c>
    </row>
    <row r="14" spans="1:40" x14ac:dyDescent="0.25">
      <c r="A14" s="3" t="s">
        <v>123</v>
      </c>
      <c r="B14" s="2">
        <v>45784</v>
      </c>
      <c r="C14" t="s">
        <v>65</v>
      </c>
      <c r="D14" s="3" t="str">
        <f t="shared" si="0"/>
        <v>Q1</v>
      </c>
      <c r="E14" s="3" t="str">
        <f t="shared" si="1"/>
        <v>FY2026</v>
      </c>
      <c r="F14" s="8" t="s">
        <v>85</v>
      </c>
      <c r="G14" s="3" t="s">
        <v>35</v>
      </c>
      <c r="H14" t="s">
        <v>60</v>
      </c>
      <c r="I14" t="s">
        <v>61</v>
      </c>
      <c r="J14" s="3" t="s">
        <v>80</v>
      </c>
      <c r="K14" t="s">
        <v>50</v>
      </c>
      <c r="L14" s="3" t="s">
        <v>51</v>
      </c>
      <c r="M14" s="3" t="s">
        <v>95</v>
      </c>
      <c r="N14" t="s">
        <v>96</v>
      </c>
      <c r="O14" t="s">
        <v>43</v>
      </c>
      <c r="P14" t="s">
        <v>90</v>
      </c>
      <c r="Q14" s="3">
        <v>72701.69</v>
      </c>
      <c r="R14" s="3">
        <v>77980.53</v>
      </c>
      <c r="S14" s="3">
        <v>36364.92</v>
      </c>
      <c r="T14" s="3">
        <v>4575.1400000000003</v>
      </c>
      <c r="U14" s="3">
        <v>6063.76</v>
      </c>
      <c r="V14" s="3">
        <v>6435.14</v>
      </c>
      <c r="W14" s="3">
        <v>750.42</v>
      </c>
      <c r="X14" s="3">
        <v>54189.38</v>
      </c>
      <c r="Y14" s="3">
        <v>36336.769999999997</v>
      </c>
      <c r="Z14" s="3">
        <f t="shared" si="2"/>
        <v>18512.310000000005</v>
      </c>
      <c r="AA14" s="37">
        <f t="shared" si="3"/>
        <v>0.25463383313372778</v>
      </c>
      <c r="AB14" s="3">
        <v>-5278.83</v>
      </c>
      <c r="AC14" s="3">
        <v>0</v>
      </c>
      <c r="AD14" s="3">
        <v>13086.3</v>
      </c>
      <c r="AE14" s="3">
        <v>85788</v>
      </c>
      <c r="AF14" t="str">
        <f>IF(tbl_FinancialData[[#This Row],[City]]="","Unknown",PROPER(TRIM(tbl_FinancialData[[#This Row],[City]])))</f>
        <v>Lucknow</v>
      </c>
      <c r="AG14" t="str">
        <f>_xlfn.LET(_xlpm.city,LOWER(TRIM(tbl_FinancialData[[#This Row],[City]])),_xlpm.st,PROPER(TRIM(tbl_FinancialData[[#This Row],[State]])),IF(_xlpm.city="pune","Maharashtra",IF(_xlpm.city="jamshedpur","Jharkhand",IF(_xlpm.city="bhilai","Chhattisgarh",IF(_xlpm.city="mumbai","Maharashtra",_xlpm.st)))))</f>
        <v>Uttar Pradesh</v>
      </c>
      <c r="AH14" t="str">
        <f>_xlfn.LET(_xlpm.d,PROPER(TRIM(tbl_FinancialData[[#This Row],[Department]])),IF(_xlpm.d="It","IT",_xlpm.d))</f>
        <v>Sales</v>
      </c>
      <c r="AI14" t="str">
        <f>_xlfn.LET(_xlpm.pid,tbl_FinancialData[[#This Row],[Product ID]],_xlpm.n,PROPER(TRIM(tbl_FinancialData[[#This Row],[Product Name]])),IF(_xlpm.pid="P020","Document Scanner",IF(_xlpm.pid="P015","Network Router",SUBSTITUTE(SUBSTITUTE(_xlpm.n,"Crm","CRM"),"Ups","UPS"))))</f>
        <v>Document Scanner</v>
      </c>
      <c r="AJ14" s="3" t="str">
        <f>UPPER(TRIM(tbl_FinancialData[[#This Row],[Cost Center]]))</f>
        <v>CC-1003</v>
      </c>
      <c r="AL14" s="54" t="s">
        <v>1223</v>
      </c>
      <c r="AM14" s="55" t="s">
        <v>1224</v>
      </c>
      <c r="AN14" s="55" t="s">
        <v>1221</v>
      </c>
    </row>
    <row r="15" spans="1:40" x14ac:dyDescent="0.25">
      <c r="A15" s="3" t="s">
        <v>124</v>
      </c>
      <c r="B15" s="2">
        <v>46096</v>
      </c>
      <c r="C15" t="s">
        <v>125</v>
      </c>
      <c r="D15" s="3" t="str">
        <f t="shared" si="0"/>
        <v>Q4</v>
      </c>
      <c r="E15" s="3" t="str">
        <f t="shared" si="1"/>
        <v>FY2026</v>
      </c>
      <c r="F15" s="8" t="s">
        <v>47</v>
      </c>
      <c r="G15" s="3" t="s">
        <v>35</v>
      </c>
      <c r="H15" t="s">
        <v>48</v>
      </c>
      <c r="I15" t="s">
        <v>126</v>
      </c>
      <c r="J15" s="3" t="s">
        <v>100</v>
      </c>
      <c r="K15" t="s">
        <v>39</v>
      </c>
      <c r="L15" s="3" t="s">
        <v>81</v>
      </c>
      <c r="M15" s="3" t="s">
        <v>62</v>
      </c>
      <c r="N15" t="s">
        <v>63</v>
      </c>
      <c r="O15" t="s">
        <v>54</v>
      </c>
      <c r="P15" t="s">
        <v>55</v>
      </c>
      <c r="Q15" s="3">
        <v>1957.06</v>
      </c>
      <c r="R15" s="3">
        <v>2012.19</v>
      </c>
      <c r="S15" s="3">
        <v>1023.38</v>
      </c>
      <c r="T15" s="3">
        <v>155.22999999999999</v>
      </c>
      <c r="U15" s="3">
        <v>143.59</v>
      </c>
      <c r="V15" s="3">
        <v>191.16</v>
      </c>
      <c r="W15" s="3">
        <v>40.67</v>
      </c>
      <c r="X15" s="3">
        <v>1554.03</v>
      </c>
      <c r="Y15" s="3">
        <v>933.68</v>
      </c>
      <c r="Z15" s="3">
        <f t="shared" si="2"/>
        <v>403.03</v>
      </c>
      <c r="AA15" s="37">
        <f t="shared" si="3"/>
        <v>0.2059364557039641</v>
      </c>
      <c r="AB15" s="3">
        <v>-55.13</v>
      </c>
      <c r="AC15" s="3">
        <v>97.85</v>
      </c>
      <c r="AD15" s="3">
        <v>223.1</v>
      </c>
      <c r="AE15" s="3">
        <v>2082.31</v>
      </c>
      <c r="AF15" t="str">
        <f>IF(tbl_FinancialData[[#This Row],[City]]="","Unknown",PROPER(TRIM(tbl_FinancialData[[#This Row],[City]])))</f>
        <v>Coimbatore</v>
      </c>
      <c r="AG15" t="str">
        <f>_xlfn.LET(_xlpm.city,LOWER(TRIM(tbl_FinancialData[[#This Row],[City]])),_xlpm.st,PROPER(TRIM(tbl_FinancialData[[#This Row],[State]])),IF(_xlpm.city="pune","Maharashtra",IF(_xlpm.city="jamshedpur","Jharkhand",IF(_xlpm.city="bhilai","Chhattisgarh",IF(_xlpm.city="mumbai","Maharashtra",_xlpm.st)))))</f>
        <v>Tamil Nadu</v>
      </c>
      <c r="AH15" t="str">
        <f>_xlfn.LET(_xlpm.d,PROPER(TRIM(tbl_FinancialData[[#This Row],[Department]])),IF(_xlpm.d="It","IT",_xlpm.d))</f>
        <v>Operations</v>
      </c>
      <c r="AI15" t="str">
        <f>_xlfn.LET(_xlpm.pid,tbl_FinancialData[[#This Row],[Product ID]],_xlpm.n,PROPER(TRIM(tbl_FinancialData[[#This Row],[Product Name]])),IF(_xlpm.pid="P020","Document Scanner",IF(_xlpm.pid="P015","Network Router",SUBSTITUTE(SUBSTITUTE(_xlpm.n,"Crm","CRM"),"Ups","UPS"))))</f>
        <v>Keyboard</v>
      </c>
      <c r="AJ15" s="3" t="str">
        <f>UPPER(TRIM(tbl_FinancialData[[#This Row],[Cost Center]]))</f>
        <v>CC-1005</v>
      </c>
      <c r="AL15" s="4" t="s">
        <v>1225</v>
      </c>
      <c r="AM15" s="5" cm="1">
        <f t="array" ref="AM15">SUMPRODUCT(--(ABS((tbl_FinancialData[COGS]+tbl_FinancialData[Operating Expense]+tbl_FinancialData[Marketing Expense]+tbl_FinancialData[Salary Expense]+tbl_FinancialData[Misc Expense])-tbl_FinancialData[Total Expense])&gt;0.05))</f>
        <v>0</v>
      </c>
      <c r="AN15" s="5" t="str">
        <f t="shared" ref="AN15:AN20" si="5">IF(AM15=0,"PASS","CHECK")</f>
        <v>PASS</v>
      </c>
    </row>
    <row r="16" spans="1:40" x14ac:dyDescent="0.25">
      <c r="A16" s="3" t="s">
        <v>127</v>
      </c>
      <c r="B16" s="2">
        <v>45769</v>
      </c>
      <c r="C16" t="s">
        <v>128</v>
      </c>
      <c r="D16" s="3" t="str">
        <f t="shared" si="0"/>
        <v>Q1</v>
      </c>
      <c r="E16" s="3" t="str">
        <f t="shared" si="1"/>
        <v>FY2026</v>
      </c>
      <c r="F16" s="8" t="s">
        <v>47</v>
      </c>
      <c r="G16" s="3" t="s">
        <v>35</v>
      </c>
      <c r="H16" t="s">
        <v>48</v>
      </c>
      <c r="I16" t="s">
        <v>126</v>
      </c>
      <c r="J16" s="3" t="s">
        <v>80</v>
      </c>
      <c r="K16" t="s">
        <v>101</v>
      </c>
      <c r="L16" s="3" t="s">
        <v>51</v>
      </c>
      <c r="M16" s="3" t="s">
        <v>73</v>
      </c>
      <c r="N16" t="s">
        <v>74</v>
      </c>
      <c r="O16" t="s">
        <v>43</v>
      </c>
      <c r="P16" t="s">
        <v>75</v>
      </c>
      <c r="Q16" s="3">
        <v>39175.980000000003</v>
      </c>
      <c r="R16" s="3">
        <v>42336.59</v>
      </c>
      <c r="S16" s="3">
        <v>26929.57</v>
      </c>
      <c r="T16" s="3">
        <v>2680.22</v>
      </c>
      <c r="U16" s="3">
        <v>2250.56</v>
      </c>
      <c r="V16" s="3">
        <v>3359.74</v>
      </c>
      <c r="W16" s="3">
        <v>1445.57</v>
      </c>
      <c r="X16" s="3">
        <v>36665.67</v>
      </c>
      <c r="Y16" s="3">
        <v>12246.4</v>
      </c>
      <c r="Z16" s="3">
        <f t="shared" si="2"/>
        <v>2510.3100000000049</v>
      </c>
      <c r="AA16" s="37">
        <f t="shared" si="3"/>
        <v>6.4077784397480408E-2</v>
      </c>
      <c r="AB16" s="3">
        <v>-3160.61</v>
      </c>
      <c r="AC16" s="3">
        <v>0</v>
      </c>
      <c r="AD16" s="3">
        <v>7051.68</v>
      </c>
      <c r="AE16" s="3">
        <v>46227.65</v>
      </c>
      <c r="AF16" t="str">
        <f>IF(tbl_FinancialData[[#This Row],[City]]="","Unknown",PROPER(TRIM(tbl_FinancialData[[#This Row],[City]])))</f>
        <v>Coimbatore</v>
      </c>
      <c r="AG16" t="str">
        <f>_xlfn.LET(_xlpm.city,LOWER(TRIM(tbl_FinancialData[[#This Row],[City]])),_xlpm.st,PROPER(TRIM(tbl_FinancialData[[#This Row],[State]])),IF(_xlpm.city="pune","Maharashtra",IF(_xlpm.city="jamshedpur","Jharkhand",IF(_xlpm.city="bhilai","Chhattisgarh",IF(_xlpm.city="mumbai","Maharashtra",_xlpm.st)))))</f>
        <v>Tamil Nadu</v>
      </c>
      <c r="AH16" t="str">
        <f>_xlfn.LET(_xlpm.d,PROPER(TRIM(tbl_FinancialData[[#This Row],[Department]])),IF(_xlpm.d="It","IT",_xlpm.d))</f>
        <v>Finance</v>
      </c>
      <c r="AI16" t="str">
        <f>_xlfn.LET(_xlpm.pid,tbl_FinancialData[[#This Row],[Product ID]],_xlpm.n,PROPER(TRIM(tbl_FinancialData[[#This Row],[Product Name]])),IF(_xlpm.pid="P020","Document Scanner",IF(_xlpm.pid="P015","Network Router",SUBSTITUTE(SUBSTITUTE(_xlpm.n,"Crm","CRM"),"Ups","UPS"))))</f>
        <v>Monitor</v>
      </c>
      <c r="AJ16" s="3" t="str">
        <f>UPPER(TRIM(tbl_FinancialData[[#This Row],[Cost Center]]))</f>
        <v>CC-1003</v>
      </c>
      <c r="AL16" s="4" t="s">
        <v>1226</v>
      </c>
      <c r="AM16" s="5" cm="1">
        <f t="array" ref="AM16">SUMPRODUCT(--(ABS((tbl_FinancialData[Revenue]-tbl_FinancialData[COGS])-tbl_FinancialData[Gross Profit])&gt;0.05))</f>
        <v>0</v>
      </c>
      <c r="AN16" s="5" t="str">
        <f t="shared" si="5"/>
        <v>PASS</v>
      </c>
    </row>
    <row r="17" spans="1:40" x14ac:dyDescent="0.25">
      <c r="A17" s="3" t="s">
        <v>129</v>
      </c>
      <c r="B17" s="2">
        <v>45905</v>
      </c>
      <c r="C17" t="s">
        <v>46</v>
      </c>
      <c r="D17" s="3" t="str">
        <f t="shared" si="0"/>
        <v>Q2</v>
      </c>
      <c r="E17" s="3" t="str">
        <f t="shared" si="1"/>
        <v>FY2026</v>
      </c>
      <c r="F17" s="8" t="s">
        <v>85</v>
      </c>
      <c r="G17" s="3" t="s">
        <v>35</v>
      </c>
      <c r="H17" t="s">
        <v>86</v>
      </c>
      <c r="I17" t="s">
        <v>87</v>
      </c>
      <c r="J17" s="3" t="s">
        <v>70</v>
      </c>
      <c r="K17" t="s">
        <v>71</v>
      </c>
      <c r="L17" s="3" t="s">
        <v>81</v>
      </c>
      <c r="M17" s="3" t="s">
        <v>130</v>
      </c>
      <c r="N17" t="s">
        <v>131</v>
      </c>
      <c r="O17" t="s">
        <v>43</v>
      </c>
      <c r="P17" t="s">
        <v>132</v>
      </c>
      <c r="Q17" s="3">
        <v>48086.6</v>
      </c>
      <c r="R17" s="3">
        <v>56458.46</v>
      </c>
      <c r="S17" s="3">
        <v>23951.119999999999</v>
      </c>
      <c r="T17" s="3">
        <v>3580.32</v>
      </c>
      <c r="U17" s="3">
        <v>1798.88</v>
      </c>
      <c r="V17" s="3">
        <v>2956.27</v>
      </c>
      <c r="W17" s="3">
        <v>1297.6099999999999</v>
      </c>
      <c r="X17" s="3">
        <v>33584.21</v>
      </c>
      <c r="Y17" s="3">
        <v>24135.48</v>
      </c>
      <c r="Z17" s="3">
        <f t="shared" si="2"/>
        <v>14502.39</v>
      </c>
      <c r="AA17" s="37">
        <f t="shared" si="3"/>
        <v>0.30158900816443668</v>
      </c>
      <c r="AB17" s="3">
        <v>-8371.85</v>
      </c>
      <c r="AC17" s="3">
        <v>1442.6</v>
      </c>
      <c r="AD17" s="3">
        <v>5597.28</v>
      </c>
      <c r="AE17" s="3">
        <v>52241.29</v>
      </c>
      <c r="AF17" t="str">
        <f>IF(tbl_FinancialData[[#This Row],[City]]="","Unknown",PROPER(TRIM(tbl_FinancialData[[#This Row],[City]])))</f>
        <v>Indore</v>
      </c>
      <c r="AG17" t="str">
        <f>_xlfn.LET(_xlpm.city,LOWER(TRIM(tbl_FinancialData[[#This Row],[City]])),_xlpm.st,PROPER(TRIM(tbl_FinancialData[[#This Row],[State]])),IF(_xlpm.city="pune","Maharashtra",IF(_xlpm.city="jamshedpur","Jharkhand",IF(_xlpm.city="bhilai","Chhattisgarh",IF(_xlpm.city="mumbai","Maharashtra",_xlpm.st)))))</f>
        <v>Madhya Pradesh</v>
      </c>
      <c r="AH17" t="str">
        <f>_xlfn.LET(_xlpm.d,PROPER(TRIM(tbl_FinancialData[[#This Row],[Department]])),IF(_xlpm.d="It","IT",_xlpm.d))</f>
        <v>Marketing</v>
      </c>
      <c r="AI17" t="str">
        <f>_xlfn.LET(_xlpm.pid,tbl_FinancialData[[#This Row],[Product ID]],_xlpm.n,PROPER(TRIM(tbl_FinancialData[[#This Row],[Product Name]])),IF(_xlpm.pid="P020","Document Scanner",IF(_xlpm.pid="P015","Network Router",SUBSTITUTE(SUBSTITUTE(_xlpm.n,"Crm","CRM"),"Ups","UPS"))))</f>
        <v>UPS System</v>
      </c>
      <c r="AJ17" s="3" t="str">
        <f>UPPER(TRIM(tbl_FinancialData[[#This Row],[Cost Center]]))</f>
        <v>CC-1005</v>
      </c>
      <c r="AL17" s="4" t="s">
        <v>1227</v>
      </c>
      <c r="AM17" s="5" cm="1">
        <f t="array" ref="AM17">SUMPRODUCT(--(ABS((tbl_FinancialData[Revenue]-tbl_FinancialData[Total Expense])-tbl_FinancialData[Net Profit])&gt;0.05))</f>
        <v>0</v>
      </c>
      <c r="AN17" s="5" t="str">
        <f t="shared" si="5"/>
        <v>PASS</v>
      </c>
    </row>
    <row r="18" spans="1:40" x14ac:dyDescent="0.25">
      <c r="A18" s="3" t="s">
        <v>133</v>
      </c>
      <c r="B18" s="2">
        <v>45801</v>
      </c>
      <c r="C18" t="s">
        <v>65</v>
      </c>
      <c r="D18" s="3" t="str">
        <f t="shared" si="0"/>
        <v>Q1</v>
      </c>
      <c r="E18" s="3" t="str">
        <f t="shared" si="1"/>
        <v>FY2026</v>
      </c>
      <c r="F18" s="8" t="s">
        <v>34</v>
      </c>
      <c r="G18" s="3" t="s">
        <v>35</v>
      </c>
      <c r="H18" t="s">
        <v>134</v>
      </c>
      <c r="I18" t="s">
        <v>135</v>
      </c>
      <c r="J18" s="3" t="s">
        <v>38</v>
      </c>
      <c r="K18" t="s">
        <v>50</v>
      </c>
      <c r="L18" s="3" t="s">
        <v>40</v>
      </c>
      <c r="M18" s="3" t="s">
        <v>52</v>
      </c>
      <c r="N18" t="s">
        <v>53</v>
      </c>
      <c r="O18" t="s">
        <v>54</v>
      </c>
      <c r="P18" t="s">
        <v>55</v>
      </c>
      <c r="Q18" s="3">
        <v>9607.66</v>
      </c>
      <c r="R18" s="3">
        <v>10463.75</v>
      </c>
      <c r="S18" s="3">
        <v>6231.49</v>
      </c>
      <c r="T18" s="3">
        <v>756.69</v>
      </c>
      <c r="U18" s="3">
        <v>423.54</v>
      </c>
      <c r="V18" s="3">
        <v>1006.39</v>
      </c>
      <c r="W18" s="3">
        <v>368.49</v>
      </c>
      <c r="X18" s="3">
        <v>8786.61</v>
      </c>
      <c r="Y18" s="3">
        <v>3376.17</v>
      </c>
      <c r="Z18" s="3">
        <f t="shared" si="2"/>
        <v>821.04999999999927</v>
      </c>
      <c r="AA18" s="37">
        <f t="shared" si="3"/>
        <v>8.5457853421124316E-2</v>
      </c>
      <c r="AB18" s="3">
        <v>-856.09</v>
      </c>
      <c r="AC18" s="3">
        <v>768.61</v>
      </c>
      <c r="AD18" s="3">
        <v>1591.03</v>
      </c>
      <c r="AE18" s="3">
        <v>10430.08</v>
      </c>
      <c r="AF18" t="str">
        <f>IF(tbl_FinancialData[[#This Row],[City]]="","Unknown",PROPER(TRIM(tbl_FinancialData[[#This Row],[City]])))</f>
        <v>Jodhpur</v>
      </c>
      <c r="AG18" t="str">
        <f>_xlfn.LET(_xlpm.city,LOWER(TRIM(tbl_FinancialData[[#This Row],[City]])),_xlpm.st,PROPER(TRIM(tbl_FinancialData[[#This Row],[State]])),IF(_xlpm.city="pune","Maharashtra",IF(_xlpm.city="jamshedpur","Jharkhand",IF(_xlpm.city="bhilai","Chhattisgarh",IF(_xlpm.city="mumbai","Maharashtra",_xlpm.st)))))</f>
        <v>Rajasthan</v>
      </c>
      <c r="AH18" t="str">
        <f>_xlfn.LET(_xlpm.d,PROPER(TRIM(tbl_FinancialData[[#This Row],[Department]])),IF(_xlpm.d="It","IT",_xlpm.d))</f>
        <v>Sales</v>
      </c>
      <c r="AI18" t="str">
        <f>_xlfn.LET(_xlpm.pid,tbl_FinancialData[[#This Row],[Product ID]],_xlpm.n,PROPER(TRIM(tbl_FinancialData[[#This Row],[Product Name]])),IF(_xlpm.pid="P020","Document Scanner",IF(_xlpm.pid="P015","Network Router",SUBSTITUTE(SUBSTITUTE(_xlpm.n,"Crm","CRM"),"Ups","UPS"))))</f>
        <v>Mouse</v>
      </c>
      <c r="AJ18" s="3" t="str">
        <f>UPPER(TRIM(tbl_FinancialData[[#This Row],[Cost Center]]))</f>
        <v>CC-1002</v>
      </c>
      <c r="AL18" s="4" t="s">
        <v>1228</v>
      </c>
      <c r="AM18" s="5" cm="1">
        <f t="array" ref="AM18">SUMPRODUCT(--(ABS((tbl_FinancialData[Revenue]-tbl_FinancialData[Budget Revenue])-tbl_FinancialData[Budget Variance])&gt;0.05))</f>
        <v>0</v>
      </c>
      <c r="AN18" s="5" t="str">
        <f t="shared" si="5"/>
        <v>PASS</v>
      </c>
    </row>
    <row r="19" spans="1:40" x14ac:dyDescent="0.25">
      <c r="A19" s="3" t="s">
        <v>136</v>
      </c>
      <c r="B19" s="2">
        <v>46060</v>
      </c>
      <c r="C19" t="s">
        <v>57</v>
      </c>
      <c r="D19" s="3" t="str">
        <f t="shared" si="0"/>
        <v>Q4</v>
      </c>
      <c r="E19" s="3" t="str">
        <f t="shared" si="1"/>
        <v>FY2026</v>
      </c>
      <c r="F19" s="8" t="s">
        <v>34</v>
      </c>
      <c r="G19" s="3" t="s">
        <v>35</v>
      </c>
      <c r="H19" t="s">
        <v>134</v>
      </c>
      <c r="I19" t="s">
        <v>137</v>
      </c>
      <c r="J19" s="3" t="s">
        <v>38</v>
      </c>
      <c r="K19" t="s">
        <v>71</v>
      </c>
      <c r="L19" s="3" t="s">
        <v>72</v>
      </c>
      <c r="M19" s="3" t="s">
        <v>41</v>
      </c>
      <c r="N19" t="s">
        <v>42</v>
      </c>
      <c r="O19" t="s">
        <v>43</v>
      </c>
      <c r="P19" t="s">
        <v>44</v>
      </c>
      <c r="Q19" s="3">
        <v>33050.480000000003</v>
      </c>
      <c r="R19" s="3">
        <v>30016.27</v>
      </c>
      <c r="S19" s="3">
        <v>20451.22</v>
      </c>
      <c r="T19" s="3">
        <v>1747.56</v>
      </c>
      <c r="U19" s="3">
        <v>1826.5</v>
      </c>
      <c r="V19" s="3">
        <v>2756.79</v>
      </c>
      <c r="W19" s="3">
        <v>661.97</v>
      </c>
      <c r="X19" s="3">
        <v>27444.03</v>
      </c>
      <c r="Y19" s="3">
        <v>12599.27</v>
      </c>
      <c r="Z19" s="3">
        <f t="shared" si="2"/>
        <v>5606.4500000000044</v>
      </c>
      <c r="AA19" s="37">
        <f t="shared" si="3"/>
        <v>0.16963293725234865</v>
      </c>
      <c r="AB19" s="3">
        <v>3034.21</v>
      </c>
      <c r="AC19" s="3">
        <v>1652.52</v>
      </c>
      <c r="AD19" s="3">
        <v>1569.9</v>
      </c>
      <c r="AE19" s="3">
        <v>32967.85</v>
      </c>
      <c r="AF19" t="str">
        <f>IF(tbl_FinancialData[[#This Row],[City]]="","Unknown",PROPER(TRIM(tbl_FinancialData[[#This Row],[City]])))</f>
        <v>Pune</v>
      </c>
      <c r="AG19" t="str">
        <f>_xlfn.LET(_xlpm.city,LOWER(TRIM(tbl_FinancialData[[#This Row],[City]])),_xlpm.st,PROPER(TRIM(tbl_FinancialData[[#This Row],[State]])),IF(_xlpm.city="pune","Maharashtra",IF(_xlpm.city="jamshedpur","Jharkhand",IF(_xlpm.city="bhilai","Chhattisgarh",IF(_xlpm.city="mumbai","Maharashtra",_xlpm.st)))))</f>
        <v>Maharashtra</v>
      </c>
      <c r="AH19" t="str">
        <f>_xlfn.LET(_xlpm.d,PROPER(TRIM(tbl_FinancialData[[#This Row],[Department]])),IF(_xlpm.d="It","IT",_xlpm.d))</f>
        <v>Marketing</v>
      </c>
      <c r="AI19" t="str">
        <f>_xlfn.LET(_xlpm.pid,tbl_FinancialData[[#This Row],[Product ID]],_xlpm.n,PROPER(TRIM(tbl_FinancialData[[#This Row],[Product Name]])),IF(_xlpm.pid="P020","Document Scanner",IF(_xlpm.pid="P015","Network Router",SUBSTITUTE(SUBSTITUTE(_xlpm.n,"Crm","CRM"),"Ups","UPS"))))</f>
        <v>Conference Camera</v>
      </c>
      <c r="AJ19" s="3" t="str">
        <f>UPPER(TRIM(tbl_FinancialData[[#This Row],[Cost Center]]))</f>
        <v>CC-1004</v>
      </c>
      <c r="AL19" s="4" t="s">
        <v>1229</v>
      </c>
      <c r="AM19" s="5" cm="1">
        <f t="array" ref="AM19">SUMPRODUCT(--(ABS((tbl_FinancialData[Revenue]-tbl_FinancialData[Discount]+tbl_FinancialData[Tax])-tbl_FinancialData[Net Revenue])&gt;0.05))</f>
        <v>0</v>
      </c>
      <c r="AN19" s="5" t="str">
        <f t="shared" si="5"/>
        <v>PASS</v>
      </c>
    </row>
    <row r="20" spans="1:40" x14ac:dyDescent="0.25">
      <c r="A20" s="3" t="s">
        <v>138</v>
      </c>
      <c r="B20" s="2">
        <v>45927</v>
      </c>
      <c r="C20" t="s">
        <v>46</v>
      </c>
      <c r="D20" s="3" t="str">
        <f t="shared" si="0"/>
        <v>Q2</v>
      </c>
      <c r="E20" s="3" t="str">
        <f t="shared" si="1"/>
        <v>FY2026</v>
      </c>
      <c r="F20" s="8" t="s">
        <v>59</v>
      </c>
      <c r="G20" s="3" t="s">
        <v>35</v>
      </c>
      <c r="H20" t="s">
        <v>139</v>
      </c>
      <c r="I20" t="s">
        <v>140</v>
      </c>
      <c r="J20" s="3" t="s">
        <v>70</v>
      </c>
      <c r="K20" t="s">
        <v>50</v>
      </c>
      <c r="L20" s="3" t="s">
        <v>94</v>
      </c>
      <c r="M20" s="3" t="s">
        <v>141</v>
      </c>
      <c r="N20" t="s">
        <v>142</v>
      </c>
      <c r="O20" t="s">
        <v>54</v>
      </c>
      <c r="P20" t="s">
        <v>143</v>
      </c>
      <c r="Q20" s="3">
        <v>6337.58</v>
      </c>
      <c r="R20" s="3">
        <v>6761.36</v>
      </c>
      <c r="S20" s="3">
        <v>3171.85</v>
      </c>
      <c r="T20" s="3">
        <v>343.08</v>
      </c>
      <c r="U20" s="3">
        <v>377.33</v>
      </c>
      <c r="V20" s="3">
        <v>527.61</v>
      </c>
      <c r="W20" s="3">
        <v>204.77</v>
      </c>
      <c r="X20" s="3">
        <v>4624.6400000000003</v>
      </c>
      <c r="Y20" s="3">
        <v>3165.73</v>
      </c>
      <c r="Z20" s="3">
        <f t="shared" si="2"/>
        <v>1712.9399999999996</v>
      </c>
      <c r="AA20" s="37">
        <f t="shared" si="3"/>
        <v>0.27028297867640322</v>
      </c>
      <c r="AB20" s="3">
        <v>-423.78</v>
      </c>
      <c r="AC20" s="3">
        <v>316.88</v>
      </c>
      <c r="AD20" s="3">
        <v>1083.73</v>
      </c>
      <c r="AE20" s="3">
        <v>7104.43</v>
      </c>
      <c r="AF20" t="str">
        <f>IF(tbl_FinancialData[[#This Row],[City]]="","Unknown",PROPER(TRIM(tbl_FinancialData[[#This Row],[City]])))</f>
        <v>Faridabad</v>
      </c>
      <c r="AG20" t="str">
        <f>_xlfn.LET(_xlpm.city,LOWER(TRIM(tbl_FinancialData[[#This Row],[City]])),_xlpm.st,PROPER(TRIM(tbl_FinancialData[[#This Row],[State]])),IF(_xlpm.city="pune","Maharashtra",IF(_xlpm.city="jamshedpur","Jharkhand",IF(_xlpm.city="bhilai","Chhattisgarh",IF(_xlpm.city="mumbai","Maharashtra",_xlpm.st)))))</f>
        <v>Haryana</v>
      </c>
      <c r="AH20" t="str">
        <f>_xlfn.LET(_xlpm.d,PROPER(TRIM(tbl_FinancialData[[#This Row],[Department]])),IF(_xlpm.d="It","IT",_xlpm.d))</f>
        <v>Sales</v>
      </c>
      <c r="AI20" t="str">
        <f>_xlfn.LET(_xlpm.pid,tbl_FinancialData[[#This Row],[Product ID]],_xlpm.n,PROPER(TRIM(tbl_FinancialData[[#This Row],[Product Name]])),IF(_xlpm.pid="P020","Document Scanner",IF(_xlpm.pid="P015","Network Router",SUBSTITUTE(SUBSTITUTE(_xlpm.n,"Crm","CRM"),"Ups","UPS"))))</f>
        <v>Headset</v>
      </c>
      <c r="AJ20" s="3" t="str">
        <f>UPPER(TRIM(tbl_FinancialData[[#This Row],[Cost Center]]))</f>
        <v>CC-1001</v>
      </c>
      <c r="AL20" s="4" t="s">
        <v>1230</v>
      </c>
      <c r="AM20" s="5" cm="1">
        <f t="array" ref="AM20">SUMPRODUCT(--(ABS((tbl_FinancialData[Net Profit]/IF(tbl_FinancialData[Revenue]=0,1,tbl_FinancialData[Revenue]))-tbl_FinancialData[Profit Margin %])&gt;0.0001))</f>
        <v>0</v>
      </c>
      <c r="AN20" s="5" t="str">
        <f t="shared" si="5"/>
        <v>PASS</v>
      </c>
    </row>
    <row r="21" spans="1:40" x14ac:dyDescent="0.25">
      <c r="A21" s="3" t="s">
        <v>144</v>
      </c>
      <c r="B21" s="2">
        <v>45871</v>
      </c>
      <c r="C21" t="s">
        <v>117</v>
      </c>
      <c r="D21" s="3" t="str">
        <f t="shared" si="0"/>
        <v>Q2</v>
      </c>
      <c r="E21" s="3" t="str">
        <f t="shared" si="1"/>
        <v>FY2026</v>
      </c>
      <c r="F21" s="8" t="s">
        <v>34</v>
      </c>
      <c r="G21" s="3" t="s">
        <v>35</v>
      </c>
      <c r="H21" t="s">
        <v>36</v>
      </c>
      <c r="I21" t="s">
        <v>145</v>
      </c>
      <c r="J21" s="3" t="s">
        <v>38</v>
      </c>
      <c r="K21" t="s">
        <v>50</v>
      </c>
      <c r="L21" s="3" t="s">
        <v>72</v>
      </c>
      <c r="M21" s="3" t="s">
        <v>110</v>
      </c>
      <c r="N21" t="s">
        <v>111</v>
      </c>
      <c r="O21" t="s">
        <v>112</v>
      </c>
      <c r="P21" t="s">
        <v>113</v>
      </c>
      <c r="Q21" s="3">
        <v>9626.48</v>
      </c>
      <c r="R21" s="3">
        <v>9708.25</v>
      </c>
      <c r="S21" s="3">
        <v>6211.39</v>
      </c>
      <c r="T21" s="3">
        <v>526.14</v>
      </c>
      <c r="U21" s="3">
        <v>813.33</v>
      </c>
      <c r="V21" s="3">
        <v>725.72</v>
      </c>
      <c r="W21" s="3">
        <v>177.06</v>
      </c>
      <c r="X21" s="3">
        <v>8453.64</v>
      </c>
      <c r="Y21" s="3">
        <v>3415.09</v>
      </c>
      <c r="Z21" s="3">
        <f t="shared" si="2"/>
        <v>1172.8400000000001</v>
      </c>
      <c r="AA21" s="37">
        <f t="shared" si="3"/>
        <v>0.12183477241940982</v>
      </c>
      <c r="AB21" s="3">
        <v>-81.77</v>
      </c>
      <c r="AC21" s="3">
        <v>0</v>
      </c>
      <c r="AD21" s="3">
        <v>481.32</v>
      </c>
      <c r="AE21" s="3">
        <v>10107.799999999999</v>
      </c>
      <c r="AF21" t="str">
        <f>IF(tbl_FinancialData[[#This Row],[City]]="","Unknown",PROPER(TRIM(tbl_FinancialData[[#This Row],[City]])))</f>
        <v>Panaji</v>
      </c>
      <c r="AG21" t="str">
        <f>_xlfn.LET(_xlpm.city,LOWER(TRIM(tbl_FinancialData[[#This Row],[City]])),_xlpm.st,PROPER(TRIM(tbl_FinancialData[[#This Row],[State]])),IF(_xlpm.city="pune","Maharashtra",IF(_xlpm.city="jamshedpur","Jharkhand",IF(_xlpm.city="bhilai","Chhattisgarh",IF(_xlpm.city="mumbai","Maharashtra",_xlpm.st)))))</f>
        <v>Goa</v>
      </c>
      <c r="AH21" t="str">
        <f>_xlfn.LET(_xlpm.d,PROPER(TRIM(tbl_FinancialData[[#This Row],[Department]])),IF(_xlpm.d="It","IT",_xlpm.d))</f>
        <v>Sales</v>
      </c>
      <c r="AI21" t="str">
        <f>_xlfn.LET(_xlpm.pid,tbl_FinancialData[[#This Row],[Product ID]],_xlpm.n,PROPER(TRIM(tbl_FinancialData[[#This Row],[Product Name]])),IF(_xlpm.pid="P020","Document Scanner",IF(_xlpm.pid="P015","Network Router",SUBSTITUTE(SUBSTITUTE(_xlpm.n,"Crm","CRM"),"Ups","UPS"))))</f>
        <v>Office Desk</v>
      </c>
      <c r="AJ21" s="3" t="str">
        <f>UPPER(TRIM(tbl_FinancialData[[#This Row],[Cost Center]]))</f>
        <v>CC-1004</v>
      </c>
    </row>
    <row r="22" spans="1:40" x14ac:dyDescent="0.25">
      <c r="A22" s="3" t="s">
        <v>146</v>
      </c>
      <c r="B22" s="2">
        <v>45984</v>
      </c>
      <c r="C22" t="s">
        <v>147</v>
      </c>
      <c r="D22" s="3" t="str">
        <f t="shared" si="0"/>
        <v>Q3</v>
      </c>
      <c r="E22" s="3" t="str">
        <f t="shared" si="1"/>
        <v>FY2026</v>
      </c>
      <c r="F22" s="8" t="s">
        <v>47</v>
      </c>
      <c r="G22" s="3" t="s">
        <v>35</v>
      </c>
      <c r="H22" t="s">
        <v>78</v>
      </c>
      <c r="I22" t="s">
        <v>79</v>
      </c>
      <c r="J22" s="3" t="s">
        <v>70</v>
      </c>
      <c r="K22" t="s">
        <v>39</v>
      </c>
      <c r="L22" s="3" t="s">
        <v>81</v>
      </c>
      <c r="M22" s="3" t="s">
        <v>88</v>
      </c>
      <c r="N22" t="s">
        <v>89</v>
      </c>
      <c r="O22" t="s">
        <v>43</v>
      </c>
      <c r="P22" t="s">
        <v>90</v>
      </c>
      <c r="Q22" s="3">
        <v>28563.85</v>
      </c>
      <c r="R22" s="3">
        <v>31630.29</v>
      </c>
      <c r="S22" s="3">
        <v>13809.32</v>
      </c>
      <c r="T22" s="3">
        <v>1693.43</v>
      </c>
      <c r="U22" s="3">
        <v>799.51</v>
      </c>
      <c r="V22" s="3">
        <v>1235.6199999999999</v>
      </c>
      <c r="W22" s="3">
        <v>1140.8699999999999</v>
      </c>
      <c r="X22" s="3">
        <v>18678.759999999998</v>
      </c>
      <c r="Y22" s="3">
        <v>14754.53</v>
      </c>
      <c r="Z22" s="3">
        <f t="shared" si="2"/>
        <v>9885.09</v>
      </c>
      <c r="AA22" s="37">
        <f t="shared" si="3"/>
        <v>0.34606994505292532</v>
      </c>
      <c r="AB22" s="3">
        <v>-3066.44</v>
      </c>
      <c r="AC22" s="3">
        <v>1428.19</v>
      </c>
      <c r="AD22" s="3">
        <v>3256.28</v>
      </c>
      <c r="AE22" s="3">
        <v>30391.94</v>
      </c>
      <c r="AF22" t="str">
        <f>IF(tbl_FinancialData[[#This Row],[City]]="","Unknown",PROPER(TRIM(tbl_FinancialData[[#This Row],[City]])))</f>
        <v>Kochi</v>
      </c>
      <c r="AG22" t="str">
        <f>_xlfn.LET(_xlpm.city,LOWER(TRIM(tbl_FinancialData[[#This Row],[City]])),_xlpm.st,PROPER(TRIM(tbl_FinancialData[[#This Row],[State]])),IF(_xlpm.city="pune","Maharashtra",IF(_xlpm.city="jamshedpur","Jharkhand",IF(_xlpm.city="bhilai","Chhattisgarh",IF(_xlpm.city="mumbai","Maharashtra",_xlpm.st)))))</f>
        <v>Kerala</v>
      </c>
      <c r="AH22" t="str">
        <f>_xlfn.LET(_xlpm.d,PROPER(TRIM(tbl_FinancialData[[#This Row],[Department]])),IF(_xlpm.d="It","IT",_xlpm.d))</f>
        <v>Operations</v>
      </c>
      <c r="AI22" t="str">
        <f>_xlfn.LET(_xlpm.pid,tbl_FinancialData[[#This Row],[Product ID]],_xlpm.n,PROPER(TRIM(tbl_FinancialData[[#This Row],[Product Name]])),IF(_xlpm.pid="P020","Document Scanner",IF(_xlpm.pid="P015","Network Router",SUBSTITUTE(SUBSTITUTE(_xlpm.n,"Crm","CRM"),"Ups","UPS"))))</f>
        <v>Printer</v>
      </c>
      <c r="AJ22" s="3" t="str">
        <f>UPPER(TRIM(tbl_FinancialData[[#This Row],[Cost Center]]))</f>
        <v>CC-1005</v>
      </c>
      <c r="AL22" s="53" t="s">
        <v>1231</v>
      </c>
    </row>
    <row r="23" spans="1:40" x14ac:dyDescent="0.25">
      <c r="A23" s="3" t="s">
        <v>148</v>
      </c>
      <c r="B23" s="2">
        <v>45965</v>
      </c>
      <c r="C23" t="s">
        <v>147</v>
      </c>
      <c r="D23" s="3" t="str">
        <f t="shared" si="0"/>
        <v>Q3</v>
      </c>
      <c r="E23" s="3" t="str">
        <f t="shared" si="1"/>
        <v>FY2026</v>
      </c>
      <c r="F23" s="8" t="s">
        <v>34</v>
      </c>
      <c r="G23" s="3" t="s">
        <v>35</v>
      </c>
      <c r="H23" t="s">
        <v>98</v>
      </c>
      <c r="I23" t="s">
        <v>149</v>
      </c>
      <c r="J23" s="3" t="s">
        <v>38</v>
      </c>
      <c r="K23" t="s">
        <v>50</v>
      </c>
      <c r="L23" s="3" t="s">
        <v>81</v>
      </c>
      <c r="M23" s="3" t="s">
        <v>52</v>
      </c>
      <c r="N23" t="s">
        <v>53</v>
      </c>
      <c r="O23" t="s">
        <v>54</v>
      </c>
      <c r="P23" t="s">
        <v>55</v>
      </c>
      <c r="Q23" s="3">
        <v>11029.55</v>
      </c>
      <c r="R23" s="3">
        <v>10569.26</v>
      </c>
      <c r="S23" s="3">
        <v>5334.7</v>
      </c>
      <c r="T23" s="3">
        <v>1375.11</v>
      </c>
      <c r="U23" s="3">
        <v>634.94000000000005</v>
      </c>
      <c r="V23" s="3">
        <v>917.11</v>
      </c>
      <c r="W23" s="3">
        <v>374.33</v>
      </c>
      <c r="X23" s="3">
        <v>8636.19</v>
      </c>
      <c r="Y23" s="3">
        <v>5694.85</v>
      </c>
      <c r="Z23" s="3">
        <f t="shared" si="2"/>
        <v>2393.3599999999988</v>
      </c>
      <c r="AA23" s="37">
        <f t="shared" si="3"/>
        <v>0.21699525365948738</v>
      </c>
      <c r="AB23" s="3">
        <v>460.28</v>
      </c>
      <c r="AC23" s="3">
        <v>551.48</v>
      </c>
      <c r="AD23" s="3">
        <v>1886.05</v>
      </c>
      <c r="AE23" s="3">
        <v>12364.12</v>
      </c>
      <c r="AF23" t="str">
        <f>IF(tbl_FinancialData[[#This Row],[City]]="","Unknown",PROPER(TRIM(tbl_FinancialData[[#This Row],[City]])))</f>
        <v>Nagpur</v>
      </c>
      <c r="AG23" t="str">
        <f>_xlfn.LET(_xlpm.city,LOWER(TRIM(tbl_FinancialData[[#This Row],[City]])),_xlpm.st,PROPER(TRIM(tbl_FinancialData[[#This Row],[State]])),IF(_xlpm.city="pune","Maharashtra",IF(_xlpm.city="jamshedpur","Jharkhand",IF(_xlpm.city="bhilai","Chhattisgarh",IF(_xlpm.city="mumbai","Maharashtra",_xlpm.st)))))</f>
        <v>Maharashtra</v>
      </c>
      <c r="AH23" t="str">
        <f>_xlfn.LET(_xlpm.d,PROPER(TRIM(tbl_FinancialData[[#This Row],[Department]])),IF(_xlpm.d="It","IT",_xlpm.d))</f>
        <v>Sales</v>
      </c>
      <c r="AI23" t="str">
        <f>_xlfn.LET(_xlpm.pid,tbl_FinancialData[[#This Row],[Product ID]],_xlpm.n,PROPER(TRIM(tbl_FinancialData[[#This Row],[Product Name]])),IF(_xlpm.pid="P020","Document Scanner",IF(_xlpm.pid="P015","Network Router",SUBSTITUTE(SUBSTITUTE(_xlpm.n,"Crm","CRM"),"Ups","UPS"))))</f>
        <v>Mouse</v>
      </c>
      <c r="AJ23" s="3" t="str">
        <f>UPPER(TRIM(tbl_FinancialData[[#This Row],[Cost Center]]))</f>
        <v>CC-1005</v>
      </c>
    </row>
    <row r="24" spans="1:40" x14ac:dyDescent="0.25">
      <c r="A24" s="3" t="s">
        <v>150</v>
      </c>
      <c r="B24" s="2">
        <v>46005</v>
      </c>
      <c r="C24" t="s">
        <v>107</v>
      </c>
      <c r="D24" s="3" t="str">
        <f t="shared" si="0"/>
        <v>Q3</v>
      </c>
      <c r="E24" s="3" t="str">
        <f t="shared" si="1"/>
        <v>FY2026</v>
      </c>
      <c r="F24" s="8" t="s">
        <v>59</v>
      </c>
      <c r="G24" s="3" t="s">
        <v>35</v>
      </c>
      <c r="H24" t="s">
        <v>60</v>
      </c>
      <c r="I24" t="s">
        <v>108</v>
      </c>
      <c r="J24" s="3" t="s">
        <v>38</v>
      </c>
      <c r="K24" t="s">
        <v>39</v>
      </c>
      <c r="L24" s="3" t="s">
        <v>40</v>
      </c>
      <c r="M24" s="3" t="s">
        <v>88</v>
      </c>
      <c r="N24" t="s">
        <v>89</v>
      </c>
      <c r="O24" t="s">
        <v>43</v>
      </c>
      <c r="P24" t="s">
        <v>90</v>
      </c>
      <c r="Q24" s="3">
        <v>49438.080000000002</v>
      </c>
      <c r="R24" s="3">
        <v>51597.79</v>
      </c>
      <c r="S24" s="3">
        <v>34900.89</v>
      </c>
      <c r="T24" s="3">
        <v>3998.96</v>
      </c>
      <c r="U24" s="3">
        <v>4324.71</v>
      </c>
      <c r="V24" s="3">
        <v>5558.23</v>
      </c>
      <c r="W24" s="3">
        <v>833.16</v>
      </c>
      <c r="X24" s="3">
        <v>49615.95</v>
      </c>
      <c r="Y24" s="3">
        <v>14537.19</v>
      </c>
      <c r="Z24" s="3">
        <f t="shared" si="2"/>
        <v>-177.86999999999534</v>
      </c>
      <c r="AA24" s="37">
        <f t="shared" si="3"/>
        <v>-3.5978338964619042E-3</v>
      </c>
      <c r="AB24" s="3">
        <v>-2159.6999999999998</v>
      </c>
      <c r="AC24" s="3">
        <v>0</v>
      </c>
      <c r="AD24" s="3">
        <v>2471.9</v>
      </c>
      <c r="AE24" s="3">
        <v>51909.99</v>
      </c>
      <c r="AF24" t="str">
        <f>IF(tbl_FinancialData[[#This Row],[City]]="","Unknown",PROPER(TRIM(tbl_FinancialData[[#This Row],[City]])))</f>
        <v>Agra</v>
      </c>
      <c r="AG24" t="str">
        <f>_xlfn.LET(_xlpm.city,LOWER(TRIM(tbl_FinancialData[[#This Row],[City]])),_xlpm.st,PROPER(TRIM(tbl_FinancialData[[#This Row],[State]])),IF(_xlpm.city="pune","Maharashtra",IF(_xlpm.city="jamshedpur","Jharkhand",IF(_xlpm.city="bhilai","Chhattisgarh",IF(_xlpm.city="mumbai","Maharashtra",_xlpm.st)))))</f>
        <v>Uttar Pradesh</v>
      </c>
      <c r="AH24" t="str">
        <f>_xlfn.LET(_xlpm.d,PROPER(TRIM(tbl_FinancialData[[#This Row],[Department]])),IF(_xlpm.d="It","IT",_xlpm.d))</f>
        <v>Operations</v>
      </c>
      <c r="AI24" t="str">
        <f>_xlfn.LET(_xlpm.pid,tbl_FinancialData[[#This Row],[Product ID]],_xlpm.n,PROPER(TRIM(tbl_FinancialData[[#This Row],[Product Name]])),IF(_xlpm.pid="P020","Document Scanner",IF(_xlpm.pid="P015","Network Router",SUBSTITUTE(SUBSTITUTE(_xlpm.n,"Crm","CRM"),"Ups","UPS"))))</f>
        <v>Printer</v>
      </c>
      <c r="AJ24" s="3" t="str">
        <f>UPPER(TRIM(tbl_FinancialData[[#This Row],[Cost Center]]))</f>
        <v>CC-1002</v>
      </c>
      <c r="AL24" s="54" t="s">
        <v>1223</v>
      </c>
      <c r="AM24" s="55" t="s">
        <v>1220</v>
      </c>
      <c r="AN24" s="55" t="s">
        <v>1221</v>
      </c>
    </row>
    <row r="25" spans="1:40" x14ac:dyDescent="0.25">
      <c r="A25" s="3" t="s">
        <v>151</v>
      </c>
      <c r="B25" s="2">
        <v>46000</v>
      </c>
      <c r="C25" t="s">
        <v>107</v>
      </c>
      <c r="D25" s="3" t="str">
        <f t="shared" si="0"/>
        <v>Q3</v>
      </c>
      <c r="E25" s="3" t="str">
        <f t="shared" si="1"/>
        <v>FY2026</v>
      </c>
      <c r="F25" s="8" t="s">
        <v>59</v>
      </c>
      <c r="G25" s="3" t="s">
        <v>35</v>
      </c>
      <c r="H25" t="s">
        <v>139</v>
      </c>
      <c r="I25" t="s">
        <v>152</v>
      </c>
      <c r="J25" s="3" t="s">
        <v>80</v>
      </c>
      <c r="K25" t="s">
        <v>39</v>
      </c>
      <c r="L25" s="3" t="s">
        <v>81</v>
      </c>
      <c r="M25" s="3" t="s">
        <v>52</v>
      </c>
      <c r="N25" t="s">
        <v>53</v>
      </c>
      <c r="O25" t="s">
        <v>54</v>
      </c>
      <c r="P25" t="s">
        <v>55</v>
      </c>
      <c r="Q25" s="3">
        <v>1711.26</v>
      </c>
      <c r="R25" s="3">
        <v>1650.61</v>
      </c>
      <c r="S25" s="3">
        <v>869.94</v>
      </c>
      <c r="T25" s="3">
        <v>180.95</v>
      </c>
      <c r="U25" s="3">
        <v>112.74</v>
      </c>
      <c r="V25" s="3">
        <v>188.58</v>
      </c>
      <c r="W25" s="3">
        <v>61.14</v>
      </c>
      <c r="X25" s="3">
        <v>1413.34</v>
      </c>
      <c r="Y25" s="3">
        <v>841.33</v>
      </c>
      <c r="Z25" s="3">
        <f t="shared" si="2"/>
        <v>297.92000000000007</v>
      </c>
      <c r="AA25" s="37">
        <f t="shared" si="3"/>
        <v>0.17409394247513532</v>
      </c>
      <c r="AB25" s="3">
        <v>60.65</v>
      </c>
      <c r="AC25" s="3">
        <v>136.9</v>
      </c>
      <c r="AD25" s="3">
        <v>188.92</v>
      </c>
      <c r="AE25" s="3">
        <v>1763.29</v>
      </c>
      <c r="AF25" t="str">
        <f>IF(tbl_FinancialData[[#This Row],[City]]="","Unknown",PROPER(TRIM(tbl_FinancialData[[#This Row],[City]])))</f>
        <v>Panipat</v>
      </c>
      <c r="AG25" t="str">
        <f>_xlfn.LET(_xlpm.city,LOWER(TRIM(tbl_FinancialData[[#This Row],[City]])),_xlpm.st,PROPER(TRIM(tbl_FinancialData[[#This Row],[State]])),IF(_xlpm.city="pune","Maharashtra",IF(_xlpm.city="jamshedpur","Jharkhand",IF(_xlpm.city="bhilai","Chhattisgarh",IF(_xlpm.city="mumbai","Maharashtra",_xlpm.st)))))</f>
        <v>Haryana</v>
      </c>
      <c r="AH25" t="str">
        <f>_xlfn.LET(_xlpm.d,PROPER(TRIM(tbl_FinancialData[[#This Row],[Department]])),IF(_xlpm.d="It","IT",_xlpm.d))</f>
        <v>Operations</v>
      </c>
      <c r="AI25" t="str">
        <f>_xlfn.LET(_xlpm.pid,tbl_FinancialData[[#This Row],[Product ID]],_xlpm.n,PROPER(TRIM(tbl_FinancialData[[#This Row],[Product Name]])),IF(_xlpm.pid="P020","Document Scanner",IF(_xlpm.pid="P015","Network Router",SUBSTITUTE(SUBSTITUTE(_xlpm.n,"Crm","CRM"),"Ups","UPS"))))</f>
        <v>Mouse</v>
      </c>
      <c r="AJ25" s="3" t="str">
        <f>UPPER(TRIM(tbl_FinancialData[[#This Row],[Cost Center]]))</f>
        <v>CC-1005</v>
      </c>
      <c r="AL25" s="4" t="s">
        <v>1232</v>
      </c>
      <c r="AM25" s="5">
        <f>COUNTBLANK(tbl_FinancialData[Clean City])</f>
        <v>0</v>
      </c>
      <c r="AN25" s="5" t="str">
        <f t="shared" ref="AN25:AN32" si="6">IF(AM25=0,"PASS","CHECK")</f>
        <v>PASS</v>
      </c>
    </row>
    <row r="26" spans="1:40" x14ac:dyDescent="0.25">
      <c r="A26" s="3" t="s">
        <v>153</v>
      </c>
      <c r="B26" s="2">
        <v>46104</v>
      </c>
      <c r="C26" t="s">
        <v>125</v>
      </c>
      <c r="D26" s="3" t="str">
        <f t="shared" si="0"/>
        <v>Q4</v>
      </c>
      <c r="E26" s="3" t="str">
        <f t="shared" si="1"/>
        <v>FY2026</v>
      </c>
      <c r="F26" s="8" t="s">
        <v>34</v>
      </c>
      <c r="G26" s="3" t="s">
        <v>35</v>
      </c>
      <c r="H26" t="s">
        <v>134</v>
      </c>
      <c r="I26" t="s">
        <v>154</v>
      </c>
      <c r="J26" s="3" t="s">
        <v>80</v>
      </c>
      <c r="K26" t="s">
        <v>71</v>
      </c>
      <c r="L26" s="3" t="s">
        <v>72</v>
      </c>
      <c r="M26" s="3" t="s">
        <v>120</v>
      </c>
      <c r="N26" t="s">
        <v>121</v>
      </c>
      <c r="O26" t="s">
        <v>43</v>
      </c>
      <c r="P26" t="s">
        <v>122</v>
      </c>
      <c r="Q26" s="3">
        <v>32676.06</v>
      </c>
      <c r="R26" s="3">
        <v>37255.120000000003</v>
      </c>
      <c r="S26" s="3">
        <v>20090.810000000001</v>
      </c>
      <c r="T26" s="3">
        <v>2257.52</v>
      </c>
      <c r="U26" s="3">
        <v>2260.85</v>
      </c>
      <c r="V26" s="3">
        <v>3241.23</v>
      </c>
      <c r="W26" s="3">
        <v>599.22</v>
      </c>
      <c r="X26" s="3">
        <v>28449.63</v>
      </c>
      <c r="Y26" s="3">
        <v>12585.25</v>
      </c>
      <c r="Z26" s="3">
        <f t="shared" si="2"/>
        <v>4226.43</v>
      </c>
      <c r="AA26" s="37">
        <f t="shared" si="3"/>
        <v>0.12934331740117996</v>
      </c>
      <c r="AB26" s="3">
        <v>-4579.0600000000004</v>
      </c>
      <c r="AC26" s="3">
        <v>980.28</v>
      </c>
      <c r="AD26" s="3">
        <v>3803.49</v>
      </c>
      <c r="AE26" s="3">
        <v>35499.269999999997</v>
      </c>
      <c r="AF26" t="str">
        <f>IF(tbl_FinancialData[[#This Row],[City]]="","Unknown",PROPER(TRIM(tbl_FinancialData[[#This Row],[City]])))</f>
        <v>Udaipur</v>
      </c>
      <c r="AG26" t="str">
        <f>_xlfn.LET(_xlpm.city,LOWER(TRIM(tbl_FinancialData[[#This Row],[City]])),_xlpm.st,PROPER(TRIM(tbl_FinancialData[[#This Row],[State]])),IF(_xlpm.city="pune","Maharashtra",IF(_xlpm.city="jamshedpur","Jharkhand",IF(_xlpm.city="bhilai","Chhattisgarh",IF(_xlpm.city="mumbai","Maharashtra",_xlpm.st)))))</f>
        <v>Rajasthan</v>
      </c>
      <c r="AH26" t="str">
        <f>_xlfn.LET(_xlpm.d,PROPER(TRIM(tbl_FinancialData[[#This Row],[Department]])),IF(_xlpm.d="It","IT",_xlpm.d))</f>
        <v>Marketing</v>
      </c>
      <c r="AI26" t="str">
        <f>_xlfn.LET(_xlpm.pid,tbl_FinancialData[[#This Row],[Product ID]],_xlpm.n,PROPER(TRIM(tbl_FinancialData[[#This Row],[Product Name]])),IF(_xlpm.pid="P020","Document Scanner",IF(_xlpm.pid="P015","Network Router",SUBSTITUTE(SUBSTITUTE(_xlpm.n,"Crm","CRM"),"Ups","UPS"))))</f>
        <v>Projector</v>
      </c>
      <c r="AJ26" s="3" t="str">
        <f>UPPER(TRIM(tbl_FinancialData[[#This Row],[Cost Center]]))</f>
        <v>CC-1004</v>
      </c>
      <c r="AL26" s="4" t="s">
        <v>1233</v>
      </c>
      <c r="AM26" s="5">
        <f>COUNTBLANK(tbl_FinancialData[State])</f>
        <v>0</v>
      </c>
      <c r="AN26" s="5" t="str">
        <f t="shared" si="6"/>
        <v>PASS</v>
      </c>
    </row>
    <row r="27" spans="1:40" x14ac:dyDescent="0.25">
      <c r="A27" s="3" t="s">
        <v>155</v>
      </c>
      <c r="B27" s="2">
        <v>45831</v>
      </c>
      <c r="C27" t="s">
        <v>156</v>
      </c>
      <c r="D27" s="3" t="str">
        <f t="shared" si="0"/>
        <v>Q1</v>
      </c>
      <c r="E27" s="3" t="str">
        <f t="shared" si="1"/>
        <v>FY2026</v>
      </c>
      <c r="F27" s="8" t="s">
        <v>34</v>
      </c>
      <c r="G27" s="3" t="s">
        <v>35</v>
      </c>
      <c r="H27" t="s">
        <v>157</v>
      </c>
      <c r="I27" t="s">
        <v>158</v>
      </c>
      <c r="J27" s="3" t="s">
        <v>70</v>
      </c>
      <c r="K27" t="s">
        <v>50</v>
      </c>
      <c r="L27" s="3" t="s">
        <v>72</v>
      </c>
      <c r="M27" s="3" t="s">
        <v>102</v>
      </c>
      <c r="N27" t="s">
        <v>103</v>
      </c>
      <c r="O27" t="s">
        <v>104</v>
      </c>
      <c r="P27" t="s">
        <v>105</v>
      </c>
      <c r="Q27" s="3">
        <v>34032.17</v>
      </c>
      <c r="R27" s="3">
        <v>33571.769999999997</v>
      </c>
      <c r="S27" s="3">
        <v>24150.33</v>
      </c>
      <c r="T27" s="3">
        <v>3544.16</v>
      </c>
      <c r="U27" s="3">
        <v>1918.18</v>
      </c>
      <c r="V27" s="3">
        <v>2703.59</v>
      </c>
      <c r="W27" s="3">
        <v>439.52</v>
      </c>
      <c r="X27" s="3">
        <v>32755.78</v>
      </c>
      <c r="Y27" s="3">
        <v>9881.85</v>
      </c>
      <c r="Z27" s="3">
        <f t="shared" si="2"/>
        <v>1276.3899999999994</v>
      </c>
      <c r="AA27" s="37">
        <f t="shared" si="3"/>
        <v>3.7505395630075877E-2</v>
      </c>
      <c r="AB27" s="3">
        <v>460.4</v>
      </c>
      <c r="AC27" s="3">
        <v>0</v>
      </c>
      <c r="AD27" s="3">
        <v>6125.79</v>
      </c>
      <c r="AE27" s="3">
        <v>40157.96</v>
      </c>
      <c r="AF27" t="str">
        <f>IF(tbl_FinancialData[[#This Row],[City]]="","Unknown",PROPER(TRIM(tbl_FinancialData[[#This Row],[City]])))</f>
        <v>Ahmedabad</v>
      </c>
      <c r="AG27" t="str">
        <f>_xlfn.LET(_xlpm.city,LOWER(TRIM(tbl_FinancialData[[#This Row],[City]])),_xlpm.st,PROPER(TRIM(tbl_FinancialData[[#This Row],[State]])),IF(_xlpm.city="pune","Maharashtra",IF(_xlpm.city="jamshedpur","Jharkhand",IF(_xlpm.city="bhilai","Chhattisgarh",IF(_xlpm.city="mumbai","Maharashtra",_xlpm.st)))))</f>
        <v>Gujarat</v>
      </c>
      <c r="AH27" t="str">
        <f>_xlfn.LET(_xlpm.d,PROPER(TRIM(tbl_FinancialData[[#This Row],[Department]])),IF(_xlpm.d="It","IT",_xlpm.d))</f>
        <v>Sales</v>
      </c>
      <c r="AI27" t="str">
        <f>_xlfn.LET(_xlpm.pid,tbl_FinancialData[[#This Row],[Product ID]],_xlpm.n,PROPER(TRIM(tbl_FinancialData[[#This Row],[Product Name]])),IF(_xlpm.pid="P020","Document Scanner",IF(_xlpm.pid="P015","Network Router",SUBSTITUTE(SUBSTITUTE(_xlpm.n,"Crm","CRM"),"Ups","UPS"))))</f>
        <v>Accounting Software</v>
      </c>
      <c r="AJ27" s="3" t="str">
        <f>UPPER(TRIM(tbl_FinancialData[[#This Row],[Cost Center]]))</f>
        <v>CC-1004</v>
      </c>
      <c r="AL27" s="4" t="s">
        <v>1234</v>
      </c>
      <c r="AM27" s="5">
        <f>COUNTBLANK(tbl_FinancialData[Department])</f>
        <v>0</v>
      </c>
      <c r="AN27" s="5" t="str">
        <f t="shared" si="6"/>
        <v>PASS</v>
      </c>
    </row>
    <row r="28" spans="1:40" x14ac:dyDescent="0.25">
      <c r="A28" s="3" t="s">
        <v>159</v>
      </c>
      <c r="B28" s="2">
        <v>45800</v>
      </c>
      <c r="C28" t="s">
        <v>65</v>
      </c>
      <c r="D28" s="3" t="str">
        <f t="shared" si="0"/>
        <v>Q1</v>
      </c>
      <c r="E28" s="3" t="str">
        <f t="shared" si="1"/>
        <v>FY2026</v>
      </c>
      <c r="F28" s="8" t="s">
        <v>34</v>
      </c>
      <c r="G28" s="3" t="s">
        <v>35</v>
      </c>
      <c r="H28" t="s">
        <v>98</v>
      </c>
      <c r="I28" t="s">
        <v>149</v>
      </c>
      <c r="J28" s="3" t="s">
        <v>80</v>
      </c>
      <c r="K28" t="s">
        <v>160</v>
      </c>
      <c r="L28" s="3" t="s">
        <v>40</v>
      </c>
      <c r="M28" s="3" t="s">
        <v>161</v>
      </c>
      <c r="N28" t="s">
        <v>162</v>
      </c>
      <c r="O28" t="s">
        <v>43</v>
      </c>
      <c r="P28" t="s">
        <v>163</v>
      </c>
      <c r="Q28" s="3">
        <v>50779.14</v>
      </c>
      <c r="R28" s="3">
        <v>55913.45</v>
      </c>
      <c r="S28" s="3">
        <v>31027.06</v>
      </c>
      <c r="T28" s="3">
        <v>5406.28</v>
      </c>
      <c r="U28" s="3">
        <v>4466.6499999999996</v>
      </c>
      <c r="V28" s="3">
        <v>4826.17</v>
      </c>
      <c r="W28" s="3">
        <v>1995.3</v>
      </c>
      <c r="X28" s="3">
        <v>47721.47</v>
      </c>
      <c r="Y28" s="3">
        <v>19752.080000000002</v>
      </c>
      <c r="Z28" s="3">
        <f t="shared" si="2"/>
        <v>3057.6699999999983</v>
      </c>
      <c r="AA28" s="37">
        <f t="shared" si="3"/>
        <v>6.0215080444450189E-2</v>
      </c>
      <c r="AB28" s="3">
        <v>-5134.3100000000004</v>
      </c>
      <c r="AC28" s="3">
        <v>4062.33</v>
      </c>
      <c r="AD28" s="3">
        <v>8409.0300000000007</v>
      </c>
      <c r="AE28" s="3">
        <v>55125.84</v>
      </c>
      <c r="AF28" t="str">
        <f>IF(tbl_FinancialData[[#This Row],[City]]="","Unknown",PROPER(TRIM(tbl_FinancialData[[#This Row],[City]])))</f>
        <v>Nagpur</v>
      </c>
      <c r="AG28" t="str">
        <f>_xlfn.LET(_xlpm.city,LOWER(TRIM(tbl_FinancialData[[#This Row],[City]])),_xlpm.st,PROPER(TRIM(tbl_FinancialData[[#This Row],[State]])),IF(_xlpm.city="pune","Maharashtra",IF(_xlpm.city="jamshedpur","Jharkhand",IF(_xlpm.city="bhilai","Chhattisgarh",IF(_xlpm.city="mumbai","Maharashtra",_xlpm.st)))))</f>
        <v>Maharashtra</v>
      </c>
      <c r="AH28" t="str">
        <f>_xlfn.LET(_xlpm.d,PROPER(TRIM(tbl_FinancialData[[#This Row],[Department]])),IF(_xlpm.d="It","IT",_xlpm.d))</f>
        <v>IT</v>
      </c>
      <c r="AI28" t="str">
        <f>_xlfn.LET(_xlpm.pid,tbl_FinancialData[[#This Row],[Product ID]],_xlpm.n,PROPER(TRIM(tbl_FinancialData[[#This Row],[Product Name]])),IF(_xlpm.pid="P020","Document Scanner",IF(_xlpm.pid="P015","Network Router",SUBSTITUTE(SUBSTITUTE(_xlpm.n,"Crm","CRM"),"Ups","UPS"))))</f>
        <v>Tablet</v>
      </c>
      <c r="AJ28" s="3" t="str">
        <f>UPPER(TRIM(tbl_FinancialData[[#This Row],[Cost Center]]))</f>
        <v>CC-1002</v>
      </c>
      <c r="AL28" s="4" t="s">
        <v>1235</v>
      </c>
      <c r="AM28" s="5">
        <f>COUNTBLANK(tbl_FinancialData[Product Name])</f>
        <v>0</v>
      </c>
      <c r="AN28" s="5" t="str">
        <f t="shared" si="6"/>
        <v>PASS</v>
      </c>
    </row>
    <row r="29" spans="1:40" x14ac:dyDescent="0.25">
      <c r="A29" s="3" t="s">
        <v>164</v>
      </c>
      <c r="B29" s="2">
        <v>45921</v>
      </c>
      <c r="C29" t="s">
        <v>46</v>
      </c>
      <c r="D29" s="3" t="str">
        <f t="shared" si="0"/>
        <v>Q2</v>
      </c>
      <c r="E29" s="3" t="str">
        <f t="shared" si="1"/>
        <v>FY2026</v>
      </c>
      <c r="F29" s="8" t="s">
        <v>34</v>
      </c>
      <c r="G29" s="3" t="s">
        <v>35</v>
      </c>
      <c r="H29" t="s">
        <v>157</v>
      </c>
      <c r="I29" t="s">
        <v>158</v>
      </c>
      <c r="J29" s="3" t="s">
        <v>100</v>
      </c>
      <c r="K29" t="s">
        <v>160</v>
      </c>
      <c r="L29" s="3" t="s">
        <v>40</v>
      </c>
      <c r="M29" s="3" t="s">
        <v>110</v>
      </c>
      <c r="N29" t="s">
        <v>111</v>
      </c>
      <c r="O29" t="s">
        <v>112</v>
      </c>
      <c r="P29" t="s">
        <v>113</v>
      </c>
      <c r="Q29" s="3">
        <v>17169.71</v>
      </c>
      <c r="R29" s="3">
        <v>18103.599999999999</v>
      </c>
      <c r="S29" s="3">
        <v>11798.22</v>
      </c>
      <c r="T29" s="3">
        <v>2067.73</v>
      </c>
      <c r="U29" s="3">
        <v>693.39</v>
      </c>
      <c r="V29" s="3">
        <v>1933.58</v>
      </c>
      <c r="W29" s="3">
        <v>527.39</v>
      </c>
      <c r="X29" s="3">
        <v>17020.3</v>
      </c>
      <c r="Y29" s="3">
        <v>5371.49</v>
      </c>
      <c r="Z29" s="3">
        <f t="shared" si="2"/>
        <v>149.40999999999985</v>
      </c>
      <c r="AA29" s="37">
        <f t="shared" si="3"/>
        <v>8.7019524499831313E-3</v>
      </c>
      <c r="AB29" s="3">
        <v>-933.89</v>
      </c>
      <c r="AC29" s="3">
        <v>515.09</v>
      </c>
      <c r="AD29" s="3">
        <v>2997.83</v>
      </c>
      <c r="AE29" s="3">
        <v>19652.45</v>
      </c>
      <c r="AF29" t="str">
        <f>IF(tbl_FinancialData[[#This Row],[City]]="","Unknown",PROPER(TRIM(tbl_FinancialData[[#This Row],[City]])))</f>
        <v>Ahmedabad</v>
      </c>
      <c r="AG29" t="str">
        <f>_xlfn.LET(_xlpm.city,LOWER(TRIM(tbl_FinancialData[[#This Row],[City]])),_xlpm.st,PROPER(TRIM(tbl_FinancialData[[#This Row],[State]])),IF(_xlpm.city="pune","Maharashtra",IF(_xlpm.city="jamshedpur","Jharkhand",IF(_xlpm.city="bhilai","Chhattisgarh",IF(_xlpm.city="mumbai","Maharashtra",_xlpm.st)))))</f>
        <v>Gujarat</v>
      </c>
      <c r="AH29" t="str">
        <f>_xlfn.LET(_xlpm.d,PROPER(TRIM(tbl_FinancialData[[#This Row],[Department]])),IF(_xlpm.d="It","IT",_xlpm.d))</f>
        <v>IT</v>
      </c>
      <c r="AI29" t="str">
        <f>_xlfn.LET(_xlpm.pid,tbl_FinancialData[[#This Row],[Product ID]],_xlpm.n,PROPER(TRIM(tbl_FinancialData[[#This Row],[Product Name]])),IF(_xlpm.pid="P020","Document Scanner",IF(_xlpm.pid="P015","Network Router",SUBSTITUTE(SUBSTITUTE(_xlpm.n,"Crm","CRM"),"Ups","UPS"))))</f>
        <v>Office Desk</v>
      </c>
      <c r="AJ29" s="3" t="str">
        <f>UPPER(TRIM(tbl_FinancialData[[#This Row],[Cost Center]]))</f>
        <v>CC-1002</v>
      </c>
      <c r="AL29" s="4" t="s">
        <v>1236</v>
      </c>
      <c r="AM29" s="5">
        <f>COUNTBLANK(tbl_FinancialData[Cost Center])</f>
        <v>0</v>
      </c>
      <c r="AN29" s="5" t="str">
        <f t="shared" si="6"/>
        <v>PASS</v>
      </c>
    </row>
    <row r="30" spans="1:40" x14ac:dyDescent="0.25">
      <c r="A30" s="3" t="s">
        <v>165</v>
      </c>
      <c r="B30" s="2">
        <v>46022</v>
      </c>
      <c r="C30" t="s">
        <v>107</v>
      </c>
      <c r="D30" s="3" t="str">
        <f t="shared" si="0"/>
        <v>Q3</v>
      </c>
      <c r="E30" s="3" t="str">
        <f t="shared" si="1"/>
        <v>FY2026</v>
      </c>
      <c r="F30" s="8" t="s">
        <v>34</v>
      </c>
      <c r="G30" s="3" t="s">
        <v>35</v>
      </c>
      <c r="H30" t="s">
        <v>157</v>
      </c>
      <c r="I30" t="s">
        <v>166</v>
      </c>
      <c r="J30" s="3" t="s">
        <v>70</v>
      </c>
      <c r="K30" t="s">
        <v>50</v>
      </c>
      <c r="L30" s="3" t="s">
        <v>51</v>
      </c>
      <c r="M30" s="3" t="s">
        <v>161</v>
      </c>
      <c r="N30" t="s">
        <v>162</v>
      </c>
      <c r="O30" t="s">
        <v>43</v>
      </c>
      <c r="P30" t="s">
        <v>163</v>
      </c>
      <c r="Q30" s="3">
        <v>34662.19</v>
      </c>
      <c r="R30" s="3">
        <v>34716.29</v>
      </c>
      <c r="S30" s="3">
        <v>21391.89</v>
      </c>
      <c r="T30" s="3">
        <v>3787.81</v>
      </c>
      <c r="U30" s="3">
        <v>2595.08</v>
      </c>
      <c r="V30" s="3">
        <v>3668.07</v>
      </c>
      <c r="W30" s="3">
        <v>1249.48</v>
      </c>
      <c r="X30" s="3">
        <v>32692.33</v>
      </c>
      <c r="Y30" s="3">
        <v>13270.3</v>
      </c>
      <c r="Z30" s="3">
        <f t="shared" si="2"/>
        <v>1969.8600000000006</v>
      </c>
      <c r="AA30" s="37">
        <f t="shared" si="3"/>
        <v>5.6830223364421013E-2</v>
      </c>
      <c r="AB30" s="3">
        <v>-54.09</v>
      </c>
      <c r="AC30" s="3">
        <v>1733.11</v>
      </c>
      <c r="AD30" s="3">
        <v>1646.45</v>
      </c>
      <c r="AE30" s="3">
        <v>34575.54</v>
      </c>
      <c r="AF30" t="str">
        <f>IF(tbl_FinancialData[[#This Row],[City]]="","Unknown",PROPER(TRIM(tbl_FinancialData[[#This Row],[City]])))</f>
        <v>Vadodara</v>
      </c>
      <c r="AG30" t="str">
        <f>_xlfn.LET(_xlpm.city,LOWER(TRIM(tbl_FinancialData[[#This Row],[City]])),_xlpm.st,PROPER(TRIM(tbl_FinancialData[[#This Row],[State]])),IF(_xlpm.city="pune","Maharashtra",IF(_xlpm.city="jamshedpur","Jharkhand",IF(_xlpm.city="bhilai","Chhattisgarh",IF(_xlpm.city="mumbai","Maharashtra",_xlpm.st)))))</f>
        <v>Gujarat</v>
      </c>
      <c r="AH30" t="str">
        <f>_xlfn.LET(_xlpm.d,PROPER(TRIM(tbl_FinancialData[[#This Row],[Department]])),IF(_xlpm.d="It","IT",_xlpm.d))</f>
        <v>Sales</v>
      </c>
      <c r="AI30" t="str">
        <f>_xlfn.LET(_xlpm.pid,tbl_FinancialData[[#This Row],[Product ID]],_xlpm.n,PROPER(TRIM(tbl_FinancialData[[#This Row],[Product Name]])),IF(_xlpm.pid="P020","Document Scanner",IF(_xlpm.pid="P015","Network Router",SUBSTITUTE(SUBSTITUTE(_xlpm.n,"Crm","CRM"),"Ups","UPS"))))</f>
        <v>Tablet</v>
      </c>
      <c r="AJ30" s="3" t="str">
        <f>UPPER(TRIM(tbl_FinancialData[[#This Row],[Cost Center]]))</f>
        <v>CC-1003</v>
      </c>
      <c r="AL30" s="4" t="s">
        <v>1237</v>
      </c>
      <c r="AM30" s="5">
        <f>COUNTIF(tbl_FinancialData[Profit Margin %],"&gt;1")+COUNTIF(tbl_FinancialData[Profit Margin %],"&lt;-1")</f>
        <v>0</v>
      </c>
      <c r="AN30" s="5" t="str">
        <f t="shared" si="6"/>
        <v>PASS</v>
      </c>
    </row>
    <row r="31" spans="1:40" x14ac:dyDescent="0.25">
      <c r="A31" s="3" t="s">
        <v>167</v>
      </c>
      <c r="B31" s="2">
        <v>45938</v>
      </c>
      <c r="C31" t="s">
        <v>92</v>
      </c>
      <c r="D31" s="3" t="str">
        <f t="shared" si="0"/>
        <v>Q3</v>
      </c>
      <c r="E31" s="3" t="str">
        <f t="shared" si="1"/>
        <v>FY2026</v>
      </c>
      <c r="F31" s="8" t="s">
        <v>67</v>
      </c>
      <c r="G31" s="3" t="s">
        <v>35</v>
      </c>
      <c r="H31" t="s">
        <v>168</v>
      </c>
      <c r="I31" t="s">
        <v>169</v>
      </c>
      <c r="J31" s="3" t="s">
        <v>100</v>
      </c>
      <c r="K31" t="s">
        <v>101</v>
      </c>
      <c r="L31" s="3" t="s">
        <v>40</v>
      </c>
      <c r="M31" s="3" t="s">
        <v>102</v>
      </c>
      <c r="N31" t="s">
        <v>103</v>
      </c>
      <c r="O31" t="s">
        <v>104</v>
      </c>
      <c r="P31" t="s">
        <v>105</v>
      </c>
      <c r="Q31" s="3">
        <v>29790.11</v>
      </c>
      <c r="R31" s="3">
        <v>29099.15</v>
      </c>
      <c r="S31" s="3">
        <v>14609.55</v>
      </c>
      <c r="T31" s="3">
        <v>3693.12</v>
      </c>
      <c r="U31" s="3">
        <v>2524.4899999999998</v>
      </c>
      <c r="V31" s="3">
        <v>1794.53</v>
      </c>
      <c r="W31" s="3">
        <v>1022.97</v>
      </c>
      <c r="X31" s="3">
        <v>23644.67</v>
      </c>
      <c r="Y31" s="3">
        <v>15180.56</v>
      </c>
      <c r="Z31" s="3">
        <f t="shared" si="2"/>
        <v>6145.4400000000023</v>
      </c>
      <c r="AA31" s="37">
        <f t="shared" si="3"/>
        <v>0.20629128257666729</v>
      </c>
      <c r="AB31" s="3">
        <v>690.95</v>
      </c>
      <c r="AC31" s="3">
        <v>0</v>
      </c>
      <c r="AD31" s="3">
        <v>1489.51</v>
      </c>
      <c r="AE31" s="3">
        <v>31279.61</v>
      </c>
      <c r="AF31" t="str">
        <f>IF(tbl_FinancialData[[#This Row],[City]]="","Unknown",PROPER(TRIM(tbl_FinancialData[[#This Row],[City]])))</f>
        <v>Kolkata</v>
      </c>
      <c r="AG31" t="str">
        <f>_xlfn.LET(_xlpm.city,LOWER(TRIM(tbl_FinancialData[[#This Row],[City]])),_xlpm.st,PROPER(TRIM(tbl_FinancialData[[#This Row],[State]])),IF(_xlpm.city="pune","Maharashtra",IF(_xlpm.city="jamshedpur","Jharkhand",IF(_xlpm.city="bhilai","Chhattisgarh",IF(_xlpm.city="mumbai","Maharashtra",_xlpm.st)))))</f>
        <v>West Bengal</v>
      </c>
      <c r="AH31" t="str">
        <f>_xlfn.LET(_xlpm.d,PROPER(TRIM(tbl_FinancialData[[#This Row],[Department]])),IF(_xlpm.d="It","IT",_xlpm.d))</f>
        <v>Finance</v>
      </c>
      <c r="AI31" t="str">
        <f>_xlfn.LET(_xlpm.pid,tbl_FinancialData[[#This Row],[Product ID]],_xlpm.n,PROPER(TRIM(tbl_FinancialData[[#This Row],[Product Name]])),IF(_xlpm.pid="P020","Document Scanner",IF(_xlpm.pid="P015","Network Router",SUBSTITUTE(SUBSTITUTE(_xlpm.n,"Crm","CRM"),"Ups","UPS"))))</f>
        <v>Accounting Software</v>
      </c>
      <c r="AJ31" s="3" t="str">
        <f>UPPER(TRIM(tbl_FinancialData[[#This Row],[Cost Center]]))</f>
        <v>CC-1002</v>
      </c>
      <c r="AL31" s="4" t="s">
        <v>1238</v>
      </c>
      <c r="AM31" s="5">
        <f>COUNTIF(tbl_FinancialData[Net Revenue],"&lt;0")</f>
        <v>0</v>
      </c>
      <c r="AN31" s="5" t="str">
        <f t="shared" si="6"/>
        <v>PASS</v>
      </c>
    </row>
    <row r="32" spans="1:40" x14ac:dyDescent="0.25">
      <c r="A32" s="3" t="s">
        <v>170</v>
      </c>
      <c r="B32" s="2">
        <v>46052</v>
      </c>
      <c r="C32" t="s">
        <v>77</v>
      </c>
      <c r="D32" s="3" t="str">
        <f t="shared" si="0"/>
        <v>Q4</v>
      </c>
      <c r="E32" s="3" t="str">
        <f t="shared" si="1"/>
        <v>FY2026</v>
      </c>
      <c r="F32" s="8" t="s">
        <v>34</v>
      </c>
      <c r="G32" s="3" t="s">
        <v>35</v>
      </c>
      <c r="H32" t="s">
        <v>36</v>
      </c>
      <c r="I32" t="s">
        <v>145</v>
      </c>
      <c r="J32" s="3" t="s">
        <v>80</v>
      </c>
      <c r="K32" t="s">
        <v>39</v>
      </c>
      <c r="L32" s="3" t="s">
        <v>51</v>
      </c>
      <c r="M32" s="3" t="s">
        <v>171</v>
      </c>
      <c r="N32" t="s">
        <v>172</v>
      </c>
      <c r="O32" t="s">
        <v>173</v>
      </c>
      <c r="P32" t="s">
        <v>174</v>
      </c>
      <c r="Q32" s="3">
        <v>35907.040000000001</v>
      </c>
      <c r="R32" s="3">
        <v>41925.449999999997</v>
      </c>
      <c r="S32" s="3">
        <v>17734.03</v>
      </c>
      <c r="T32" s="3">
        <v>2928.64</v>
      </c>
      <c r="U32" s="3">
        <v>1146.8399999999999</v>
      </c>
      <c r="V32" s="3">
        <v>2400.4899999999998</v>
      </c>
      <c r="W32" s="3">
        <v>572.32000000000005</v>
      </c>
      <c r="X32" s="3">
        <v>24782.32</v>
      </c>
      <c r="Y32" s="3">
        <v>18173.009999999998</v>
      </c>
      <c r="Z32" s="3">
        <f t="shared" si="2"/>
        <v>11124.720000000001</v>
      </c>
      <c r="AA32" s="37">
        <f t="shared" si="3"/>
        <v>0.30982002415125282</v>
      </c>
      <c r="AB32" s="3">
        <v>-6018.41</v>
      </c>
      <c r="AC32" s="3">
        <v>1795.35</v>
      </c>
      <c r="AD32" s="3">
        <v>4093.4</v>
      </c>
      <c r="AE32" s="3">
        <v>38205.1</v>
      </c>
      <c r="AF32" t="str">
        <f>IF(tbl_FinancialData[[#This Row],[City]]="","Unknown",PROPER(TRIM(tbl_FinancialData[[#This Row],[City]])))</f>
        <v>Panaji</v>
      </c>
      <c r="AG32" t="str">
        <f>_xlfn.LET(_xlpm.city,LOWER(TRIM(tbl_FinancialData[[#This Row],[City]])),_xlpm.st,PROPER(TRIM(tbl_FinancialData[[#This Row],[State]])),IF(_xlpm.city="pune","Maharashtra",IF(_xlpm.city="jamshedpur","Jharkhand",IF(_xlpm.city="bhilai","Chhattisgarh",IF(_xlpm.city="mumbai","Maharashtra",_xlpm.st)))))</f>
        <v>Goa</v>
      </c>
      <c r="AH32" t="str">
        <f>_xlfn.LET(_xlpm.d,PROPER(TRIM(tbl_FinancialData[[#This Row],[Department]])),IF(_xlpm.d="It","IT",_xlpm.d))</f>
        <v>Operations</v>
      </c>
      <c r="AI32" t="str">
        <f>_xlfn.LET(_xlpm.pid,tbl_FinancialData[[#This Row],[Product ID]],_xlpm.n,PROPER(TRIM(tbl_FinancialData[[#This Row],[Product Name]])),IF(_xlpm.pid="P020","Document Scanner",IF(_xlpm.pid="P015","Network Router",SUBSTITUTE(SUBSTITUTE(_xlpm.n,"Crm","CRM"),"Ups","UPS"))))</f>
        <v>Network Switch</v>
      </c>
      <c r="AJ32" s="3" t="str">
        <f>UPPER(TRIM(tbl_FinancialData[[#This Row],[Cost Center]]))</f>
        <v>CC-1003</v>
      </c>
      <c r="AL32" s="4" t="s">
        <v>1239</v>
      </c>
      <c r="AM32" s="5">
        <f>COUNTIF(tbl_FinancialData[Total Expense],"&lt;0")</f>
        <v>0</v>
      </c>
      <c r="AN32" s="5" t="str">
        <f t="shared" si="6"/>
        <v>PASS</v>
      </c>
    </row>
    <row r="33" spans="1:36" x14ac:dyDescent="0.25">
      <c r="A33" s="3" t="s">
        <v>175</v>
      </c>
      <c r="B33" s="2">
        <v>46063</v>
      </c>
      <c r="C33" t="s">
        <v>57</v>
      </c>
      <c r="D33" s="3" t="str">
        <f t="shared" si="0"/>
        <v>Q4</v>
      </c>
      <c r="E33" s="3" t="str">
        <f t="shared" si="1"/>
        <v>FY2026</v>
      </c>
      <c r="F33" s="8" t="s">
        <v>34</v>
      </c>
      <c r="G33" s="3" t="s">
        <v>35</v>
      </c>
      <c r="H33" t="s">
        <v>134</v>
      </c>
      <c r="I33" t="s">
        <v>176</v>
      </c>
      <c r="J33" s="3" t="s">
        <v>80</v>
      </c>
      <c r="K33" t="s">
        <v>50</v>
      </c>
      <c r="L33" s="3" t="s">
        <v>51</v>
      </c>
      <c r="M33" s="3" t="s">
        <v>130</v>
      </c>
      <c r="N33" t="s">
        <v>131</v>
      </c>
      <c r="O33" t="s">
        <v>43</v>
      </c>
      <c r="P33" t="s">
        <v>132</v>
      </c>
      <c r="Q33" s="3">
        <v>31046.84</v>
      </c>
      <c r="R33" s="3">
        <v>32935.56</v>
      </c>
      <c r="S33" s="3">
        <v>16921.46</v>
      </c>
      <c r="T33" s="3">
        <v>1883.14</v>
      </c>
      <c r="U33" s="3">
        <v>929.95</v>
      </c>
      <c r="V33" s="3">
        <v>3577.92</v>
      </c>
      <c r="W33" s="3">
        <v>763.2</v>
      </c>
      <c r="X33" s="3">
        <v>24075.66</v>
      </c>
      <c r="Y33" s="3">
        <v>14125.39</v>
      </c>
      <c r="Z33" s="3">
        <f t="shared" si="2"/>
        <v>6971.18</v>
      </c>
      <c r="AA33" s="37">
        <f t="shared" si="3"/>
        <v>0.22453750526623645</v>
      </c>
      <c r="AB33" s="3">
        <v>-1888.72</v>
      </c>
      <c r="AC33" s="3">
        <v>1552.34</v>
      </c>
      <c r="AD33" s="3">
        <v>5309.01</v>
      </c>
      <c r="AE33" s="3">
        <v>34803.51</v>
      </c>
      <c r="AF33" t="str">
        <f>IF(tbl_FinancialData[[#This Row],[City]]="","Unknown",PROPER(TRIM(tbl_FinancialData[[#This Row],[City]])))</f>
        <v>Jaipur</v>
      </c>
      <c r="AG33" t="str">
        <f>_xlfn.LET(_xlpm.city,LOWER(TRIM(tbl_FinancialData[[#This Row],[City]])),_xlpm.st,PROPER(TRIM(tbl_FinancialData[[#This Row],[State]])),IF(_xlpm.city="pune","Maharashtra",IF(_xlpm.city="jamshedpur","Jharkhand",IF(_xlpm.city="bhilai","Chhattisgarh",IF(_xlpm.city="mumbai","Maharashtra",_xlpm.st)))))</f>
        <v>Rajasthan</v>
      </c>
      <c r="AH33" t="str">
        <f>_xlfn.LET(_xlpm.d,PROPER(TRIM(tbl_FinancialData[[#This Row],[Department]])),IF(_xlpm.d="It","IT",_xlpm.d))</f>
        <v>Sales</v>
      </c>
      <c r="AI33" t="str">
        <f>_xlfn.LET(_xlpm.pid,tbl_FinancialData[[#This Row],[Product ID]],_xlpm.n,PROPER(TRIM(tbl_FinancialData[[#This Row],[Product Name]])),IF(_xlpm.pid="P020","Document Scanner",IF(_xlpm.pid="P015","Network Router",SUBSTITUTE(SUBSTITUTE(_xlpm.n,"Crm","CRM"),"Ups","UPS"))))</f>
        <v>UPS System</v>
      </c>
      <c r="AJ33" s="3" t="str">
        <f>UPPER(TRIM(tbl_FinancialData[[#This Row],[Cost Center]]))</f>
        <v>CC-1003</v>
      </c>
    </row>
    <row r="34" spans="1:36" x14ac:dyDescent="0.25">
      <c r="A34" s="3" t="s">
        <v>177</v>
      </c>
      <c r="B34" s="2">
        <v>45757</v>
      </c>
      <c r="C34" t="s">
        <v>128</v>
      </c>
      <c r="D34" s="3" t="str">
        <f t="shared" si="0"/>
        <v>Q1</v>
      </c>
      <c r="E34" s="3" t="str">
        <f t="shared" si="1"/>
        <v>FY2026</v>
      </c>
      <c r="F34" s="8" t="s">
        <v>85</v>
      </c>
      <c r="G34" s="3" t="s">
        <v>35</v>
      </c>
      <c r="H34" t="s">
        <v>178</v>
      </c>
      <c r="I34" t="s">
        <v>179</v>
      </c>
      <c r="J34" s="3" t="s">
        <v>80</v>
      </c>
      <c r="K34" t="s">
        <v>50</v>
      </c>
      <c r="L34" s="3" t="s">
        <v>94</v>
      </c>
      <c r="M34" s="3" t="s">
        <v>82</v>
      </c>
      <c r="N34" t="s">
        <v>83</v>
      </c>
      <c r="O34" t="s">
        <v>43</v>
      </c>
      <c r="P34" t="s">
        <v>75</v>
      </c>
      <c r="Q34" s="3">
        <v>54421.25</v>
      </c>
      <c r="R34" s="3">
        <v>54041.48</v>
      </c>
      <c r="S34" s="3">
        <v>35912.519999999997</v>
      </c>
      <c r="T34" s="3">
        <v>4432.0200000000004</v>
      </c>
      <c r="U34" s="3">
        <v>4293.6000000000004</v>
      </c>
      <c r="V34" s="3">
        <v>4654.46</v>
      </c>
      <c r="W34" s="3">
        <v>665.19</v>
      </c>
      <c r="X34" s="3">
        <v>49957.78</v>
      </c>
      <c r="Y34" s="3">
        <v>18508.73</v>
      </c>
      <c r="Z34" s="3">
        <f t="shared" si="2"/>
        <v>4463.4700000000012</v>
      </c>
      <c r="AA34" s="37">
        <f t="shared" si="3"/>
        <v>8.2017042974940876E-2</v>
      </c>
      <c r="AB34" s="3">
        <v>379.77</v>
      </c>
      <c r="AC34" s="3">
        <v>0</v>
      </c>
      <c r="AD34" s="3">
        <v>2721.06</v>
      </c>
      <c r="AE34" s="3">
        <v>57142.31</v>
      </c>
      <c r="AF34" t="str">
        <f>IF(tbl_FinancialData[[#This Row],[City]]="","Unknown",PROPER(TRIM(tbl_FinancialData[[#This Row],[City]])))</f>
        <v>Bilaspur</v>
      </c>
      <c r="AG34" t="str">
        <f>_xlfn.LET(_xlpm.city,LOWER(TRIM(tbl_FinancialData[[#This Row],[City]])),_xlpm.st,PROPER(TRIM(tbl_FinancialData[[#This Row],[State]])),IF(_xlpm.city="pune","Maharashtra",IF(_xlpm.city="jamshedpur","Jharkhand",IF(_xlpm.city="bhilai","Chhattisgarh",IF(_xlpm.city="mumbai","Maharashtra",_xlpm.st)))))</f>
        <v>Chhattisgarh</v>
      </c>
      <c r="AH34" t="str">
        <f>_xlfn.LET(_xlpm.d,PROPER(TRIM(tbl_FinancialData[[#This Row],[Department]])),IF(_xlpm.d="It","IT",_xlpm.d))</f>
        <v>Sales</v>
      </c>
      <c r="AI34" t="str">
        <f>_xlfn.LET(_xlpm.pid,tbl_FinancialData[[#This Row],[Product ID]],_xlpm.n,PROPER(TRIM(tbl_FinancialData[[#This Row],[Product Name]])),IF(_xlpm.pid="P020","Document Scanner",IF(_xlpm.pid="P015","Network Router",SUBSTITUTE(SUBSTITUTE(_xlpm.n,"Crm","CRM"),"Ups","UPS"))))</f>
        <v>Business Laptop</v>
      </c>
      <c r="AJ34" s="3" t="str">
        <f>UPPER(TRIM(tbl_FinancialData[[#This Row],[Cost Center]]))</f>
        <v>CC-1001</v>
      </c>
    </row>
    <row r="35" spans="1:36" x14ac:dyDescent="0.25">
      <c r="A35" s="3" t="s">
        <v>180</v>
      </c>
      <c r="B35" s="2">
        <v>46058</v>
      </c>
      <c r="C35" t="s">
        <v>57</v>
      </c>
      <c r="D35" s="3" t="str">
        <f t="shared" si="0"/>
        <v>Q4</v>
      </c>
      <c r="E35" s="3" t="str">
        <f t="shared" si="1"/>
        <v>FY2026</v>
      </c>
      <c r="F35" s="8" t="s">
        <v>85</v>
      </c>
      <c r="G35" s="3" t="s">
        <v>35</v>
      </c>
      <c r="H35" t="s">
        <v>86</v>
      </c>
      <c r="I35" t="s">
        <v>181</v>
      </c>
      <c r="J35" s="3" t="s">
        <v>70</v>
      </c>
      <c r="K35" t="s">
        <v>71</v>
      </c>
      <c r="L35" s="3" t="s">
        <v>51</v>
      </c>
      <c r="M35" s="3" t="s">
        <v>110</v>
      </c>
      <c r="N35" t="s">
        <v>111</v>
      </c>
      <c r="O35" t="s">
        <v>112</v>
      </c>
      <c r="P35" t="s">
        <v>113</v>
      </c>
      <c r="Q35" s="3">
        <v>28871.45</v>
      </c>
      <c r="R35" s="3">
        <v>28679.61</v>
      </c>
      <c r="S35" s="3">
        <v>15528.81</v>
      </c>
      <c r="T35" s="3">
        <v>1917.17</v>
      </c>
      <c r="U35" s="3">
        <v>1193.6500000000001</v>
      </c>
      <c r="V35" s="3">
        <v>1789.41</v>
      </c>
      <c r="W35" s="3">
        <v>498.12</v>
      </c>
      <c r="X35" s="3">
        <v>20927.16</v>
      </c>
      <c r="Y35" s="3">
        <v>13342.64</v>
      </c>
      <c r="Z35" s="3">
        <f t="shared" si="2"/>
        <v>7944.2900000000009</v>
      </c>
      <c r="AA35" s="37">
        <f t="shared" si="3"/>
        <v>0.27516075569463955</v>
      </c>
      <c r="AB35" s="3">
        <v>191.85</v>
      </c>
      <c r="AC35" s="3">
        <v>2309.7199999999998</v>
      </c>
      <c r="AD35" s="3">
        <v>4781.1099999999997</v>
      </c>
      <c r="AE35" s="3">
        <v>31342.85</v>
      </c>
      <c r="AF35" t="str">
        <f>IF(tbl_FinancialData[[#This Row],[City]]="","Unknown",PROPER(TRIM(tbl_FinancialData[[#This Row],[City]])))</f>
        <v>Bhopal</v>
      </c>
      <c r="AG35" t="str">
        <f>_xlfn.LET(_xlpm.city,LOWER(TRIM(tbl_FinancialData[[#This Row],[City]])),_xlpm.st,PROPER(TRIM(tbl_FinancialData[[#This Row],[State]])),IF(_xlpm.city="pune","Maharashtra",IF(_xlpm.city="jamshedpur","Jharkhand",IF(_xlpm.city="bhilai","Chhattisgarh",IF(_xlpm.city="mumbai","Maharashtra",_xlpm.st)))))</f>
        <v>Madhya Pradesh</v>
      </c>
      <c r="AH35" t="str">
        <f>_xlfn.LET(_xlpm.d,PROPER(TRIM(tbl_FinancialData[[#This Row],[Department]])),IF(_xlpm.d="It","IT",_xlpm.d))</f>
        <v>Marketing</v>
      </c>
      <c r="AI35" t="str">
        <f>_xlfn.LET(_xlpm.pid,tbl_FinancialData[[#This Row],[Product ID]],_xlpm.n,PROPER(TRIM(tbl_FinancialData[[#This Row],[Product Name]])),IF(_xlpm.pid="P020","Document Scanner",IF(_xlpm.pid="P015","Network Router",SUBSTITUTE(SUBSTITUTE(_xlpm.n,"Crm","CRM"),"Ups","UPS"))))</f>
        <v>Office Desk</v>
      </c>
      <c r="AJ35" s="3" t="str">
        <f>UPPER(TRIM(tbl_FinancialData[[#This Row],[Cost Center]]))</f>
        <v>CC-1003</v>
      </c>
    </row>
    <row r="36" spans="1:36" x14ac:dyDescent="0.25">
      <c r="A36" s="3" t="s">
        <v>182</v>
      </c>
      <c r="B36" s="2">
        <v>45781</v>
      </c>
      <c r="C36" t="s">
        <v>65</v>
      </c>
      <c r="D36" s="3" t="str">
        <f t="shared" si="0"/>
        <v>Q1</v>
      </c>
      <c r="E36" s="3" t="str">
        <f t="shared" si="1"/>
        <v>FY2026</v>
      </c>
      <c r="F36" s="8" t="s">
        <v>47</v>
      </c>
      <c r="G36" s="3" t="s">
        <v>35</v>
      </c>
      <c r="H36" t="s">
        <v>78</v>
      </c>
      <c r="I36" t="s">
        <v>183</v>
      </c>
      <c r="J36" s="3" t="s">
        <v>100</v>
      </c>
      <c r="K36" t="s">
        <v>101</v>
      </c>
      <c r="L36" s="3" t="s">
        <v>51</v>
      </c>
      <c r="M36" s="3" t="s">
        <v>120</v>
      </c>
      <c r="N36" t="s">
        <v>121</v>
      </c>
      <c r="O36" t="s">
        <v>43</v>
      </c>
      <c r="P36" t="s">
        <v>122</v>
      </c>
      <c r="Q36" s="3">
        <v>62763.15</v>
      </c>
      <c r="R36" s="3">
        <v>65793.440000000002</v>
      </c>
      <c r="S36" s="3">
        <v>43331.48</v>
      </c>
      <c r="T36" s="3">
        <v>5164.07</v>
      </c>
      <c r="U36" s="3">
        <v>2115.81</v>
      </c>
      <c r="V36" s="3">
        <v>2655.05</v>
      </c>
      <c r="W36" s="3">
        <v>2286.4499999999998</v>
      </c>
      <c r="X36" s="3">
        <v>55552.85</v>
      </c>
      <c r="Y36" s="3">
        <v>19431.669999999998</v>
      </c>
      <c r="Z36" s="3">
        <f t="shared" si="2"/>
        <v>7210.3000000000029</v>
      </c>
      <c r="AA36" s="37">
        <f t="shared" si="3"/>
        <v>0.11488110459720398</v>
      </c>
      <c r="AB36" s="3">
        <v>-3030.29</v>
      </c>
      <c r="AC36" s="3">
        <v>3138.16</v>
      </c>
      <c r="AD36" s="3">
        <v>10732.5</v>
      </c>
      <c r="AE36" s="3">
        <v>70357.490000000005</v>
      </c>
      <c r="AF36" t="str">
        <f>IF(tbl_FinancialData[[#This Row],[City]]="","Unknown",PROPER(TRIM(tbl_FinancialData[[#This Row],[City]])))</f>
        <v>Kozhikode</v>
      </c>
      <c r="AG36" t="str">
        <f>_xlfn.LET(_xlpm.city,LOWER(TRIM(tbl_FinancialData[[#This Row],[City]])),_xlpm.st,PROPER(TRIM(tbl_FinancialData[[#This Row],[State]])),IF(_xlpm.city="pune","Maharashtra",IF(_xlpm.city="jamshedpur","Jharkhand",IF(_xlpm.city="bhilai","Chhattisgarh",IF(_xlpm.city="mumbai","Maharashtra",_xlpm.st)))))</f>
        <v>Kerala</v>
      </c>
      <c r="AH36" t="str">
        <f>_xlfn.LET(_xlpm.d,PROPER(TRIM(tbl_FinancialData[[#This Row],[Department]])),IF(_xlpm.d="It","IT",_xlpm.d))</f>
        <v>Finance</v>
      </c>
      <c r="AI36" t="str">
        <f>_xlfn.LET(_xlpm.pid,tbl_FinancialData[[#This Row],[Product ID]],_xlpm.n,PROPER(TRIM(tbl_FinancialData[[#This Row],[Product Name]])),IF(_xlpm.pid="P020","Document Scanner",IF(_xlpm.pid="P015","Network Router",SUBSTITUTE(SUBSTITUTE(_xlpm.n,"Crm","CRM"),"Ups","UPS"))))</f>
        <v>Projector</v>
      </c>
      <c r="AJ36" s="3" t="str">
        <f>UPPER(TRIM(tbl_FinancialData[[#This Row],[Cost Center]]))</f>
        <v>CC-1003</v>
      </c>
    </row>
    <row r="37" spans="1:36" x14ac:dyDescent="0.25">
      <c r="A37" s="3" t="s">
        <v>184</v>
      </c>
      <c r="B37" s="2">
        <v>45850</v>
      </c>
      <c r="C37" t="s">
        <v>32</v>
      </c>
      <c r="D37" s="3" t="str">
        <f t="shared" si="0"/>
        <v>Q2</v>
      </c>
      <c r="E37" s="3" t="str">
        <f t="shared" si="1"/>
        <v>FY2026</v>
      </c>
      <c r="F37" s="8" t="s">
        <v>59</v>
      </c>
      <c r="G37" s="3" t="s">
        <v>35</v>
      </c>
      <c r="H37" t="s">
        <v>60</v>
      </c>
      <c r="I37" t="s">
        <v>185</v>
      </c>
      <c r="J37" s="3" t="s">
        <v>100</v>
      </c>
      <c r="K37" t="s">
        <v>39</v>
      </c>
      <c r="L37" s="3" t="s">
        <v>40</v>
      </c>
      <c r="M37" s="3" t="s">
        <v>186</v>
      </c>
      <c r="N37" t="s">
        <v>187</v>
      </c>
      <c r="O37" t="s">
        <v>173</v>
      </c>
      <c r="P37" t="s">
        <v>174</v>
      </c>
      <c r="Q37" s="3">
        <v>24879.63</v>
      </c>
      <c r="R37" s="3">
        <v>24493.41</v>
      </c>
      <c r="S37" s="3">
        <v>15011.31</v>
      </c>
      <c r="T37" s="3">
        <v>2803.74</v>
      </c>
      <c r="U37" s="3">
        <v>1263.27</v>
      </c>
      <c r="V37" s="3">
        <v>2233.37</v>
      </c>
      <c r="W37" s="3">
        <v>999.73</v>
      </c>
      <c r="X37" s="3">
        <v>22311.42</v>
      </c>
      <c r="Y37" s="3">
        <v>9868.32</v>
      </c>
      <c r="Z37" s="3">
        <f t="shared" si="2"/>
        <v>2568.2100000000028</v>
      </c>
      <c r="AA37" s="37">
        <f t="shared" si="3"/>
        <v>0.10322540970263636</v>
      </c>
      <c r="AB37" s="3">
        <v>386.22</v>
      </c>
      <c r="AC37" s="3">
        <v>2487.96</v>
      </c>
      <c r="AD37" s="3">
        <v>1119.58</v>
      </c>
      <c r="AE37" s="3">
        <v>23511.25</v>
      </c>
      <c r="AF37" t="str">
        <f>IF(tbl_FinancialData[[#This Row],[City]]="","Unknown",PROPER(TRIM(tbl_FinancialData[[#This Row],[City]])))</f>
        <v>Kanpur</v>
      </c>
      <c r="AG37" t="str">
        <f>_xlfn.LET(_xlpm.city,LOWER(TRIM(tbl_FinancialData[[#This Row],[City]])),_xlpm.st,PROPER(TRIM(tbl_FinancialData[[#This Row],[State]])),IF(_xlpm.city="pune","Maharashtra",IF(_xlpm.city="jamshedpur","Jharkhand",IF(_xlpm.city="bhilai","Chhattisgarh",IF(_xlpm.city="mumbai","Maharashtra",_xlpm.st)))))</f>
        <v>Uttar Pradesh</v>
      </c>
      <c r="AH37" t="str">
        <f>_xlfn.LET(_xlpm.d,PROPER(TRIM(tbl_FinancialData[[#This Row],[Department]])),IF(_xlpm.d="It","IT",_xlpm.d))</f>
        <v>Operations</v>
      </c>
      <c r="AI37" t="str">
        <f>_xlfn.LET(_xlpm.pid,tbl_FinancialData[[#This Row],[Product ID]],_xlpm.n,PROPER(TRIM(tbl_FinancialData[[#This Row],[Product Name]])),IF(_xlpm.pid="P020","Document Scanner",IF(_xlpm.pid="P015","Network Router",SUBSTITUTE(SUBSTITUTE(_xlpm.n,"Crm","CRM"),"Ups","UPS"))))</f>
        <v>Network Router</v>
      </c>
      <c r="AJ37" s="3" t="str">
        <f>UPPER(TRIM(tbl_FinancialData[[#This Row],[Cost Center]]))</f>
        <v>CC-1002</v>
      </c>
    </row>
    <row r="38" spans="1:36" x14ac:dyDescent="0.25">
      <c r="A38" s="3" t="s">
        <v>188</v>
      </c>
      <c r="B38" s="2">
        <v>45931</v>
      </c>
      <c r="C38" t="s">
        <v>92</v>
      </c>
      <c r="D38" s="3" t="str">
        <f t="shared" si="0"/>
        <v>Q3</v>
      </c>
      <c r="E38" s="3" t="str">
        <f t="shared" si="1"/>
        <v>FY2026</v>
      </c>
      <c r="F38" s="8" t="s">
        <v>34</v>
      </c>
      <c r="G38" s="3" t="s">
        <v>35</v>
      </c>
      <c r="H38" t="s">
        <v>98</v>
      </c>
      <c r="I38" t="s">
        <v>99</v>
      </c>
      <c r="J38" s="3" t="s">
        <v>100</v>
      </c>
      <c r="K38" t="s">
        <v>39</v>
      </c>
      <c r="L38" s="3" t="s">
        <v>40</v>
      </c>
      <c r="M38" s="3" t="s">
        <v>189</v>
      </c>
      <c r="N38" t="s">
        <v>190</v>
      </c>
      <c r="O38" t="s">
        <v>104</v>
      </c>
      <c r="P38" t="s">
        <v>105</v>
      </c>
      <c r="Q38" s="3">
        <v>10769.33</v>
      </c>
      <c r="R38" s="3">
        <v>10580.53</v>
      </c>
      <c r="S38" s="3">
        <v>6557.91</v>
      </c>
      <c r="T38" s="3">
        <v>934.88</v>
      </c>
      <c r="U38" s="3">
        <v>678.57</v>
      </c>
      <c r="V38" s="3">
        <v>775.65</v>
      </c>
      <c r="W38" s="3">
        <v>370.66</v>
      </c>
      <c r="X38" s="3">
        <v>9317.68</v>
      </c>
      <c r="Y38" s="3">
        <v>4211.42</v>
      </c>
      <c r="Z38" s="3">
        <f t="shared" si="2"/>
        <v>1451.6499999999996</v>
      </c>
      <c r="AA38" s="37">
        <f t="shared" si="3"/>
        <v>0.13479482939050058</v>
      </c>
      <c r="AB38" s="3">
        <v>188.8</v>
      </c>
      <c r="AC38" s="3">
        <v>215.39</v>
      </c>
      <c r="AD38" s="3">
        <v>1899.71</v>
      </c>
      <c r="AE38" s="3">
        <v>12453.65</v>
      </c>
      <c r="AF38" t="str">
        <f>IF(tbl_FinancialData[[#This Row],[City]]="","Unknown",PROPER(TRIM(tbl_FinancialData[[#This Row],[City]])))</f>
        <v>Mumbai</v>
      </c>
      <c r="AG38" t="str">
        <f>_xlfn.LET(_xlpm.city,LOWER(TRIM(tbl_FinancialData[[#This Row],[City]])),_xlpm.st,PROPER(TRIM(tbl_FinancialData[[#This Row],[State]])),IF(_xlpm.city="pune","Maharashtra",IF(_xlpm.city="jamshedpur","Jharkhand",IF(_xlpm.city="bhilai","Chhattisgarh",IF(_xlpm.city="mumbai","Maharashtra",_xlpm.st)))))</f>
        <v>Maharashtra</v>
      </c>
      <c r="AH38" t="str">
        <f>_xlfn.LET(_xlpm.d,PROPER(TRIM(tbl_FinancialData[[#This Row],[Department]])),IF(_xlpm.d="It","IT",_xlpm.d))</f>
        <v>Operations</v>
      </c>
      <c r="AI38" t="str">
        <f>_xlfn.LET(_xlpm.pid,tbl_FinancialData[[#This Row],[Product ID]],_xlpm.n,PROPER(TRIM(tbl_FinancialData[[#This Row],[Product Name]])),IF(_xlpm.pid="P020","Document Scanner",IF(_xlpm.pid="P015","Network Router",SUBSTITUTE(SUBSTITUTE(_xlpm.n,"Crm","CRM"),"Ups","UPS"))))</f>
        <v>CRM Software</v>
      </c>
      <c r="AJ38" s="3" t="str">
        <f>UPPER(TRIM(tbl_FinancialData[[#This Row],[Cost Center]]))</f>
        <v>CC-1002</v>
      </c>
    </row>
    <row r="39" spans="1:36" x14ac:dyDescent="0.25">
      <c r="A39" s="3" t="s">
        <v>191</v>
      </c>
      <c r="B39" s="2">
        <v>46028</v>
      </c>
      <c r="C39" t="s">
        <v>77</v>
      </c>
      <c r="D39" s="3" t="str">
        <f t="shared" si="0"/>
        <v>Q4</v>
      </c>
      <c r="E39" s="3" t="str">
        <f t="shared" si="1"/>
        <v>FY2026</v>
      </c>
      <c r="F39" s="8" t="s">
        <v>85</v>
      </c>
      <c r="G39" s="3" t="s">
        <v>35</v>
      </c>
      <c r="H39" t="s">
        <v>60</v>
      </c>
      <c r="I39" t="s">
        <v>108</v>
      </c>
      <c r="J39" s="3" t="s">
        <v>80</v>
      </c>
      <c r="K39" t="s">
        <v>160</v>
      </c>
      <c r="L39" s="3" t="s">
        <v>81</v>
      </c>
      <c r="M39" s="3" t="s">
        <v>41</v>
      </c>
      <c r="N39" t="s">
        <v>42</v>
      </c>
      <c r="O39" t="s">
        <v>43</v>
      </c>
      <c r="P39" t="s">
        <v>44</v>
      </c>
      <c r="Q39" s="3">
        <v>16959.810000000001</v>
      </c>
      <c r="R39" s="3">
        <v>16342.09</v>
      </c>
      <c r="S39" s="3">
        <v>8861.2099999999991</v>
      </c>
      <c r="T39" s="3">
        <v>968.34</v>
      </c>
      <c r="U39" s="3">
        <v>556.98</v>
      </c>
      <c r="V39" s="3">
        <v>1303.57</v>
      </c>
      <c r="W39" s="3">
        <v>292.08</v>
      </c>
      <c r="X39" s="3">
        <v>11982.18</v>
      </c>
      <c r="Y39" s="3">
        <v>8098.61</v>
      </c>
      <c r="Z39" s="3">
        <f t="shared" si="2"/>
        <v>4977.630000000001</v>
      </c>
      <c r="AA39" s="37">
        <f t="shared" si="3"/>
        <v>0.29349562288728476</v>
      </c>
      <c r="AB39" s="3">
        <v>617.73</v>
      </c>
      <c r="AC39" s="3">
        <v>508.79</v>
      </c>
      <c r="AD39" s="3">
        <v>1974.12</v>
      </c>
      <c r="AE39" s="3">
        <v>18425.14</v>
      </c>
      <c r="AF39" t="str">
        <f>IF(tbl_FinancialData[[#This Row],[City]]="","Unknown",PROPER(TRIM(tbl_FinancialData[[#This Row],[City]])))</f>
        <v>Agra</v>
      </c>
      <c r="AG39" t="str">
        <f>_xlfn.LET(_xlpm.city,LOWER(TRIM(tbl_FinancialData[[#This Row],[City]])),_xlpm.st,PROPER(TRIM(tbl_FinancialData[[#This Row],[State]])),IF(_xlpm.city="pune","Maharashtra",IF(_xlpm.city="jamshedpur","Jharkhand",IF(_xlpm.city="bhilai","Chhattisgarh",IF(_xlpm.city="mumbai","Maharashtra",_xlpm.st)))))</f>
        <v>Uttar Pradesh</v>
      </c>
      <c r="AH39" t="str">
        <f>_xlfn.LET(_xlpm.d,PROPER(TRIM(tbl_FinancialData[[#This Row],[Department]])),IF(_xlpm.d="It","IT",_xlpm.d))</f>
        <v>IT</v>
      </c>
      <c r="AI39" t="str">
        <f>_xlfn.LET(_xlpm.pid,tbl_FinancialData[[#This Row],[Product ID]],_xlpm.n,PROPER(TRIM(tbl_FinancialData[[#This Row],[Product Name]])),IF(_xlpm.pid="P020","Document Scanner",IF(_xlpm.pid="P015","Network Router",SUBSTITUTE(SUBSTITUTE(_xlpm.n,"Crm","CRM"),"Ups","UPS"))))</f>
        <v>Conference Camera</v>
      </c>
      <c r="AJ39" s="3" t="str">
        <f>UPPER(TRIM(tbl_FinancialData[[#This Row],[Cost Center]]))</f>
        <v>CC-1005</v>
      </c>
    </row>
    <row r="40" spans="1:36" x14ac:dyDescent="0.25">
      <c r="A40" s="3" t="s">
        <v>192</v>
      </c>
      <c r="B40" s="2">
        <v>46048</v>
      </c>
      <c r="C40" t="s">
        <v>77</v>
      </c>
      <c r="D40" s="3" t="str">
        <f t="shared" si="0"/>
        <v>Q4</v>
      </c>
      <c r="E40" s="3" t="str">
        <f t="shared" si="1"/>
        <v>FY2026</v>
      </c>
      <c r="F40" s="8" t="s">
        <v>47</v>
      </c>
      <c r="G40" s="3" t="s">
        <v>35</v>
      </c>
      <c r="H40" t="s">
        <v>48</v>
      </c>
      <c r="I40" t="s">
        <v>49</v>
      </c>
      <c r="J40" s="3" t="s">
        <v>70</v>
      </c>
      <c r="K40" t="s">
        <v>39</v>
      </c>
      <c r="L40" s="3" t="s">
        <v>51</v>
      </c>
      <c r="M40" s="3" t="s">
        <v>171</v>
      </c>
      <c r="N40" t="s">
        <v>172</v>
      </c>
      <c r="O40" t="s">
        <v>173</v>
      </c>
      <c r="P40" t="s">
        <v>174</v>
      </c>
      <c r="Q40" s="3">
        <v>7979.63</v>
      </c>
      <c r="R40" s="3">
        <v>8952.0300000000007</v>
      </c>
      <c r="S40" s="3">
        <v>5263.22</v>
      </c>
      <c r="T40" s="3">
        <v>516.77</v>
      </c>
      <c r="U40" s="3">
        <v>308.08</v>
      </c>
      <c r="V40" s="3">
        <v>555.67999999999995</v>
      </c>
      <c r="W40" s="3">
        <v>215.12</v>
      </c>
      <c r="X40" s="3">
        <v>6858.87</v>
      </c>
      <c r="Y40" s="3">
        <v>2716.41</v>
      </c>
      <c r="Z40" s="3">
        <f t="shared" si="2"/>
        <v>1120.7600000000002</v>
      </c>
      <c r="AA40" s="37">
        <f t="shared" si="3"/>
        <v>0.14045262750277898</v>
      </c>
      <c r="AB40" s="3">
        <v>-972.4</v>
      </c>
      <c r="AC40" s="3">
        <v>398.98</v>
      </c>
      <c r="AD40" s="3">
        <v>909.68</v>
      </c>
      <c r="AE40" s="3">
        <v>8490.33</v>
      </c>
      <c r="AF40" t="str">
        <f>IF(tbl_FinancialData[[#This Row],[City]]="","Unknown",PROPER(TRIM(tbl_FinancialData[[#This Row],[City]])))</f>
        <v>Chennai</v>
      </c>
      <c r="AG40" t="str">
        <f>_xlfn.LET(_xlpm.city,LOWER(TRIM(tbl_FinancialData[[#This Row],[City]])),_xlpm.st,PROPER(TRIM(tbl_FinancialData[[#This Row],[State]])),IF(_xlpm.city="pune","Maharashtra",IF(_xlpm.city="jamshedpur","Jharkhand",IF(_xlpm.city="bhilai","Chhattisgarh",IF(_xlpm.city="mumbai","Maharashtra",_xlpm.st)))))</f>
        <v>Tamil Nadu</v>
      </c>
      <c r="AH40" t="str">
        <f>_xlfn.LET(_xlpm.d,PROPER(TRIM(tbl_FinancialData[[#This Row],[Department]])),IF(_xlpm.d="It","IT",_xlpm.d))</f>
        <v>Operations</v>
      </c>
      <c r="AI40" t="str">
        <f>_xlfn.LET(_xlpm.pid,tbl_FinancialData[[#This Row],[Product ID]],_xlpm.n,PROPER(TRIM(tbl_FinancialData[[#This Row],[Product Name]])),IF(_xlpm.pid="P020","Document Scanner",IF(_xlpm.pid="P015","Network Router",SUBSTITUTE(SUBSTITUTE(_xlpm.n,"Crm","CRM"),"Ups","UPS"))))</f>
        <v>Network Switch</v>
      </c>
      <c r="AJ40" s="3" t="str">
        <f>UPPER(TRIM(tbl_FinancialData[[#This Row],[Cost Center]]))</f>
        <v>CC-1003</v>
      </c>
    </row>
    <row r="41" spans="1:36" x14ac:dyDescent="0.25">
      <c r="A41" s="3" t="s">
        <v>193</v>
      </c>
      <c r="B41" s="2">
        <v>45963</v>
      </c>
      <c r="C41" t="s">
        <v>147</v>
      </c>
      <c r="D41" s="3" t="str">
        <f t="shared" si="0"/>
        <v>Q3</v>
      </c>
      <c r="E41" s="3" t="str">
        <f t="shared" si="1"/>
        <v>FY2026</v>
      </c>
      <c r="F41" s="8" t="s">
        <v>34</v>
      </c>
      <c r="G41" s="3" t="s">
        <v>35</v>
      </c>
      <c r="H41" t="s">
        <v>157</v>
      </c>
      <c r="I41" t="s">
        <v>194</v>
      </c>
      <c r="J41" s="3" t="s">
        <v>70</v>
      </c>
      <c r="K41" t="s">
        <v>50</v>
      </c>
      <c r="L41" s="3" t="s">
        <v>51</v>
      </c>
      <c r="M41" s="3" t="s">
        <v>186</v>
      </c>
      <c r="N41" t="s">
        <v>187</v>
      </c>
      <c r="O41" t="s">
        <v>173</v>
      </c>
      <c r="P41" t="s">
        <v>174</v>
      </c>
      <c r="Q41" s="3">
        <v>36766.15</v>
      </c>
      <c r="R41" s="3">
        <v>32690.32</v>
      </c>
      <c r="S41" s="3">
        <v>25299.95</v>
      </c>
      <c r="T41" s="3">
        <v>2879.96</v>
      </c>
      <c r="U41" s="3">
        <v>1868.3</v>
      </c>
      <c r="V41" s="3">
        <v>1779.1</v>
      </c>
      <c r="W41" s="3">
        <v>1316.57</v>
      </c>
      <c r="X41" s="3">
        <v>33143.86</v>
      </c>
      <c r="Y41" s="3">
        <v>11466.2</v>
      </c>
      <c r="Z41" s="3">
        <f t="shared" si="2"/>
        <v>3622.2900000000009</v>
      </c>
      <c r="AA41" s="37">
        <f t="shared" si="3"/>
        <v>9.8522418039419427E-2</v>
      </c>
      <c r="AB41" s="3">
        <v>4075.83</v>
      </c>
      <c r="AC41" s="3">
        <v>735.32</v>
      </c>
      <c r="AD41" s="3">
        <v>4323.7</v>
      </c>
      <c r="AE41" s="3">
        <v>40354.53</v>
      </c>
      <c r="AF41" t="str">
        <f>IF(tbl_FinancialData[[#This Row],[City]]="","Unknown",PROPER(TRIM(tbl_FinancialData[[#This Row],[City]])))</f>
        <v>Surat</v>
      </c>
      <c r="AG41" t="str">
        <f>_xlfn.LET(_xlpm.city,LOWER(TRIM(tbl_FinancialData[[#This Row],[City]])),_xlpm.st,PROPER(TRIM(tbl_FinancialData[[#This Row],[State]])),IF(_xlpm.city="pune","Maharashtra",IF(_xlpm.city="jamshedpur","Jharkhand",IF(_xlpm.city="bhilai","Chhattisgarh",IF(_xlpm.city="mumbai","Maharashtra",_xlpm.st)))))</f>
        <v>Gujarat</v>
      </c>
      <c r="AH41" t="str">
        <f>_xlfn.LET(_xlpm.d,PROPER(TRIM(tbl_FinancialData[[#This Row],[Department]])),IF(_xlpm.d="It","IT",_xlpm.d))</f>
        <v>Sales</v>
      </c>
      <c r="AI41" t="str">
        <f>_xlfn.LET(_xlpm.pid,tbl_FinancialData[[#This Row],[Product ID]],_xlpm.n,PROPER(TRIM(tbl_FinancialData[[#This Row],[Product Name]])),IF(_xlpm.pid="P020","Document Scanner",IF(_xlpm.pid="P015","Network Router",SUBSTITUTE(SUBSTITUTE(_xlpm.n,"Crm","CRM"),"Ups","UPS"))))</f>
        <v>Network Router</v>
      </c>
      <c r="AJ41" s="3" t="str">
        <f>UPPER(TRIM(tbl_FinancialData[[#This Row],[Cost Center]]))</f>
        <v>CC-1003</v>
      </c>
    </row>
    <row r="42" spans="1:36" x14ac:dyDescent="0.25">
      <c r="A42" s="3" t="s">
        <v>195</v>
      </c>
      <c r="B42" s="2">
        <v>46020</v>
      </c>
      <c r="C42" t="s">
        <v>107</v>
      </c>
      <c r="D42" s="3" t="str">
        <f t="shared" si="0"/>
        <v>Q3</v>
      </c>
      <c r="E42" s="3" t="str">
        <f t="shared" si="1"/>
        <v>FY2026</v>
      </c>
      <c r="F42" s="8" t="s">
        <v>47</v>
      </c>
      <c r="G42" s="3" t="s">
        <v>35</v>
      </c>
      <c r="H42" t="s">
        <v>48</v>
      </c>
      <c r="I42" t="s">
        <v>126</v>
      </c>
      <c r="J42" s="3" t="s">
        <v>38</v>
      </c>
      <c r="K42" t="s">
        <v>50</v>
      </c>
      <c r="L42" s="3" t="s">
        <v>81</v>
      </c>
      <c r="M42" s="3" t="s">
        <v>95</v>
      </c>
      <c r="N42" t="s">
        <v>96</v>
      </c>
      <c r="O42" t="s">
        <v>43</v>
      </c>
      <c r="P42" t="s">
        <v>90</v>
      </c>
      <c r="Q42" s="3">
        <v>38788.870000000003</v>
      </c>
      <c r="R42" s="3">
        <v>41684.339999999997</v>
      </c>
      <c r="S42" s="3">
        <v>23083.25</v>
      </c>
      <c r="T42" s="3">
        <v>3752.28</v>
      </c>
      <c r="U42" s="3">
        <v>2827.46</v>
      </c>
      <c r="V42" s="3">
        <v>3282.29</v>
      </c>
      <c r="W42" s="3">
        <v>1184.18</v>
      </c>
      <c r="X42" s="3">
        <v>34129.449999999997</v>
      </c>
      <c r="Y42" s="3">
        <v>15705.63</v>
      </c>
      <c r="Z42" s="3">
        <f t="shared" si="2"/>
        <v>4659.4200000000055</v>
      </c>
      <c r="AA42" s="37">
        <f t="shared" si="3"/>
        <v>0.12012260217943975</v>
      </c>
      <c r="AB42" s="3">
        <v>-2895.47</v>
      </c>
      <c r="AC42" s="3">
        <v>1939.44</v>
      </c>
      <c r="AD42" s="3">
        <v>4421.93</v>
      </c>
      <c r="AE42" s="3">
        <v>41271.360000000001</v>
      </c>
      <c r="AF42" t="str">
        <f>IF(tbl_FinancialData[[#This Row],[City]]="","Unknown",PROPER(TRIM(tbl_FinancialData[[#This Row],[City]])))</f>
        <v>Coimbatore</v>
      </c>
      <c r="AG42" t="str">
        <f>_xlfn.LET(_xlpm.city,LOWER(TRIM(tbl_FinancialData[[#This Row],[City]])),_xlpm.st,PROPER(TRIM(tbl_FinancialData[[#This Row],[State]])),IF(_xlpm.city="pune","Maharashtra",IF(_xlpm.city="jamshedpur","Jharkhand",IF(_xlpm.city="bhilai","Chhattisgarh",IF(_xlpm.city="mumbai","Maharashtra",_xlpm.st)))))</f>
        <v>Tamil Nadu</v>
      </c>
      <c r="AH42" t="str">
        <f>_xlfn.LET(_xlpm.d,PROPER(TRIM(tbl_FinancialData[[#This Row],[Department]])),IF(_xlpm.d="It","IT",_xlpm.d))</f>
        <v>Sales</v>
      </c>
      <c r="AI42" t="str">
        <f>_xlfn.LET(_xlpm.pid,tbl_FinancialData[[#This Row],[Product ID]],_xlpm.n,PROPER(TRIM(tbl_FinancialData[[#This Row],[Product Name]])),IF(_xlpm.pid="P020","Document Scanner",IF(_xlpm.pid="P015","Network Router",SUBSTITUTE(SUBSTITUTE(_xlpm.n,"Crm","CRM"),"Ups","UPS"))))</f>
        <v>Document Scanner</v>
      </c>
      <c r="AJ42" s="3" t="str">
        <f>UPPER(TRIM(tbl_FinancialData[[#This Row],[Cost Center]]))</f>
        <v>CC-1005</v>
      </c>
    </row>
    <row r="43" spans="1:36" x14ac:dyDescent="0.25">
      <c r="A43" s="3" t="s">
        <v>196</v>
      </c>
      <c r="B43" s="2">
        <v>45848</v>
      </c>
      <c r="C43" t="s">
        <v>32</v>
      </c>
      <c r="D43" s="3" t="str">
        <f t="shared" si="0"/>
        <v>Q2</v>
      </c>
      <c r="E43" s="3" t="str">
        <f t="shared" si="1"/>
        <v>FY2026</v>
      </c>
      <c r="F43" s="8" t="s">
        <v>47</v>
      </c>
      <c r="G43" s="3" t="s">
        <v>35</v>
      </c>
      <c r="H43" t="s">
        <v>48</v>
      </c>
      <c r="I43" t="s">
        <v>126</v>
      </c>
      <c r="J43" s="3" t="s">
        <v>70</v>
      </c>
      <c r="K43" t="s">
        <v>50</v>
      </c>
      <c r="L43" s="3" t="s">
        <v>81</v>
      </c>
      <c r="M43" s="3" t="s">
        <v>197</v>
      </c>
      <c r="N43" t="s">
        <v>198</v>
      </c>
      <c r="O43" t="s">
        <v>43</v>
      </c>
      <c r="P43" t="s">
        <v>163</v>
      </c>
      <c r="Q43" s="3">
        <v>41468.120000000003</v>
      </c>
      <c r="R43" s="3">
        <v>37758.17</v>
      </c>
      <c r="S43" s="3">
        <v>21426.01</v>
      </c>
      <c r="T43" s="3">
        <v>2889.36</v>
      </c>
      <c r="U43" s="3">
        <v>1469.81</v>
      </c>
      <c r="V43" s="3">
        <v>2277.65</v>
      </c>
      <c r="W43" s="3">
        <v>828.46</v>
      </c>
      <c r="X43" s="3">
        <v>28891.29</v>
      </c>
      <c r="Y43" s="3">
        <v>20042.12</v>
      </c>
      <c r="Z43" s="3">
        <f t="shared" si="2"/>
        <v>12576.830000000002</v>
      </c>
      <c r="AA43" s="37">
        <f t="shared" si="3"/>
        <v>0.30328912909483241</v>
      </c>
      <c r="AB43" s="3">
        <v>3709.96</v>
      </c>
      <c r="AC43" s="3">
        <v>0</v>
      </c>
      <c r="AD43" s="3">
        <v>7464.26</v>
      </c>
      <c r="AE43" s="3">
        <v>48932.38</v>
      </c>
      <c r="AF43" t="str">
        <f>IF(tbl_FinancialData[[#This Row],[City]]="","Unknown",PROPER(TRIM(tbl_FinancialData[[#This Row],[City]])))</f>
        <v>Coimbatore</v>
      </c>
      <c r="AG43" t="str">
        <f>_xlfn.LET(_xlpm.city,LOWER(TRIM(tbl_FinancialData[[#This Row],[City]])),_xlpm.st,PROPER(TRIM(tbl_FinancialData[[#This Row],[State]])),IF(_xlpm.city="pune","Maharashtra",IF(_xlpm.city="jamshedpur","Jharkhand",IF(_xlpm.city="bhilai","Chhattisgarh",IF(_xlpm.city="mumbai","Maharashtra",_xlpm.st)))))</f>
        <v>Tamil Nadu</v>
      </c>
      <c r="AH43" t="str">
        <f>_xlfn.LET(_xlpm.d,PROPER(TRIM(tbl_FinancialData[[#This Row],[Department]])),IF(_xlpm.d="It","IT",_xlpm.d))</f>
        <v>Sales</v>
      </c>
      <c r="AI43" t="str">
        <f>_xlfn.LET(_xlpm.pid,tbl_FinancialData[[#This Row],[Product ID]],_xlpm.n,PROPER(TRIM(tbl_FinancialData[[#This Row],[Product Name]])),IF(_xlpm.pid="P020","Document Scanner",IF(_xlpm.pid="P015","Network Router",SUBSTITUTE(SUBSTITUTE(_xlpm.n,"Crm","CRM"),"Ups","UPS"))))</f>
        <v>Smartphone</v>
      </c>
      <c r="AJ43" s="3" t="str">
        <f>UPPER(TRIM(tbl_FinancialData[[#This Row],[Cost Center]]))</f>
        <v>CC-1005</v>
      </c>
    </row>
    <row r="44" spans="1:36" x14ac:dyDescent="0.25">
      <c r="A44" s="3" t="s">
        <v>199</v>
      </c>
      <c r="B44" s="2">
        <v>45994</v>
      </c>
      <c r="C44" t="s">
        <v>107</v>
      </c>
      <c r="D44" s="3" t="str">
        <f t="shared" si="0"/>
        <v>Q3</v>
      </c>
      <c r="E44" s="3" t="str">
        <f t="shared" si="1"/>
        <v>FY2026</v>
      </c>
      <c r="F44" s="8" t="s">
        <v>59</v>
      </c>
      <c r="G44" s="3" t="s">
        <v>35</v>
      </c>
      <c r="H44" t="s">
        <v>139</v>
      </c>
      <c r="I44" t="s">
        <v>200</v>
      </c>
      <c r="J44" s="3" t="s">
        <v>38</v>
      </c>
      <c r="K44" t="s">
        <v>160</v>
      </c>
      <c r="L44" s="3" t="s">
        <v>40</v>
      </c>
      <c r="M44" s="3" t="s">
        <v>95</v>
      </c>
      <c r="N44" t="s">
        <v>96</v>
      </c>
      <c r="O44" t="s">
        <v>43</v>
      </c>
      <c r="P44" t="s">
        <v>90</v>
      </c>
      <c r="Q44" s="3">
        <v>80683.47</v>
      </c>
      <c r="R44" s="3">
        <v>90778.71</v>
      </c>
      <c r="S44" s="3">
        <v>43722.1</v>
      </c>
      <c r="T44" s="3">
        <v>5137.2</v>
      </c>
      <c r="U44" s="3">
        <v>5523.74</v>
      </c>
      <c r="V44" s="3">
        <v>9226.16</v>
      </c>
      <c r="W44" s="3">
        <v>2379.09</v>
      </c>
      <c r="X44" s="3">
        <v>65988.289999999994</v>
      </c>
      <c r="Y44" s="3">
        <v>36961.360000000001</v>
      </c>
      <c r="Z44" s="3">
        <f t="shared" si="2"/>
        <v>14695.180000000008</v>
      </c>
      <c r="AA44" s="37">
        <f t="shared" si="3"/>
        <v>0.18213371338639758</v>
      </c>
      <c r="AB44" s="3">
        <v>-10095.25</v>
      </c>
      <c r="AC44" s="3">
        <v>4034.17</v>
      </c>
      <c r="AD44" s="3">
        <v>9197.92</v>
      </c>
      <c r="AE44" s="3">
        <v>85847.21</v>
      </c>
      <c r="AF44" t="str">
        <f>IF(tbl_FinancialData[[#This Row],[City]]="","Unknown",PROPER(TRIM(tbl_FinancialData[[#This Row],[City]])))</f>
        <v>Gurugram</v>
      </c>
      <c r="AG44" t="str">
        <f>_xlfn.LET(_xlpm.city,LOWER(TRIM(tbl_FinancialData[[#This Row],[City]])),_xlpm.st,PROPER(TRIM(tbl_FinancialData[[#This Row],[State]])),IF(_xlpm.city="pune","Maharashtra",IF(_xlpm.city="jamshedpur","Jharkhand",IF(_xlpm.city="bhilai","Chhattisgarh",IF(_xlpm.city="mumbai","Maharashtra",_xlpm.st)))))</f>
        <v>Haryana</v>
      </c>
      <c r="AH44" t="str">
        <f>_xlfn.LET(_xlpm.d,PROPER(TRIM(tbl_FinancialData[[#This Row],[Department]])),IF(_xlpm.d="It","IT",_xlpm.d))</f>
        <v>IT</v>
      </c>
      <c r="AI44" t="str">
        <f>_xlfn.LET(_xlpm.pid,tbl_FinancialData[[#This Row],[Product ID]],_xlpm.n,PROPER(TRIM(tbl_FinancialData[[#This Row],[Product Name]])),IF(_xlpm.pid="P020","Document Scanner",IF(_xlpm.pid="P015","Network Router",SUBSTITUTE(SUBSTITUTE(_xlpm.n,"Crm","CRM"),"Ups","UPS"))))</f>
        <v>Document Scanner</v>
      </c>
      <c r="AJ44" s="3" t="str">
        <f>UPPER(TRIM(tbl_FinancialData[[#This Row],[Cost Center]]))</f>
        <v>CC-1002</v>
      </c>
    </row>
    <row r="45" spans="1:36" x14ac:dyDescent="0.25">
      <c r="A45" s="3" t="s">
        <v>201</v>
      </c>
      <c r="B45" s="2">
        <v>46047</v>
      </c>
      <c r="C45" t="s">
        <v>77</v>
      </c>
      <c r="D45" s="3" t="str">
        <f t="shared" si="0"/>
        <v>Q4</v>
      </c>
      <c r="E45" s="3" t="str">
        <f t="shared" si="1"/>
        <v>FY2026</v>
      </c>
      <c r="F45" s="8" t="s">
        <v>47</v>
      </c>
      <c r="G45" s="3" t="s">
        <v>35</v>
      </c>
      <c r="H45" t="s">
        <v>48</v>
      </c>
      <c r="I45" t="s">
        <v>126</v>
      </c>
      <c r="J45" s="3" t="s">
        <v>38</v>
      </c>
      <c r="K45" t="s">
        <v>101</v>
      </c>
      <c r="L45" s="3" t="s">
        <v>94</v>
      </c>
      <c r="M45" s="3" t="s">
        <v>95</v>
      </c>
      <c r="N45" t="s">
        <v>202</v>
      </c>
      <c r="O45" t="s">
        <v>43</v>
      </c>
      <c r="P45" t="s">
        <v>90</v>
      </c>
      <c r="Q45" s="3">
        <v>24070.2</v>
      </c>
      <c r="R45" s="3">
        <v>25591.1</v>
      </c>
      <c r="S45" s="3">
        <v>13221.07</v>
      </c>
      <c r="T45" s="3">
        <v>2322.75</v>
      </c>
      <c r="U45" s="3">
        <v>843.27</v>
      </c>
      <c r="V45" s="3">
        <v>1889.3</v>
      </c>
      <c r="W45" s="3">
        <v>689.39</v>
      </c>
      <c r="X45" s="3">
        <v>18965.77</v>
      </c>
      <c r="Y45" s="3">
        <v>10849.13</v>
      </c>
      <c r="Z45" s="3">
        <f t="shared" si="2"/>
        <v>5104.43</v>
      </c>
      <c r="AA45" s="37">
        <f t="shared" si="3"/>
        <v>0.21206429526966955</v>
      </c>
      <c r="AB45" s="3">
        <v>-1520.9</v>
      </c>
      <c r="AC45" s="3">
        <v>0</v>
      </c>
      <c r="AD45" s="3">
        <v>2888.42</v>
      </c>
      <c r="AE45" s="3">
        <v>26958.62</v>
      </c>
      <c r="AF45" t="str">
        <f>IF(tbl_FinancialData[[#This Row],[City]]="","Unknown",PROPER(TRIM(tbl_FinancialData[[#This Row],[City]])))</f>
        <v>Coimbatore</v>
      </c>
      <c r="AG45" t="str">
        <f>_xlfn.LET(_xlpm.city,LOWER(TRIM(tbl_FinancialData[[#This Row],[City]])),_xlpm.st,PROPER(TRIM(tbl_FinancialData[[#This Row],[State]])),IF(_xlpm.city="pune","Maharashtra",IF(_xlpm.city="jamshedpur","Jharkhand",IF(_xlpm.city="bhilai","Chhattisgarh",IF(_xlpm.city="mumbai","Maharashtra",_xlpm.st)))))</f>
        <v>Tamil Nadu</v>
      </c>
      <c r="AH45" t="str">
        <f>_xlfn.LET(_xlpm.d,PROPER(TRIM(tbl_FinancialData[[#This Row],[Department]])),IF(_xlpm.d="It","IT",_xlpm.d))</f>
        <v>Finance</v>
      </c>
      <c r="AI45" t="str">
        <f>_xlfn.LET(_xlpm.pid,tbl_FinancialData[[#This Row],[Product ID]],_xlpm.n,PROPER(TRIM(tbl_FinancialData[[#This Row],[Product Name]])),IF(_xlpm.pid="P020","Document Scanner",IF(_xlpm.pid="P015","Network Router",SUBSTITUTE(SUBSTITUTE(_xlpm.n,"Crm","CRM"),"Ups","UPS"))))</f>
        <v>Document Scanner</v>
      </c>
      <c r="AJ45" s="3" t="str">
        <f>UPPER(TRIM(tbl_FinancialData[[#This Row],[Cost Center]]))</f>
        <v>CC-1001</v>
      </c>
    </row>
    <row r="46" spans="1:36" x14ac:dyDescent="0.25">
      <c r="A46" s="3" t="s">
        <v>203</v>
      </c>
      <c r="B46" s="2">
        <v>45757</v>
      </c>
      <c r="C46" t="s">
        <v>128</v>
      </c>
      <c r="D46" s="3" t="str">
        <f t="shared" si="0"/>
        <v>Q1</v>
      </c>
      <c r="E46" s="3" t="str">
        <f t="shared" si="1"/>
        <v>FY2026</v>
      </c>
      <c r="F46" s="8" t="s">
        <v>67</v>
      </c>
      <c r="G46" s="3" t="s">
        <v>35</v>
      </c>
      <c r="H46" t="s">
        <v>68</v>
      </c>
      <c r="I46" t="s">
        <v>204</v>
      </c>
      <c r="J46" s="3" t="s">
        <v>80</v>
      </c>
      <c r="K46" t="s">
        <v>39</v>
      </c>
      <c r="L46" s="3" t="s">
        <v>72</v>
      </c>
      <c r="M46" s="3" t="s">
        <v>82</v>
      </c>
      <c r="N46" t="s">
        <v>83</v>
      </c>
      <c r="O46" t="s">
        <v>43</v>
      </c>
      <c r="P46" t="s">
        <v>75</v>
      </c>
      <c r="Q46" s="3">
        <v>18433.46</v>
      </c>
      <c r="R46" s="3">
        <v>16866.78</v>
      </c>
      <c r="S46" s="3">
        <v>10941.36</v>
      </c>
      <c r="T46" s="3">
        <v>1815.48</v>
      </c>
      <c r="U46" s="3">
        <v>1412.53</v>
      </c>
      <c r="V46" s="3">
        <v>894.69</v>
      </c>
      <c r="W46" s="3">
        <v>733.2</v>
      </c>
      <c r="X46" s="3">
        <v>15797.26</v>
      </c>
      <c r="Y46" s="3">
        <v>7492.1</v>
      </c>
      <c r="Z46" s="3">
        <f t="shared" si="2"/>
        <v>2636.1999999999989</v>
      </c>
      <c r="AA46" s="37">
        <f t="shared" si="3"/>
        <v>0.14301167550747385</v>
      </c>
      <c r="AB46" s="3">
        <v>1566.68</v>
      </c>
      <c r="AC46" s="3">
        <v>921.67</v>
      </c>
      <c r="AD46" s="3">
        <v>2101.41</v>
      </c>
      <c r="AE46" s="3">
        <v>19613.21</v>
      </c>
      <c r="AF46" t="str">
        <f>IF(tbl_FinancialData[[#This Row],[City]]="","Unknown",PROPER(TRIM(tbl_FinancialData[[#This Row],[City]])))</f>
        <v>Cuttack</v>
      </c>
      <c r="AG46" t="str">
        <f>_xlfn.LET(_xlpm.city,LOWER(TRIM(tbl_FinancialData[[#This Row],[City]])),_xlpm.st,PROPER(TRIM(tbl_FinancialData[[#This Row],[State]])),IF(_xlpm.city="pune","Maharashtra",IF(_xlpm.city="jamshedpur","Jharkhand",IF(_xlpm.city="bhilai","Chhattisgarh",IF(_xlpm.city="mumbai","Maharashtra",_xlpm.st)))))</f>
        <v>Odisha</v>
      </c>
      <c r="AH46" t="str">
        <f>_xlfn.LET(_xlpm.d,PROPER(TRIM(tbl_FinancialData[[#This Row],[Department]])),IF(_xlpm.d="It","IT",_xlpm.d))</f>
        <v>Operations</v>
      </c>
      <c r="AI46" t="str">
        <f>_xlfn.LET(_xlpm.pid,tbl_FinancialData[[#This Row],[Product ID]],_xlpm.n,PROPER(TRIM(tbl_FinancialData[[#This Row],[Product Name]])),IF(_xlpm.pid="P020","Document Scanner",IF(_xlpm.pid="P015","Network Router",SUBSTITUTE(SUBSTITUTE(_xlpm.n,"Crm","CRM"),"Ups","UPS"))))</f>
        <v>Business Laptop</v>
      </c>
      <c r="AJ46" s="3" t="str">
        <f>UPPER(TRIM(tbl_FinancialData[[#This Row],[Cost Center]]))</f>
        <v>CC-1004</v>
      </c>
    </row>
    <row r="47" spans="1:36" x14ac:dyDescent="0.25">
      <c r="A47" s="3" t="s">
        <v>205</v>
      </c>
      <c r="B47" s="2">
        <v>45884</v>
      </c>
      <c r="C47" t="s">
        <v>117</v>
      </c>
      <c r="D47" s="3" t="str">
        <f t="shared" si="0"/>
        <v>Q2</v>
      </c>
      <c r="E47" s="3" t="str">
        <f t="shared" si="1"/>
        <v>FY2026</v>
      </c>
      <c r="F47" s="8" t="s">
        <v>47</v>
      </c>
      <c r="G47" s="3" t="s">
        <v>35</v>
      </c>
      <c r="H47" t="s">
        <v>206</v>
      </c>
      <c r="I47" t="s">
        <v>207</v>
      </c>
      <c r="J47" s="3" t="s">
        <v>80</v>
      </c>
      <c r="K47" t="s">
        <v>71</v>
      </c>
      <c r="L47" s="3" t="s">
        <v>72</v>
      </c>
      <c r="M47" s="3" t="s">
        <v>141</v>
      </c>
      <c r="N47" t="s">
        <v>142</v>
      </c>
      <c r="O47" t="s">
        <v>54</v>
      </c>
      <c r="P47" t="s">
        <v>143</v>
      </c>
      <c r="Q47" s="3">
        <v>9191.83</v>
      </c>
      <c r="R47" s="3">
        <v>10293.58</v>
      </c>
      <c r="S47" s="3">
        <v>6232.36</v>
      </c>
      <c r="T47" s="3">
        <v>596.66</v>
      </c>
      <c r="U47" s="3">
        <v>370.61</v>
      </c>
      <c r="V47" s="3">
        <v>833.71</v>
      </c>
      <c r="W47" s="3">
        <v>383.99</v>
      </c>
      <c r="X47" s="3">
        <v>8417.33</v>
      </c>
      <c r="Y47" s="3">
        <v>2959.48</v>
      </c>
      <c r="Z47" s="3">
        <f t="shared" si="2"/>
        <v>774.5</v>
      </c>
      <c r="AA47" s="37">
        <f t="shared" si="3"/>
        <v>8.4259608804775551E-2</v>
      </c>
      <c r="AB47" s="3">
        <v>-1101.74</v>
      </c>
      <c r="AC47" s="3">
        <v>183.84</v>
      </c>
      <c r="AD47" s="3">
        <v>1080.96</v>
      </c>
      <c r="AE47" s="3">
        <v>10088.959999999999</v>
      </c>
      <c r="AF47" t="str">
        <f>IF(tbl_FinancialData[[#This Row],[City]]="","Unknown",PROPER(TRIM(tbl_FinancialData[[#This Row],[City]])))</f>
        <v>Nizamabad</v>
      </c>
      <c r="AG47" t="str">
        <f>_xlfn.LET(_xlpm.city,LOWER(TRIM(tbl_FinancialData[[#This Row],[City]])),_xlpm.st,PROPER(TRIM(tbl_FinancialData[[#This Row],[State]])),IF(_xlpm.city="pune","Maharashtra",IF(_xlpm.city="jamshedpur","Jharkhand",IF(_xlpm.city="bhilai","Chhattisgarh",IF(_xlpm.city="mumbai","Maharashtra",_xlpm.st)))))</f>
        <v>Telangana</v>
      </c>
      <c r="AH47" t="str">
        <f>_xlfn.LET(_xlpm.d,PROPER(TRIM(tbl_FinancialData[[#This Row],[Department]])),IF(_xlpm.d="It","IT",_xlpm.d))</f>
        <v>Marketing</v>
      </c>
      <c r="AI47" t="str">
        <f>_xlfn.LET(_xlpm.pid,tbl_FinancialData[[#This Row],[Product ID]],_xlpm.n,PROPER(TRIM(tbl_FinancialData[[#This Row],[Product Name]])),IF(_xlpm.pid="P020","Document Scanner",IF(_xlpm.pid="P015","Network Router",SUBSTITUTE(SUBSTITUTE(_xlpm.n,"Crm","CRM"),"Ups","UPS"))))</f>
        <v>Headset</v>
      </c>
      <c r="AJ47" s="3" t="str">
        <f>UPPER(TRIM(tbl_FinancialData[[#This Row],[Cost Center]]))</f>
        <v>CC-1004</v>
      </c>
    </row>
    <row r="48" spans="1:36" x14ac:dyDescent="0.25">
      <c r="A48" s="3" t="s">
        <v>208</v>
      </c>
      <c r="B48" s="2">
        <v>46043</v>
      </c>
      <c r="C48" t="s">
        <v>77</v>
      </c>
      <c r="D48" s="3" t="str">
        <f t="shared" si="0"/>
        <v>Q4</v>
      </c>
      <c r="E48" s="3" t="str">
        <f t="shared" si="1"/>
        <v>FY2026</v>
      </c>
      <c r="F48" s="8" t="s">
        <v>67</v>
      </c>
      <c r="G48" s="3" t="s">
        <v>35</v>
      </c>
      <c r="H48" t="s">
        <v>118</v>
      </c>
      <c r="I48" t="s">
        <v>209</v>
      </c>
      <c r="J48" s="3" t="s">
        <v>38</v>
      </c>
      <c r="K48" t="s">
        <v>101</v>
      </c>
      <c r="L48" s="3" t="s">
        <v>94</v>
      </c>
      <c r="M48" s="3" t="s">
        <v>186</v>
      </c>
      <c r="N48" t="s">
        <v>187</v>
      </c>
      <c r="O48" t="s">
        <v>173</v>
      </c>
      <c r="P48" t="s">
        <v>174</v>
      </c>
      <c r="Q48" s="3">
        <v>22317.38</v>
      </c>
      <c r="R48" s="3">
        <v>22260.35</v>
      </c>
      <c r="S48" s="3">
        <v>13561.06</v>
      </c>
      <c r="T48" s="3">
        <v>1234.81</v>
      </c>
      <c r="U48" s="3">
        <v>890.17</v>
      </c>
      <c r="V48" s="3">
        <v>1861.89</v>
      </c>
      <c r="W48" s="3">
        <v>560.24</v>
      </c>
      <c r="X48" s="3">
        <v>18108.169999999998</v>
      </c>
      <c r="Y48" s="3">
        <v>8756.32</v>
      </c>
      <c r="Z48" s="3">
        <f t="shared" si="2"/>
        <v>4209.2100000000028</v>
      </c>
      <c r="AA48" s="37">
        <f t="shared" si="3"/>
        <v>0.18860681674999497</v>
      </c>
      <c r="AB48" s="3">
        <v>57.03</v>
      </c>
      <c r="AC48" s="3">
        <v>669.52</v>
      </c>
      <c r="AD48" s="3">
        <v>3896.61</v>
      </c>
      <c r="AE48" s="3">
        <v>25544.47</v>
      </c>
      <c r="AF48" t="str">
        <f>IF(tbl_FinancialData[[#This Row],[City]]="","Unknown",PROPER(TRIM(tbl_FinancialData[[#This Row],[City]])))</f>
        <v>Jamshedpur</v>
      </c>
      <c r="AG48" t="str">
        <f>_xlfn.LET(_xlpm.city,LOWER(TRIM(tbl_FinancialData[[#This Row],[City]])),_xlpm.st,PROPER(TRIM(tbl_FinancialData[[#This Row],[State]])),IF(_xlpm.city="pune","Maharashtra",IF(_xlpm.city="jamshedpur","Jharkhand",IF(_xlpm.city="bhilai","Chhattisgarh",IF(_xlpm.city="mumbai","Maharashtra",_xlpm.st)))))</f>
        <v>Jharkhand</v>
      </c>
      <c r="AH48" t="str">
        <f>_xlfn.LET(_xlpm.d,PROPER(TRIM(tbl_FinancialData[[#This Row],[Department]])),IF(_xlpm.d="It","IT",_xlpm.d))</f>
        <v>Finance</v>
      </c>
      <c r="AI48" t="str">
        <f>_xlfn.LET(_xlpm.pid,tbl_FinancialData[[#This Row],[Product ID]],_xlpm.n,PROPER(TRIM(tbl_FinancialData[[#This Row],[Product Name]])),IF(_xlpm.pid="P020","Document Scanner",IF(_xlpm.pid="P015","Network Router",SUBSTITUTE(SUBSTITUTE(_xlpm.n,"Crm","CRM"),"Ups","UPS"))))</f>
        <v>Network Router</v>
      </c>
      <c r="AJ48" s="3" t="str">
        <f>UPPER(TRIM(tbl_FinancialData[[#This Row],[Cost Center]]))</f>
        <v>CC-1001</v>
      </c>
    </row>
    <row r="49" spans="1:36" x14ac:dyDescent="0.25">
      <c r="A49" s="3" t="s">
        <v>210</v>
      </c>
      <c r="B49" s="2">
        <v>45789</v>
      </c>
      <c r="C49" t="s">
        <v>65</v>
      </c>
      <c r="D49" s="3" t="str">
        <f t="shared" si="0"/>
        <v>Q1</v>
      </c>
      <c r="E49" s="3" t="str">
        <f t="shared" si="1"/>
        <v>FY2026</v>
      </c>
      <c r="F49" s="8" t="s">
        <v>59</v>
      </c>
      <c r="G49" s="3" t="s">
        <v>35</v>
      </c>
      <c r="H49" t="s">
        <v>139</v>
      </c>
      <c r="I49" t="s">
        <v>152</v>
      </c>
      <c r="J49" s="3" t="s">
        <v>80</v>
      </c>
      <c r="K49" t="s">
        <v>101</v>
      </c>
      <c r="L49" s="3" t="s">
        <v>51</v>
      </c>
      <c r="M49" s="3" t="s">
        <v>211</v>
      </c>
      <c r="N49" t="s">
        <v>212</v>
      </c>
      <c r="O49" t="s">
        <v>112</v>
      </c>
      <c r="P49" t="s">
        <v>113</v>
      </c>
      <c r="Q49" s="3">
        <v>35982.269999999997</v>
      </c>
      <c r="R49" s="3">
        <v>39296.019999999997</v>
      </c>
      <c r="S49" s="3">
        <v>23995.040000000001</v>
      </c>
      <c r="T49" s="3">
        <v>2211.12</v>
      </c>
      <c r="U49" s="3">
        <v>1377.96</v>
      </c>
      <c r="V49" s="3">
        <v>3494.78</v>
      </c>
      <c r="W49" s="3">
        <v>981.93</v>
      </c>
      <c r="X49" s="3">
        <v>32060.83</v>
      </c>
      <c r="Y49" s="3">
        <v>11987.23</v>
      </c>
      <c r="Z49" s="3">
        <f t="shared" si="2"/>
        <v>3921.4399999999951</v>
      </c>
      <c r="AA49" s="37">
        <f t="shared" si="3"/>
        <v>0.10898256280106829</v>
      </c>
      <c r="AB49" s="3">
        <v>-3313.76</v>
      </c>
      <c r="AC49" s="3">
        <v>1799.11</v>
      </c>
      <c r="AD49" s="3">
        <v>1709.16</v>
      </c>
      <c r="AE49" s="3">
        <v>35892.31</v>
      </c>
      <c r="AF49" t="str">
        <f>IF(tbl_FinancialData[[#This Row],[City]]="","Unknown",PROPER(TRIM(tbl_FinancialData[[#This Row],[City]])))</f>
        <v>Panipat</v>
      </c>
      <c r="AG49" t="str">
        <f>_xlfn.LET(_xlpm.city,LOWER(TRIM(tbl_FinancialData[[#This Row],[City]])),_xlpm.st,PROPER(TRIM(tbl_FinancialData[[#This Row],[State]])),IF(_xlpm.city="pune","Maharashtra",IF(_xlpm.city="jamshedpur","Jharkhand",IF(_xlpm.city="bhilai","Chhattisgarh",IF(_xlpm.city="mumbai","Maharashtra",_xlpm.st)))))</f>
        <v>Haryana</v>
      </c>
      <c r="AH49" t="str">
        <f>_xlfn.LET(_xlpm.d,PROPER(TRIM(tbl_FinancialData[[#This Row],[Department]])),IF(_xlpm.d="It","IT",_xlpm.d))</f>
        <v>Finance</v>
      </c>
      <c r="AI49" t="str">
        <f>_xlfn.LET(_xlpm.pid,tbl_FinancialData[[#This Row],[Product ID]],_xlpm.n,PROPER(TRIM(tbl_FinancialData[[#This Row],[Product Name]])),IF(_xlpm.pid="P020","Document Scanner",IF(_xlpm.pid="P015","Network Router",SUBSTITUTE(SUBSTITUTE(_xlpm.n,"Crm","CRM"),"Ups","UPS"))))</f>
        <v>Office Chair</v>
      </c>
      <c r="AJ49" s="3" t="str">
        <f>UPPER(TRIM(tbl_FinancialData[[#This Row],[Cost Center]]))</f>
        <v>CC-1003</v>
      </c>
    </row>
    <row r="50" spans="1:36" x14ac:dyDescent="0.25">
      <c r="A50" s="3" t="s">
        <v>213</v>
      </c>
      <c r="B50" s="2">
        <v>45906</v>
      </c>
      <c r="C50" t="s">
        <v>46</v>
      </c>
      <c r="D50" s="3" t="str">
        <f t="shared" si="0"/>
        <v>Q2</v>
      </c>
      <c r="E50" s="3" t="str">
        <f t="shared" si="1"/>
        <v>FY2026</v>
      </c>
      <c r="F50" s="8" t="s">
        <v>47</v>
      </c>
      <c r="G50" s="3" t="s">
        <v>35</v>
      </c>
      <c r="H50" t="s">
        <v>214</v>
      </c>
      <c r="I50" t="s">
        <v>215</v>
      </c>
      <c r="J50" s="3" t="s">
        <v>80</v>
      </c>
      <c r="K50" t="s">
        <v>39</v>
      </c>
      <c r="L50" s="3" t="s">
        <v>81</v>
      </c>
      <c r="M50" s="3" t="s">
        <v>186</v>
      </c>
      <c r="N50" t="s">
        <v>187</v>
      </c>
      <c r="O50" t="s">
        <v>173</v>
      </c>
      <c r="P50" t="s">
        <v>174</v>
      </c>
      <c r="Q50" s="3">
        <v>22383.14</v>
      </c>
      <c r="R50" s="3">
        <v>19779.099999999999</v>
      </c>
      <c r="S50" s="3">
        <v>13958.71</v>
      </c>
      <c r="T50" s="3">
        <v>2131.7800000000002</v>
      </c>
      <c r="U50" s="3">
        <v>1601.55</v>
      </c>
      <c r="V50" s="3">
        <v>1967.98</v>
      </c>
      <c r="W50" s="3">
        <v>871.55</v>
      </c>
      <c r="X50" s="3">
        <v>20531.580000000002</v>
      </c>
      <c r="Y50" s="3">
        <v>8424.43</v>
      </c>
      <c r="Z50" s="3">
        <f t="shared" si="2"/>
        <v>1851.5599999999977</v>
      </c>
      <c r="AA50" s="37">
        <f t="shared" si="3"/>
        <v>8.2721191039326819E-2</v>
      </c>
      <c r="AB50" s="3">
        <v>2604.0300000000002</v>
      </c>
      <c r="AC50" s="3">
        <v>2238.31</v>
      </c>
      <c r="AD50" s="3">
        <v>2417.38</v>
      </c>
      <c r="AE50" s="3">
        <v>22562.2</v>
      </c>
      <c r="AF50" t="str">
        <f>IF(tbl_FinancialData[[#This Row],[City]]="","Unknown",PROPER(TRIM(tbl_FinancialData[[#This Row],[City]])))</f>
        <v>Mangaluru</v>
      </c>
      <c r="AG50" t="str">
        <f>_xlfn.LET(_xlpm.city,LOWER(TRIM(tbl_FinancialData[[#This Row],[City]])),_xlpm.st,PROPER(TRIM(tbl_FinancialData[[#This Row],[State]])),IF(_xlpm.city="pune","Maharashtra",IF(_xlpm.city="jamshedpur","Jharkhand",IF(_xlpm.city="bhilai","Chhattisgarh",IF(_xlpm.city="mumbai","Maharashtra",_xlpm.st)))))</f>
        <v>Karnataka</v>
      </c>
      <c r="AH50" t="str">
        <f>_xlfn.LET(_xlpm.d,PROPER(TRIM(tbl_FinancialData[[#This Row],[Department]])),IF(_xlpm.d="It","IT",_xlpm.d))</f>
        <v>Operations</v>
      </c>
      <c r="AI50" t="str">
        <f>_xlfn.LET(_xlpm.pid,tbl_FinancialData[[#This Row],[Product ID]],_xlpm.n,PROPER(TRIM(tbl_FinancialData[[#This Row],[Product Name]])),IF(_xlpm.pid="P020","Document Scanner",IF(_xlpm.pid="P015","Network Router",SUBSTITUTE(SUBSTITUTE(_xlpm.n,"Crm","CRM"),"Ups","UPS"))))</f>
        <v>Network Router</v>
      </c>
      <c r="AJ50" s="3" t="str">
        <f>UPPER(TRIM(tbl_FinancialData[[#This Row],[Cost Center]]))</f>
        <v>CC-1005</v>
      </c>
    </row>
    <row r="51" spans="1:36" x14ac:dyDescent="0.25">
      <c r="A51" s="3" t="s">
        <v>216</v>
      </c>
      <c r="B51" s="2">
        <v>45881</v>
      </c>
      <c r="C51" t="s">
        <v>117</v>
      </c>
      <c r="D51" s="3" t="str">
        <f t="shared" si="0"/>
        <v>Q2</v>
      </c>
      <c r="E51" s="3" t="str">
        <f t="shared" si="1"/>
        <v>FY2026</v>
      </c>
      <c r="F51" s="8" t="s">
        <v>67</v>
      </c>
      <c r="G51" s="3" t="s">
        <v>35</v>
      </c>
      <c r="H51" t="s">
        <v>217</v>
      </c>
      <c r="I51" t="s">
        <v>218</v>
      </c>
      <c r="J51" s="3" t="s">
        <v>100</v>
      </c>
      <c r="K51" t="s">
        <v>39</v>
      </c>
      <c r="L51" s="3" t="s">
        <v>40</v>
      </c>
      <c r="M51" s="3" t="s">
        <v>189</v>
      </c>
      <c r="N51" t="s">
        <v>190</v>
      </c>
      <c r="O51" t="s">
        <v>104</v>
      </c>
      <c r="P51" t="s">
        <v>105</v>
      </c>
      <c r="Q51" s="3">
        <v>6645.64</v>
      </c>
      <c r="R51" s="3">
        <v>6358.58</v>
      </c>
      <c r="S51" s="3">
        <v>4348</v>
      </c>
      <c r="T51" s="3">
        <v>647.53</v>
      </c>
      <c r="U51" s="3">
        <v>210.29</v>
      </c>
      <c r="V51" s="3">
        <v>754.28</v>
      </c>
      <c r="W51" s="3">
        <v>250.23</v>
      </c>
      <c r="X51" s="3">
        <v>6210.33</v>
      </c>
      <c r="Y51" s="3">
        <v>2297.65</v>
      </c>
      <c r="Z51" s="3">
        <f t="shared" si="2"/>
        <v>435.3100000000004</v>
      </c>
      <c r="AA51" s="37">
        <f t="shared" si="3"/>
        <v>6.5503096767203811E-2</v>
      </c>
      <c r="AB51" s="3">
        <v>287.06</v>
      </c>
      <c r="AC51" s="3">
        <v>0</v>
      </c>
      <c r="AD51" s="3">
        <v>1196.22</v>
      </c>
      <c r="AE51" s="3">
        <v>7841.86</v>
      </c>
      <c r="AF51" t="str">
        <f>IF(tbl_FinancialData[[#This Row],[City]]="","Unknown",PROPER(TRIM(tbl_FinancialData[[#This Row],[City]])))</f>
        <v>Gaya</v>
      </c>
      <c r="AG51" t="str">
        <f>_xlfn.LET(_xlpm.city,LOWER(TRIM(tbl_FinancialData[[#This Row],[City]])),_xlpm.st,PROPER(TRIM(tbl_FinancialData[[#This Row],[State]])),IF(_xlpm.city="pune","Maharashtra",IF(_xlpm.city="jamshedpur","Jharkhand",IF(_xlpm.city="bhilai","Chhattisgarh",IF(_xlpm.city="mumbai","Maharashtra",_xlpm.st)))))</f>
        <v>Bihar</v>
      </c>
      <c r="AH51" t="str">
        <f>_xlfn.LET(_xlpm.d,PROPER(TRIM(tbl_FinancialData[[#This Row],[Department]])),IF(_xlpm.d="It","IT",_xlpm.d))</f>
        <v>Operations</v>
      </c>
      <c r="AI51" t="str">
        <f>_xlfn.LET(_xlpm.pid,tbl_FinancialData[[#This Row],[Product ID]],_xlpm.n,PROPER(TRIM(tbl_FinancialData[[#This Row],[Product Name]])),IF(_xlpm.pid="P020","Document Scanner",IF(_xlpm.pid="P015","Network Router",SUBSTITUTE(SUBSTITUTE(_xlpm.n,"Crm","CRM"),"Ups","UPS"))))</f>
        <v>CRM Software</v>
      </c>
      <c r="AJ51" s="3" t="str">
        <f>UPPER(TRIM(tbl_FinancialData[[#This Row],[Cost Center]]))</f>
        <v>CC-1002</v>
      </c>
    </row>
    <row r="52" spans="1:36" x14ac:dyDescent="0.25">
      <c r="A52" s="3" t="s">
        <v>219</v>
      </c>
      <c r="B52" s="2">
        <v>45839</v>
      </c>
      <c r="C52" t="s">
        <v>32</v>
      </c>
      <c r="D52" s="3" t="str">
        <f t="shared" si="0"/>
        <v>Q2</v>
      </c>
      <c r="E52" s="3" t="str">
        <f t="shared" si="1"/>
        <v>FY2026</v>
      </c>
      <c r="F52" s="8" t="s">
        <v>47</v>
      </c>
      <c r="G52" s="3" t="s">
        <v>35</v>
      </c>
      <c r="H52" t="s">
        <v>214</v>
      </c>
      <c r="I52" t="s">
        <v>220</v>
      </c>
      <c r="J52" s="3" t="s">
        <v>70</v>
      </c>
      <c r="K52" t="s">
        <v>71</v>
      </c>
      <c r="L52" s="3" t="s">
        <v>94</v>
      </c>
      <c r="M52" s="3" t="s">
        <v>221</v>
      </c>
      <c r="N52" t="s">
        <v>222</v>
      </c>
      <c r="O52" t="s">
        <v>104</v>
      </c>
      <c r="P52" t="s">
        <v>223</v>
      </c>
      <c r="Q52" s="3">
        <v>12571.21</v>
      </c>
      <c r="R52" s="3">
        <v>14776.86</v>
      </c>
      <c r="S52" s="3">
        <v>8565.2099999999991</v>
      </c>
      <c r="T52" s="3">
        <v>753.93</v>
      </c>
      <c r="U52" s="3">
        <v>1066.73</v>
      </c>
      <c r="V52" s="3">
        <v>1377.7</v>
      </c>
      <c r="W52" s="3">
        <v>354</v>
      </c>
      <c r="X52" s="3">
        <v>12117.57</v>
      </c>
      <c r="Y52" s="3">
        <v>4006</v>
      </c>
      <c r="Z52" s="3">
        <f t="shared" si="2"/>
        <v>453.63999999999942</v>
      </c>
      <c r="AA52" s="37">
        <f t="shared" si="3"/>
        <v>3.6085627397839944E-2</v>
      </c>
      <c r="AB52" s="3">
        <v>-2205.65</v>
      </c>
      <c r="AC52" s="3">
        <v>628.55999999999995</v>
      </c>
      <c r="AD52" s="3">
        <v>1433.12</v>
      </c>
      <c r="AE52" s="3">
        <v>13375.77</v>
      </c>
      <c r="AF52" t="str">
        <f>IF(tbl_FinancialData[[#This Row],[City]]="","Unknown",PROPER(TRIM(tbl_FinancialData[[#This Row],[City]])))</f>
        <v>Mysuru</v>
      </c>
      <c r="AG52" t="str">
        <f>_xlfn.LET(_xlpm.city,LOWER(TRIM(tbl_FinancialData[[#This Row],[City]])),_xlpm.st,PROPER(TRIM(tbl_FinancialData[[#This Row],[State]])),IF(_xlpm.city="pune","Maharashtra",IF(_xlpm.city="jamshedpur","Jharkhand",IF(_xlpm.city="bhilai","Chhattisgarh",IF(_xlpm.city="mumbai","Maharashtra",_xlpm.st)))))</f>
        <v>Karnataka</v>
      </c>
      <c r="AH52" t="str">
        <f>_xlfn.LET(_xlpm.d,PROPER(TRIM(tbl_FinancialData[[#This Row],[Department]])),IF(_xlpm.d="It","IT",_xlpm.d))</f>
        <v>Marketing</v>
      </c>
      <c r="AI52" t="str">
        <f>_xlfn.LET(_xlpm.pid,tbl_FinancialData[[#This Row],[Product ID]],_xlpm.n,PROPER(TRIM(tbl_FinancialData[[#This Row],[Product Name]])),IF(_xlpm.pid="P020","Document Scanner",IF(_xlpm.pid="P015","Network Router",SUBSTITUTE(SUBSTITUTE(_xlpm.n,"Crm","CRM"),"Ups","UPS"))))</f>
        <v>Cloud Software</v>
      </c>
      <c r="AJ52" s="3" t="str">
        <f>UPPER(TRIM(tbl_FinancialData[[#This Row],[Cost Center]]))</f>
        <v>CC-1001</v>
      </c>
    </row>
    <row r="53" spans="1:36" x14ac:dyDescent="0.25">
      <c r="A53" s="3" t="s">
        <v>224</v>
      </c>
      <c r="B53" s="2">
        <v>46056</v>
      </c>
      <c r="C53" t="s">
        <v>57</v>
      </c>
      <c r="D53" s="3" t="str">
        <f t="shared" si="0"/>
        <v>Q4</v>
      </c>
      <c r="E53" s="3" t="str">
        <f t="shared" si="1"/>
        <v>FY2026</v>
      </c>
      <c r="F53" s="8" t="s">
        <v>47</v>
      </c>
      <c r="G53" s="3" t="s">
        <v>35</v>
      </c>
      <c r="H53" t="s">
        <v>78</v>
      </c>
      <c r="I53" t="s">
        <v>79</v>
      </c>
      <c r="J53" s="3" t="s">
        <v>80</v>
      </c>
      <c r="K53" t="s">
        <v>39</v>
      </c>
      <c r="L53" s="3" t="s">
        <v>51</v>
      </c>
      <c r="M53" s="3" t="s">
        <v>95</v>
      </c>
      <c r="N53" t="s">
        <v>96</v>
      </c>
      <c r="O53" t="s">
        <v>43</v>
      </c>
      <c r="P53" t="s">
        <v>90</v>
      </c>
      <c r="Q53" s="3">
        <v>56317.64</v>
      </c>
      <c r="R53" s="3">
        <v>55411.14</v>
      </c>
      <c r="S53" s="3">
        <v>31721.97</v>
      </c>
      <c r="T53" s="3">
        <v>6138.63</v>
      </c>
      <c r="U53" s="3">
        <v>3063.35</v>
      </c>
      <c r="V53" s="3">
        <v>3264.64</v>
      </c>
      <c r="W53" s="3">
        <v>1454.99</v>
      </c>
      <c r="X53" s="3">
        <v>45643.58</v>
      </c>
      <c r="Y53" s="3">
        <v>24595.67</v>
      </c>
      <c r="Z53" s="3">
        <f t="shared" si="2"/>
        <v>10674.059999999998</v>
      </c>
      <c r="AA53" s="37">
        <f t="shared" si="3"/>
        <v>0.18953315515351846</v>
      </c>
      <c r="AB53" s="3">
        <v>906.5</v>
      </c>
      <c r="AC53" s="3">
        <v>0</v>
      </c>
      <c r="AD53" s="3">
        <v>2815.88</v>
      </c>
      <c r="AE53" s="3">
        <v>59133.52</v>
      </c>
      <c r="AF53" t="str">
        <f>IF(tbl_FinancialData[[#This Row],[City]]="","Unknown",PROPER(TRIM(tbl_FinancialData[[#This Row],[City]])))</f>
        <v>Kochi</v>
      </c>
      <c r="AG53" t="str">
        <f>_xlfn.LET(_xlpm.city,LOWER(TRIM(tbl_FinancialData[[#This Row],[City]])),_xlpm.st,PROPER(TRIM(tbl_FinancialData[[#This Row],[State]])),IF(_xlpm.city="pune","Maharashtra",IF(_xlpm.city="jamshedpur","Jharkhand",IF(_xlpm.city="bhilai","Chhattisgarh",IF(_xlpm.city="mumbai","Maharashtra",_xlpm.st)))))</f>
        <v>Kerala</v>
      </c>
      <c r="AH53" t="str">
        <f>_xlfn.LET(_xlpm.d,PROPER(TRIM(tbl_FinancialData[[#This Row],[Department]])),IF(_xlpm.d="It","IT",_xlpm.d))</f>
        <v>Operations</v>
      </c>
      <c r="AI53" t="str">
        <f>_xlfn.LET(_xlpm.pid,tbl_FinancialData[[#This Row],[Product ID]],_xlpm.n,PROPER(TRIM(tbl_FinancialData[[#This Row],[Product Name]])),IF(_xlpm.pid="P020","Document Scanner",IF(_xlpm.pid="P015","Network Router",SUBSTITUTE(SUBSTITUTE(_xlpm.n,"Crm","CRM"),"Ups","UPS"))))</f>
        <v>Document Scanner</v>
      </c>
      <c r="AJ53" s="3" t="str">
        <f>UPPER(TRIM(tbl_FinancialData[[#This Row],[Cost Center]]))</f>
        <v>CC-1003</v>
      </c>
    </row>
    <row r="54" spans="1:36" x14ac:dyDescent="0.25">
      <c r="A54" s="3" t="s">
        <v>225</v>
      </c>
      <c r="B54" s="2">
        <v>45927</v>
      </c>
      <c r="C54" t="s">
        <v>46</v>
      </c>
      <c r="D54" s="3" t="str">
        <f t="shared" si="0"/>
        <v>Q2</v>
      </c>
      <c r="E54" s="3" t="str">
        <f t="shared" si="1"/>
        <v>FY2026</v>
      </c>
      <c r="F54" s="8" t="s">
        <v>67</v>
      </c>
      <c r="G54" s="3" t="s">
        <v>35</v>
      </c>
      <c r="H54" t="s">
        <v>118</v>
      </c>
      <c r="I54" t="s">
        <v>119</v>
      </c>
      <c r="J54" s="3" t="s">
        <v>80</v>
      </c>
      <c r="K54" t="s">
        <v>71</v>
      </c>
      <c r="L54" s="3" t="s">
        <v>51</v>
      </c>
      <c r="M54" s="3" t="s">
        <v>120</v>
      </c>
      <c r="N54" t="s">
        <v>121</v>
      </c>
      <c r="O54" t="s">
        <v>43</v>
      </c>
      <c r="P54" t="s">
        <v>122</v>
      </c>
      <c r="Q54" s="3">
        <v>42143.85</v>
      </c>
      <c r="R54" s="3">
        <v>49237.54</v>
      </c>
      <c r="S54" s="3">
        <v>21732.7</v>
      </c>
      <c r="T54" s="3">
        <v>3505.1</v>
      </c>
      <c r="U54" s="3">
        <v>1287.4000000000001</v>
      </c>
      <c r="V54" s="3">
        <v>5046.72</v>
      </c>
      <c r="W54" s="3">
        <v>1162.19</v>
      </c>
      <c r="X54" s="3">
        <v>32734.11</v>
      </c>
      <c r="Y54" s="3">
        <v>20411.150000000001</v>
      </c>
      <c r="Z54" s="3">
        <f t="shared" si="2"/>
        <v>9409.739999999998</v>
      </c>
      <c r="AA54" s="37">
        <f t="shared" si="3"/>
        <v>0.22327670585387899</v>
      </c>
      <c r="AB54" s="3">
        <v>-7093.7</v>
      </c>
      <c r="AC54" s="3">
        <v>2107.19</v>
      </c>
      <c r="AD54" s="3">
        <v>2001.83</v>
      </c>
      <c r="AE54" s="3">
        <v>42038.49</v>
      </c>
      <c r="AF54" t="str">
        <f>IF(tbl_FinancialData[[#This Row],[City]]="","Unknown",PROPER(TRIM(tbl_FinancialData[[#This Row],[City]])))</f>
        <v>Ranchi</v>
      </c>
      <c r="AG54" t="str">
        <f>_xlfn.LET(_xlpm.city,LOWER(TRIM(tbl_FinancialData[[#This Row],[City]])),_xlpm.st,PROPER(TRIM(tbl_FinancialData[[#This Row],[State]])),IF(_xlpm.city="pune","Maharashtra",IF(_xlpm.city="jamshedpur","Jharkhand",IF(_xlpm.city="bhilai","Chhattisgarh",IF(_xlpm.city="mumbai","Maharashtra",_xlpm.st)))))</f>
        <v>Jharkhand</v>
      </c>
      <c r="AH54" t="str">
        <f>_xlfn.LET(_xlpm.d,PROPER(TRIM(tbl_FinancialData[[#This Row],[Department]])),IF(_xlpm.d="It","IT",_xlpm.d))</f>
        <v>Marketing</v>
      </c>
      <c r="AI54" t="str">
        <f>_xlfn.LET(_xlpm.pid,tbl_FinancialData[[#This Row],[Product ID]],_xlpm.n,PROPER(TRIM(tbl_FinancialData[[#This Row],[Product Name]])),IF(_xlpm.pid="P020","Document Scanner",IF(_xlpm.pid="P015","Network Router",SUBSTITUTE(SUBSTITUTE(_xlpm.n,"Crm","CRM"),"Ups","UPS"))))</f>
        <v>Projector</v>
      </c>
      <c r="AJ54" s="3" t="str">
        <f>UPPER(TRIM(tbl_FinancialData[[#This Row],[Cost Center]]))</f>
        <v>CC-1003</v>
      </c>
    </row>
    <row r="55" spans="1:36" x14ac:dyDescent="0.25">
      <c r="A55" s="3" t="s">
        <v>226</v>
      </c>
      <c r="B55" s="2">
        <v>45962</v>
      </c>
      <c r="C55" t="s">
        <v>147</v>
      </c>
      <c r="D55" s="3" t="str">
        <f t="shared" si="0"/>
        <v>Q3</v>
      </c>
      <c r="E55" s="3" t="str">
        <f t="shared" si="1"/>
        <v>FY2026</v>
      </c>
      <c r="F55" s="8" t="s">
        <v>67</v>
      </c>
      <c r="G55" s="3" t="s">
        <v>35</v>
      </c>
      <c r="H55" t="s">
        <v>118</v>
      </c>
      <c r="I55" t="s">
        <v>227</v>
      </c>
      <c r="J55" s="3" t="s">
        <v>100</v>
      </c>
      <c r="K55" t="s">
        <v>50</v>
      </c>
      <c r="L55" s="3" t="s">
        <v>81</v>
      </c>
      <c r="M55" s="3" t="s">
        <v>130</v>
      </c>
      <c r="N55" t="s">
        <v>131</v>
      </c>
      <c r="O55" t="s">
        <v>43</v>
      </c>
      <c r="P55" t="s">
        <v>132</v>
      </c>
      <c r="Q55" s="3">
        <v>20373.259999999998</v>
      </c>
      <c r="R55" s="3">
        <v>21380.76</v>
      </c>
      <c r="S55" s="3">
        <v>10100.450000000001</v>
      </c>
      <c r="T55" s="3">
        <v>2282.66</v>
      </c>
      <c r="U55" s="3">
        <v>1109.5999999999999</v>
      </c>
      <c r="V55" s="3">
        <v>1669.61</v>
      </c>
      <c r="W55" s="3">
        <v>518.02</v>
      </c>
      <c r="X55" s="3">
        <v>15680.36</v>
      </c>
      <c r="Y55" s="3">
        <v>10272.81</v>
      </c>
      <c r="Z55" s="3">
        <f t="shared" si="2"/>
        <v>4692.8999999999978</v>
      </c>
      <c r="AA55" s="37">
        <f t="shared" si="3"/>
        <v>0.23034605163827479</v>
      </c>
      <c r="AB55" s="3">
        <v>-1007.51</v>
      </c>
      <c r="AC55" s="3">
        <v>611.20000000000005</v>
      </c>
      <c r="AD55" s="3">
        <v>2371.4499999999998</v>
      </c>
      <c r="AE55" s="3">
        <v>22133.51</v>
      </c>
      <c r="AF55" t="str">
        <f>IF(tbl_FinancialData[[#This Row],[City]]="","Unknown",PROPER(TRIM(tbl_FinancialData[[#This Row],[City]])))</f>
        <v>Dhanbad</v>
      </c>
      <c r="AG55" t="str">
        <f>_xlfn.LET(_xlpm.city,LOWER(TRIM(tbl_FinancialData[[#This Row],[City]])),_xlpm.st,PROPER(TRIM(tbl_FinancialData[[#This Row],[State]])),IF(_xlpm.city="pune","Maharashtra",IF(_xlpm.city="jamshedpur","Jharkhand",IF(_xlpm.city="bhilai","Chhattisgarh",IF(_xlpm.city="mumbai","Maharashtra",_xlpm.st)))))</f>
        <v>Jharkhand</v>
      </c>
      <c r="AH55" t="str">
        <f>_xlfn.LET(_xlpm.d,PROPER(TRIM(tbl_FinancialData[[#This Row],[Department]])),IF(_xlpm.d="It","IT",_xlpm.d))</f>
        <v>Sales</v>
      </c>
      <c r="AI55" t="str">
        <f>_xlfn.LET(_xlpm.pid,tbl_FinancialData[[#This Row],[Product ID]],_xlpm.n,PROPER(TRIM(tbl_FinancialData[[#This Row],[Product Name]])),IF(_xlpm.pid="P020","Document Scanner",IF(_xlpm.pid="P015","Network Router",SUBSTITUTE(SUBSTITUTE(_xlpm.n,"Crm","CRM"),"Ups","UPS"))))</f>
        <v>UPS System</v>
      </c>
      <c r="AJ55" s="3" t="str">
        <f>UPPER(TRIM(tbl_FinancialData[[#This Row],[Cost Center]]))</f>
        <v>CC-1005</v>
      </c>
    </row>
    <row r="56" spans="1:36" x14ac:dyDescent="0.25">
      <c r="A56" s="3" t="s">
        <v>228</v>
      </c>
      <c r="B56" s="2">
        <v>46066</v>
      </c>
      <c r="C56" t="s">
        <v>57</v>
      </c>
      <c r="D56" s="3" t="str">
        <f t="shared" si="0"/>
        <v>Q4</v>
      </c>
      <c r="E56" s="3" t="str">
        <f t="shared" si="1"/>
        <v>FY2026</v>
      </c>
      <c r="F56" s="8" t="s">
        <v>59</v>
      </c>
      <c r="G56" s="3" t="s">
        <v>35</v>
      </c>
      <c r="H56" t="s">
        <v>60</v>
      </c>
      <c r="I56" t="s">
        <v>61</v>
      </c>
      <c r="J56" s="3" t="s">
        <v>70</v>
      </c>
      <c r="K56" t="s">
        <v>160</v>
      </c>
      <c r="L56" s="3" t="s">
        <v>40</v>
      </c>
      <c r="M56" s="3" t="s">
        <v>52</v>
      </c>
      <c r="N56" t="s">
        <v>53</v>
      </c>
      <c r="O56" t="s">
        <v>54</v>
      </c>
      <c r="P56" t="s">
        <v>55</v>
      </c>
      <c r="Q56" s="3">
        <v>8740.7199999999993</v>
      </c>
      <c r="R56" s="3">
        <v>9791.57</v>
      </c>
      <c r="S56" s="3">
        <v>6249.12</v>
      </c>
      <c r="T56" s="3">
        <v>1024.26</v>
      </c>
      <c r="U56" s="3">
        <v>711.1</v>
      </c>
      <c r="V56" s="3">
        <v>634.91999999999996</v>
      </c>
      <c r="W56" s="3">
        <v>256.19</v>
      </c>
      <c r="X56" s="3">
        <v>8875.59</v>
      </c>
      <c r="Y56" s="3">
        <v>2491.6</v>
      </c>
      <c r="Z56" s="3">
        <f t="shared" si="2"/>
        <v>-134.8700000000008</v>
      </c>
      <c r="AA56" s="37">
        <f t="shared" si="3"/>
        <v>-1.5430078986628197E-2</v>
      </c>
      <c r="AB56" s="3">
        <v>-1050.8499999999999</v>
      </c>
      <c r="AC56" s="3">
        <v>174.81</v>
      </c>
      <c r="AD56" s="3">
        <v>428.3</v>
      </c>
      <c r="AE56" s="3">
        <v>8994.2000000000007</v>
      </c>
      <c r="AF56" t="str">
        <f>IF(tbl_FinancialData[[#This Row],[City]]="","Unknown",PROPER(TRIM(tbl_FinancialData[[#This Row],[City]])))</f>
        <v>Lucknow</v>
      </c>
      <c r="AG56" t="str">
        <f>_xlfn.LET(_xlpm.city,LOWER(TRIM(tbl_FinancialData[[#This Row],[City]])),_xlpm.st,PROPER(TRIM(tbl_FinancialData[[#This Row],[State]])),IF(_xlpm.city="pune","Maharashtra",IF(_xlpm.city="jamshedpur","Jharkhand",IF(_xlpm.city="bhilai","Chhattisgarh",IF(_xlpm.city="mumbai","Maharashtra",_xlpm.st)))))</f>
        <v>Uttar Pradesh</v>
      </c>
      <c r="AH56" t="str">
        <f>_xlfn.LET(_xlpm.d,PROPER(TRIM(tbl_FinancialData[[#This Row],[Department]])),IF(_xlpm.d="It","IT",_xlpm.d))</f>
        <v>IT</v>
      </c>
      <c r="AI56" t="str">
        <f>_xlfn.LET(_xlpm.pid,tbl_FinancialData[[#This Row],[Product ID]],_xlpm.n,PROPER(TRIM(tbl_FinancialData[[#This Row],[Product Name]])),IF(_xlpm.pid="P020","Document Scanner",IF(_xlpm.pid="P015","Network Router",SUBSTITUTE(SUBSTITUTE(_xlpm.n,"Crm","CRM"),"Ups","UPS"))))</f>
        <v>Mouse</v>
      </c>
      <c r="AJ56" s="3" t="str">
        <f>UPPER(TRIM(tbl_FinancialData[[#This Row],[Cost Center]]))</f>
        <v>CC-1002</v>
      </c>
    </row>
    <row r="57" spans="1:36" x14ac:dyDescent="0.25">
      <c r="A57" s="3" t="s">
        <v>229</v>
      </c>
      <c r="B57" s="2">
        <v>46002</v>
      </c>
      <c r="C57" t="s">
        <v>107</v>
      </c>
      <c r="D57" s="3" t="str">
        <f t="shared" si="0"/>
        <v>Q3</v>
      </c>
      <c r="E57" s="3" t="str">
        <f t="shared" si="1"/>
        <v>FY2026</v>
      </c>
      <c r="F57" s="8" t="s">
        <v>59</v>
      </c>
      <c r="G57" s="3" t="s">
        <v>35</v>
      </c>
      <c r="H57" t="s">
        <v>230</v>
      </c>
      <c r="I57" t="s">
        <v>231</v>
      </c>
      <c r="J57" s="3" t="s">
        <v>70</v>
      </c>
      <c r="K57" t="s">
        <v>39</v>
      </c>
      <c r="L57" s="3" t="s">
        <v>51</v>
      </c>
      <c r="M57" s="3" t="s">
        <v>82</v>
      </c>
      <c r="N57" t="s">
        <v>83</v>
      </c>
      <c r="O57" t="s">
        <v>43</v>
      </c>
      <c r="P57" t="s">
        <v>75</v>
      </c>
      <c r="Q57" s="3">
        <v>52225.66</v>
      </c>
      <c r="R57" s="3">
        <v>58576.01</v>
      </c>
      <c r="S57" s="3">
        <v>37461.199999999997</v>
      </c>
      <c r="T57" s="3">
        <v>5131.47</v>
      </c>
      <c r="U57" s="3">
        <v>4044.63</v>
      </c>
      <c r="V57" s="3">
        <v>6111.03</v>
      </c>
      <c r="W57" s="3">
        <v>2248.54</v>
      </c>
      <c r="X57" s="3">
        <v>54996.87</v>
      </c>
      <c r="Y57" s="3">
        <v>14764.46</v>
      </c>
      <c r="Z57" s="3">
        <f t="shared" si="2"/>
        <v>-2771.2099999999991</v>
      </c>
      <c r="AA57" s="37">
        <f t="shared" si="3"/>
        <v>-5.3062230328922586E-2</v>
      </c>
      <c r="AB57" s="3">
        <v>-6350.35</v>
      </c>
      <c r="AC57" s="3">
        <v>0</v>
      </c>
      <c r="AD57" s="3">
        <v>6267.08</v>
      </c>
      <c r="AE57" s="3">
        <v>58492.74</v>
      </c>
      <c r="AF57" t="str">
        <f>IF(tbl_FinancialData[[#This Row],[City]]="","Unknown",PROPER(TRIM(tbl_FinancialData[[#This Row],[City]])))</f>
        <v>Ludhiana</v>
      </c>
      <c r="AG57" t="str">
        <f>_xlfn.LET(_xlpm.city,LOWER(TRIM(tbl_FinancialData[[#This Row],[City]])),_xlpm.st,PROPER(TRIM(tbl_FinancialData[[#This Row],[State]])),IF(_xlpm.city="pune","Maharashtra",IF(_xlpm.city="jamshedpur","Jharkhand",IF(_xlpm.city="bhilai","Chhattisgarh",IF(_xlpm.city="mumbai","Maharashtra",_xlpm.st)))))</f>
        <v>Punjab</v>
      </c>
      <c r="AH57" t="str">
        <f>_xlfn.LET(_xlpm.d,PROPER(TRIM(tbl_FinancialData[[#This Row],[Department]])),IF(_xlpm.d="It","IT",_xlpm.d))</f>
        <v>Operations</v>
      </c>
      <c r="AI57" t="str">
        <f>_xlfn.LET(_xlpm.pid,tbl_FinancialData[[#This Row],[Product ID]],_xlpm.n,PROPER(TRIM(tbl_FinancialData[[#This Row],[Product Name]])),IF(_xlpm.pid="P020","Document Scanner",IF(_xlpm.pid="P015","Network Router",SUBSTITUTE(SUBSTITUTE(_xlpm.n,"Crm","CRM"),"Ups","UPS"))))</f>
        <v>Business Laptop</v>
      </c>
      <c r="AJ57" s="3" t="str">
        <f>UPPER(TRIM(tbl_FinancialData[[#This Row],[Cost Center]]))</f>
        <v>CC-1003</v>
      </c>
    </row>
    <row r="58" spans="1:36" x14ac:dyDescent="0.25">
      <c r="A58" s="3" t="s">
        <v>232</v>
      </c>
      <c r="B58" s="2">
        <v>46058</v>
      </c>
      <c r="C58" t="s">
        <v>57</v>
      </c>
      <c r="D58" s="3" t="str">
        <f t="shared" si="0"/>
        <v>Q4</v>
      </c>
      <c r="E58" s="3" t="str">
        <f t="shared" si="1"/>
        <v>FY2026</v>
      </c>
      <c r="F58" s="8" t="s">
        <v>85</v>
      </c>
      <c r="G58" s="3" t="s">
        <v>35</v>
      </c>
      <c r="H58" t="s">
        <v>60</v>
      </c>
      <c r="I58" t="s">
        <v>185</v>
      </c>
      <c r="J58" s="3" t="s">
        <v>70</v>
      </c>
      <c r="K58" t="s">
        <v>71</v>
      </c>
      <c r="L58" s="3" t="s">
        <v>81</v>
      </c>
      <c r="M58" s="3" t="s">
        <v>41</v>
      </c>
      <c r="N58" t="s">
        <v>42</v>
      </c>
      <c r="O58" t="s">
        <v>43</v>
      </c>
      <c r="P58" t="s">
        <v>44</v>
      </c>
      <c r="Q58" s="3">
        <v>30328</v>
      </c>
      <c r="R58" s="3">
        <v>32538.23</v>
      </c>
      <c r="S58" s="3">
        <v>19681.27</v>
      </c>
      <c r="T58" s="3">
        <v>3725.79</v>
      </c>
      <c r="U58" s="3">
        <v>1989.8</v>
      </c>
      <c r="V58" s="3">
        <v>2028.01</v>
      </c>
      <c r="W58" s="3">
        <v>1179.1099999999999</v>
      </c>
      <c r="X58" s="3">
        <v>28603.99</v>
      </c>
      <c r="Y58" s="3">
        <v>10646.73</v>
      </c>
      <c r="Z58" s="3">
        <f t="shared" si="2"/>
        <v>1724.0099999999984</v>
      </c>
      <c r="AA58" s="37">
        <f t="shared" si="3"/>
        <v>5.6845489316802902E-2</v>
      </c>
      <c r="AB58" s="3">
        <v>-2210.23</v>
      </c>
      <c r="AC58" s="3">
        <v>909.84</v>
      </c>
      <c r="AD58" s="3">
        <v>1470.91</v>
      </c>
      <c r="AE58" s="3">
        <v>30889.07</v>
      </c>
      <c r="AF58" t="str">
        <f>IF(tbl_FinancialData[[#This Row],[City]]="","Unknown",PROPER(TRIM(tbl_FinancialData[[#This Row],[City]])))</f>
        <v>Kanpur</v>
      </c>
      <c r="AG58" t="str">
        <f>_xlfn.LET(_xlpm.city,LOWER(TRIM(tbl_FinancialData[[#This Row],[City]])),_xlpm.st,PROPER(TRIM(tbl_FinancialData[[#This Row],[State]])),IF(_xlpm.city="pune","Maharashtra",IF(_xlpm.city="jamshedpur","Jharkhand",IF(_xlpm.city="bhilai","Chhattisgarh",IF(_xlpm.city="mumbai","Maharashtra",_xlpm.st)))))</f>
        <v>Uttar Pradesh</v>
      </c>
      <c r="AH58" t="str">
        <f>_xlfn.LET(_xlpm.d,PROPER(TRIM(tbl_FinancialData[[#This Row],[Department]])),IF(_xlpm.d="It","IT",_xlpm.d))</f>
        <v>Marketing</v>
      </c>
      <c r="AI58" t="str">
        <f>_xlfn.LET(_xlpm.pid,tbl_FinancialData[[#This Row],[Product ID]],_xlpm.n,PROPER(TRIM(tbl_FinancialData[[#This Row],[Product Name]])),IF(_xlpm.pid="P020","Document Scanner",IF(_xlpm.pid="P015","Network Router",SUBSTITUTE(SUBSTITUTE(_xlpm.n,"Crm","CRM"),"Ups","UPS"))))</f>
        <v>Conference Camera</v>
      </c>
      <c r="AJ58" s="3" t="str">
        <f>UPPER(TRIM(tbl_FinancialData[[#This Row],[Cost Center]]))</f>
        <v>CC-1005</v>
      </c>
    </row>
    <row r="59" spans="1:36" x14ac:dyDescent="0.25">
      <c r="A59" s="3" t="s">
        <v>233</v>
      </c>
      <c r="B59" s="2">
        <v>45767</v>
      </c>
      <c r="C59" t="s">
        <v>128</v>
      </c>
      <c r="D59" s="3" t="str">
        <f t="shared" si="0"/>
        <v>Q1</v>
      </c>
      <c r="E59" s="3" t="str">
        <f t="shared" si="1"/>
        <v>FY2026</v>
      </c>
      <c r="F59" s="8" t="s">
        <v>34</v>
      </c>
      <c r="G59" s="3" t="s">
        <v>35</v>
      </c>
      <c r="H59" t="s">
        <v>157</v>
      </c>
      <c r="I59" t="s">
        <v>194</v>
      </c>
      <c r="J59" s="3" t="s">
        <v>80</v>
      </c>
      <c r="K59" t="s">
        <v>101</v>
      </c>
      <c r="L59" s="3" t="s">
        <v>72</v>
      </c>
      <c r="M59" s="3" t="s">
        <v>88</v>
      </c>
      <c r="N59" t="s">
        <v>89</v>
      </c>
      <c r="O59" t="s">
        <v>43</v>
      </c>
      <c r="P59" t="s">
        <v>90</v>
      </c>
      <c r="Q59" s="3">
        <v>75603.61</v>
      </c>
      <c r="R59" s="3">
        <v>69709.100000000006</v>
      </c>
      <c r="S59" s="3">
        <v>52047.97</v>
      </c>
      <c r="T59" s="3">
        <v>6728.31</v>
      </c>
      <c r="U59" s="3">
        <v>6286.13</v>
      </c>
      <c r="V59" s="3">
        <v>7861.9</v>
      </c>
      <c r="W59" s="3">
        <v>1881.2</v>
      </c>
      <c r="X59" s="3">
        <v>74805.509999999995</v>
      </c>
      <c r="Y59" s="3">
        <v>23555.64</v>
      </c>
      <c r="Z59" s="3">
        <f t="shared" si="2"/>
        <v>798.10000000000582</v>
      </c>
      <c r="AA59" s="37">
        <f t="shared" si="3"/>
        <v>1.0556374226045632E-2</v>
      </c>
      <c r="AB59" s="3">
        <v>5894.52</v>
      </c>
      <c r="AC59" s="3">
        <v>0</v>
      </c>
      <c r="AD59" s="3">
        <v>9072.43</v>
      </c>
      <c r="AE59" s="3">
        <v>84676.05</v>
      </c>
      <c r="AF59" t="str">
        <f>IF(tbl_FinancialData[[#This Row],[City]]="","Unknown",PROPER(TRIM(tbl_FinancialData[[#This Row],[City]])))</f>
        <v>Surat</v>
      </c>
      <c r="AG59" t="str">
        <f>_xlfn.LET(_xlpm.city,LOWER(TRIM(tbl_FinancialData[[#This Row],[City]])),_xlpm.st,PROPER(TRIM(tbl_FinancialData[[#This Row],[State]])),IF(_xlpm.city="pune","Maharashtra",IF(_xlpm.city="jamshedpur","Jharkhand",IF(_xlpm.city="bhilai","Chhattisgarh",IF(_xlpm.city="mumbai","Maharashtra",_xlpm.st)))))</f>
        <v>Gujarat</v>
      </c>
      <c r="AH59" t="str">
        <f>_xlfn.LET(_xlpm.d,PROPER(TRIM(tbl_FinancialData[[#This Row],[Department]])),IF(_xlpm.d="It","IT",_xlpm.d))</f>
        <v>Finance</v>
      </c>
      <c r="AI59" t="str">
        <f>_xlfn.LET(_xlpm.pid,tbl_FinancialData[[#This Row],[Product ID]],_xlpm.n,PROPER(TRIM(tbl_FinancialData[[#This Row],[Product Name]])),IF(_xlpm.pid="P020","Document Scanner",IF(_xlpm.pid="P015","Network Router",SUBSTITUTE(SUBSTITUTE(_xlpm.n,"Crm","CRM"),"Ups","UPS"))))</f>
        <v>Printer</v>
      </c>
      <c r="AJ59" s="3" t="str">
        <f>UPPER(TRIM(tbl_FinancialData[[#This Row],[Cost Center]]))</f>
        <v>CC-1004</v>
      </c>
    </row>
    <row r="60" spans="1:36" x14ac:dyDescent="0.25">
      <c r="A60" s="3" t="s">
        <v>234</v>
      </c>
      <c r="B60" s="2">
        <v>45787</v>
      </c>
      <c r="C60" t="s">
        <v>65</v>
      </c>
      <c r="D60" s="3" t="str">
        <f t="shared" si="0"/>
        <v>Q1</v>
      </c>
      <c r="E60" s="3" t="str">
        <f t="shared" si="1"/>
        <v>FY2026</v>
      </c>
      <c r="F60" s="8" t="s">
        <v>34</v>
      </c>
      <c r="G60" s="3" t="s">
        <v>35</v>
      </c>
      <c r="H60" t="s">
        <v>98</v>
      </c>
      <c r="I60" t="s">
        <v>149</v>
      </c>
      <c r="J60" s="3" t="s">
        <v>80</v>
      </c>
      <c r="K60" t="s">
        <v>50</v>
      </c>
      <c r="L60" s="3" t="s">
        <v>51</v>
      </c>
      <c r="M60" s="3" t="s">
        <v>235</v>
      </c>
      <c r="N60" t="s">
        <v>236</v>
      </c>
      <c r="O60" t="s">
        <v>104</v>
      </c>
      <c r="P60" t="s">
        <v>237</v>
      </c>
      <c r="Q60" s="3">
        <v>29449.38</v>
      </c>
      <c r="R60" s="3">
        <v>27432.21</v>
      </c>
      <c r="S60" s="3">
        <v>16060.33</v>
      </c>
      <c r="T60" s="3">
        <v>1515.8</v>
      </c>
      <c r="U60" s="3">
        <v>2486.39</v>
      </c>
      <c r="V60" s="3">
        <v>1455.39</v>
      </c>
      <c r="W60" s="3">
        <v>888.73</v>
      </c>
      <c r="X60" s="3">
        <v>22406.639999999999</v>
      </c>
      <c r="Y60" s="3">
        <v>13389.05</v>
      </c>
      <c r="Z60" s="3">
        <f t="shared" si="2"/>
        <v>7042.7400000000016</v>
      </c>
      <c r="AA60" s="37">
        <f t="shared" si="3"/>
        <v>0.23914730972264955</v>
      </c>
      <c r="AB60" s="3">
        <v>2017.17</v>
      </c>
      <c r="AC60" s="3">
        <v>588.99</v>
      </c>
      <c r="AD60" s="3">
        <v>3463.25</v>
      </c>
      <c r="AE60" s="3">
        <v>32323.64</v>
      </c>
      <c r="AF60" t="str">
        <f>IF(tbl_FinancialData[[#This Row],[City]]="","Unknown",PROPER(TRIM(tbl_FinancialData[[#This Row],[City]])))</f>
        <v>Nagpur</v>
      </c>
      <c r="AG60" t="str">
        <f>_xlfn.LET(_xlpm.city,LOWER(TRIM(tbl_FinancialData[[#This Row],[City]])),_xlpm.st,PROPER(TRIM(tbl_FinancialData[[#This Row],[State]])),IF(_xlpm.city="pune","Maharashtra",IF(_xlpm.city="jamshedpur","Jharkhand",IF(_xlpm.city="bhilai","Chhattisgarh",IF(_xlpm.city="mumbai","Maharashtra",_xlpm.st)))))</f>
        <v>Maharashtra</v>
      </c>
      <c r="AH60" t="str">
        <f>_xlfn.LET(_xlpm.d,PROPER(TRIM(tbl_FinancialData[[#This Row],[Department]])),IF(_xlpm.d="It","IT",_xlpm.d))</f>
        <v>Sales</v>
      </c>
      <c r="AI60" t="str">
        <f>_xlfn.LET(_xlpm.pid,tbl_FinancialData[[#This Row],[Product ID]],_xlpm.n,PROPER(TRIM(tbl_FinancialData[[#This Row],[Product Name]])),IF(_xlpm.pid="P020","Document Scanner",IF(_xlpm.pid="P015","Network Router",SUBSTITUTE(SUBSTITUTE(_xlpm.n,"Crm","CRM"),"Ups","UPS"))))</f>
        <v>Data Storage</v>
      </c>
      <c r="AJ60" s="3" t="str">
        <f>UPPER(TRIM(tbl_FinancialData[[#This Row],[Cost Center]]))</f>
        <v>CC-1003</v>
      </c>
    </row>
    <row r="61" spans="1:36" x14ac:dyDescent="0.25">
      <c r="A61" s="3" t="s">
        <v>238</v>
      </c>
      <c r="B61" s="2">
        <v>45900</v>
      </c>
      <c r="C61" t="s">
        <v>117</v>
      </c>
      <c r="D61" s="3" t="str">
        <f t="shared" si="0"/>
        <v>Q2</v>
      </c>
      <c r="E61" s="3" t="str">
        <f t="shared" si="1"/>
        <v>FY2026</v>
      </c>
      <c r="F61" s="8" t="s">
        <v>67</v>
      </c>
      <c r="G61" s="3" t="s">
        <v>35</v>
      </c>
      <c r="H61" t="s">
        <v>118</v>
      </c>
      <c r="I61" t="s">
        <v>227</v>
      </c>
      <c r="J61" s="3" t="s">
        <v>80</v>
      </c>
      <c r="K61" t="s">
        <v>50</v>
      </c>
      <c r="L61" s="3" t="s">
        <v>81</v>
      </c>
      <c r="M61" s="3" t="s">
        <v>197</v>
      </c>
      <c r="N61" t="s">
        <v>198</v>
      </c>
      <c r="O61" t="s">
        <v>43</v>
      </c>
      <c r="P61" t="s">
        <v>163</v>
      </c>
      <c r="Q61" s="3">
        <v>47194.39</v>
      </c>
      <c r="R61" s="3">
        <v>50494.66</v>
      </c>
      <c r="S61" s="3">
        <v>28251.77</v>
      </c>
      <c r="T61" s="3">
        <v>4524.22</v>
      </c>
      <c r="U61" s="3">
        <v>3750.87</v>
      </c>
      <c r="V61" s="3">
        <v>3414.54</v>
      </c>
      <c r="W61" s="3">
        <v>1745.34</v>
      </c>
      <c r="X61" s="3">
        <v>41686.74</v>
      </c>
      <c r="Y61" s="3">
        <v>18942.61</v>
      </c>
      <c r="Z61" s="3">
        <f t="shared" si="2"/>
        <v>5507.6500000000015</v>
      </c>
      <c r="AA61" s="37">
        <f t="shared" si="3"/>
        <v>0.11670137065019807</v>
      </c>
      <c r="AB61" s="3">
        <v>-3300.28</v>
      </c>
      <c r="AC61" s="3">
        <v>1415.83</v>
      </c>
      <c r="AD61" s="3">
        <v>5493.43</v>
      </c>
      <c r="AE61" s="3">
        <v>51271.98</v>
      </c>
      <c r="AF61" t="str">
        <f>IF(tbl_FinancialData[[#This Row],[City]]="","Unknown",PROPER(TRIM(tbl_FinancialData[[#This Row],[City]])))</f>
        <v>Dhanbad</v>
      </c>
      <c r="AG61" t="str">
        <f>_xlfn.LET(_xlpm.city,LOWER(TRIM(tbl_FinancialData[[#This Row],[City]])),_xlpm.st,PROPER(TRIM(tbl_FinancialData[[#This Row],[State]])),IF(_xlpm.city="pune","Maharashtra",IF(_xlpm.city="jamshedpur","Jharkhand",IF(_xlpm.city="bhilai","Chhattisgarh",IF(_xlpm.city="mumbai","Maharashtra",_xlpm.st)))))</f>
        <v>Jharkhand</v>
      </c>
      <c r="AH61" t="str">
        <f>_xlfn.LET(_xlpm.d,PROPER(TRIM(tbl_FinancialData[[#This Row],[Department]])),IF(_xlpm.d="It","IT",_xlpm.d))</f>
        <v>Sales</v>
      </c>
      <c r="AI61" t="str">
        <f>_xlfn.LET(_xlpm.pid,tbl_FinancialData[[#This Row],[Product ID]],_xlpm.n,PROPER(TRIM(tbl_FinancialData[[#This Row],[Product Name]])),IF(_xlpm.pid="P020","Document Scanner",IF(_xlpm.pid="P015","Network Router",SUBSTITUTE(SUBSTITUTE(_xlpm.n,"Crm","CRM"),"Ups","UPS"))))</f>
        <v>Smartphone</v>
      </c>
      <c r="AJ61" s="3" t="str">
        <f>UPPER(TRIM(tbl_FinancialData[[#This Row],[Cost Center]]))</f>
        <v>CC-1005</v>
      </c>
    </row>
    <row r="62" spans="1:36" x14ac:dyDescent="0.25">
      <c r="A62" s="3" t="s">
        <v>239</v>
      </c>
      <c r="B62" s="2">
        <v>46057</v>
      </c>
      <c r="C62" t="s">
        <v>57</v>
      </c>
      <c r="D62" s="3" t="str">
        <f t="shared" si="0"/>
        <v>Q4</v>
      </c>
      <c r="E62" s="3" t="str">
        <f t="shared" si="1"/>
        <v>FY2026</v>
      </c>
      <c r="F62" s="8" t="s">
        <v>34</v>
      </c>
      <c r="G62" s="3" t="s">
        <v>35</v>
      </c>
      <c r="H62" t="s">
        <v>36</v>
      </c>
      <c r="I62" t="s">
        <v>145</v>
      </c>
      <c r="J62" s="3" t="s">
        <v>38</v>
      </c>
      <c r="K62" t="s">
        <v>71</v>
      </c>
      <c r="L62" s="3" t="s">
        <v>81</v>
      </c>
      <c r="M62" s="3" t="s">
        <v>221</v>
      </c>
      <c r="N62" t="s">
        <v>222</v>
      </c>
      <c r="O62" t="s">
        <v>104</v>
      </c>
      <c r="P62" t="s">
        <v>223</v>
      </c>
      <c r="Q62" s="3">
        <v>11213.98</v>
      </c>
      <c r="R62" s="3">
        <v>12287.31</v>
      </c>
      <c r="S62" s="3">
        <v>6182.37</v>
      </c>
      <c r="T62" s="3">
        <v>1068.83</v>
      </c>
      <c r="U62" s="3">
        <v>627.35</v>
      </c>
      <c r="V62" s="3">
        <v>1043.95</v>
      </c>
      <c r="W62" s="3">
        <v>479.84</v>
      </c>
      <c r="X62" s="3">
        <v>9402.33</v>
      </c>
      <c r="Y62" s="3">
        <v>5031.6099999999997</v>
      </c>
      <c r="Z62" s="3">
        <f t="shared" si="2"/>
        <v>1811.6499999999996</v>
      </c>
      <c r="AA62" s="37">
        <f t="shared" si="3"/>
        <v>0.1615528117581804</v>
      </c>
      <c r="AB62" s="3">
        <v>-1073.33</v>
      </c>
      <c r="AC62" s="3">
        <v>560.70000000000005</v>
      </c>
      <c r="AD62" s="3">
        <v>532.66</v>
      </c>
      <c r="AE62" s="3">
        <v>11185.94</v>
      </c>
      <c r="AF62" t="str">
        <f>IF(tbl_FinancialData[[#This Row],[City]]="","Unknown",PROPER(TRIM(tbl_FinancialData[[#This Row],[City]])))</f>
        <v>Panaji</v>
      </c>
      <c r="AG62" t="str">
        <f>_xlfn.LET(_xlpm.city,LOWER(TRIM(tbl_FinancialData[[#This Row],[City]])),_xlpm.st,PROPER(TRIM(tbl_FinancialData[[#This Row],[State]])),IF(_xlpm.city="pune","Maharashtra",IF(_xlpm.city="jamshedpur","Jharkhand",IF(_xlpm.city="bhilai","Chhattisgarh",IF(_xlpm.city="mumbai","Maharashtra",_xlpm.st)))))</f>
        <v>Goa</v>
      </c>
      <c r="AH62" t="str">
        <f>_xlfn.LET(_xlpm.d,PROPER(TRIM(tbl_FinancialData[[#This Row],[Department]])),IF(_xlpm.d="It","IT",_xlpm.d))</f>
        <v>Marketing</v>
      </c>
      <c r="AI62" t="str">
        <f>_xlfn.LET(_xlpm.pid,tbl_FinancialData[[#This Row],[Product ID]],_xlpm.n,PROPER(TRIM(tbl_FinancialData[[#This Row],[Product Name]])),IF(_xlpm.pid="P020","Document Scanner",IF(_xlpm.pid="P015","Network Router",SUBSTITUTE(SUBSTITUTE(_xlpm.n,"Crm","CRM"),"Ups","UPS"))))</f>
        <v>Cloud Software</v>
      </c>
      <c r="AJ62" s="3" t="str">
        <f>UPPER(TRIM(tbl_FinancialData[[#This Row],[Cost Center]]))</f>
        <v>CC-1005</v>
      </c>
    </row>
    <row r="63" spans="1:36" x14ac:dyDescent="0.25">
      <c r="A63" s="3" t="s">
        <v>240</v>
      </c>
      <c r="B63" s="2">
        <v>45783</v>
      </c>
      <c r="C63" t="s">
        <v>65</v>
      </c>
      <c r="D63" s="3" t="str">
        <f t="shared" si="0"/>
        <v>Q1</v>
      </c>
      <c r="E63" s="3" t="str">
        <f t="shared" si="1"/>
        <v>FY2026</v>
      </c>
      <c r="F63" s="8" t="s">
        <v>67</v>
      </c>
      <c r="G63" s="3" t="s">
        <v>35</v>
      </c>
      <c r="H63" t="s">
        <v>217</v>
      </c>
      <c r="I63" t="s">
        <v>241</v>
      </c>
      <c r="J63" s="3" t="s">
        <v>38</v>
      </c>
      <c r="K63" t="s">
        <v>50</v>
      </c>
      <c r="L63" s="3" t="s">
        <v>51</v>
      </c>
      <c r="M63" s="3" t="s">
        <v>189</v>
      </c>
      <c r="N63" t="s">
        <v>190</v>
      </c>
      <c r="O63" t="s">
        <v>104</v>
      </c>
      <c r="P63" t="s">
        <v>105</v>
      </c>
      <c r="Q63" s="3">
        <v>9618.58</v>
      </c>
      <c r="R63" s="3">
        <v>9832.7999999999993</v>
      </c>
      <c r="S63" s="3">
        <v>5411.91</v>
      </c>
      <c r="T63" s="3">
        <v>751.43</v>
      </c>
      <c r="U63" s="3">
        <v>498.55</v>
      </c>
      <c r="V63" s="3">
        <v>927.17</v>
      </c>
      <c r="W63" s="3">
        <v>297.60000000000002</v>
      </c>
      <c r="X63" s="3">
        <v>7886.67</v>
      </c>
      <c r="Y63" s="3">
        <v>4206.67</v>
      </c>
      <c r="Z63" s="3">
        <f t="shared" si="2"/>
        <v>1731.9099999999999</v>
      </c>
      <c r="AA63" s="37">
        <f t="shared" si="3"/>
        <v>0.18005880285863402</v>
      </c>
      <c r="AB63" s="3">
        <v>-214.22</v>
      </c>
      <c r="AC63" s="3">
        <v>288.56</v>
      </c>
      <c r="AD63" s="3">
        <v>466.5</v>
      </c>
      <c r="AE63" s="3">
        <v>9796.52</v>
      </c>
      <c r="AF63" t="str">
        <f>IF(tbl_FinancialData[[#This Row],[City]]="","Unknown",PROPER(TRIM(tbl_FinancialData[[#This Row],[City]])))</f>
        <v>Muzaffarpur</v>
      </c>
      <c r="AG63" t="str">
        <f>_xlfn.LET(_xlpm.city,LOWER(TRIM(tbl_FinancialData[[#This Row],[City]])),_xlpm.st,PROPER(TRIM(tbl_FinancialData[[#This Row],[State]])),IF(_xlpm.city="pune","Maharashtra",IF(_xlpm.city="jamshedpur","Jharkhand",IF(_xlpm.city="bhilai","Chhattisgarh",IF(_xlpm.city="mumbai","Maharashtra",_xlpm.st)))))</f>
        <v>Bihar</v>
      </c>
      <c r="AH63" t="str">
        <f>_xlfn.LET(_xlpm.d,PROPER(TRIM(tbl_FinancialData[[#This Row],[Department]])),IF(_xlpm.d="It","IT",_xlpm.d))</f>
        <v>Sales</v>
      </c>
      <c r="AI63" t="str">
        <f>_xlfn.LET(_xlpm.pid,tbl_FinancialData[[#This Row],[Product ID]],_xlpm.n,PROPER(TRIM(tbl_FinancialData[[#This Row],[Product Name]])),IF(_xlpm.pid="P020","Document Scanner",IF(_xlpm.pid="P015","Network Router",SUBSTITUTE(SUBSTITUTE(_xlpm.n,"Crm","CRM"),"Ups","UPS"))))</f>
        <v>CRM Software</v>
      </c>
      <c r="AJ63" s="3" t="str">
        <f>UPPER(TRIM(tbl_FinancialData[[#This Row],[Cost Center]]))</f>
        <v>CC-1003</v>
      </c>
    </row>
    <row r="64" spans="1:36" x14ac:dyDescent="0.25">
      <c r="A64" s="3" t="s">
        <v>242</v>
      </c>
      <c r="B64" s="2">
        <v>45976</v>
      </c>
      <c r="C64" t="s">
        <v>147</v>
      </c>
      <c r="D64" s="3" t="str">
        <f t="shared" si="0"/>
        <v>Q3</v>
      </c>
      <c r="E64" s="3" t="str">
        <f t="shared" si="1"/>
        <v>FY2026</v>
      </c>
      <c r="F64" s="8" t="s">
        <v>59</v>
      </c>
      <c r="G64" s="3" t="s">
        <v>35</v>
      </c>
      <c r="H64" t="s">
        <v>139</v>
      </c>
      <c r="I64" t="s">
        <v>140</v>
      </c>
      <c r="J64" s="3" t="s">
        <v>100</v>
      </c>
      <c r="K64" t="s">
        <v>39</v>
      </c>
      <c r="L64" s="3" t="s">
        <v>51</v>
      </c>
      <c r="M64" s="3" t="s">
        <v>110</v>
      </c>
      <c r="N64" t="s">
        <v>111</v>
      </c>
      <c r="O64" t="s">
        <v>112</v>
      </c>
      <c r="P64" t="s">
        <v>113</v>
      </c>
      <c r="Q64" s="3">
        <v>13023.13</v>
      </c>
      <c r="R64" s="3">
        <v>11994.9</v>
      </c>
      <c r="S64" s="3">
        <v>9221.1200000000008</v>
      </c>
      <c r="T64" s="3">
        <v>1115.83</v>
      </c>
      <c r="U64" s="3">
        <v>482.29</v>
      </c>
      <c r="V64" s="3">
        <v>1085.51</v>
      </c>
      <c r="W64" s="3">
        <v>528.13</v>
      </c>
      <c r="X64" s="3">
        <v>12432.88</v>
      </c>
      <c r="Y64" s="3">
        <v>3802.01</v>
      </c>
      <c r="Z64" s="3">
        <f t="shared" si="2"/>
        <v>590.25</v>
      </c>
      <c r="AA64" s="37">
        <f t="shared" si="3"/>
        <v>4.5323205711683752E-2</v>
      </c>
      <c r="AB64" s="3">
        <v>1028.23</v>
      </c>
      <c r="AC64" s="3">
        <v>651.16</v>
      </c>
      <c r="AD64" s="3">
        <v>2226.96</v>
      </c>
      <c r="AE64" s="3">
        <v>14598.93</v>
      </c>
      <c r="AF64" t="str">
        <f>IF(tbl_FinancialData[[#This Row],[City]]="","Unknown",PROPER(TRIM(tbl_FinancialData[[#This Row],[City]])))</f>
        <v>Faridabad</v>
      </c>
      <c r="AG64" t="str">
        <f>_xlfn.LET(_xlpm.city,LOWER(TRIM(tbl_FinancialData[[#This Row],[City]])),_xlpm.st,PROPER(TRIM(tbl_FinancialData[[#This Row],[State]])),IF(_xlpm.city="pune","Maharashtra",IF(_xlpm.city="jamshedpur","Jharkhand",IF(_xlpm.city="bhilai","Chhattisgarh",IF(_xlpm.city="mumbai","Maharashtra",_xlpm.st)))))</f>
        <v>Haryana</v>
      </c>
      <c r="AH64" t="str">
        <f>_xlfn.LET(_xlpm.d,PROPER(TRIM(tbl_FinancialData[[#This Row],[Department]])),IF(_xlpm.d="It","IT",_xlpm.d))</f>
        <v>Operations</v>
      </c>
      <c r="AI64" t="str">
        <f>_xlfn.LET(_xlpm.pid,tbl_FinancialData[[#This Row],[Product ID]],_xlpm.n,PROPER(TRIM(tbl_FinancialData[[#This Row],[Product Name]])),IF(_xlpm.pid="P020","Document Scanner",IF(_xlpm.pid="P015","Network Router",SUBSTITUTE(SUBSTITUTE(_xlpm.n,"Crm","CRM"),"Ups","UPS"))))</f>
        <v>Office Desk</v>
      </c>
      <c r="AJ64" s="3" t="str">
        <f>UPPER(TRIM(tbl_FinancialData[[#This Row],[Cost Center]]))</f>
        <v>CC-1003</v>
      </c>
    </row>
    <row r="65" spans="1:36" x14ac:dyDescent="0.25">
      <c r="A65" s="3" t="s">
        <v>243</v>
      </c>
      <c r="B65" s="2">
        <v>45962</v>
      </c>
      <c r="C65" t="s">
        <v>147</v>
      </c>
      <c r="D65" s="3" t="str">
        <f t="shared" si="0"/>
        <v>Q3</v>
      </c>
      <c r="E65" s="3" t="str">
        <f t="shared" si="1"/>
        <v>FY2026</v>
      </c>
      <c r="F65" s="8" t="s">
        <v>34</v>
      </c>
      <c r="G65" s="3" t="s">
        <v>35</v>
      </c>
      <c r="H65" t="s">
        <v>134</v>
      </c>
      <c r="I65" t="s">
        <v>135</v>
      </c>
      <c r="J65" s="3" t="s">
        <v>38</v>
      </c>
      <c r="K65" t="s">
        <v>50</v>
      </c>
      <c r="L65" s="3" t="s">
        <v>94</v>
      </c>
      <c r="M65" s="3" t="s">
        <v>102</v>
      </c>
      <c r="N65" t="s">
        <v>103</v>
      </c>
      <c r="O65" t="s">
        <v>104</v>
      </c>
      <c r="P65" t="s">
        <v>105</v>
      </c>
      <c r="Q65" s="3">
        <v>13543.91</v>
      </c>
      <c r="R65" s="3">
        <v>15754.52</v>
      </c>
      <c r="S65" s="3">
        <v>6629.24</v>
      </c>
      <c r="T65" s="3">
        <v>1441.7</v>
      </c>
      <c r="U65" s="3">
        <v>1153.1400000000001</v>
      </c>
      <c r="V65" s="3">
        <v>737.41</v>
      </c>
      <c r="W65" s="3">
        <v>404.67</v>
      </c>
      <c r="X65" s="3">
        <v>10366.15</v>
      </c>
      <c r="Y65" s="3">
        <v>6914.68</v>
      </c>
      <c r="Z65" s="3">
        <f t="shared" si="2"/>
        <v>3177.76</v>
      </c>
      <c r="AA65" s="37">
        <f t="shared" si="3"/>
        <v>0.23462648526164159</v>
      </c>
      <c r="AB65" s="3">
        <v>-2210.61</v>
      </c>
      <c r="AC65" s="3">
        <v>1083.51</v>
      </c>
      <c r="AD65" s="3">
        <v>623.02</v>
      </c>
      <c r="AE65" s="3">
        <v>13083.42</v>
      </c>
      <c r="AF65" t="str">
        <f>IF(tbl_FinancialData[[#This Row],[City]]="","Unknown",PROPER(TRIM(tbl_FinancialData[[#This Row],[City]])))</f>
        <v>Jodhpur</v>
      </c>
      <c r="AG65" t="str">
        <f>_xlfn.LET(_xlpm.city,LOWER(TRIM(tbl_FinancialData[[#This Row],[City]])),_xlpm.st,PROPER(TRIM(tbl_FinancialData[[#This Row],[State]])),IF(_xlpm.city="pune","Maharashtra",IF(_xlpm.city="jamshedpur","Jharkhand",IF(_xlpm.city="bhilai","Chhattisgarh",IF(_xlpm.city="mumbai","Maharashtra",_xlpm.st)))))</f>
        <v>Rajasthan</v>
      </c>
      <c r="AH65" t="str">
        <f>_xlfn.LET(_xlpm.d,PROPER(TRIM(tbl_FinancialData[[#This Row],[Department]])),IF(_xlpm.d="It","IT",_xlpm.d))</f>
        <v>Sales</v>
      </c>
      <c r="AI65" t="str">
        <f>_xlfn.LET(_xlpm.pid,tbl_FinancialData[[#This Row],[Product ID]],_xlpm.n,PROPER(TRIM(tbl_FinancialData[[#This Row],[Product Name]])),IF(_xlpm.pid="P020","Document Scanner",IF(_xlpm.pid="P015","Network Router",SUBSTITUTE(SUBSTITUTE(_xlpm.n,"Crm","CRM"),"Ups","UPS"))))</f>
        <v>Accounting Software</v>
      </c>
      <c r="AJ65" s="3" t="str">
        <f>UPPER(TRIM(tbl_FinancialData[[#This Row],[Cost Center]]))</f>
        <v>CC-1001</v>
      </c>
    </row>
    <row r="66" spans="1:36" x14ac:dyDescent="0.25">
      <c r="A66" s="3" t="s">
        <v>244</v>
      </c>
      <c r="B66" s="2">
        <v>45864</v>
      </c>
      <c r="C66" t="s">
        <v>32</v>
      </c>
      <c r="D66" s="3" t="str">
        <f t="shared" ref="D66:D129" si="7">"Q"&amp;INT(MOD(MONTH(B66)-4,12)/3)+1</f>
        <v>Q2</v>
      </c>
      <c r="E66" s="3" t="str">
        <f t="shared" ref="E66:E129" si="8">"FY"&amp; (YEAR(B66)+(MONTH(B66)&gt;=4))</f>
        <v>FY2026</v>
      </c>
      <c r="F66" s="8" t="s">
        <v>34</v>
      </c>
      <c r="G66" s="3" t="s">
        <v>35</v>
      </c>
      <c r="H66" t="s">
        <v>36</v>
      </c>
      <c r="I66" t="s">
        <v>245</v>
      </c>
      <c r="J66" s="3" t="s">
        <v>70</v>
      </c>
      <c r="K66" t="s">
        <v>160</v>
      </c>
      <c r="L66" s="3" t="s">
        <v>40</v>
      </c>
      <c r="M66" s="3" t="s">
        <v>95</v>
      </c>
      <c r="N66" t="s">
        <v>96</v>
      </c>
      <c r="O66" t="s">
        <v>43</v>
      </c>
      <c r="P66" t="s">
        <v>90</v>
      </c>
      <c r="Q66" s="3">
        <v>54316.44</v>
      </c>
      <c r="R66" s="3">
        <v>61305.59</v>
      </c>
      <c r="S66" s="3">
        <v>26554.32</v>
      </c>
      <c r="T66" s="3">
        <v>5306.8</v>
      </c>
      <c r="U66" s="3">
        <v>2169.9699999999998</v>
      </c>
      <c r="V66" s="3">
        <v>2696.56</v>
      </c>
      <c r="W66" s="3">
        <v>689.46</v>
      </c>
      <c r="X66" s="3">
        <v>37417.11</v>
      </c>
      <c r="Y66" s="3">
        <v>27762.12</v>
      </c>
      <c r="Z66" s="3">
        <f t="shared" si="2"/>
        <v>16899.330000000002</v>
      </c>
      <c r="AA66" s="37">
        <f t="shared" si="3"/>
        <v>0.31112734928872365</v>
      </c>
      <c r="AB66" s="3">
        <v>-6989.15</v>
      </c>
      <c r="AC66" s="3">
        <v>2715.82</v>
      </c>
      <c r="AD66" s="3">
        <v>6192.07</v>
      </c>
      <c r="AE66" s="3">
        <v>57792.69</v>
      </c>
      <c r="AF66" t="str">
        <f>IF(tbl_FinancialData[[#This Row],[City]]="","Unknown",PROPER(TRIM(tbl_FinancialData[[#This Row],[City]])))</f>
        <v>Margao</v>
      </c>
      <c r="AG66" t="str">
        <f>_xlfn.LET(_xlpm.city,LOWER(TRIM(tbl_FinancialData[[#This Row],[City]])),_xlpm.st,PROPER(TRIM(tbl_FinancialData[[#This Row],[State]])),IF(_xlpm.city="pune","Maharashtra",IF(_xlpm.city="jamshedpur","Jharkhand",IF(_xlpm.city="bhilai","Chhattisgarh",IF(_xlpm.city="mumbai","Maharashtra",_xlpm.st)))))</f>
        <v>Goa</v>
      </c>
      <c r="AH66" t="str">
        <f>_xlfn.LET(_xlpm.d,PROPER(TRIM(tbl_FinancialData[[#This Row],[Department]])),IF(_xlpm.d="It","IT",_xlpm.d))</f>
        <v>IT</v>
      </c>
      <c r="AI66" t="str">
        <f>_xlfn.LET(_xlpm.pid,tbl_FinancialData[[#This Row],[Product ID]],_xlpm.n,PROPER(TRIM(tbl_FinancialData[[#This Row],[Product Name]])),IF(_xlpm.pid="P020","Document Scanner",IF(_xlpm.pid="P015","Network Router",SUBSTITUTE(SUBSTITUTE(_xlpm.n,"Crm","CRM"),"Ups","UPS"))))</f>
        <v>Document Scanner</v>
      </c>
      <c r="AJ66" s="3" t="str">
        <f>UPPER(TRIM(tbl_FinancialData[[#This Row],[Cost Center]]))</f>
        <v>CC-1002</v>
      </c>
    </row>
    <row r="67" spans="1:36" x14ac:dyDescent="0.25">
      <c r="A67" s="3" t="s">
        <v>246</v>
      </c>
      <c r="B67" s="2">
        <v>45930</v>
      </c>
      <c r="C67" t="s">
        <v>46</v>
      </c>
      <c r="D67" s="3" t="str">
        <f t="shared" si="7"/>
        <v>Q2</v>
      </c>
      <c r="E67" s="3" t="str">
        <f t="shared" si="8"/>
        <v>FY2026</v>
      </c>
      <c r="F67" s="8" t="s">
        <v>67</v>
      </c>
      <c r="G67" s="3" t="s">
        <v>35</v>
      </c>
      <c r="H67" t="s">
        <v>217</v>
      </c>
      <c r="I67" t="s">
        <v>241</v>
      </c>
      <c r="J67" s="3" t="s">
        <v>38</v>
      </c>
      <c r="K67" t="s">
        <v>39</v>
      </c>
      <c r="L67" s="3" t="s">
        <v>81</v>
      </c>
      <c r="M67" s="3" t="s">
        <v>189</v>
      </c>
      <c r="N67" t="s">
        <v>190</v>
      </c>
      <c r="O67" t="s">
        <v>104</v>
      </c>
      <c r="P67" t="s">
        <v>105</v>
      </c>
      <c r="Q67" s="3">
        <v>24857.02</v>
      </c>
      <c r="R67" s="3">
        <v>26466.73</v>
      </c>
      <c r="S67" s="3">
        <v>13321.13</v>
      </c>
      <c r="T67" s="3">
        <v>1291.3699999999999</v>
      </c>
      <c r="U67" s="3">
        <v>2027.25</v>
      </c>
      <c r="V67" s="3">
        <v>1036.58</v>
      </c>
      <c r="W67" s="3">
        <v>1009.56</v>
      </c>
      <c r="X67" s="3">
        <v>18685.89</v>
      </c>
      <c r="Y67" s="3">
        <v>11535.89</v>
      </c>
      <c r="Z67" s="3">
        <f t="shared" ref="Z67:Z130" si="9">Q67-X67</f>
        <v>6171.130000000001</v>
      </c>
      <c r="AA67" s="37">
        <f t="shared" ref="AA67:AA130" si="10">Z67/Q67</f>
        <v>0.24826507763199293</v>
      </c>
      <c r="AB67" s="3">
        <v>-1609.71</v>
      </c>
      <c r="AC67" s="3">
        <v>745.71</v>
      </c>
      <c r="AD67" s="3">
        <v>4340.03</v>
      </c>
      <c r="AE67" s="3">
        <v>28451.34</v>
      </c>
      <c r="AF67" t="str">
        <f>IF(tbl_FinancialData[[#This Row],[City]]="","Unknown",PROPER(TRIM(tbl_FinancialData[[#This Row],[City]])))</f>
        <v>Muzaffarpur</v>
      </c>
      <c r="AG67" t="str">
        <f>_xlfn.LET(_xlpm.city,LOWER(TRIM(tbl_FinancialData[[#This Row],[City]])),_xlpm.st,PROPER(TRIM(tbl_FinancialData[[#This Row],[State]])),IF(_xlpm.city="pune","Maharashtra",IF(_xlpm.city="jamshedpur","Jharkhand",IF(_xlpm.city="bhilai","Chhattisgarh",IF(_xlpm.city="mumbai","Maharashtra",_xlpm.st)))))</f>
        <v>Bihar</v>
      </c>
      <c r="AH67" t="str">
        <f>_xlfn.LET(_xlpm.d,PROPER(TRIM(tbl_FinancialData[[#This Row],[Department]])),IF(_xlpm.d="It","IT",_xlpm.d))</f>
        <v>Operations</v>
      </c>
      <c r="AI67" t="str">
        <f>_xlfn.LET(_xlpm.pid,tbl_FinancialData[[#This Row],[Product ID]],_xlpm.n,PROPER(TRIM(tbl_FinancialData[[#This Row],[Product Name]])),IF(_xlpm.pid="P020","Document Scanner",IF(_xlpm.pid="P015","Network Router",SUBSTITUTE(SUBSTITUTE(_xlpm.n,"Crm","CRM"),"Ups","UPS"))))</f>
        <v>CRM Software</v>
      </c>
      <c r="AJ67" s="3" t="str">
        <f>UPPER(TRIM(tbl_FinancialData[[#This Row],[Cost Center]]))</f>
        <v>CC-1005</v>
      </c>
    </row>
    <row r="68" spans="1:36" x14ac:dyDescent="0.25">
      <c r="A68" s="3" t="s">
        <v>247</v>
      </c>
      <c r="B68" s="2">
        <v>45974</v>
      </c>
      <c r="C68" t="s">
        <v>147</v>
      </c>
      <c r="D68" s="3" t="str">
        <f t="shared" si="7"/>
        <v>Q3</v>
      </c>
      <c r="E68" s="3" t="str">
        <f t="shared" si="8"/>
        <v>FY2026</v>
      </c>
      <c r="F68" s="8" t="s">
        <v>59</v>
      </c>
      <c r="G68" s="3" t="s">
        <v>35</v>
      </c>
      <c r="H68" t="s">
        <v>230</v>
      </c>
      <c r="I68" t="s">
        <v>231</v>
      </c>
      <c r="J68" s="3" t="s">
        <v>100</v>
      </c>
      <c r="K68" t="s">
        <v>50</v>
      </c>
      <c r="L68" s="3" t="s">
        <v>81</v>
      </c>
      <c r="M68" s="3" t="s">
        <v>102</v>
      </c>
      <c r="N68" t="s">
        <v>103</v>
      </c>
      <c r="O68" t="s">
        <v>104</v>
      </c>
      <c r="P68" t="s">
        <v>105</v>
      </c>
      <c r="Q68" s="3">
        <v>24761.17</v>
      </c>
      <c r="R68" s="3">
        <v>29099.95</v>
      </c>
      <c r="S68" s="3">
        <v>16450.97</v>
      </c>
      <c r="T68" s="3">
        <v>2065.61</v>
      </c>
      <c r="U68" s="3">
        <v>1297.19</v>
      </c>
      <c r="V68" s="3">
        <v>2451.52</v>
      </c>
      <c r="W68" s="3">
        <v>454.55</v>
      </c>
      <c r="X68" s="3">
        <v>22719.84</v>
      </c>
      <c r="Y68" s="3">
        <v>8310.2099999999991</v>
      </c>
      <c r="Z68" s="3">
        <f t="shared" si="9"/>
        <v>2041.3299999999981</v>
      </c>
      <c r="AA68" s="37">
        <f t="shared" si="10"/>
        <v>8.2440773194481454E-2</v>
      </c>
      <c r="AB68" s="3">
        <v>-4338.78</v>
      </c>
      <c r="AC68" s="3">
        <v>0</v>
      </c>
      <c r="AD68" s="3">
        <v>2971.34</v>
      </c>
      <c r="AE68" s="3">
        <v>27732.51</v>
      </c>
      <c r="AF68" t="str">
        <f>IF(tbl_FinancialData[[#This Row],[City]]="","Unknown",PROPER(TRIM(tbl_FinancialData[[#This Row],[City]])))</f>
        <v>Ludhiana</v>
      </c>
      <c r="AG68" t="str">
        <f>_xlfn.LET(_xlpm.city,LOWER(TRIM(tbl_FinancialData[[#This Row],[City]])),_xlpm.st,PROPER(TRIM(tbl_FinancialData[[#This Row],[State]])),IF(_xlpm.city="pune","Maharashtra",IF(_xlpm.city="jamshedpur","Jharkhand",IF(_xlpm.city="bhilai","Chhattisgarh",IF(_xlpm.city="mumbai","Maharashtra",_xlpm.st)))))</f>
        <v>Punjab</v>
      </c>
      <c r="AH68" t="str">
        <f>_xlfn.LET(_xlpm.d,PROPER(TRIM(tbl_FinancialData[[#This Row],[Department]])),IF(_xlpm.d="It","IT",_xlpm.d))</f>
        <v>Sales</v>
      </c>
      <c r="AI68" t="str">
        <f>_xlfn.LET(_xlpm.pid,tbl_FinancialData[[#This Row],[Product ID]],_xlpm.n,PROPER(TRIM(tbl_FinancialData[[#This Row],[Product Name]])),IF(_xlpm.pid="P020","Document Scanner",IF(_xlpm.pid="P015","Network Router",SUBSTITUTE(SUBSTITUTE(_xlpm.n,"Crm","CRM"),"Ups","UPS"))))</f>
        <v>Accounting Software</v>
      </c>
      <c r="AJ68" s="3" t="str">
        <f>UPPER(TRIM(tbl_FinancialData[[#This Row],[Cost Center]]))</f>
        <v>CC-1005</v>
      </c>
    </row>
    <row r="69" spans="1:36" x14ac:dyDescent="0.25">
      <c r="A69" s="3" t="s">
        <v>248</v>
      </c>
      <c r="B69" s="2">
        <v>45905</v>
      </c>
      <c r="C69" t="s">
        <v>46</v>
      </c>
      <c r="D69" s="3" t="str">
        <f t="shared" si="7"/>
        <v>Q2</v>
      </c>
      <c r="E69" s="3" t="str">
        <f t="shared" si="8"/>
        <v>FY2026</v>
      </c>
      <c r="F69" s="8" t="s">
        <v>85</v>
      </c>
      <c r="G69" s="3" t="s">
        <v>35</v>
      </c>
      <c r="H69" t="s">
        <v>178</v>
      </c>
      <c r="I69" t="s">
        <v>249</v>
      </c>
      <c r="J69" s="3" t="s">
        <v>80</v>
      </c>
      <c r="K69" t="s">
        <v>50</v>
      </c>
      <c r="L69" s="3" t="s">
        <v>94</v>
      </c>
      <c r="M69" s="3" t="s">
        <v>235</v>
      </c>
      <c r="N69" t="s">
        <v>236</v>
      </c>
      <c r="O69" t="s">
        <v>104</v>
      </c>
      <c r="P69" t="s">
        <v>237</v>
      </c>
      <c r="Q69" s="3">
        <v>4924.5200000000004</v>
      </c>
      <c r="R69" s="3">
        <v>4912.16</v>
      </c>
      <c r="S69" s="3">
        <v>2510.84</v>
      </c>
      <c r="T69" s="3">
        <v>623.02</v>
      </c>
      <c r="U69" s="3">
        <v>378.54</v>
      </c>
      <c r="V69" s="3">
        <v>299.01</v>
      </c>
      <c r="W69" s="3">
        <v>150.69</v>
      </c>
      <c r="X69" s="3">
        <v>3962.1</v>
      </c>
      <c r="Y69" s="3">
        <v>2413.6799999999998</v>
      </c>
      <c r="Z69" s="3">
        <f t="shared" si="9"/>
        <v>962.42000000000053</v>
      </c>
      <c r="AA69" s="37">
        <f t="shared" si="10"/>
        <v>0.19543427582789805</v>
      </c>
      <c r="AB69" s="3">
        <v>12.37</v>
      </c>
      <c r="AC69" s="3">
        <v>492.45</v>
      </c>
      <c r="AD69" s="3">
        <v>797.77</v>
      </c>
      <c r="AE69" s="3">
        <v>5229.84</v>
      </c>
      <c r="AF69" t="str">
        <f>IF(tbl_FinancialData[[#This Row],[City]]="","Unknown",PROPER(TRIM(tbl_FinancialData[[#This Row],[City]])))</f>
        <v>Bhilai</v>
      </c>
      <c r="AG69" t="str">
        <f>_xlfn.LET(_xlpm.city,LOWER(TRIM(tbl_FinancialData[[#This Row],[City]])),_xlpm.st,PROPER(TRIM(tbl_FinancialData[[#This Row],[State]])),IF(_xlpm.city="pune","Maharashtra",IF(_xlpm.city="jamshedpur","Jharkhand",IF(_xlpm.city="bhilai","Chhattisgarh",IF(_xlpm.city="mumbai","Maharashtra",_xlpm.st)))))</f>
        <v>Chhattisgarh</v>
      </c>
      <c r="AH69" t="str">
        <f>_xlfn.LET(_xlpm.d,PROPER(TRIM(tbl_FinancialData[[#This Row],[Department]])),IF(_xlpm.d="It","IT",_xlpm.d))</f>
        <v>Sales</v>
      </c>
      <c r="AI69" t="str">
        <f>_xlfn.LET(_xlpm.pid,tbl_FinancialData[[#This Row],[Product ID]],_xlpm.n,PROPER(TRIM(tbl_FinancialData[[#This Row],[Product Name]])),IF(_xlpm.pid="P020","Document Scanner",IF(_xlpm.pid="P015","Network Router",SUBSTITUTE(SUBSTITUTE(_xlpm.n,"Crm","CRM"),"Ups","UPS"))))</f>
        <v>Data Storage</v>
      </c>
      <c r="AJ69" s="3" t="str">
        <f>UPPER(TRIM(tbl_FinancialData[[#This Row],[Cost Center]]))</f>
        <v>CC-1001</v>
      </c>
    </row>
    <row r="70" spans="1:36" x14ac:dyDescent="0.25">
      <c r="A70" s="3" t="s">
        <v>250</v>
      </c>
      <c r="B70" s="2">
        <v>46091</v>
      </c>
      <c r="C70" t="s">
        <v>125</v>
      </c>
      <c r="D70" s="3" t="str">
        <f t="shared" si="7"/>
        <v>Q4</v>
      </c>
      <c r="E70" s="3" t="str">
        <f t="shared" si="8"/>
        <v>FY2026</v>
      </c>
      <c r="F70" s="8" t="s">
        <v>67</v>
      </c>
      <c r="G70" s="3" t="s">
        <v>35</v>
      </c>
      <c r="H70" t="s">
        <v>168</v>
      </c>
      <c r="I70" t="s">
        <v>251</v>
      </c>
      <c r="J70" s="3" t="s">
        <v>80</v>
      </c>
      <c r="K70" t="s">
        <v>71</v>
      </c>
      <c r="L70" s="3" t="s">
        <v>72</v>
      </c>
      <c r="M70" s="3" t="s">
        <v>141</v>
      </c>
      <c r="N70" t="s">
        <v>142</v>
      </c>
      <c r="O70" t="s">
        <v>54</v>
      </c>
      <c r="P70" t="s">
        <v>143</v>
      </c>
      <c r="Q70" s="3">
        <v>9748.9599999999991</v>
      </c>
      <c r="R70" s="3">
        <v>10356.52</v>
      </c>
      <c r="S70" s="3">
        <v>5879.06</v>
      </c>
      <c r="T70" s="3">
        <v>667.35</v>
      </c>
      <c r="U70" s="3">
        <v>355.59</v>
      </c>
      <c r="V70" s="3">
        <v>561.91999999999996</v>
      </c>
      <c r="W70" s="3">
        <v>161.1</v>
      </c>
      <c r="X70" s="3">
        <v>7625.02</v>
      </c>
      <c r="Y70" s="3">
        <v>3869.9</v>
      </c>
      <c r="Z70" s="3">
        <f t="shared" si="9"/>
        <v>2123.9399999999987</v>
      </c>
      <c r="AA70" s="37">
        <f t="shared" si="10"/>
        <v>0.21786323874546606</v>
      </c>
      <c r="AB70" s="3">
        <v>-607.57000000000005</v>
      </c>
      <c r="AC70" s="3">
        <v>487.45</v>
      </c>
      <c r="AD70" s="3">
        <v>1111.3800000000001</v>
      </c>
      <c r="AE70" s="3">
        <v>10372.89</v>
      </c>
      <c r="AF70" t="str">
        <f>IF(tbl_FinancialData[[#This Row],[City]]="","Unknown",PROPER(TRIM(tbl_FinancialData[[#This Row],[City]])))</f>
        <v>Durgapur</v>
      </c>
      <c r="AG70" t="str">
        <f>_xlfn.LET(_xlpm.city,LOWER(TRIM(tbl_FinancialData[[#This Row],[City]])),_xlpm.st,PROPER(TRIM(tbl_FinancialData[[#This Row],[State]])),IF(_xlpm.city="pune","Maharashtra",IF(_xlpm.city="jamshedpur","Jharkhand",IF(_xlpm.city="bhilai","Chhattisgarh",IF(_xlpm.city="mumbai","Maharashtra",_xlpm.st)))))</f>
        <v>West Bengal</v>
      </c>
      <c r="AH70" t="str">
        <f>_xlfn.LET(_xlpm.d,PROPER(TRIM(tbl_FinancialData[[#This Row],[Department]])),IF(_xlpm.d="It","IT",_xlpm.d))</f>
        <v>Marketing</v>
      </c>
      <c r="AI70" t="str">
        <f>_xlfn.LET(_xlpm.pid,tbl_FinancialData[[#This Row],[Product ID]],_xlpm.n,PROPER(TRIM(tbl_FinancialData[[#This Row],[Product Name]])),IF(_xlpm.pid="P020","Document Scanner",IF(_xlpm.pid="P015","Network Router",SUBSTITUTE(SUBSTITUTE(_xlpm.n,"Crm","CRM"),"Ups","UPS"))))</f>
        <v>Headset</v>
      </c>
      <c r="AJ70" s="3" t="str">
        <f>UPPER(TRIM(tbl_FinancialData[[#This Row],[Cost Center]]))</f>
        <v>CC-1004</v>
      </c>
    </row>
    <row r="71" spans="1:36" x14ac:dyDescent="0.25">
      <c r="A71" s="3" t="s">
        <v>252</v>
      </c>
      <c r="B71" s="2">
        <v>46008</v>
      </c>
      <c r="C71" t="s">
        <v>107</v>
      </c>
      <c r="D71" s="3" t="str">
        <f t="shared" si="7"/>
        <v>Q3</v>
      </c>
      <c r="E71" s="3" t="str">
        <f t="shared" si="8"/>
        <v>FY2026</v>
      </c>
      <c r="F71" s="8" t="s">
        <v>34</v>
      </c>
      <c r="G71" s="3" t="s">
        <v>35</v>
      </c>
      <c r="H71" t="s">
        <v>36</v>
      </c>
      <c r="I71" t="s">
        <v>145</v>
      </c>
      <c r="J71" s="3" t="s">
        <v>80</v>
      </c>
      <c r="K71" t="s">
        <v>160</v>
      </c>
      <c r="L71" s="3" t="s">
        <v>40</v>
      </c>
      <c r="M71" s="3" t="s">
        <v>130</v>
      </c>
      <c r="N71" t="s">
        <v>131</v>
      </c>
      <c r="O71" t="s">
        <v>43</v>
      </c>
      <c r="P71" t="s">
        <v>132</v>
      </c>
      <c r="Q71" s="3">
        <v>25852.33</v>
      </c>
      <c r="R71" s="3">
        <v>28630.720000000001</v>
      </c>
      <c r="S71" s="3">
        <v>16727.62</v>
      </c>
      <c r="T71" s="3">
        <v>1610.9</v>
      </c>
      <c r="U71" s="3">
        <v>2017.24</v>
      </c>
      <c r="V71" s="3">
        <v>1498.28</v>
      </c>
      <c r="W71" s="3">
        <v>461.04</v>
      </c>
      <c r="X71" s="3">
        <v>22315.08</v>
      </c>
      <c r="Y71" s="3">
        <v>9124.7099999999991</v>
      </c>
      <c r="Z71" s="3">
        <f t="shared" si="9"/>
        <v>3537.25</v>
      </c>
      <c r="AA71" s="37">
        <f t="shared" si="10"/>
        <v>0.13682519138507052</v>
      </c>
      <c r="AB71" s="3">
        <v>-2778.39</v>
      </c>
      <c r="AC71" s="3">
        <v>1292.6199999999999</v>
      </c>
      <c r="AD71" s="3">
        <v>2947.17</v>
      </c>
      <c r="AE71" s="3">
        <v>27506.880000000001</v>
      </c>
      <c r="AF71" t="str">
        <f>IF(tbl_FinancialData[[#This Row],[City]]="","Unknown",PROPER(TRIM(tbl_FinancialData[[#This Row],[City]])))</f>
        <v>Panaji</v>
      </c>
      <c r="AG71" t="str">
        <f>_xlfn.LET(_xlpm.city,LOWER(TRIM(tbl_FinancialData[[#This Row],[City]])),_xlpm.st,PROPER(TRIM(tbl_FinancialData[[#This Row],[State]])),IF(_xlpm.city="pune","Maharashtra",IF(_xlpm.city="jamshedpur","Jharkhand",IF(_xlpm.city="bhilai","Chhattisgarh",IF(_xlpm.city="mumbai","Maharashtra",_xlpm.st)))))</f>
        <v>Goa</v>
      </c>
      <c r="AH71" t="str">
        <f>_xlfn.LET(_xlpm.d,PROPER(TRIM(tbl_FinancialData[[#This Row],[Department]])),IF(_xlpm.d="It","IT",_xlpm.d))</f>
        <v>IT</v>
      </c>
      <c r="AI71" t="str">
        <f>_xlfn.LET(_xlpm.pid,tbl_FinancialData[[#This Row],[Product ID]],_xlpm.n,PROPER(TRIM(tbl_FinancialData[[#This Row],[Product Name]])),IF(_xlpm.pid="P020","Document Scanner",IF(_xlpm.pid="P015","Network Router",SUBSTITUTE(SUBSTITUTE(_xlpm.n,"Crm","CRM"),"Ups","UPS"))))</f>
        <v>UPS System</v>
      </c>
      <c r="AJ71" s="3" t="str">
        <f>UPPER(TRIM(tbl_FinancialData[[#This Row],[Cost Center]]))</f>
        <v>CC-1002</v>
      </c>
    </row>
    <row r="72" spans="1:36" x14ac:dyDescent="0.25">
      <c r="A72" s="3" t="s">
        <v>253</v>
      </c>
      <c r="B72" s="2">
        <v>46104</v>
      </c>
      <c r="C72" t="s">
        <v>125</v>
      </c>
      <c r="D72" s="3" t="str">
        <f t="shared" si="7"/>
        <v>Q4</v>
      </c>
      <c r="E72" s="3" t="str">
        <f t="shared" si="8"/>
        <v>FY2026</v>
      </c>
      <c r="F72" s="8" t="s">
        <v>59</v>
      </c>
      <c r="G72" s="3" t="s">
        <v>35</v>
      </c>
      <c r="H72" t="s">
        <v>254</v>
      </c>
      <c r="I72" t="s">
        <v>255</v>
      </c>
      <c r="J72" s="3" t="s">
        <v>70</v>
      </c>
      <c r="K72" t="s">
        <v>50</v>
      </c>
      <c r="L72" s="3" t="s">
        <v>94</v>
      </c>
      <c r="M72" s="3" t="s">
        <v>88</v>
      </c>
      <c r="N72" t="s">
        <v>89</v>
      </c>
      <c r="O72" t="s">
        <v>43</v>
      </c>
      <c r="P72" t="s">
        <v>90</v>
      </c>
      <c r="Q72" s="3">
        <v>79731.490000000005</v>
      </c>
      <c r="R72" s="3">
        <v>89526.89</v>
      </c>
      <c r="S72" s="3">
        <v>50809.54</v>
      </c>
      <c r="T72" s="3">
        <v>7500.23</v>
      </c>
      <c r="U72" s="3">
        <v>2444.1</v>
      </c>
      <c r="V72" s="3">
        <v>5794.59</v>
      </c>
      <c r="W72" s="3">
        <v>1837.34</v>
      </c>
      <c r="X72" s="3">
        <v>68385.789999999994</v>
      </c>
      <c r="Y72" s="3">
        <v>28921.95</v>
      </c>
      <c r="Z72" s="3">
        <f t="shared" si="9"/>
        <v>11345.700000000012</v>
      </c>
      <c r="AA72" s="37">
        <f t="shared" si="10"/>
        <v>0.14229885833062961</v>
      </c>
      <c r="AB72" s="3">
        <v>-9795.4</v>
      </c>
      <c r="AC72" s="3">
        <v>1594.63</v>
      </c>
      <c r="AD72" s="3">
        <v>14064.64</v>
      </c>
      <c r="AE72" s="3">
        <v>92201.5</v>
      </c>
      <c r="AF72" t="str">
        <f>IF(tbl_FinancialData[[#This Row],[City]]="","Unknown",PROPER(TRIM(tbl_FinancialData[[#This Row],[City]])))</f>
        <v>Noida</v>
      </c>
      <c r="AG72" t="str">
        <f>_xlfn.LET(_xlpm.city,LOWER(TRIM(tbl_FinancialData[[#This Row],[City]])),_xlpm.st,PROPER(TRIM(tbl_FinancialData[[#This Row],[State]])),IF(_xlpm.city="pune","Maharashtra",IF(_xlpm.city="jamshedpur","Jharkhand",IF(_xlpm.city="bhilai","Chhattisgarh",IF(_xlpm.city="mumbai","Maharashtra",_xlpm.st)))))</f>
        <v>Delhi</v>
      </c>
      <c r="AH72" t="str">
        <f>_xlfn.LET(_xlpm.d,PROPER(TRIM(tbl_FinancialData[[#This Row],[Department]])),IF(_xlpm.d="It","IT",_xlpm.d))</f>
        <v>Sales</v>
      </c>
      <c r="AI72" t="str">
        <f>_xlfn.LET(_xlpm.pid,tbl_FinancialData[[#This Row],[Product ID]],_xlpm.n,PROPER(TRIM(tbl_FinancialData[[#This Row],[Product Name]])),IF(_xlpm.pid="P020","Document Scanner",IF(_xlpm.pid="P015","Network Router",SUBSTITUTE(SUBSTITUTE(_xlpm.n,"Crm","CRM"),"Ups","UPS"))))</f>
        <v>Printer</v>
      </c>
      <c r="AJ72" s="3" t="str">
        <f>UPPER(TRIM(tbl_FinancialData[[#This Row],[Cost Center]]))</f>
        <v>CC-1001</v>
      </c>
    </row>
    <row r="73" spans="1:36" x14ac:dyDescent="0.25">
      <c r="A73" s="3" t="s">
        <v>256</v>
      </c>
      <c r="B73" s="2">
        <v>45837</v>
      </c>
      <c r="C73" t="s">
        <v>156</v>
      </c>
      <c r="D73" s="3" t="str">
        <f t="shared" si="7"/>
        <v>Q1</v>
      </c>
      <c r="E73" s="3" t="str">
        <f t="shared" si="8"/>
        <v>FY2026</v>
      </c>
      <c r="F73" s="8" t="s">
        <v>67</v>
      </c>
      <c r="G73" s="3" t="s">
        <v>35</v>
      </c>
      <c r="H73" t="s">
        <v>168</v>
      </c>
      <c r="I73" t="s">
        <v>169</v>
      </c>
      <c r="J73" s="3" t="s">
        <v>38</v>
      </c>
      <c r="K73" t="s">
        <v>50</v>
      </c>
      <c r="L73" s="3" t="s">
        <v>94</v>
      </c>
      <c r="M73" s="3" t="s">
        <v>120</v>
      </c>
      <c r="N73" t="s">
        <v>121</v>
      </c>
      <c r="O73" t="s">
        <v>43</v>
      </c>
      <c r="P73" t="s">
        <v>122</v>
      </c>
      <c r="Q73" s="3">
        <v>42854.74</v>
      </c>
      <c r="R73" s="3">
        <v>45328.42</v>
      </c>
      <c r="S73" s="3">
        <v>29052.240000000002</v>
      </c>
      <c r="T73" s="3">
        <v>3335.16</v>
      </c>
      <c r="U73" s="3">
        <v>2960.02</v>
      </c>
      <c r="V73" s="3">
        <v>3653.73</v>
      </c>
      <c r="W73" s="3">
        <v>829.07</v>
      </c>
      <c r="X73" s="3">
        <v>39830.22</v>
      </c>
      <c r="Y73" s="3">
        <v>13802.51</v>
      </c>
      <c r="Z73" s="3">
        <f t="shared" si="9"/>
        <v>3024.5199999999968</v>
      </c>
      <c r="AA73" s="37">
        <f t="shared" si="10"/>
        <v>7.0576090299462713E-2</v>
      </c>
      <c r="AB73" s="3">
        <v>-2473.6799999999998</v>
      </c>
      <c r="AC73" s="3">
        <v>3428.38</v>
      </c>
      <c r="AD73" s="3">
        <v>7096.75</v>
      </c>
      <c r="AE73" s="3">
        <v>46523.11</v>
      </c>
      <c r="AF73" t="str">
        <f>IF(tbl_FinancialData[[#This Row],[City]]="","Unknown",PROPER(TRIM(tbl_FinancialData[[#This Row],[City]])))</f>
        <v>Kolkata</v>
      </c>
      <c r="AG73" t="str">
        <f>_xlfn.LET(_xlpm.city,LOWER(TRIM(tbl_FinancialData[[#This Row],[City]])),_xlpm.st,PROPER(TRIM(tbl_FinancialData[[#This Row],[State]])),IF(_xlpm.city="pune","Maharashtra",IF(_xlpm.city="jamshedpur","Jharkhand",IF(_xlpm.city="bhilai","Chhattisgarh",IF(_xlpm.city="mumbai","Maharashtra",_xlpm.st)))))</f>
        <v>West Bengal</v>
      </c>
      <c r="AH73" t="str">
        <f>_xlfn.LET(_xlpm.d,PROPER(TRIM(tbl_FinancialData[[#This Row],[Department]])),IF(_xlpm.d="It","IT",_xlpm.d))</f>
        <v>Sales</v>
      </c>
      <c r="AI73" t="str">
        <f>_xlfn.LET(_xlpm.pid,tbl_FinancialData[[#This Row],[Product ID]],_xlpm.n,PROPER(TRIM(tbl_FinancialData[[#This Row],[Product Name]])),IF(_xlpm.pid="P020","Document Scanner",IF(_xlpm.pid="P015","Network Router",SUBSTITUTE(SUBSTITUTE(_xlpm.n,"Crm","CRM"),"Ups","UPS"))))</f>
        <v>Projector</v>
      </c>
      <c r="AJ73" s="3" t="str">
        <f>UPPER(TRIM(tbl_FinancialData[[#This Row],[Cost Center]]))</f>
        <v>CC-1001</v>
      </c>
    </row>
    <row r="74" spans="1:36" x14ac:dyDescent="0.25">
      <c r="A74" s="3" t="s">
        <v>257</v>
      </c>
      <c r="B74" s="2">
        <v>45915</v>
      </c>
      <c r="C74" t="s">
        <v>46</v>
      </c>
      <c r="D74" s="3" t="str">
        <f t="shared" si="7"/>
        <v>Q2</v>
      </c>
      <c r="E74" s="3" t="str">
        <f t="shared" si="8"/>
        <v>FY2026</v>
      </c>
      <c r="F74" s="8" t="s">
        <v>47</v>
      </c>
      <c r="G74" s="3" t="s">
        <v>35</v>
      </c>
      <c r="H74" t="s">
        <v>206</v>
      </c>
      <c r="I74" t="s">
        <v>207</v>
      </c>
      <c r="J74" s="3" t="s">
        <v>38</v>
      </c>
      <c r="K74" t="s">
        <v>71</v>
      </c>
      <c r="L74" s="3" t="s">
        <v>51</v>
      </c>
      <c r="M74" s="3" t="s">
        <v>189</v>
      </c>
      <c r="N74" t="s">
        <v>190</v>
      </c>
      <c r="O74" t="s">
        <v>104</v>
      </c>
      <c r="P74" t="s">
        <v>105</v>
      </c>
      <c r="Q74" s="3">
        <v>24368.23</v>
      </c>
      <c r="R74" s="3">
        <v>25966.38</v>
      </c>
      <c r="S74" s="3">
        <v>16098.92</v>
      </c>
      <c r="T74" s="3">
        <v>1527.61</v>
      </c>
      <c r="U74" s="3">
        <v>2004.45</v>
      </c>
      <c r="V74" s="3">
        <v>2674.35</v>
      </c>
      <c r="W74" s="3">
        <v>268.63</v>
      </c>
      <c r="X74" s="3">
        <v>22573.95</v>
      </c>
      <c r="Y74" s="3">
        <v>8269.31</v>
      </c>
      <c r="Z74" s="3">
        <f t="shared" si="9"/>
        <v>1794.2799999999988</v>
      </c>
      <c r="AA74" s="37">
        <f t="shared" si="10"/>
        <v>7.3631937978260995E-2</v>
      </c>
      <c r="AB74" s="3">
        <v>-1598.15</v>
      </c>
      <c r="AC74" s="3">
        <v>1949.46</v>
      </c>
      <c r="AD74" s="3">
        <v>1120.94</v>
      </c>
      <c r="AE74" s="3">
        <v>23539.71</v>
      </c>
      <c r="AF74" t="str">
        <f>IF(tbl_FinancialData[[#This Row],[City]]="","Unknown",PROPER(TRIM(tbl_FinancialData[[#This Row],[City]])))</f>
        <v>Nizamabad</v>
      </c>
      <c r="AG74" t="str">
        <f>_xlfn.LET(_xlpm.city,LOWER(TRIM(tbl_FinancialData[[#This Row],[City]])),_xlpm.st,PROPER(TRIM(tbl_FinancialData[[#This Row],[State]])),IF(_xlpm.city="pune","Maharashtra",IF(_xlpm.city="jamshedpur","Jharkhand",IF(_xlpm.city="bhilai","Chhattisgarh",IF(_xlpm.city="mumbai","Maharashtra",_xlpm.st)))))</f>
        <v>Telangana</v>
      </c>
      <c r="AH74" t="str">
        <f>_xlfn.LET(_xlpm.d,PROPER(TRIM(tbl_FinancialData[[#This Row],[Department]])),IF(_xlpm.d="It","IT",_xlpm.d))</f>
        <v>Marketing</v>
      </c>
      <c r="AI74" t="str">
        <f>_xlfn.LET(_xlpm.pid,tbl_FinancialData[[#This Row],[Product ID]],_xlpm.n,PROPER(TRIM(tbl_FinancialData[[#This Row],[Product Name]])),IF(_xlpm.pid="P020","Document Scanner",IF(_xlpm.pid="P015","Network Router",SUBSTITUTE(SUBSTITUTE(_xlpm.n,"Crm","CRM"),"Ups","UPS"))))</f>
        <v>CRM Software</v>
      </c>
      <c r="AJ74" s="3" t="str">
        <f>UPPER(TRIM(tbl_FinancialData[[#This Row],[Cost Center]]))</f>
        <v>CC-1003</v>
      </c>
    </row>
    <row r="75" spans="1:36" x14ac:dyDescent="0.25">
      <c r="A75" s="3" t="s">
        <v>258</v>
      </c>
      <c r="B75" s="2">
        <v>46110</v>
      </c>
      <c r="C75" t="s">
        <v>125</v>
      </c>
      <c r="D75" s="3" t="str">
        <f t="shared" si="7"/>
        <v>Q4</v>
      </c>
      <c r="E75" s="3" t="str">
        <f t="shared" si="8"/>
        <v>FY2026</v>
      </c>
      <c r="F75" s="8" t="s">
        <v>47</v>
      </c>
      <c r="G75" s="3" t="s">
        <v>35</v>
      </c>
      <c r="H75" t="s">
        <v>206</v>
      </c>
      <c r="I75" t="s">
        <v>207</v>
      </c>
      <c r="J75" s="3" t="s">
        <v>100</v>
      </c>
      <c r="K75" t="s">
        <v>71</v>
      </c>
      <c r="L75" s="3" t="s">
        <v>81</v>
      </c>
      <c r="M75" s="3" t="s">
        <v>102</v>
      </c>
      <c r="N75" t="s">
        <v>103</v>
      </c>
      <c r="O75" t="s">
        <v>104</v>
      </c>
      <c r="P75" t="s">
        <v>105</v>
      </c>
      <c r="Q75" s="3">
        <v>4746.57</v>
      </c>
      <c r="R75" s="3">
        <v>5055.46</v>
      </c>
      <c r="S75" s="3">
        <v>3396.1</v>
      </c>
      <c r="T75" s="3">
        <v>477.24</v>
      </c>
      <c r="U75" s="3">
        <v>198.82</v>
      </c>
      <c r="V75" s="3">
        <v>430.61</v>
      </c>
      <c r="W75" s="3">
        <v>137.16999999999999</v>
      </c>
      <c r="X75" s="3">
        <v>4639.9399999999996</v>
      </c>
      <c r="Y75" s="3">
        <v>1350.47</v>
      </c>
      <c r="Z75" s="3">
        <f t="shared" si="9"/>
        <v>106.63000000000011</v>
      </c>
      <c r="AA75" s="37">
        <f t="shared" si="10"/>
        <v>2.2464642889497073E-2</v>
      </c>
      <c r="AB75" s="3">
        <v>-308.89999999999998</v>
      </c>
      <c r="AC75" s="3">
        <v>237.33</v>
      </c>
      <c r="AD75" s="3">
        <v>225.46</v>
      </c>
      <c r="AE75" s="3">
        <v>4734.7</v>
      </c>
      <c r="AF75" t="str">
        <f>IF(tbl_FinancialData[[#This Row],[City]]="","Unknown",PROPER(TRIM(tbl_FinancialData[[#This Row],[City]])))</f>
        <v>Nizamabad</v>
      </c>
      <c r="AG75" t="str">
        <f>_xlfn.LET(_xlpm.city,LOWER(TRIM(tbl_FinancialData[[#This Row],[City]])),_xlpm.st,PROPER(TRIM(tbl_FinancialData[[#This Row],[State]])),IF(_xlpm.city="pune","Maharashtra",IF(_xlpm.city="jamshedpur","Jharkhand",IF(_xlpm.city="bhilai","Chhattisgarh",IF(_xlpm.city="mumbai","Maharashtra",_xlpm.st)))))</f>
        <v>Telangana</v>
      </c>
      <c r="AH75" t="str">
        <f>_xlfn.LET(_xlpm.d,PROPER(TRIM(tbl_FinancialData[[#This Row],[Department]])),IF(_xlpm.d="It","IT",_xlpm.d))</f>
        <v>Marketing</v>
      </c>
      <c r="AI75" t="str">
        <f>_xlfn.LET(_xlpm.pid,tbl_FinancialData[[#This Row],[Product ID]],_xlpm.n,PROPER(TRIM(tbl_FinancialData[[#This Row],[Product Name]])),IF(_xlpm.pid="P020","Document Scanner",IF(_xlpm.pid="P015","Network Router",SUBSTITUTE(SUBSTITUTE(_xlpm.n,"Crm","CRM"),"Ups","UPS"))))</f>
        <v>Accounting Software</v>
      </c>
      <c r="AJ75" s="3" t="str">
        <f>UPPER(TRIM(tbl_FinancialData[[#This Row],[Cost Center]]))</f>
        <v>CC-1005</v>
      </c>
    </row>
    <row r="76" spans="1:36" x14ac:dyDescent="0.25">
      <c r="A76" s="3" t="s">
        <v>259</v>
      </c>
      <c r="B76" s="2">
        <v>45821</v>
      </c>
      <c r="C76" t="s">
        <v>156</v>
      </c>
      <c r="D76" s="3" t="str">
        <f t="shared" si="7"/>
        <v>Q1</v>
      </c>
      <c r="E76" s="3" t="str">
        <f t="shared" si="8"/>
        <v>FY2026</v>
      </c>
      <c r="F76" s="8" t="s">
        <v>67</v>
      </c>
      <c r="G76" s="3" t="s">
        <v>35</v>
      </c>
      <c r="H76" t="s">
        <v>68</v>
      </c>
      <c r="I76" t="s">
        <v>260</v>
      </c>
      <c r="J76" s="3" t="s">
        <v>38</v>
      </c>
      <c r="K76" t="s">
        <v>39</v>
      </c>
      <c r="L76" s="3" t="s">
        <v>81</v>
      </c>
      <c r="M76" s="3" t="s">
        <v>211</v>
      </c>
      <c r="N76" t="s">
        <v>212</v>
      </c>
      <c r="O76" t="s">
        <v>112</v>
      </c>
      <c r="P76" t="s">
        <v>113</v>
      </c>
      <c r="Q76" s="3">
        <v>14335.02</v>
      </c>
      <c r="R76" s="3">
        <v>16688.68</v>
      </c>
      <c r="S76" s="3">
        <v>7453.22</v>
      </c>
      <c r="T76" s="3">
        <v>1600.92</v>
      </c>
      <c r="U76" s="3">
        <v>1018.61</v>
      </c>
      <c r="V76" s="3">
        <v>1116.5</v>
      </c>
      <c r="W76" s="3">
        <v>172.41</v>
      </c>
      <c r="X76" s="3">
        <v>11361.65</v>
      </c>
      <c r="Y76" s="3">
        <v>6881.8</v>
      </c>
      <c r="Z76" s="3">
        <f t="shared" si="9"/>
        <v>2973.3700000000008</v>
      </c>
      <c r="AA76" s="37">
        <f t="shared" si="10"/>
        <v>0.20742001057549977</v>
      </c>
      <c r="AB76" s="3">
        <v>-2353.66</v>
      </c>
      <c r="AC76" s="3">
        <v>0</v>
      </c>
      <c r="AD76" s="3">
        <v>2580.3000000000002</v>
      </c>
      <c r="AE76" s="3">
        <v>16915.330000000002</v>
      </c>
      <c r="AF76" t="str">
        <f>IF(tbl_FinancialData[[#This Row],[City]]="","Unknown",PROPER(TRIM(tbl_FinancialData[[#This Row],[City]])))</f>
        <v>Rourkela</v>
      </c>
      <c r="AG76" t="str">
        <f>_xlfn.LET(_xlpm.city,LOWER(TRIM(tbl_FinancialData[[#This Row],[City]])),_xlpm.st,PROPER(TRIM(tbl_FinancialData[[#This Row],[State]])),IF(_xlpm.city="pune","Maharashtra",IF(_xlpm.city="jamshedpur","Jharkhand",IF(_xlpm.city="bhilai","Chhattisgarh",IF(_xlpm.city="mumbai","Maharashtra",_xlpm.st)))))</f>
        <v>Odisha</v>
      </c>
      <c r="AH76" t="str">
        <f>_xlfn.LET(_xlpm.d,PROPER(TRIM(tbl_FinancialData[[#This Row],[Department]])),IF(_xlpm.d="It","IT",_xlpm.d))</f>
        <v>Operations</v>
      </c>
      <c r="AI76" t="str">
        <f>_xlfn.LET(_xlpm.pid,tbl_FinancialData[[#This Row],[Product ID]],_xlpm.n,PROPER(TRIM(tbl_FinancialData[[#This Row],[Product Name]])),IF(_xlpm.pid="P020","Document Scanner",IF(_xlpm.pid="P015","Network Router",SUBSTITUTE(SUBSTITUTE(_xlpm.n,"Crm","CRM"),"Ups","UPS"))))</f>
        <v>Office Chair</v>
      </c>
      <c r="AJ76" s="3" t="str">
        <f>UPPER(TRIM(tbl_FinancialData[[#This Row],[Cost Center]]))</f>
        <v>CC-1005</v>
      </c>
    </row>
    <row r="77" spans="1:36" x14ac:dyDescent="0.25">
      <c r="A77" s="3" t="s">
        <v>261</v>
      </c>
      <c r="B77" s="2">
        <v>46017</v>
      </c>
      <c r="C77" t="s">
        <v>107</v>
      </c>
      <c r="D77" s="3" t="str">
        <f t="shared" si="7"/>
        <v>Q3</v>
      </c>
      <c r="E77" s="3" t="str">
        <f t="shared" si="8"/>
        <v>FY2026</v>
      </c>
      <c r="F77" s="8" t="s">
        <v>85</v>
      </c>
      <c r="G77" s="3" t="s">
        <v>35</v>
      </c>
      <c r="H77" t="s">
        <v>86</v>
      </c>
      <c r="I77" t="s">
        <v>262</v>
      </c>
      <c r="J77" s="3" t="s">
        <v>70</v>
      </c>
      <c r="K77" t="s">
        <v>39</v>
      </c>
      <c r="L77" s="3" t="s">
        <v>72</v>
      </c>
      <c r="M77" s="3" t="s">
        <v>161</v>
      </c>
      <c r="N77" t="s">
        <v>162</v>
      </c>
      <c r="O77" t="s">
        <v>43</v>
      </c>
      <c r="P77" t="s">
        <v>163</v>
      </c>
      <c r="Q77" s="3">
        <v>26206</v>
      </c>
      <c r="R77" s="3">
        <v>25984.560000000001</v>
      </c>
      <c r="S77" s="3">
        <v>17728.580000000002</v>
      </c>
      <c r="T77" s="3">
        <v>1839.68</v>
      </c>
      <c r="U77" s="3">
        <v>656.9</v>
      </c>
      <c r="V77" s="3">
        <v>1381.45</v>
      </c>
      <c r="W77" s="3">
        <v>691.81</v>
      </c>
      <c r="X77" s="3">
        <v>22298.43</v>
      </c>
      <c r="Y77" s="3">
        <v>8477.42</v>
      </c>
      <c r="Z77" s="3">
        <f t="shared" si="9"/>
        <v>3907.5699999999997</v>
      </c>
      <c r="AA77" s="37">
        <f t="shared" si="10"/>
        <v>0.14910974585972678</v>
      </c>
      <c r="AB77" s="3">
        <v>221.44</v>
      </c>
      <c r="AC77" s="3">
        <v>2620.6</v>
      </c>
      <c r="AD77" s="3">
        <v>1179.27</v>
      </c>
      <c r="AE77" s="3">
        <v>24764.67</v>
      </c>
      <c r="AF77" t="str">
        <f>IF(tbl_FinancialData[[#This Row],[City]]="","Unknown",PROPER(TRIM(tbl_FinancialData[[#This Row],[City]])))</f>
        <v>Gwalior</v>
      </c>
      <c r="AG77" t="str">
        <f>_xlfn.LET(_xlpm.city,LOWER(TRIM(tbl_FinancialData[[#This Row],[City]])),_xlpm.st,PROPER(TRIM(tbl_FinancialData[[#This Row],[State]])),IF(_xlpm.city="pune","Maharashtra",IF(_xlpm.city="jamshedpur","Jharkhand",IF(_xlpm.city="bhilai","Chhattisgarh",IF(_xlpm.city="mumbai","Maharashtra",_xlpm.st)))))</f>
        <v>Madhya Pradesh</v>
      </c>
      <c r="AH77" t="str">
        <f>_xlfn.LET(_xlpm.d,PROPER(TRIM(tbl_FinancialData[[#This Row],[Department]])),IF(_xlpm.d="It","IT",_xlpm.d))</f>
        <v>Operations</v>
      </c>
      <c r="AI77" t="str">
        <f>_xlfn.LET(_xlpm.pid,tbl_FinancialData[[#This Row],[Product ID]],_xlpm.n,PROPER(TRIM(tbl_FinancialData[[#This Row],[Product Name]])),IF(_xlpm.pid="P020","Document Scanner",IF(_xlpm.pid="P015","Network Router",SUBSTITUTE(SUBSTITUTE(_xlpm.n,"Crm","CRM"),"Ups","UPS"))))</f>
        <v>Tablet</v>
      </c>
      <c r="AJ77" s="3" t="str">
        <f>UPPER(TRIM(tbl_FinancialData[[#This Row],[Cost Center]]))</f>
        <v>CC-1004</v>
      </c>
    </row>
    <row r="78" spans="1:36" x14ac:dyDescent="0.25">
      <c r="A78" s="3" t="s">
        <v>263</v>
      </c>
      <c r="B78" s="2">
        <v>45786</v>
      </c>
      <c r="C78" t="s">
        <v>65</v>
      </c>
      <c r="D78" s="3" t="str">
        <f t="shared" si="7"/>
        <v>Q1</v>
      </c>
      <c r="E78" s="3" t="str">
        <f t="shared" si="8"/>
        <v>FY2026</v>
      </c>
      <c r="F78" s="8" t="s">
        <v>67</v>
      </c>
      <c r="G78" s="3" t="s">
        <v>35</v>
      </c>
      <c r="H78" t="s">
        <v>168</v>
      </c>
      <c r="I78" t="s">
        <v>169</v>
      </c>
      <c r="J78" s="3" t="s">
        <v>70</v>
      </c>
      <c r="K78" t="s">
        <v>50</v>
      </c>
      <c r="L78" s="3" t="s">
        <v>40</v>
      </c>
      <c r="M78" s="3" t="s">
        <v>186</v>
      </c>
      <c r="N78" t="s">
        <v>187</v>
      </c>
      <c r="O78" t="s">
        <v>173</v>
      </c>
      <c r="P78" t="s">
        <v>174</v>
      </c>
      <c r="Q78" s="3">
        <v>29772.06</v>
      </c>
      <c r="R78" s="3">
        <v>28640.06</v>
      </c>
      <c r="S78" s="3">
        <v>21084.79</v>
      </c>
      <c r="T78" s="3">
        <v>1848.39</v>
      </c>
      <c r="U78" s="3">
        <v>1580.95</v>
      </c>
      <c r="V78" s="3">
        <v>3438.35</v>
      </c>
      <c r="W78" s="3">
        <v>735.09</v>
      </c>
      <c r="X78" s="3">
        <v>28687.56</v>
      </c>
      <c r="Y78" s="3">
        <v>8687.27</v>
      </c>
      <c r="Z78" s="3">
        <f t="shared" si="9"/>
        <v>1084.5</v>
      </c>
      <c r="AA78" s="37">
        <f t="shared" si="10"/>
        <v>3.6426770603041912E-2</v>
      </c>
      <c r="AB78" s="3">
        <v>1132</v>
      </c>
      <c r="AC78" s="3">
        <v>1488.6</v>
      </c>
      <c r="AD78" s="3">
        <v>3394.01</v>
      </c>
      <c r="AE78" s="3">
        <v>31677.47</v>
      </c>
      <c r="AF78" t="str">
        <f>IF(tbl_FinancialData[[#This Row],[City]]="","Unknown",PROPER(TRIM(tbl_FinancialData[[#This Row],[City]])))</f>
        <v>Kolkata</v>
      </c>
      <c r="AG78" t="str">
        <f>_xlfn.LET(_xlpm.city,LOWER(TRIM(tbl_FinancialData[[#This Row],[City]])),_xlpm.st,PROPER(TRIM(tbl_FinancialData[[#This Row],[State]])),IF(_xlpm.city="pune","Maharashtra",IF(_xlpm.city="jamshedpur","Jharkhand",IF(_xlpm.city="bhilai","Chhattisgarh",IF(_xlpm.city="mumbai","Maharashtra",_xlpm.st)))))</f>
        <v>West Bengal</v>
      </c>
      <c r="AH78" t="str">
        <f>_xlfn.LET(_xlpm.d,PROPER(TRIM(tbl_FinancialData[[#This Row],[Department]])),IF(_xlpm.d="It","IT",_xlpm.d))</f>
        <v>Sales</v>
      </c>
      <c r="AI78" t="str">
        <f>_xlfn.LET(_xlpm.pid,tbl_FinancialData[[#This Row],[Product ID]],_xlpm.n,PROPER(TRIM(tbl_FinancialData[[#This Row],[Product Name]])),IF(_xlpm.pid="P020","Document Scanner",IF(_xlpm.pid="P015","Network Router",SUBSTITUTE(SUBSTITUTE(_xlpm.n,"Crm","CRM"),"Ups","UPS"))))</f>
        <v>Network Router</v>
      </c>
      <c r="AJ78" s="3" t="str">
        <f>UPPER(TRIM(tbl_FinancialData[[#This Row],[Cost Center]]))</f>
        <v>CC-1002</v>
      </c>
    </row>
    <row r="79" spans="1:36" x14ac:dyDescent="0.25">
      <c r="A79" s="3" t="s">
        <v>264</v>
      </c>
      <c r="B79" s="2">
        <v>46004</v>
      </c>
      <c r="C79" t="s">
        <v>107</v>
      </c>
      <c r="D79" s="3" t="str">
        <f t="shared" si="7"/>
        <v>Q3</v>
      </c>
      <c r="E79" s="3" t="str">
        <f t="shared" si="8"/>
        <v>FY2026</v>
      </c>
      <c r="F79" s="8" t="s">
        <v>47</v>
      </c>
      <c r="G79" s="3" t="s">
        <v>35</v>
      </c>
      <c r="H79" t="s">
        <v>48</v>
      </c>
      <c r="I79" t="s">
        <v>265</v>
      </c>
      <c r="J79" s="3" t="s">
        <v>100</v>
      </c>
      <c r="K79" t="s">
        <v>50</v>
      </c>
      <c r="L79" s="3" t="s">
        <v>94</v>
      </c>
      <c r="M79" s="3" t="s">
        <v>102</v>
      </c>
      <c r="N79" t="s">
        <v>103</v>
      </c>
      <c r="O79" t="s">
        <v>104</v>
      </c>
      <c r="P79" t="s">
        <v>105</v>
      </c>
      <c r="Q79" s="3">
        <v>18533.939999999999</v>
      </c>
      <c r="R79" s="3">
        <v>19330.34</v>
      </c>
      <c r="S79" s="3">
        <v>9604.64</v>
      </c>
      <c r="T79" s="3">
        <v>1228.73</v>
      </c>
      <c r="U79" s="3">
        <v>573.16999999999996</v>
      </c>
      <c r="V79" s="3">
        <v>969.19</v>
      </c>
      <c r="W79" s="3">
        <v>479.64</v>
      </c>
      <c r="X79" s="3">
        <v>12855.38</v>
      </c>
      <c r="Y79" s="3">
        <v>8929.2999999999993</v>
      </c>
      <c r="Z79" s="3">
        <f t="shared" si="9"/>
        <v>5678.5599999999995</v>
      </c>
      <c r="AA79" s="37">
        <f t="shared" si="10"/>
        <v>0.30638709308436307</v>
      </c>
      <c r="AB79" s="3">
        <v>-796.4</v>
      </c>
      <c r="AC79" s="3">
        <v>926.7</v>
      </c>
      <c r="AD79" s="3">
        <v>880.36</v>
      </c>
      <c r="AE79" s="3">
        <v>18487.599999999999</v>
      </c>
      <c r="AF79" t="str">
        <f>IF(tbl_FinancialData[[#This Row],[City]]="","Unknown",PROPER(TRIM(tbl_FinancialData[[#This Row],[City]])))</f>
        <v>Madurai</v>
      </c>
      <c r="AG79" t="str">
        <f>_xlfn.LET(_xlpm.city,LOWER(TRIM(tbl_FinancialData[[#This Row],[City]])),_xlpm.st,PROPER(TRIM(tbl_FinancialData[[#This Row],[State]])),IF(_xlpm.city="pune","Maharashtra",IF(_xlpm.city="jamshedpur","Jharkhand",IF(_xlpm.city="bhilai","Chhattisgarh",IF(_xlpm.city="mumbai","Maharashtra",_xlpm.st)))))</f>
        <v>Tamil Nadu</v>
      </c>
      <c r="AH79" t="str">
        <f>_xlfn.LET(_xlpm.d,PROPER(TRIM(tbl_FinancialData[[#This Row],[Department]])),IF(_xlpm.d="It","IT",_xlpm.d))</f>
        <v>Sales</v>
      </c>
      <c r="AI79" t="str">
        <f>_xlfn.LET(_xlpm.pid,tbl_FinancialData[[#This Row],[Product ID]],_xlpm.n,PROPER(TRIM(tbl_FinancialData[[#This Row],[Product Name]])),IF(_xlpm.pid="P020","Document Scanner",IF(_xlpm.pid="P015","Network Router",SUBSTITUTE(SUBSTITUTE(_xlpm.n,"Crm","CRM"),"Ups","UPS"))))</f>
        <v>Accounting Software</v>
      </c>
      <c r="AJ79" s="3" t="str">
        <f>UPPER(TRIM(tbl_FinancialData[[#This Row],[Cost Center]]))</f>
        <v>CC-1001</v>
      </c>
    </row>
    <row r="80" spans="1:36" x14ac:dyDescent="0.25">
      <c r="A80" s="3" t="s">
        <v>266</v>
      </c>
      <c r="B80" s="2">
        <v>46096</v>
      </c>
      <c r="C80" t="s">
        <v>125</v>
      </c>
      <c r="D80" s="3" t="str">
        <f t="shared" si="7"/>
        <v>Q4</v>
      </c>
      <c r="E80" s="3" t="str">
        <f t="shared" si="8"/>
        <v>FY2026</v>
      </c>
      <c r="F80" s="8" t="s">
        <v>59</v>
      </c>
      <c r="G80" s="3" t="s">
        <v>35</v>
      </c>
      <c r="H80" t="s">
        <v>254</v>
      </c>
      <c r="I80" t="s">
        <v>200</v>
      </c>
      <c r="J80" s="3" t="s">
        <v>70</v>
      </c>
      <c r="K80" t="s">
        <v>50</v>
      </c>
      <c r="L80" s="3" t="s">
        <v>94</v>
      </c>
      <c r="M80" s="3" t="s">
        <v>235</v>
      </c>
      <c r="N80" t="s">
        <v>236</v>
      </c>
      <c r="O80" t="s">
        <v>104</v>
      </c>
      <c r="P80" t="s">
        <v>237</v>
      </c>
      <c r="Q80" s="3">
        <v>20907.54</v>
      </c>
      <c r="R80" s="3">
        <v>19951.27</v>
      </c>
      <c r="S80" s="3">
        <v>12837.63</v>
      </c>
      <c r="T80" s="3">
        <v>1422.62</v>
      </c>
      <c r="U80" s="3">
        <v>741.25</v>
      </c>
      <c r="V80" s="3">
        <v>1926.04</v>
      </c>
      <c r="W80" s="3">
        <v>447.58</v>
      </c>
      <c r="X80" s="3">
        <v>17375.11</v>
      </c>
      <c r="Y80" s="3">
        <v>8069.91</v>
      </c>
      <c r="Z80" s="3">
        <f t="shared" si="9"/>
        <v>3532.4300000000003</v>
      </c>
      <c r="AA80" s="37">
        <f t="shared" si="10"/>
        <v>0.16895483638916869</v>
      </c>
      <c r="AB80" s="3">
        <v>956.27</v>
      </c>
      <c r="AC80" s="3">
        <v>1045.3800000000001</v>
      </c>
      <c r="AD80" s="3">
        <v>2383.46</v>
      </c>
      <c r="AE80" s="3">
        <v>22245.63</v>
      </c>
      <c r="AF80" t="str">
        <f>IF(tbl_FinancialData[[#This Row],[City]]="","Unknown",PROPER(TRIM(tbl_FinancialData[[#This Row],[City]])))</f>
        <v>Gurugram</v>
      </c>
      <c r="AG80" t="str">
        <f>_xlfn.LET(_xlpm.city,LOWER(TRIM(tbl_FinancialData[[#This Row],[City]])),_xlpm.st,PROPER(TRIM(tbl_FinancialData[[#This Row],[State]])),IF(_xlpm.city="pune","Maharashtra",IF(_xlpm.city="jamshedpur","Jharkhand",IF(_xlpm.city="bhilai","Chhattisgarh",IF(_xlpm.city="mumbai","Maharashtra",_xlpm.st)))))</f>
        <v>Delhi</v>
      </c>
      <c r="AH80" t="str">
        <f>_xlfn.LET(_xlpm.d,PROPER(TRIM(tbl_FinancialData[[#This Row],[Department]])),IF(_xlpm.d="It","IT",_xlpm.d))</f>
        <v>Sales</v>
      </c>
      <c r="AI80" t="str">
        <f>_xlfn.LET(_xlpm.pid,tbl_FinancialData[[#This Row],[Product ID]],_xlpm.n,PROPER(TRIM(tbl_FinancialData[[#This Row],[Product Name]])),IF(_xlpm.pid="P020","Document Scanner",IF(_xlpm.pid="P015","Network Router",SUBSTITUTE(SUBSTITUTE(_xlpm.n,"Crm","CRM"),"Ups","UPS"))))</f>
        <v>Data Storage</v>
      </c>
      <c r="AJ80" s="3" t="str">
        <f>UPPER(TRIM(tbl_FinancialData[[#This Row],[Cost Center]]))</f>
        <v>CC-1001</v>
      </c>
    </row>
    <row r="81" spans="1:36" x14ac:dyDescent="0.25">
      <c r="A81" s="3" t="s">
        <v>267</v>
      </c>
      <c r="B81" s="2">
        <v>45811</v>
      </c>
      <c r="C81" t="s">
        <v>156</v>
      </c>
      <c r="D81" s="3" t="str">
        <f t="shared" si="7"/>
        <v>Q1</v>
      </c>
      <c r="E81" s="3" t="str">
        <f t="shared" si="8"/>
        <v>FY2026</v>
      </c>
      <c r="F81" s="8" t="s">
        <v>67</v>
      </c>
      <c r="G81" s="3" t="s">
        <v>35</v>
      </c>
      <c r="H81" t="s">
        <v>118</v>
      </c>
      <c r="I81" t="s">
        <v>119</v>
      </c>
      <c r="J81" s="3" t="s">
        <v>100</v>
      </c>
      <c r="K81" t="s">
        <v>39</v>
      </c>
      <c r="L81" s="3" t="s">
        <v>40</v>
      </c>
      <c r="M81" s="3" t="s">
        <v>235</v>
      </c>
      <c r="N81" t="s">
        <v>236</v>
      </c>
      <c r="O81" t="s">
        <v>104</v>
      </c>
      <c r="P81" t="s">
        <v>237</v>
      </c>
      <c r="Q81" s="3">
        <v>32439.24</v>
      </c>
      <c r="R81" s="3">
        <v>34940.15</v>
      </c>
      <c r="S81" s="3">
        <v>21464.86</v>
      </c>
      <c r="T81" s="3">
        <v>4094.22</v>
      </c>
      <c r="U81" s="3">
        <v>2725.16</v>
      </c>
      <c r="V81" s="3">
        <v>3177.19</v>
      </c>
      <c r="W81" s="3">
        <v>1174.97</v>
      </c>
      <c r="X81" s="3">
        <v>32636.400000000001</v>
      </c>
      <c r="Y81" s="3">
        <v>10974.38</v>
      </c>
      <c r="Z81" s="3">
        <f t="shared" si="9"/>
        <v>-197.15999999999985</v>
      </c>
      <c r="AA81" s="37">
        <f t="shared" si="10"/>
        <v>-6.0778242646868375E-3</v>
      </c>
      <c r="AB81" s="3">
        <v>-2500.91</v>
      </c>
      <c r="AC81" s="3">
        <v>0</v>
      </c>
      <c r="AD81" s="3">
        <v>1621.96</v>
      </c>
      <c r="AE81" s="3">
        <v>34061.21</v>
      </c>
      <c r="AF81" t="str">
        <f>IF(tbl_FinancialData[[#This Row],[City]]="","Unknown",PROPER(TRIM(tbl_FinancialData[[#This Row],[City]])))</f>
        <v>Ranchi</v>
      </c>
      <c r="AG81" t="str">
        <f>_xlfn.LET(_xlpm.city,LOWER(TRIM(tbl_FinancialData[[#This Row],[City]])),_xlpm.st,PROPER(TRIM(tbl_FinancialData[[#This Row],[State]])),IF(_xlpm.city="pune","Maharashtra",IF(_xlpm.city="jamshedpur","Jharkhand",IF(_xlpm.city="bhilai","Chhattisgarh",IF(_xlpm.city="mumbai","Maharashtra",_xlpm.st)))))</f>
        <v>Jharkhand</v>
      </c>
      <c r="AH81" t="str">
        <f>_xlfn.LET(_xlpm.d,PROPER(TRIM(tbl_FinancialData[[#This Row],[Department]])),IF(_xlpm.d="It","IT",_xlpm.d))</f>
        <v>Operations</v>
      </c>
      <c r="AI81" t="str">
        <f>_xlfn.LET(_xlpm.pid,tbl_FinancialData[[#This Row],[Product ID]],_xlpm.n,PROPER(TRIM(tbl_FinancialData[[#This Row],[Product Name]])),IF(_xlpm.pid="P020","Document Scanner",IF(_xlpm.pid="P015","Network Router",SUBSTITUTE(SUBSTITUTE(_xlpm.n,"Crm","CRM"),"Ups","UPS"))))</f>
        <v>Data Storage</v>
      </c>
      <c r="AJ81" s="3" t="str">
        <f>UPPER(TRIM(tbl_FinancialData[[#This Row],[Cost Center]]))</f>
        <v>CC-1002</v>
      </c>
    </row>
    <row r="82" spans="1:36" x14ac:dyDescent="0.25">
      <c r="A82" s="3" t="s">
        <v>268</v>
      </c>
      <c r="B82" s="2">
        <v>45793</v>
      </c>
      <c r="C82" t="s">
        <v>65</v>
      </c>
      <c r="D82" s="3" t="str">
        <f t="shared" si="7"/>
        <v>Q1</v>
      </c>
      <c r="E82" s="3" t="str">
        <f t="shared" si="8"/>
        <v>FY2026</v>
      </c>
      <c r="F82" s="8" t="s">
        <v>59</v>
      </c>
      <c r="G82" s="3" t="s">
        <v>35</v>
      </c>
      <c r="H82" t="s">
        <v>60</v>
      </c>
      <c r="I82" t="s">
        <v>185</v>
      </c>
      <c r="J82" s="3" t="s">
        <v>100</v>
      </c>
      <c r="K82" t="s">
        <v>50</v>
      </c>
      <c r="L82" s="3" t="s">
        <v>94</v>
      </c>
      <c r="M82" s="3" t="s">
        <v>52</v>
      </c>
      <c r="N82" t="s">
        <v>53</v>
      </c>
      <c r="O82" t="s">
        <v>54</v>
      </c>
      <c r="P82" t="s">
        <v>55</v>
      </c>
      <c r="Q82" s="3">
        <v>9533.56</v>
      </c>
      <c r="R82" s="3">
        <v>8596.65</v>
      </c>
      <c r="S82" s="3">
        <v>5798.49</v>
      </c>
      <c r="T82" s="3">
        <v>1149.77</v>
      </c>
      <c r="U82" s="3">
        <v>289.47000000000003</v>
      </c>
      <c r="V82" s="3">
        <v>1010.19</v>
      </c>
      <c r="W82" s="3">
        <v>214.72</v>
      </c>
      <c r="X82" s="3">
        <v>8462.64</v>
      </c>
      <c r="Y82" s="3">
        <v>3735.08</v>
      </c>
      <c r="Z82" s="3">
        <f t="shared" si="9"/>
        <v>1070.92</v>
      </c>
      <c r="AA82" s="37">
        <f t="shared" si="10"/>
        <v>0.11233159491312796</v>
      </c>
      <c r="AB82" s="3">
        <v>936.91</v>
      </c>
      <c r="AC82" s="3">
        <v>190.67</v>
      </c>
      <c r="AD82" s="3">
        <v>1681.72</v>
      </c>
      <c r="AE82" s="3">
        <v>11024.61</v>
      </c>
      <c r="AF82" t="str">
        <f>IF(tbl_FinancialData[[#This Row],[City]]="","Unknown",PROPER(TRIM(tbl_FinancialData[[#This Row],[City]])))</f>
        <v>Kanpur</v>
      </c>
      <c r="AG82" t="str">
        <f>_xlfn.LET(_xlpm.city,LOWER(TRIM(tbl_FinancialData[[#This Row],[City]])),_xlpm.st,PROPER(TRIM(tbl_FinancialData[[#This Row],[State]])),IF(_xlpm.city="pune","Maharashtra",IF(_xlpm.city="jamshedpur","Jharkhand",IF(_xlpm.city="bhilai","Chhattisgarh",IF(_xlpm.city="mumbai","Maharashtra",_xlpm.st)))))</f>
        <v>Uttar Pradesh</v>
      </c>
      <c r="AH82" t="str">
        <f>_xlfn.LET(_xlpm.d,PROPER(TRIM(tbl_FinancialData[[#This Row],[Department]])),IF(_xlpm.d="It","IT",_xlpm.d))</f>
        <v>Sales</v>
      </c>
      <c r="AI82" t="str">
        <f>_xlfn.LET(_xlpm.pid,tbl_FinancialData[[#This Row],[Product ID]],_xlpm.n,PROPER(TRIM(tbl_FinancialData[[#This Row],[Product Name]])),IF(_xlpm.pid="P020","Document Scanner",IF(_xlpm.pid="P015","Network Router",SUBSTITUTE(SUBSTITUTE(_xlpm.n,"Crm","CRM"),"Ups","UPS"))))</f>
        <v>Mouse</v>
      </c>
      <c r="AJ82" s="3" t="str">
        <f>UPPER(TRIM(tbl_FinancialData[[#This Row],[Cost Center]]))</f>
        <v>CC-1001</v>
      </c>
    </row>
    <row r="83" spans="1:36" x14ac:dyDescent="0.25">
      <c r="A83" s="3" t="s">
        <v>269</v>
      </c>
      <c r="B83" s="2">
        <v>45837</v>
      </c>
      <c r="C83" t="s">
        <v>156</v>
      </c>
      <c r="D83" s="3" t="str">
        <f t="shared" si="7"/>
        <v>Q1</v>
      </c>
      <c r="E83" s="3" t="str">
        <f t="shared" si="8"/>
        <v>FY2026</v>
      </c>
      <c r="F83" s="8" t="s">
        <v>34</v>
      </c>
      <c r="G83" s="3" t="s">
        <v>35</v>
      </c>
      <c r="H83" t="s">
        <v>157</v>
      </c>
      <c r="I83" t="s">
        <v>166</v>
      </c>
      <c r="J83" s="3" t="s">
        <v>100</v>
      </c>
      <c r="K83" t="s">
        <v>50</v>
      </c>
      <c r="L83" s="3" t="s">
        <v>72</v>
      </c>
      <c r="M83" s="3" t="s">
        <v>130</v>
      </c>
      <c r="N83" t="s">
        <v>131</v>
      </c>
      <c r="O83" t="s">
        <v>43</v>
      </c>
      <c r="P83" t="s">
        <v>132</v>
      </c>
      <c r="Q83" s="3">
        <v>51716.99</v>
      </c>
      <c r="R83" s="3">
        <v>59415.92</v>
      </c>
      <c r="S83" s="3">
        <v>32206.57</v>
      </c>
      <c r="T83" s="3">
        <v>5136.96</v>
      </c>
      <c r="U83" s="3">
        <v>3353.4</v>
      </c>
      <c r="V83" s="3">
        <v>3305.07</v>
      </c>
      <c r="W83" s="3">
        <v>2209.9699999999998</v>
      </c>
      <c r="X83" s="3">
        <v>46211.98</v>
      </c>
      <c r="Y83" s="3">
        <v>19510.419999999998</v>
      </c>
      <c r="Z83" s="3">
        <f t="shared" si="9"/>
        <v>5505.0099999999948</v>
      </c>
      <c r="AA83" s="37">
        <f t="shared" si="10"/>
        <v>0.1064449033093379</v>
      </c>
      <c r="AB83" s="3">
        <v>-7698.92</v>
      </c>
      <c r="AC83" s="3">
        <v>5171.7</v>
      </c>
      <c r="AD83" s="3">
        <v>8378.15</v>
      </c>
      <c r="AE83" s="3">
        <v>54923.45</v>
      </c>
      <c r="AF83" t="str">
        <f>IF(tbl_FinancialData[[#This Row],[City]]="","Unknown",PROPER(TRIM(tbl_FinancialData[[#This Row],[City]])))</f>
        <v>Vadodara</v>
      </c>
      <c r="AG83" t="str">
        <f>_xlfn.LET(_xlpm.city,LOWER(TRIM(tbl_FinancialData[[#This Row],[City]])),_xlpm.st,PROPER(TRIM(tbl_FinancialData[[#This Row],[State]])),IF(_xlpm.city="pune","Maharashtra",IF(_xlpm.city="jamshedpur","Jharkhand",IF(_xlpm.city="bhilai","Chhattisgarh",IF(_xlpm.city="mumbai","Maharashtra",_xlpm.st)))))</f>
        <v>Gujarat</v>
      </c>
      <c r="AH83" t="str">
        <f>_xlfn.LET(_xlpm.d,PROPER(TRIM(tbl_FinancialData[[#This Row],[Department]])),IF(_xlpm.d="It","IT",_xlpm.d))</f>
        <v>Sales</v>
      </c>
      <c r="AI83" t="str">
        <f>_xlfn.LET(_xlpm.pid,tbl_FinancialData[[#This Row],[Product ID]],_xlpm.n,PROPER(TRIM(tbl_FinancialData[[#This Row],[Product Name]])),IF(_xlpm.pid="P020","Document Scanner",IF(_xlpm.pid="P015","Network Router",SUBSTITUTE(SUBSTITUTE(_xlpm.n,"Crm","CRM"),"Ups","UPS"))))</f>
        <v>UPS System</v>
      </c>
      <c r="AJ83" s="3" t="str">
        <f>UPPER(TRIM(tbl_FinancialData[[#This Row],[Cost Center]]))</f>
        <v>CC-1004</v>
      </c>
    </row>
    <row r="84" spans="1:36" x14ac:dyDescent="0.25">
      <c r="A84" s="3" t="s">
        <v>270</v>
      </c>
      <c r="B84" s="2">
        <v>45831</v>
      </c>
      <c r="C84" t="s">
        <v>156</v>
      </c>
      <c r="D84" s="3" t="str">
        <f t="shared" si="7"/>
        <v>Q1</v>
      </c>
      <c r="E84" s="3" t="str">
        <f t="shared" si="8"/>
        <v>FY2026</v>
      </c>
      <c r="F84" s="8" t="s">
        <v>47</v>
      </c>
      <c r="G84" s="3" t="s">
        <v>35</v>
      </c>
      <c r="H84" t="s">
        <v>206</v>
      </c>
      <c r="I84" t="s">
        <v>207</v>
      </c>
      <c r="J84" s="3" t="s">
        <v>70</v>
      </c>
      <c r="K84" t="s">
        <v>39</v>
      </c>
      <c r="L84" s="3" t="s">
        <v>72</v>
      </c>
      <c r="M84" s="3" t="s">
        <v>197</v>
      </c>
      <c r="N84" t="s">
        <v>198</v>
      </c>
      <c r="O84" t="s">
        <v>43</v>
      </c>
      <c r="P84" t="s">
        <v>163</v>
      </c>
      <c r="Q84" s="3">
        <v>57619.72</v>
      </c>
      <c r="R84" s="3">
        <v>61830.19</v>
      </c>
      <c r="S84" s="3">
        <v>34936.949999999997</v>
      </c>
      <c r="T84" s="3">
        <v>6253.31</v>
      </c>
      <c r="U84" s="3">
        <v>1746.22</v>
      </c>
      <c r="V84" s="3">
        <v>2582.9899999999998</v>
      </c>
      <c r="W84" s="3">
        <v>1074.53</v>
      </c>
      <c r="X84" s="3">
        <v>46593.99</v>
      </c>
      <c r="Y84" s="3">
        <v>22682.77</v>
      </c>
      <c r="Z84" s="3">
        <f t="shared" si="9"/>
        <v>11025.730000000003</v>
      </c>
      <c r="AA84" s="37">
        <f t="shared" si="10"/>
        <v>0.19135341164448566</v>
      </c>
      <c r="AB84" s="3">
        <v>-4210.46</v>
      </c>
      <c r="AC84" s="3">
        <v>0</v>
      </c>
      <c r="AD84" s="3">
        <v>10371.549999999999</v>
      </c>
      <c r="AE84" s="3">
        <v>67991.27</v>
      </c>
      <c r="AF84" t="str">
        <f>IF(tbl_FinancialData[[#This Row],[City]]="","Unknown",PROPER(TRIM(tbl_FinancialData[[#This Row],[City]])))</f>
        <v>Nizamabad</v>
      </c>
      <c r="AG84" t="str">
        <f>_xlfn.LET(_xlpm.city,LOWER(TRIM(tbl_FinancialData[[#This Row],[City]])),_xlpm.st,PROPER(TRIM(tbl_FinancialData[[#This Row],[State]])),IF(_xlpm.city="pune","Maharashtra",IF(_xlpm.city="jamshedpur","Jharkhand",IF(_xlpm.city="bhilai","Chhattisgarh",IF(_xlpm.city="mumbai","Maharashtra",_xlpm.st)))))</f>
        <v>Telangana</v>
      </c>
      <c r="AH84" t="str">
        <f>_xlfn.LET(_xlpm.d,PROPER(TRIM(tbl_FinancialData[[#This Row],[Department]])),IF(_xlpm.d="It","IT",_xlpm.d))</f>
        <v>Operations</v>
      </c>
      <c r="AI84" t="str">
        <f>_xlfn.LET(_xlpm.pid,tbl_FinancialData[[#This Row],[Product ID]],_xlpm.n,PROPER(TRIM(tbl_FinancialData[[#This Row],[Product Name]])),IF(_xlpm.pid="P020","Document Scanner",IF(_xlpm.pid="P015","Network Router",SUBSTITUTE(SUBSTITUTE(_xlpm.n,"Crm","CRM"),"Ups","UPS"))))</f>
        <v>Smartphone</v>
      </c>
      <c r="AJ84" s="3" t="str">
        <f>UPPER(TRIM(tbl_FinancialData[[#This Row],[Cost Center]]))</f>
        <v>CC-1004</v>
      </c>
    </row>
    <row r="85" spans="1:36" x14ac:dyDescent="0.25">
      <c r="A85" s="3" t="s">
        <v>271</v>
      </c>
      <c r="B85" s="2">
        <v>45869</v>
      </c>
      <c r="C85" t="s">
        <v>32</v>
      </c>
      <c r="D85" s="3" t="str">
        <f t="shared" si="7"/>
        <v>Q2</v>
      </c>
      <c r="E85" s="3" t="str">
        <f t="shared" si="8"/>
        <v>FY2026</v>
      </c>
      <c r="F85" s="8" t="s">
        <v>47</v>
      </c>
      <c r="G85" s="3" t="s">
        <v>35</v>
      </c>
      <c r="H85" t="s">
        <v>48</v>
      </c>
      <c r="I85" t="s">
        <v>49</v>
      </c>
      <c r="J85" s="3" t="s">
        <v>38</v>
      </c>
      <c r="K85" t="s">
        <v>71</v>
      </c>
      <c r="L85" s="3" t="s">
        <v>81</v>
      </c>
      <c r="M85" s="3" t="s">
        <v>41</v>
      </c>
      <c r="N85" t="s">
        <v>42</v>
      </c>
      <c r="O85" t="s">
        <v>43</v>
      </c>
      <c r="P85" t="s">
        <v>44</v>
      </c>
      <c r="Q85" s="3">
        <v>19519.37</v>
      </c>
      <c r="R85" s="3">
        <v>21002.43</v>
      </c>
      <c r="S85" s="3">
        <v>10926.07</v>
      </c>
      <c r="T85" s="3">
        <v>1823.08</v>
      </c>
      <c r="U85" s="3">
        <v>1113.83</v>
      </c>
      <c r="V85" s="3">
        <v>908.08</v>
      </c>
      <c r="W85" s="3">
        <v>470.69</v>
      </c>
      <c r="X85" s="3">
        <v>15241.76</v>
      </c>
      <c r="Y85" s="3">
        <v>8593.2900000000009</v>
      </c>
      <c r="Z85" s="3">
        <f t="shared" si="9"/>
        <v>4277.6099999999988</v>
      </c>
      <c r="AA85" s="37">
        <f t="shared" si="10"/>
        <v>0.21914692943471017</v>
      </c>
      <c r="AB85" s="3">
        <v>-1483.06</v>
      </c>
      <c r="AC85" s="3">
        <v>390.39</v>
      </c>
      <c r="AD85" s="3">
        <v>2295.48</v>
      </c>
      <c r="AE85" s="3">
        <v>21424.46</v>
      </c>
      <c r="AF85" t="str">
        <f>IF(tbl_FinancialData[[#This Row],[City]]="","Unknown",PROPER(TRIM(tbl_FinancialData[[#This Row],[City]])))</f>
        <v>Chennai</v>
      </c>
      <c r="AG85" t="str">
        <f>_xlfn.LET(_xlpm.city,LOWER(TRIM(tbl_FinancialData[[#This Row],[City]])),_xlpm.st,PROPER(TRIM(tbl_FinancialData[[#This Row],[State]])),IF(_xlpm.city="pune","Maharashtra",IF(_xlpm.city="jamshedpur","Jharkhand",IF(_xlpm.city="bhilai","Chhattisgarh",IF(_xlpm.city="mumbai","Maharashtra",_xlpm.st)))))</f>
        <v>Tamil Nadu</v>
      </c>
      <c r="AH85" t="str">
        <f>_xlfn.LET(_xlpm.d,PROPER(TRIM(tbl_FinancialData[[#This Row],[Department]])),IF(_xlpm.d="It","IT",_xlpm.d))</f>
        <v>Marketing</v>
      </c>
      <c r="AI85" t="str">
        <f>_xlfn.LET(_xlpm.pid,tbl_FinancialData[[#This Row],[Product ID]],_xlpm.n,PROPER(TRIM(tbl_FinancialData[[#This Row],[Product Name]])),IF(_xlpm.pid="P020","Document Scanner",IF(_xlpm.pid="P015","Network Router",SUBSTITUTE(SUBSTITUTE(_xlpm.n,"Crm","CRM"),"Ups","UPS"))))</f>
        <v>Conference Camera</v>
      </c>
      <c r="AJ85" s="3" t="str">
        <f>UPPER(TRIM(tbl_FinancialData[[#This Row],[Cost Center]]))</f>
        <v>CC-1005</v>
      </c>
    </row>
    <row r="86" spans="1:36" x14ac:dyDescent="0.25">
      <c r="A86" s="3" t="s">
        <v>272</v>
      </c>
      <c r="B86" s="2">
        <v>45954</v>
      </c>
      <c r="C86" t="s">
        <v>92</v>
      </c>
      <c r="D86" s="3" t="str">
        <f t="shared" si="7"/>
        <v>Q3</v>
      </c>
      <c r="E86" s="3" t="str">
        <f t="shared" si="8"/>
        <v>FY2026</v>
      </c>
      <c r="F86" s="8" t="s">
        <v>47</v>
      </c>
      <c r="G86" s="3" t="s">
        <v>35</v>
      </c>
      <c r="H86" t="s">
        <v>78</v>
      </c>
      <c r="I86" t="s">
        <v>79</v>
      </c>
      <c r="J86" s="3" t="s">
        <v>100</v>
      </c>
      <c r="K86" t="s">
        <v>160</v>
      </c>
      <c r="L86" s="3" t="s">
        <v>40</v>
      </c>
      <c r="M86" s="3" t="s">
        <v>95</v>
      </c>
      <c r="N86" t="s">
        <v>96</v>
      </c>
      <c r="O86" t="s">
        <v>43</v>
      </c>
      <c r="P86" t="s">
        <v>90</v>
      </c>
      <c r="Q86" s="3">
        <v>56644.36</v>
      </c>
      <c r="R86" s="3">
        <v>62893.21</v>
      </c>
      <c r="S86" s="3">
        <v>34052.480000000003</v>
      </c>
      <c r="T86" s="3">
        <v>5294.21</v>
      </c>
      <c r="U86" s="3">
        <v>3308.58</v>
      </c>
      <c r="V86" s="3">
        <v>4930.59</v>
      </c>
      <c r="W86" s="3">
        <v>624.72</v>
      </c>
      <c r="X86" s="3">
        <v>48210.58</v>
      </c>
      <c r="Y86" s="3">
        <v>22591.88</v>
      </c>
      <c r="Z86" s="3">
        <f t="shared" si="9"/>
        <v>8433.7799999999988</v>
      </c>
      <c r="AA86" s="37">
        <f t="shared" si="10"/>
        <v>0.14889002188390862</v>
      </c>
      <c r="AB86" s="3">
        <v>-6248.85</v>
      </c>
      <c r="AC86" s="3">
        <v>1699.33</v>
      </c>
      <c r="AD86" s="3">
        <v>9890.11</v>
      </c>
      <c r="AE86" s="3">
        <v>64835.14</v>
      </c>
      <c r="AF86" t="str">
        <f>IF(tbl_FinancialData[[#This Row],[City]]="","Unknown",PROPER(TRIM(tbl_FinancialData[[#This Row],[City]])))</f>
        <v>Kochi</v>
      </c>
      <c r="AG86" t="str">
        <f>_xlfn.LET(_xlpm.city,LOWER(TRIM(tbl_FinancialData[[#This Row],[City]])),_xlpm.st,PROPER(TRIM(tbl_FinancialData[[#This Row],[State]])),IF(_xlpm.city="pune","Maharashtra",IF(_xlpm.city="jamshedpur","Jharkhand",IF(_xlpm.city="bhilai","Chhattisgarh",IF(_xlpm.city="mumbai","Maharashtra",_xlpm.st)))))</f>
        <v>Kerala</v>
      </c>
      <c r="AH86" t="str">
        <f>_xlfn.LET(_xlpm.d,PROPER(TRIM(tbl_FinancialData[[#This Row],[Department]])),IF(_xlpm.d="It","IT",_xlpm.d))</f>
        <v>IT</v>
      </c>
      <c r="AI86" t="str">
        <f>_xlfn.LET(_xlpm.pid,tbl_FinancialData[[#This Row],[Product ID]],_xlpm.n,PROPER(TRIM(tbl_FinancialData[[#This Row],[Product Name]])),IF(_xlpm.pid="P020","Document Scanner",IF(_xlpm.pid="P015","Network Router",SUBSTITUTE(SUBSTITUTE(_xlpm.n,"Crm","CRM"),"Ups","UPS"))))</f>
        <v>Document Scanner</v>
      </c>
      <c r="AJ86" s="3" t="str">
        <f>UPPER(TRIM(tbl_FinancialData[[#This Row],[Cost Center]]))</f>
        <v>CC-1002</v>
      </c>
    </row>
    <row r="87" spans="1:36" x14ac:dyDescent="0.25">
      <c r="A87" s="3" t="s">
        <v>273</v>
      </c>
      <c r="B87" s="2">
        <v>46082</v>
      </c>
      <c r="C87" t="s">
        <v>125</v>
      </c>
      <c r="D87" s="3" t="str">
        <f t="shared" si="7"/>
        <v>Q4</v>
      </c>
      <c r="E87" s="3" t="str">
        <f t="shared" si="8"/>
        <v>FY2026</v>
      </c>
      <c r="F87" s="8" t="s">
        <v>85</v>
      </c>
      <c r="G87" s="3" t="s">
        <v>35</v>
      </c>
      <c r="H87" t="s">
        <v>178</v>
      </c>
      <c r="I87" t="s">
        <v>179</v>
      </c>
      <c r="J87" s="3" t="s">
        <v>100</v>
      </c>
      <c r="K87" t="s">
        <v>160</v>
      </c>
      <c r="L87" s="3" t="s">
        <v>40</v>
      </c>
      <c r="M87" s="3" t="s">
        <v>102</v>
      </c>
      <c r="N87" t="s">
        <v>103</v>
      </c>
      <c r="O87" t="s">
        <v>104</v>
      </c>
      <c r="P87" t="s">
        <v>105</v>
      </c>
      <c r="Q87" s="3">
        <v>14236.25</v>
      </c>
      <c r="R87" s="3">
        <v>16098.35</v>
      </c>
      <c r="S87" s="3">
        <v>7639.03</v>
      </c>
      <c r="T87" s="3">
        <v>1595.6</v>
      </c>
      <c r="U87" s="3">
        <v>730.96</v>
      </c>
      <c r="V87" s="3">
        <v>1254.9000000000001</v>
      </c>
      <c r="W87" s="3">
        <v>457.54</v>
      </c>
      <c r="X87" s="3">
        <v>11678.04</v>
      </c>
      <c r="Y87" s="3">
        <v>6597.22</v>
      </c>
      <c r="Z87" s="3">
        <f t="shared" si="9"/>
        <v>2558.2099999999991</v>
      </c>
      <c r="AA87" s="37">
        <f t="shared" si="10"/>
        <v>0.17969690051804366</v>
      </c>
      <c r="AB87" s="3">
        <v>-1862.09</v>
      </c>
      <c r="AC87" s="3">
        <v>427.09</v>
      </c>
      <c r="AD87" s="3">
        <v>1657.1</v>
      </c>
      <c r="AE87" s="3">
        <v>15466.27</v>
      </c>
      <c r="AF87" t="str">
        <f>IF(tbl_FinancialData[[#This Row],[City]]="","Unknown",PROPER(TRIM(tbl_FinancialData[[#This Row],[City]])))</f>
        <v>Bilaspur</v>
      </c>
      <c r="AG87" t="str">
        <f>_xlfn.LET(_xlpm.city,LOWER(TRIM(tbl_FinancialData[[#This Row],[City]])),_xlpm.st,PROPER(TRIM(tbl_FinancialData[[#This Row],[State]])),IF(_xlpm.city="pune","Maharashtra",IF(_xlpm.city="jamshedpur","Jharkhand",IF(_xlpm.city="bhilai","Chhattisgarh",IF(_xlpm.city="mumbai","Maharashtra",_xlpm.st)))))</f>
        <v>Chhattisgarh</v>
      </c>
      <c r="AH87" t="str">
        <f>_xlfn.LET(_xlpm.d,PROPER(TRIM(tbl_FinancialData[[#This Row],[Department]])),IF(_xlpm.d="It","IT",_xlpm.d))</f>
        <v>IT</v>
      </c>
      <c r="AI87" t="str">
        <f>_xlfn.LET(_xlpm.pid,tbl_FinancialData[[#This Row],[Product ID]],_xlpm.n,PROPER(TRIM(tbl_FinancialData[[#This Row],[Product Name]])),IF(_xlpm.pid="P020","Document Scanner",IF(_xlpm.pid="P015","Network Router",SUBSTITUTE(SUBSTITUTE(_xlpm.n,"Crm","CRM"),"Ups","UPS"))))</f>
        <v>Accounting Software</v>
      </c>
      <c r="AJ87" s="3" t="str">
        <f>UPPER(TRIM(tbl_FinancialData[[#This Row],[Cost Center]]))</f>
        <v>CC-1002</v>
      </c>
    </row>
    <row r="88" spans="1:36" x14ac:dyDescent="0.25">
      <c r="A88" s="3" t="s">
        <v>274</v>
      </c>
      <c r="B88" s="2">
        <v>46040</v>
      </c>
      <c r="C88" t="s">
        <v>77</v>
      </c>
      <c r="D88" s="3" t="str">
        <f t="shared" si="7"/>
        <v>Q4</v>
      </c>
      <c r="E88" s="3" t="str">
        <f t="shared" si="8"/>
        <v>FY2026</v>
      </c>
      <c r="F88" s="8" t="s">
        <v>85</v>
      </c>
      <c r="G88" s="3" t="s">
        <v>35</v>
      </c>
      <c r="H88" t="s">
        <v>86</v>
      </c>
      <c r="I88" t="s">
        <v>181</v>
      </c>
      <c r="J88" s="3" t="s">
        <v>100</v>
      </c>
      <c r="K88" t="s">
        <v>275</v>
      </c>
      <c r="L88" s="3" t="s">
        <v>81</v>
      </c>
      <c r="M88" s="3" t="s">
        <v>186</v>
      </c>
      <c r="N88" t="s">
        <v>187</v>
      </c>
      <c r="O88" t="s">
        <v>173</v>
      </c>
      <c r="P88" t="s">
        <v>174</v>
      </c>
      <c r="Q88" s="3">
        <v>25906.400000000001</v>
      </c>
      <c r="R88" s="3">
        <v>27947.47</v>
      </c>
      <c r="S88" s="3">
        <v>13027.36</v>
      </c>
      <c r="T88" s="3">
        <v>2646.85</v>
      </c>
      <c r="U88" s="3">
        <v>1173.29</v>
      </c>
      <c r="V88" s="3">
        <v>1863.28</v>
      </c>
      <c r="W88" s="3">
        <v>1037.02</v>
      </c>
      <c r="X88" s="3">
        <v>19747.810000000001</v>
      </c>
      <c r="Y88" s="3">
        <v>12879.03</v>
      </c>
      <c r="Z88" s="3">
        <f t="shared" si="9"/>
        <v>6158.59</v>
      </c>
      <c r="AA88" s="37">
        <f t="shared" si="10"/>
        <v>0.23772465491152764</v>
      </c>
      <c r="AB88" s="3">
        <v>-2041.07</v>
      </c>
      <c r="AC88" s="3">
        <v>0</v>
      </c>
      <c r="AD88" s="3">
        <v>3108.77</v>
      </c>
      <c r="AE88" s="3">
        <v>29015.17</v>
      </c>
      <c r="AF88" t="str">
        <f>IF(tbl_FinancialData[[#This Row],[City]]="","Unknown",PROPER(TRIM(tbl_FinancialData[[#This Row],[City]])))</f>
        <v>Bhopal</v>
      </c>
      <c r="AG88" t="str">
        <f>_xlfn.LET(_xlpm.city,LOWER(TRIM(tbl_FinancialData[[#This Row],[City]])),_xlpm.st,PROPER(TRIM(tbl_FinancialData[[#This Row],[State]])),IF(_xlpm.city="pune","Maharashtra",IF(_xlpm.city="jamshedpur","Jharkhand",IF(_xlpm.city="bhilai","Chhattisgarh",IF(_xlpm.city="mumbai","Maharashtra",_xlpm.st)))))</f>
        <v>Madhya Pradesh</v>
      </c>
      <c r="AH88" t="str">
        <f>_xlfn.LET(_xlpm.d,PROPER(TRIM(tbl_FinancialData[[#This Row],[Department]])),IF(_xlpm.d="It","IT",_xlpm.d))</f>
        <v>Sales</v>
      </c>
      <c r="AI88" t="str">
        <f>_xlfn.LET(_xlpm.pid,tbl_FinancialData[[#This Row],[Product ID]],_xlpm.n,PROPER(TRIM(tbl_FinancialData[[#This Row],[Product Name]])),IF(_xlpm.pid="P020","Document Scanner",IF(_xlpm.pid="P015","Network Router",SUBSTITUTE(SUBSTITUTE(_xlpm.n,"Crm","CRM"),"Ups","UPS"))))</f>
        <v>Network Router</v>
      </c>
      <c r="AJ88" s="3" t="str">
        <f>UPPER(TRIM(tbl_FinancialData[[#This Row],[Cost Center]]))</f>
        <v>CC-1005</v>
      </c>
    </row>
    <row r="89" spans="1:36" x14ac:dyDescent="0.25">
      <c r="A89" s="3" t="s">
        <v>276</v>
      </c>
      <c r="B89" s="2">
        <v>45911</v>
      </c>
      <c r="C89" t="s">
        <v>46</v>
      </c>
      <c r="D89" s="3" t="str">
        <f t="shared" si="7"/>
        <v>Q2</v>
      </c>
      <c r="E89" s="3" t="str">
        <f t="shared" si="8"/>
        <v>FY2026</v>
      </c>
      <c r="F89" s="8" t="s">
        <v>85</v>
      </c>
      <c r="G89" s="3" t="s">
        <v>35</v>
      </c>
      <c r="H89" t="s">
        <v>60</v>
      </c>
      <c r="I89" t="s">
        <v>108</v>
      </c>
      <c r="J89" s="3" t="s">
        <v>70</v>
      </c>
      <c r="K89" t="s">
        <v>160</v>
      </c>
      <c r="L89" s="3" t="s">
        <v>40</v>
      </c>
      <c r="M89" s="3" t="s">
        <v>52</v>
      </c>
      <c r="N89" t="s">
        <v>53</v>
      </c>
      <c r="O89" t="s">
        <v>54</v>
      </c>
      <c r="P89" t="s">
        <v>55</v>
      </c>
      <c r="Q89" s="3">
        <v>5377.5</v>
      </c>
      <c r="R89" s="3">
        <v>5457.25</v>
      </c>
      <c r="S89" s="3">
        <v>3339.92</v>
      </c>
      <c r="T89" s="3">
        <v>676.96</v>
      </c>
      <c r="U89" s="3">
        <v>222.71</v>
      </c>
      <c r="V89" s="3">
        <v>369.65</v>
      </c>
      <c r="W89" s="3">
        <v>125.17</v>
      </c>
      <c r="X89" s="3">
        <v>4734.41</v>
      </c>
      <c r="Y89" s="3">
        <v>2037.58</v>
      </c>
      <c r="Z89" s="3">
        <f t="shared" si="9"/>
        <v>643.09000000000015</v>
      </c>
      <c r="AA89" s="37">
        <f t="shared" si="10"/>
        <v>0.11958902835890287</v>
      </c>
      <c r="AB89" s="3">
        <v>-79.75</v>
      </c>
      <c r="AC89" s="3">
        <v>268.87</v>
      </c>
      <c r="AD89" s="3">
        <v>613.03</v>
      </c>
      <c r="AE89" s="3">
        <v>5721.66</v>
      </c>
      <c r="AF89" t="str">
        <f>IF(tbl_FinancialData[[#This Row],[City]]="","Unknown",PROPER(TRIM(tbl_FinancialData[[#This Row],[City]])))</f>
        <v>Agra</v>
      </c>
      <c r="AG89" t="str">
        <f>_xlfn.LET(_xlpm.city,LOWER(TRIM(tbl_FinancialData[[#This Row],[City]])),_xlpm.st,PROPER(TRIM(tbl_FinancialData[[#This Row],[State]])),IF(_xlpm.city="pune","Maharashtra",IF(_xlpm.city="jamshedpur","Jharkhand",IF(_xlpm.city="bhilai","Chhattisgarh",IF(_xlpm.city="mumbai","Maharashtra",_xlpm.st)))))</f>
        <v>Uttar Pradesh</v>
      </c>
      <c r="AH89" t="str">
        <f>_xlfn.LET(_xlpm.d,PROPER(TRIM(tbl_FinancialData[[#This Row],[Department]])),IF(_xlpm.d="It","IT",_xlpm.d))</f>
        <v>IT</v>
      </c>
      <c r="AI89" t="str">
        <f>_xlfn.LET(_xlpm.pid,tbl_FinancialData[[#This Row],[Product ID]],_xlpm.n,PROPER(TRIM(tbl_FinancialData[[#This Row],[Product Name]])),IF(_xlpm.pid="P020","Document Scanner",IF(_xlpm.pid="P015","Network Router",SUBSTITUTE(SUBSTITUTE(_xlpm.n,"Crm","CRM"),"Ups","UPS"))))</f>
        <v>Mouse</v>
      </c>
      <c r="AJ89" s="3" t="str">
        <f>UPPER(TRIM(tbl_FinancialData[[#This Row],[Cost Center]]))</f>
        <v>CC-1002</v>
      </c>
    </row>
    <row r="90" spans="1:36" x14ac:dyDescent="0.25">
      <c r="A90" s="3" t="s">
        <v>277</v>
      </c>
      <c r="B90" s="2">
        <v>45951</v>
      </c>
      <c r="C90" t="s">
        <v>92</v>
      </c>
      <c r="D90" s="3" t="str">
        <f t="shared" si="7"/>
        <v>Q3</v>
      </c>
      <c r="E90" s="3" t="str">
        <f t="shared" si="8"/>
        <v>FY2026</v>
      </c>
      <c r="F90" s="8" t="s">
        <v>67</v>
      </c>
      <c r="G90" s="3" t="s">
        <v>35</v>
      </c>
      <c r="H90" t="s">
        <v>168</v>
      </c>
      <c r="I90" t="s">
        <v>278</v>
      </c>
      <c r="J90" s="3" t="s">
        <v>70</v>
      </c>
      <c r="K90" t="s">
        <v>39</v>
      </c>
      <c r="L90" s="3" t="s">
        <v>51</v>
      </c>
      <c r="M90" s="3" t="s">
        <v>95</v>
      </c>
      <c r="N90" t="s">
        <v>96</v>
      </c>
      <c r="O90" t="s">
        <v>43</v>
      </c>
      <c r="P90" t="s">
        <v>90</v>
      </c>
      <c r="Q90" s="3">
        <v>24059.47</v>
      </c>
      <c r="R90" s="3">
        <v>25006.23</v>
      </c>
      <c r="S90" s="3">
        <v>16956.759999999998</v>
      </c>
      <c r="T90" s="3">
        <v>1278.7</v>
      </c>
      <c r="U90" s="3">
        <v>792.45</v>
      </c>
      <c r="V90" s="3">
        <v>1832.75</v>
      </c>
      <c r="W90" s="3">
        <v>1026.99</v>
      </c>
      <c r="X90" s="3">
        <v>21887.66</v>
      </c>
      <c r="Y90" s="3">
        <v>7102.71</v>
      </c>
      <c r="Z90" s="3">
        <f t="shared" si="9"/>
        <v>2171.8100000000013</v>
      </c>
      <c r="AA90" s="37">
        <f t="shared" si="10"/>
        <v>9.0268405746261299E-2</v>
      </c>
      <c r="AB90" s="3">
        <v>-946.76</v>
      </c>
      <c r="AC90" s="3">
        <v>481.19</v>
      </c>
      <c r="AD90" s="3">
        <v>2829.39</v>
      </c>
      <c r="AE90" s="3">
        <v>26407.67</v>
      </c>
      <c r="AF90" t="str">
        <f>IF(tbl_FinancialData[[#This Row],[City]]="","Unknown",PROPER(TRIM(tbl_FinancialData[[#This Row],[City]])))</f>
        <v>Siliguri</v>
      </c>
      <c r="AG90" t="str">
        <f>_xlfn.LET(_xlpm.city,LOWER(TRIM(tbl_FinancialData[[#This Row],[City]])),_xlpm.st,PROPER(TRIM(tbl_FinancialData[[#This Row],[State]])),IF(_xlpm.city="pune","Maharashtra",IF(_xlpm.city="jamshedpur","Jharkhand",IF(_xlpm.city="bhilai","Chhattisgarh",IF(_xlpm.city="mumbai","Maharashtra",_xlpm.st)))))</f>
        <v>West Bengal</v>
      </c>
      <c r="AH90" t="str">
        <f>_xlfn.LET(_xlpm.d,PROPER(TRIM(tbl_FinancialData[[#This Row],[Department]])),IF(_xlpm.d="It","IT",_xlpm.d))</f>
        <v>Operations</v>
      </c>
      <c r="AI90" t="str">
        <f>_xlfn.LET(_xlpm.pid,tbl_FinancialData[[#This Row],[Product ID]],_xlpm.n,PROPER(TRIM(tbl_FinancialData[[#This Row],[Product Name]])),IF(_xlpm.pid="P020","Document Scanner",IF(_xlpm.pid="P015","Network Router",SUBSTITUTE(SUBSTITUTE(_xlpm.n,"Crm","CRM"),"Ups","UPS"))))</f>
        <v>Document Scanner</v>
      </c>
      <c r="AJ90" s="3" t="str">
        <f>UPPER(TRIM(tbl_FinancialData[[#This Row],[Cost Center]]))</f>
        <v>CC-1003</v>
      </c>
    </row>
    <row r="91" spans="1:36" x14ac:dyDescent="0.25">
      <c r="A91" s="3" t="s">
        <v>279</v>
      </c>
      <c r="B91" s="2">
        <v>45953</v>
      </c>
      <c r="C91" t="s">
        <v>92</v>
      </c>
      <c r="D91" s="3" t="str">
        <f t="shared" si="7"/>
        <v>Q3</v>
      </c>
      <c r="E91" s="3" t="str">
        <f t="shared" si="8"/>
        <v>FY2026</v>
      </c>
      <c r="F91" s="8" t="s">
        <v>34</v>
      </c>
      <c r="G91" s="3" t="s">
        <v>35</v>
      </c>
      <c r="H91" t="s">
        <v>134</v>
      </c>
      <c r="I91" t="s">
        <v>176</v>
      </c>
      <c r="J91" s="3" t="s">
        <v>100</v>
      </c>
      <c r="K91" t="s">
        <v>160</v>
      </c>
      <c r="L91" s="3" t="s">
        <v>51</v>
      </c>
      <c r="M91" s="3" t="s">
        <v>73</v>
      </c>
      <c r="N91" t="s">
        <v>74</v>
      </c>
      <c r="O91" t="s">
        <v>43</v>
      </c>
      <c r="P91" t="s">
        <v>75</v>
      </c>
      <c r="Q91" s="3">
        <v>44266.95</v>
      </c>
      <c r="R91" s="3">
        <v>46658.86</v>
      </c>
      <c r="S91" s="3">
        <v>23949.040000000001</v>
      </c>
      <c r="T91" s="3">
        <v>4060.98</v>
      </c>
      <c r="U91" s="3">
        <v>2092.61</v>
      </c>
      <c r="V91" s="3">
        <v>3655.55</v>
      </c>
      <c r="W91" s="3">
        <v>637.49</v>
      </c>
      <c r="X91" s="3">
        <v>34395.660000000003</v>
      </c>
      <c r="Y91" s="3">
        <v>20317.919999999998</v>
      </c>
      <c r="Z91" s="3">
        <f t="shared" si="9"/>
        <v>9871.2899999999936</v>
      </c>
      <c r="AA91" s="37">
        <f t="shared" si="10"/>
        <v>0.22299458173648726</v>
      </c>
      <c r="AB91" s="3">
        <v>-2391.91</v>
      </c>
      <c r="AC91" s="3">
        <v>0</v>
      </c>
      <c r="AD91" s="3">
        <v>2213.35</v>
      </c>
      <c r="AE91" s="3">
        <v>46480.3</v>
      </c>
      <c r="AF91" t="str">
        <f>IF(tbl_FinancialData[[#This Row],[City]]="","Unknown",PROPER(TRIM(tbl_FinancialData[[#This Row],[City]])))</f>
        <v>Jaipur</v>
      </c>
      <c r="AG91" t="str">
        <f>_xlfn.LET(_xlpm.city,LOWER(TRIM(tbl_FinancialData[[#This Row],[City]])),_xlpm.st,PROPER(TRIM(tbl_FinancialData[[#This Row],[State]])),IF(_xlpm.city="pune","Maharashtra",IF(_xlpm.city="jamshedpur","Jharkhand",IF(_xlpm.city="bhilai","Chhattisgarh",IF(_xlpm.city="mumbai","Maharashtra",_xlpm.st)))))</f>
        <v>Rajasthan</v>
      </c>
      <c r="AH91" t="str">
        <f>_xlfn.LET(_xlpm.d,PROPER(TRIM(tbl_FinancialData[[#This Row],[Department]])),IF(_xlpm.d="It","IT",_xlpm.d))</f>
        <v>IT</v>
      </c>
      <c r="AI91" t="str">
        <f>_xlfn.LET(_xlpm.pid,tbl_FinancialData[[#This Row],[Product ID]],_xlpm.n,PROPER(TRIM(tbl_FinancialData[[#This Row],[Product Name]])),IF(_xlpm.pid="P020","Document Scanner",IF(_xlpm.pid="P015","Network Router",SUBSTITUTE(SUBSTITUTE(_xlpm.n,"Crm","CRM"),"Ups","UPS"))))</f>
        <v>Monitor</v>
      </c>
      <c r="AJ91" s="3" t="str">
        <f>UPPER(TRIM(tbl_FinancialData[[#This Row],[Cost Center]]))</f>
        <v>CC-1003</v>
      </c>
    </row>
    <row r="92" spans="1:36" x14ac:dyDescent="0.25">
      <c r="A92" s="3" t="s">
        <v>280</v>
      </c>
      <c r="B92" s="2">
        <v>45981</v>
      </c>
      <c r="C92" t="s">
        <v>147</v>
      </c>
      <c r="D92" s="3" t="str">
        <f t="shared" si="7"/>
        <v>Q3</v>
      </c>
      <c r="E92" s="3" t="str">
        <f t="shared" si="8"/>
        <v>FY2026</v>
      </c>
      <c r="F92" s="8" t="s">
        <v>34</v>
      </c>
      <c r="G92" s="3" t="s">
        <v>35</v>
      </c>
      <c r="H92" t="s">
        <v>134</v>
      </c>
      <c r="I92" t="s">
        <v>135</v>
      </c>
      <c r="J92" s="3" t="s">
        <v>80</v>
      </c>
      <c r="K92" t="s">
        <v>50</v>
      </c>
      <c r="L92" s="3" t="s">
        <v>81</v>
      </c>
      <c r="M92" s="3" t="s">
        <v>197</v>
      </c>
      <c r="N92" t="s">
        <v>198</v>
      </c>
      <c r="O92" t="s">
        <v>43</v>
      </c>
      <c r="P92" t="s">
        <v>163</v>
      </c>
      <c r="Q92" s="3">
        <v>50352.14</v>
      </c>
      <c r="R92" s="3">
        <v>54772.45</v>
      </c>
      <c r="S92" s="3">
        <v>34297.25</v>
      </c>
      <c r="T92" s="3">
        <v>6322.68</v>
      </c>
      <c r="U92" s="3">
        <v>3495</v>
      </c>
      <c r="V92" s="3">
        <v>4016.79</v>
      </c>
      <c r="W92" s="3">
        <v>1592.37</v>
      </c>
      <c r="X92" s="3">
        <v>49724.08</v>
      </c>
      <c r="Y92" s="3">
        <v>16054.9</v>
      </c>
      <c r="Z92" s="3">
        <f t="shared" si="9"/>
        <v>628.05999999999767</v>
      </c>
      <c r="AA92" s="37">
        <f t="shared" si="10"/>
        <v>1.247335267180298E-2</v>
      </c>
      <c r="AB92" s="3">
        <v>-4420.3</v>
      </c>
      <c r="AC92" s="3">
        <v>4028.17</v>
      </c>
      <c r="AD92" s="3">
        <v>5558.88</v>
      </c>
      <c r="AE92" s="3">
        <v>51882.85</v>
      </c>
      <c r="AF92" t="str">
        <f>IF(tbl_FinancialData[[#This Row],[City]]="","Unknown",PROPER(TRIM(tbl_FinancialData[[#This Row],[City]])))</f>
        <v>Jodhpur</v>
      </c>
      <c r="AG92" t="str">
        <f>_xlfn.LET(_xlpm.city,LOWER(TRIM(tbl_FinancialData[[#This Row],[City]])),_xlpm.st,PROPER(TRIM(tbl_FinancialData[[#This Row],[State]])),IF(_xlpm.city="pune","Maharashtra",IF(_xlpm.city="jamshedpur","Jharkhand",IF(_xlpm.city="bhilai","Chhattisgarh",IF(_xlpm.city="mumbai","Maharashtra",_xlpm.st)))))</f>
        <v>Rajasthan</v>
      </c>
      <c r="AH92" t="str">
        <f>_xlfn.LET(_xlpm.d,PROPER(TRIM(tbl_FinancialData[[#This Row],[Department]])),IF(_xlpm.d="It","IT",_xlpm.d))</f>
        <v>Sales</v>
      </c>
      <c r="AI92" t="str">
        <f>_xlfn.LET(_xlpm.pid,tbl_FinancialData[[#This Row],[Product ID]],_xlpm.n,PROPER(TRIM(tbl_FinancialData[[#This Row],[Product Name]])),IF(_xlpm.pid="P020","Document Scanner",IF(_xlpm.pid="P015","Network Router",SUBSTITUTE(SUBSTITUTE(_xlpm.n,"Crm","CRM"),"Ups","UPS"))))</f>
        <v>Smartphone</v>
      </c>
      <c r="AJ92" s="3" t="str">
        <f>UPPER(TRIM(tbl_FinancialData[[#This Row],[Cost Center]]))</f>
        <v>CC-1005</v>
      </c>
    </row>
    <row r="93" spans="1:36" x14ac:dyDescent="0.25">
      <c r="A93" s="3" t="s">
        <v>281</v>
      </c>
      <c r="B93" s="2">
        <v>45823</v>
      </c>
      <c r="C93" t="s">
        <v>156</v>
      </c>
      <c r="D93" s="3" t="str">
        <f t="shared" si="7"/>
        <v>Q1</v>
      </c>
      <c r="E93" s="3" t="str">
        <f t="shared" si="8"/>
        <v>FY2026</v>
      </c>
      <c r="F93" s="8" t="s">
        <v>59</v>
      </c>
      <c r="G93" s="3" t="s">
        <v>35</v>
      </c>
      <c r="H93" t="s">
        <v>254</v>
      </c>
      <c r="I93" t="s">
        <v>200</v>
      </c>
      <c r="J93" s="3" t="s">
        <v>38</v>
      </c>
      <c r="K93" t="s">
        <v>39</v>
      </c>
      <c r="L93" s="3" t="s">
        <v>51</v>
      </c>
      <c r="M93" s="3" t="s">
        <v>171</v>
      </c>
      <c r="N93" t="s">
        <v>172</v>
      </c>
      <c r="O93" t="s">
        <v>173</v>
      </c>
      <c r="P93" t="s">
        <v>174</v>
      </c>
      <c r="Q93" s="3">
        <v>34679.730000000003</v>
      </c>
      <c r="R93" s="3">
        <v>36523.15</v>
      </c>
      <c r="S93" s="3">
        <v>19547.490000000002</v>
      </c>
      <c r="T93" s="3">
        <v>2175.91</v>
      </c>
      <c r="U93" s="3">
        <v>2230.67</v>
      </c>
      <c r="V93" s="3">
        <v>2269.75</v>
      </c>
      <c r="W93" s="3">
        <v>1398.47</v>
      </c>
      <c r="X93" s="3">
        <v>27622.3</v>
      </c>
      <c r="Y93" s="3">
        <v>15132.23</v>
      </c>
      <c r="Z93" s="3">
        <f t="shared" si="9"/>
        <v>7057.4300000000039</v>
      </c>
      <c r="AA93" s="37">
        <f t="shared" si="10"/>
        <v>0.20350302611929225</v>
      </c>
      <c r="AB93" s="3">
        <v>-1843.42</v>
      </c>
      <c r="AC93" s="3">
        <v>3467.97</v>
      </c>
      <c r="AD93" s="3">
        <v>5618.12</v>
      </c>
      <c r="AE93" s="3">
        <v>36829.870000000003</v>
      </c>
      <c r="AF93" t="str">
        <f>IF(tbl_FinancialData[[#This Row],[City]]="","Unknown",PROPER(TRIM(tbl_FinancialData[[#This Row],[City]])))</f>
        <v>Gurugram</v>
      </c>
      <c r="AG93" t="str">
        <f>_xlfn.LET(_xlpm.city,LOWER(TRIM(tbl_FinancialData[[#This Row],[City]])),_xlpm.st,PROPER(TRIM(tbl_FinancialData[[#This Row],[State]])),IF(_xlpm.city="pune","Maharashtra",IF(_xlpm.city="jamshedpur","Jharkhand",IF(_xlpm.city="bhilai","Chhattisgarh",IF(_xlpm.city="mumbai","Maharashtra",_xlpm.st)))))</f>
        <v>Delhi</v>
      </c>
      <c r="AH93" t="str">
        <f>_xlfn.LET(_xlpm.d,PROPER(TRIM(tbl_FinancialData[[#This Row],[Department]])),IF(_xlpm.d="It","IT",_xlpm.d))</f>
        <v>Operations</v>
      </c>
      <c r="AI93" t="str">
        <f>_xlfn.LET(_xlpm.pid,tbl_FinancialData[[#This Row],[Product ID]],_xlpm.n,PROPER(TRIM(tbl_FinancialData[[#This Row],[Product Name]])),IF(_xlpm.pid="P020","Document Scanner",IF(_xlpm.pid="P015","Network Router",SUBSTITUTE(SUBSTITUTE(_xlpm.n,"Crm","CRM"),"Ups","UPS"))))</f>
        <v>Network Switch</v>
      </c>
      <c r="AJ93" s="3" t="str">
        <f>UPPER(TRIM(tbl_FinancialData[[#This Row],[Cost Center]]))</f>
        <v>CC-1003</v>
      </c>
    </row>
    <row r="94" spans="1:36" x14ac:dyDescent="0.25">
      <c r="A94" s="3" t="s">
        <v>282</v>
      </c>
      <c r="B94" s="2">
        <v>45992</v>
      </c>
      <c r="C94" t="s">
        <v>107</v>
      </c>
      <c r="D94" s="3" t="str">
        <f t="shared" si="7"/>
        <v>Q3</v>
      </c>
      <c r="E94" s="3" t="str">
        <f t="shared" si="8"/>
        <v>FY2026</v>
      </c>
      <c r="F94" s="8" t="s">
        <v>67</v>
      </c>
      <c r="G94" s="3" t="s">
        <v>35</v>
      </c>
      <c r="H94" t="s">
        <v>168</v>
      </c>
      <c r="I94" t="s">
        <v>278</v>
      </c>
      <c r="J94" s="3" t="s">
        <v>38</v>
      </c>
      <c r="K94" t="s">
        <v>39</v>
      </c>
      <c r="L94" s="3" t="s">
        <v>72</v>
      </c>
      <c r="M94" s="3" t="s">
        <v>197</v>
      </c>
      <c r="N94" t="s">
        <v>198</v>
      </c>
      <c r="O94" t="s">
        <v>43</v>
      </c>
      <c r="P94" t="s">
        <v>163</v>
      </c>
      <c r="Q94" s="3">
        <v>49818.239999999998</v>
      </c>
      <c r="R94" s="3">
        <v>56960.55</v>
      </c>
      <c r="S94" s="3">
        <v>27705.27</v>
      </c>
      <c r="T94" s="3">
        <v>5953.88</v>
      </c>
      <c r="U94" s="3">
        <v>2461.9499999999998</v>
      </c>
      <c r="V94" s="3">
        <v>3175.89</v>
      </c>
      <c r="W94" s="3">
        <v>1629.93</v>
      </c>
      <c r="X94" s="3">
        <v>40926.93</v>
      </c>
      <c r="Y94" s="3">
        <v>22112.98</v>
      </c>
      <c r="Z94" s="3">
        <f t="shared" si="9"/>
        <v>8891.3099999999977</v>
      </c>
      <c r="AA94" s="37">
        <f t="shared" si="10"/>
        <v>0.17847499229197977</v>
      </c>
      <c r="AB94" s="3">
        <v>-7142.31</v>
      </c>
      <c r="AC94" s="3">
        <v>996.36</v>
      </c>
      <c r="AD94" s="3">
        <v>8787.94</v>
      </c>
      <c r="AE94" s="3">
        <v>57609.82</v>
      </c>
      <c r="AF94" t="str">
        <f>IF(tbl_FinancialData[[#This Row],[City]]="","Unknown",PROPER(TRIM(tbl_FinancialData[[#This Row],[City]])))</f>
        <v>Siliguri</v>
      </c>
      <c r="AG94" t="str">
        <f>_xlfn.LET(_xlpm.city,LOWER(TRIM(tbl_FinancialData[[#This Row],[City]])),_xlpm.st,PROPER(TRIM(tbl_FinancialData[[#This Row],[State]])),IF(_xlpm.city="pune","Maharashtra",IF(_xlpm.city="jamshedpur","Jharkhand",IF(_xlpm.city="bhilai","Chhattisgarh",IF(_xlpm.city="mumbai","Maharashtra",_xlpm.st)))))</f>
        <v>West Bengal</v>
      </c>
      <c r="AH94" t="str">
        <f>_xlfn.LET(_xlpm.d,PROPER(TRIM(tbl_FinancialData[[#This Row],[Department]])),IF(_xlpm.d="It","IT",_xlpm.d))</f>
        <v>Operations</v>
      </c>
      <c r="AI94" t="str">
        <f>_xlfn.LET(_xlpm.pid,tbl_FinancialData[[#This Row],[Product ID]],_xlpm.n,PROPER(TRIM(tbl_FinancialData[[#This Row],[Product Name]])),IF(_xlpm.pid="P020","Document Scanner",IF(_xlpm.pid="P015","Network Router",SUBSTITUTE(SUBSTITUTE(_xlpm.n,"Crm","CRM"),"Ups","UPS"))))</f>
        <v>Smartphone</v>
      </c>
      <c r="AJ94" s="3" t="str">
        <f>UPPER(TRIM(tbl_FinancialData[[#This Row],[Cost Center]]))</f>
        <v>CC-1004</v>
      </c>
    </row>
    <row r="95" spans="1:36" x14ac:dyDescent="0.25">
      <c r="A95" s="3" t="s">
        <v>283</v>
      </c>
      <c r="B95" s="2">
        <v>45946</v>
      </c>
      <c r="C95" t="s">
        <v>92</v>
      </c>
      <c r="D95" s="3" t="str">
        <f t="shared" si="7"/>
        <v>Q3</v>
      </c>
      <c r="E95" s="3" t="str">
        <f t="shared" si="8"/>
        <v>FY2026</v>
      </c>
      <c r="F95" s="8" t="s">
        <v>67</v>
      </c>
      <c r="G95" s="3" t="s">
        <v>35</v>
      </c>
      <c r="H95" t="s">
        <v>217</v>
      </c>
      <c r="I95" t="s">
        <v>284</v>
      </c>
      <c r="J95" s="3" t="s">
        <v>80</v>
      </c>
      <c r="K95" t="s">
        <v>39</v>
      </c>
      <c r="L95" s="3" t="s">
        <v>94</v>
      </c>
      <c r="M95" s="3" t="s">
        <v>88</v>
      </c>
      <c r="N95" t="s">
        <v>89</v>
      </c>
      <c r="O95" t="s">
        <v>43</v>
      </c>
      <c r="P95" t="s">
        <v>90</v>
      </c>
      <c r="Q95" s="3">
        <v>22770.880000000001</v>
      </c>
      <c r="R95" s="3">
        <v>24160.69</v>
      </c>
      <c r="S95" s="3">
        <v>14581.81</v>
      </c>
      <c r="T95" s="3">
        <v>2267.0500000000002</v>
      </c>
      <c r="U95" s="3">
        <v>1255.29</v>
      </c>
      <c r="V95" s="3">
        <v>1602.68</v>
      </c>
      <c r="W95" s="3">
        <v>915.77</v>
      </c>
      <c r="X95" s="3">
        <v>20622.61</v>
      </c>
      <c r="Y95" s="3">
        <v>8189.07</v>
      </c>
      <c r="Z95" s="3">
        <f t="shared" si="9"/>
        <v>2148.2700000000004</v>
      </c>
      <c r="AA95" s="37">
        <f t="shared" si="10"/>
        <v>9.4342862462935134E-2</v>
      </c>
      <c r="AB95" s="3">
        <v>-1389.81</v>
      </c>
      <c r="AC95" s="3">
        <v>683.13</v>
      </c>
      <c r="AD95" s="3">
        <v>2650.53</v>
      </c>
      <c r="AE95" s="3">
        <v>24738.29</v>
      </c>
      <c r="AF95" t="str">
        <f>IF(tbl_FinancialData[[#This Row],[City]]="","Unknown",PROPER(TRIM(tbl_FinancialData[[#This Row],[City]])))</f>
        <v>Patna</v>
      </c>
      <c r="AG95" t="str">
        <f>_xlfn.LET(_xlpm.city,LOWER(TRIM(tbl_FinancialData[[#This Row],[City]])),_xlpm.st,PROPER(TRIM(tbl_FinancialData[[#This Row],[State]])),IF(_xlpm.city="pune","Maharashtra",IF(_xlpm.city="jamshedpur","Jharkhand",IF(_xlpm.city="bhilai","Chhattisgarh",IF(_xlpm.city="mumbai","Maharashtra",_xlpm.st)))))</f>
        <v>Bihar</v>
      </c>
      <c r="AH95" t="str">
        <f>_xlfn.LET(_xlpm.d,PROPER(TRIM(tbl_FinancialData[[#This Row],[Department]])),IF(_xlpm.d="It","IT",_xlpm.d))</f>
        <v>Operations</v>
      </c>
      <c r="AI95" t="str">
        <f>_xlfn.LET(_xlpm.pid,tbl_FinancialData[[#This Row],[Product ID]],_xlpm.n,PROPER(TRIM(tbl_FinancialData[[#This Row],[Product Name]])),IF(_xlpm.pid="P020","Document Scanner",IF(_xlpm.pid="P015","Network Router",SUBSTITUTE(SUBSTITUTE(_xlpm.n,"Crm","CRM"),"Ups","UPS"))))</f>
        <v>Printer</v>
      </c>
      <c r="AJ95" s="3" t="str">
        <f>UPPER(TRIM(tbl_FinancialData[[#This Row],[Cost Center]]))</f>
        <v>CC-1001</v>
      </c>
    </row>
    <row r="96" spans="1:36" x14ac:dyDescent="0.25">
      <c r="A96" s="3" t="s">
        <v>285</v>
      </c>
      <c r="B96" s="2">
        <v>45864</v>
      </c>
      <c r="C96" t="s">
        <v>32</v>
      </c>
      <c r="D96" s="3" t="str">
        <f t="shared" si="7"/>
        <v>Q2</v>
      </c>
      <c r="E96" s="3" t="str">
        <f t="shared" si="8"/>
        <v>FY2026</v>
      </c>
      <c r="F96" s="8" t="s">
        <v>34</v>
      </c>
      <c r="G96" s="3" t="s">
        <v>35</v>
      </c>
      <c r="H96" t="s">
        <v>98</v>
      </c>
      <c r="I96" t="s">
        <v>99</v>
      </c>
      <c r="J96" s="3" t="s">
        <v>100</v>
      </c>
      <c r="K96" t="s">
        <v>39</v>
      </c>
      <c r="L96" s="3" t="s">
        <v>72</v>
      </c>
      <c r="M96" s="3" t="s">
        <v>211</v>
      </c>
      <c r="N96" t="s">
        <v>212</v>
      </c>
      <c r="O96" t="s">
        <v>112</v>
      </c>
      <c r="P96" t="s">
        <v>113</v>
      </c>
      <c r="Q96" s="3">
        <v>25839.56</v>
      </c>
      <c r="R96" s="3">
        <v>29040.97</v>
      </c>
      <c r="S96" s="3">
        <v>16856.43</v>
      </c>
      <c r="T96" s="3">
        <v>3267.2</v>
      </c>
      <c r="U96" s="3">
        <v>676.61</v>
      </c>
      <c r="V96" s="3">
        <v>1438.29</v>
      </c>
      <c r="W96" s="3">
        <v>265.24</v>
      </c>
      <c r="X96" s="3">
        <v>22503.77</v>
      </c>
      <c r="Y96" s="3">
        <v>8983.14</v>
      </c>
      <c r="Z96" s="3">
        <f t="shared" si="9"/>
        <v>3335.7900000000009</v>
      </c>
      <c r="AA96" s="37">
        <f t="shared" si="10"/>
        <v>0.12909623848084104</v>
      </c>
      <c r="AB96" s="3">
        <v>-3201.41</v>
      </c>
      <c r="AC96" s="3">
        <v>1291.98</v>
      </c>
      <c r="AD96" s="3">
        <v>4418.57</v>
      </c>
      <c r="AE96" s="3">
        <v>28966.15</v>
      </c>
      <c r="AF96" t="str">
        <f>IF(tbl_FinancialData[[#This Row],[City]]="","Unknown",PROPER(TRIM(tbl_FinancialData[[#This Row],[City]])))</f>
        <v>Mumbai</v>
      </c>
      <c r="AG96" t="str">
        <f>_xlfn.LET(_xlpm.city,LOWER(TRIM(tbl_FinancialData[[#This Row],[City]])),_xlpm.st,PROPER(TRIM(tbl_FinancialData[[#This Row],[State]])),IF(_xlpm.city="pune","Maharashtra",IF(_xlpm.city="jamshedpur","Jharkhand",IF(_xlpm.city="bhilai","Chhattisgarh",IF(_xlpm.city="mumbai","Maharashtra",_xlpm.st)))))</f>
        <v>Maharashtra</v>
      </c>
      <c r="AH96" t="str">
        <f>_xlfn.LET(_xlpm.d,PROPER(TRIM(tbl_FinancialData[[#This Row],[Department]])),IF(_xlpm.d="It","IT",_xlpm.d))</f>
        <v>Operations</v>
      </c>
      <c r="AI96" t="str">
        <f>_xlfn.LET(_xlpm.pid,tbl_FinancialData[[#This Row],[Product ID]],_xlpm.n,PROPER(TRIM(tbl_FinancialData[[#This Row],[Product Name]])),IF(_xlpm.pid="P020","Document Scanner",IF(_xlpm.pid="P015","Network Router",SUBSTITUTE(SUBSTITUTE(_xlpm.n,"Crm","CRM"),"Ups","UPS"))))</f>
        <v>Office Chair</v>
      </c>
      <c r="AJ96" s="3" t="str">
        <f>UPPER(TRIM(tbl_FinancialData[[#This Row],[Cost Center]]))</f>
        <v>CC-1004</v>
      </c>
    </row>
    <row r="97" spans="1:36" x14ac:dyDescent="0.25">
      <c r="A97" s="3" t="s">
        <v>286</v>
      </c>
      <c r="B97" s="2">
        <v>46028</v>
      </c>
      <c r="C97" t="s">
        <v>77</v>
      </c>
      <c r="D97" s="3" t="str">
        <f t="shared" si="7"/>
        <v>Q4</v>
      </c>
      <c r="E97" s="3" t="str">
        <f t="shared" si="8"/>
        <v>FY2026</v>
      </c>
      <c r="F97" s="8" t="s">
        <v>34</v>
      </c>
      <c r="G97" s="3" t="s">
        <v>35</v>
      </c>
      <c r="H97" t="s">
        <v>36</v>
      </c>
      <c r="I97" t="s">
        <v>37</v>
      </c>
      <c r="J97" s="3" t="s">
        <v>38</v>
      </c>
      <c r="K97" t="s">
        <v>160</v>
      </c>
      <c r="L97" s="3" t="s">
        <v>51</v>
      </c>
      <c r="M97" s="3" t="s">
        <v>73</v>
      </c>
      <c r="N97" t="s">
        <v>74</v>
      </c>
      <c r="O97" t="s">
        <v>43</v>
      </c>
      <c r="P97" t="s">
        <v>75</v>
      </c>
      <c r="Q97" s="3">
        <v>28926.31</v>
      </c>
      <c r="R97" s="3">
        <v>29994.42</v>
      </c>
      <c r="S97" s="3">
        <v>18536.650000000001</v>
      </c>
      <c r="T97" s="3">
        <v>3597.52</v>
      </c>
      <c r="U97" s="3">
        <v>1723.92</v>
      </c>
      <c r="V97" s="3">
        <v>2501.39</v>
      </c>
      <c r="W97" s="3">
        <v>380</v>
      </c>
      <c r="X97" s="3">
        <v>26739.48</v>
      </c>
      <c r="Y97" s="3">
        <v>10389.66</v>
      </c>
      <c r="Z97" s="3">
        <f t="shared" si="9"/>
        <v>2186.8300000000017</v>
      </c>
      <c r="AA97" s="37">
        <f t="shared" si="10"/>
        <v>7.5600033326062036E-2</v>
      </c>
      <c r="AB97" s="3">
        <v>-1068.1199999999999</v>
      </c>
      <c r="AC97" s="3">
        <v>1446.32</v>
      </c>
      <c r="AD97" s="3">
        <v>3297.6</v>
      </c>
      <c r="AE97" s="3">
        <v>30777.59</v>
      </c>
      <c r="AF97" t="str">
        <f>IF(tbl_FinancialData[[#This Row],[City]]="","Unknown",PROPER(TRIM(tbl_FinancialData[[#This Row],[City]])))</f>
        <v>Vasco Da Gama</v>
      </c>
      <c r="AG97" t="str">
        <f>_xlfn.LET(_xlpm.city,LOWER(TRIM(tbl_FinancialData[[#This Row],[City]])),_xlpm.st,PROPER(TRIM(tbl_FinancialData[[#This Row],[State]])),IF(_xlpm.city="pune","Maharashtra",IF(_xlpm.city="jamshedpur","Jharkhand",IF(_xlpm.city="bhilai","Chhattisgarh",IF(_xlpm.city="mumbai","Maharashtra",_xlpm.st)))))</f>
        <v>Goa</v>
      </c>
      <c r="AH97" t="str">
        <f>_xlfn.LET(_xlpm.d,PROPER(TRIM(tbl_FinancialData[[#This Row],[Department]])),IF(_xlpm.d="It","IT",_xlpm.d))</f>
        <v>IT</v>
      </c>
      <c r="AI97" t="str">
        <f>_xlfn.LET(_xlpm.pid,tbl_FinancialData[[#This Row],[Product ID]],_xlpm.n,PROPER(TRIM(tbl_FinancialData[[#This Row],[Product Name]])),IF(_xlpm.pid="P020","Document Scanner",IF(_xlpm.pid="P015","Network Router",SUBSTITUTE(SUBSTITUTE(_xlpm.n,"Crm","CRM"),"Ups","UPS"))))</f>
        <v>Monitor</v>
      </c>
      <c r="AJ97" s="3" t="str">
        <f>UPPER(TRIM(tbl_FinancialData[[#This Row],[Cost Center]]))</f>
        <v>CC-1003</v>
      </c>
    </row>
    <row r="98" spans="1:36" x14ac:dyDescent="0.25">
      <c r="A98" s="3" t="s">
        <v>287</v>
      </c>
      <c r="B98" s="2">
        <v>45824</v>
      </c>
      <c r="C98" t="s">
        <v>156</v>
      </c>
      <c r="D98" s="3" t="str">
        <f t="shared" si="7"/>
        <v>Q1</v>
      </c>
      <c r="E98" s="3" t="str">
        <f t="shared" si="8"/>
        <v>FY2026</v>
      </c>
      <c r="F98" s="8" t="s">
        <v>67</v>
      </c>
      <c r="G98" s="3" t="s">
        <v>35</v>
      </c>
      <c r="H98" t="s">
        <v>168</v>
      </c>
      <c r="I98" t="s">
        <v>251</v>
      </c>
      <c r="J98" s="3" t="s">
        <v>70</v>
      </c>
      <c r="K98" t="s">
        <v>50</v>
      </c>
      <c r="L98" s="3" t="s">
        <v>72</v>
      </c>
      <c r="M98" s="3" t="s">
        <v>52</v>
      </c>
      <c r="N98" t="s">
        <v>53</v>
      </c>
      <c r="O98" t="s">
        <v>54</v>
      </c>
      <c r="P98" t="s">
        <v>55</v>
      </c>
      <c r="Q98" s="3">
        <v>6402.52</v>
      </c>
      <c r="R98" s="3">
        <v>6201.37</v>
      </c>
      <c r="S98" s="3">
        <v>4292.3599999999997</v>
      </c>
      <c r="T98" s="3">
        <v>415</v>
      </c>
      <c r="U98" s="3">
        <v>542</v>
      </c>
      <c r="V98" s="3">
        <v>473.54</v>
      </c>
      <c r="W98" s="3">
        <v>83.53</v>
      </c>
      <c r="X98" s="3">
        <v>5806.43</v>
      </c>
      <c r="Y98" s="3">
        <v>2110.16</v>
      </c>
      <c r="Z98" s="3">
        <f t="shared" si="9"/>
        <v>596.09000000000015</v>
      </c>
      <c r="AA98" s="37">
        <f t="shared" si="10"/>
        <v>9.3102403428649991E-2</v>
      </c>
      <c r="AB98" s="3">
        <v>201.14</v>
      </c>
      <c r="AC98" s="3">
        <v>512.20000000000005</v>
      </c>
      <c r="AD98" s="3">
        <v>706.84</v>
      </c>
      <c r="AE98" s="3">
        <v>6597.15</v>
      </c>
      <c r="AF98" t="str">
        <f>IF(tbl_FinancialData[[#This Row],[City]]="","Unknown",PROPER(TRIM(tbl_FinancialData[[#This Row],[City]])))</f>
        <v>Durgapur</v>
      </c>
      <c r="AG98" t="str">
        <f>_xlfn.LET(_xlpm.city,LOWER(TRIM(tbl_FinancialData[[#This Row],[City]])),_xlpm.st,PROPER(TRIM(tbl_FinancialData[[#This Row],[State]])),IF(_xlpm.city="pune","Maharashtra",IF(_xlpm.city="jamshedpur","Jharkhand",IF(_xlpm.city="bhilai","Chhattisgarh",IF(_xlpm.city="mumbai","Maharashtra",_xlpm.st)))))</f>
        <v>West Bengal</v>
      </c>
      <c r="AH98" t="str">
        <f>_xlfn.LET(_xlpm.d,PROPER(TRIM(tbl_FinancialData[[#This Row],[Department]])),IF(_xlpm.d="It","IT",_xlpm.d))</f>
        <v>Sales</v>
      </c>
      <c r="AI98" t="str">
        <f>_xlfn.LET(_xlpm.pid,tbl_FinancialData[[#This Row],[Product ID]],_xlpm.n,PROPER(TRIM(tbl_FinancialData[[#This Row],[Product Name]])),IF(_xlpm.pid="P020","Document Scanner",IF(_xlpm.pid="P015","Network Router",SUBSTITUTE(SUBSTITUTE(_xlpm.n,"Crm","CRM"),"Ups","UPS"))))</f>
        <v>Mouse</v>
      </c>
      <c r="AJ98" s="3" t="str">
        <f>UPPER(TRIM(tbl_FinancialData[[#This Row],[Cost Center]]))</f>
        <v>CC-1004</v>
      </c>
    </row>
    <row r="99" spans="1:36" x14ac:dyDescent="0.25">
      <c r="A99" s="3" t="s">
        <v>288</v>
      </c>
      <c r="B99" s="2">
        <v>45920</v>
      </c>
      <c r="C99" t="s">
        <v>46</v>
      </c>
      <c r="D99" s="3" t="str">
        <f t="shared" si="7"/>
        <v>Q2</v>
      </c>
      <c r="E99" s="3" t="str">
        <f t="shared" si="8"/>
        <v>FY2026</v>
      </c>
      <c r="F99" s="8" t="s">
        <v>34</v>
      </c>
      <c r="G99" s="3" t="s">
        <v>35</v>
      </c>
      <c r="H99" t="s">
        <v>36</v>
      </c>
      <c r="I99" t="s">
        <v>145</v>
      </c>
      <c r="J99" s="3" t="s">
        <v>70</v>
      </c>
      <c r="K99" t="s">
        <v>39</v>
      </c>
      <c r="L99" s="3" t="s">
        <v>81</v>
      </c>
      <c r="M99" s="3" t="s">
        <v>62</v>
      </c>
      <c r="N99" t="s">
        <v>63</v>
      </c>
      <c r="O99" t="s">
        <v>54</v>
      </c>
      <c r="P99" t="s">
        <v>55</v>
      </c>
      <c r="Q99" s="3">
        <v>8410.92</v>
      </c>
      <c r="R99" s="3">
        <v>7842.61</v>
      </c>
      <c r="S99" s="3">
        <v>4765.5</v>
      </c>
      <c r="T99" s="3">
        <v>1030.0999999999999</v>
      </c>
      <c r="U99" s="3">
        <v>631.21</v>
      </c>
      <c r="V99" s="3">
        <v>710.98</v>
      </c>
      <c r="W99" s="3">
        <v>159.37</v>
      </c>
      <c r="X99" s="3">
        <v>7297.16</v>
      </c>
      <c r="Y99" s="3">
        <v>3645.41</v>
      </c>
      <c r="Z99" s="3">
        <f t="shared" si="9"/>
        <v>1113.7600000000002</v>
      </c>
      <c r="AA99" s="37">
        <f t="shared" si="10"/>
        <v>0.13241833235841027</v>
      </c>
      <c r="AB99" s="3">
        <v>568.30999999999995</v>
      </c>
      <c r="AC99" s="3">
        <v>168.22</v>
      </c>
      <c r="AD99" s="3">
        <v>1483.69</v>
      </c>
      <c r="AE99" s="3">
        <v>9726.39</v>
      </c>
      <c r="AF99" t="str">
        <f>IF(tbl_FinancialData[[#This Row],[City]]="","Unknown",PROPER(TRIM(tbl_FinancialData[[#This Row],[City]])))</f>
        <v>Panaji</v>
      </c>
      <c r="AG99" t="str">
        <f>_xlfn.LET(_xlpm.city,LOWER(TRIM(tbl_FinancialData[[#This Row],[City]])),_xlpm.st,PROPER(TRIM(tbl_FinancialData[[#This Row],[State]])),IF(_xlpm.city="pune","Maharashtra",IF(_xlpm.city="jamshedpur","Jharkhand",IF(_xlpm.city="bhilai","Chhattisgarh",IF(_xlpm.city="mumbai","Maharashtra",_xlpm.st)))))</f>
        <v>Goa</v>
      </c>
      <c r="AH99" t="str">
        <f>_xlfn.LET(_xlpm.d,PROPER(TRIM(tbl_FinancialData[[#This Row],[Department]])),IF(_xlpm.d="It","IT",_xlpm.d))</f>
        <v>Operations</v>
      </c>
      <c r="AI99" t="str">
        <f>_xlfn.LET(_xlpm.pid,tbl_FinancialData[[#This Row],[Product ID]],_xlpm.n,PROPER(TRIM(tbl_FinancialData[[#This Row],[Product Name]])),IF(_xlpm.pid="P020","Document Scanner",IF(_xlpm.pid="P015","Network Router",SUBSTITUTE(SUBSTITUTE(_xlpm.n,"Crm","CRM"),"Ups","UPS"))))</f>
        <v>Keyboard</v>
      </c>
      <c r="AJ99" s="3" t="str">
        <f>UPPER(TRIM(tbl_FinancialData[[#This Row],[Cost Center]]))</f>
        <v>CC-1005</v>
      </c>
    </row>
    <row r="100" spans="1:36" x14ac:dyDescent="0.25">
      <c r="A100" s="3" t="s">
        <v>289</v>
      </c>
      <c r="B100" s="2">
        <v>45847</v>
      </c>
      <c r="C100" t="s">
        <v>32</v>
      </c>
      <c r="D100" s="3" t="str">
        <f t="shared" si="7"/>
        <v>Q2</v>
      </c>
      <c r="E100" s="3" t="str">
        <f t="shared" si="8"/>
        <v>FY2026</v>
      </c>
      <c r="F100" s="8" t="s">
        <v>67</v>
      </c>
      <c r="G100" s="3" t="s">
        <v>35</v>
      </c>
      <c r="H100" t="s">
        <v>68</v>
      </c>
      <c r="I100" t="s">
        <v>69</v>
      </c>
      <c r="J100" s="3" t="s">
        <v>100</v>
      </c>
      <c r="K100" t="s">
        <v>71</v>
      </c>
      <c r="L100" s="3" t="s">
        <v>40</v>
      </c>
      <c r="M100" s="3" t="s">
        <v>82</v>
      </c>
      <c r="N100" t="s">
        <v>83</v>
      </c>
      <c r="O100" t="s">
        <v>43</v>
      </c>
      <c r="P100" t="s">
        <v>75</v>
      </c>
      <c r="Q100" s="3">
        <v>31925.24</v>
      </c>
      <c r="R100" s="3">
        <v>30347.200000000001</v>
      </c>
      <c r="S100" s="3">
        <v>21984.43</v>
      </c>
      <c r="T100" s="3">
        <v>2804.04</v>
      </c>
      <c r="U100" s="3">
        <v>1909.07</v>
      </c>
      <c r="V100" s="3">
        <v>1732.76</v>
      </c>
      <c r="W100" s="3">
        <v>668.18</v>
      </c>
      <c r="X100" s="3">
        <v>29098.49</v>
      </c>
      <c r="Y100" s="3">
        <v>9940.81</v>
      </c>
      <c r="Z100" s="3">
        <f t="shared" si="9"/>
        <v>2826.75</v>
      </c>
      <c r="AA100" s="37">
        <f t="shared" si="10"/>
        <v>8.8542795606235056E-2</v>
      </c>
      <c r="AB100" s="3">
        <v>1578.04</v>
      </c>
      <c r="AC100" s="3">
        <v>638.5</v>
      </c>
      <c r="AD100" s="3">
        <v>1564.34</v>
      </c>
      <c r="AE100" s="3">
        <v>32851.07</v>
      </c>
      <c r="AF100" t="str">
        <f>IF(tbl_FinancialData[[#This Row],[City]]="","Unknown",PROPER(TRIM(tbl_FinancialData[[#This Row],[City]])))</f>
        <v>Bhubaneswar</v>
      </c>
      <c r="AG100" t="str">
        <f>_xlfn.LET(_xlpm.city,LOWER(TRIM(tbl_FinancialData[[#This Row],[City]])),_xlpm.st,PROPER(TRIM(tbl_FinancialData[[#This Row],[State]])),IF(_xlpm.city="pune","Maharashtra",IF(_xlpm.city="jamshedpur","Jharkhand",IF(_xlpm.city="bhilai","Chhattisgarh",IF(_xlpm.city="mumbai","Maharashtra",_xlpm.st)))))</f>
        <v>Odisha</v>
      </c>
      <c r="AH100" t="str">
        <f>_xlfn.LET(_xlpm.d,PROPER(TRIM(tbl_FinancialData[[#This Row],[Department]])),IF(_xlpm.d="It","IT",_xlpm.d))</f>
        <v>Marketing</v>
      </c>
      <c r="AI100" t="str">
        <f>_xlfn.LET(_xlpm.pid,tbl_FinancialData[[#This Row],[Product ID]],_xlpm.n,PROPER(TRIM(tbl_FinancialData[[#This Row],[Product Name]])),IF(_xlpm.pid="P020","Document Scanner",IF(_xlpm.pid="P015","Network Router",SUBSTITUTE(SUBSTITUTE(_xlpm.n,"Crm","CRM"),"Ups","UPS"))))</f>
        <v>Business Laptop</v>
      </c>
      <c r="AJ100" s="3" t="str">
        <f>UPPER(TRIM(tbl_FinancialData[[#This Row],[Cost Center]]))</f>
        <v>CC-1002</v>
      </c>
    </row>
    <row r="101" spans="1:36" x14ac:dyDescent="0.25">
      <c r="A101" s="3" t="s">
        <v>290</v>
      </c>
      <c r="B101" s="2">
        <v>45758</v>
      </c>
      <c r="C101" t="s">
        <v>128</v>
      </c>
      <c r="D101" s="3" t="str">
        <f t="shared" si="7"/>
        <v>Q1</v>
      </c>
      <c r="E101" s="3" t="str">
        <f t="shared" si="8"/>
        <v>FY2026</v>
      </c>
      <c r="F101" s="8" t="s">
        <v>47</v>
      </c>
      <c r="G101" s="3" t="s">
        <v>35</v>
      </c>
      <c r="H101" t="s">
        <v>48</v>
      </c>
      <c r="I101" t="s">
        <v>49</v>
      </c>
      <c r="J101" s="3" t="s">
        <v>80</v>
      </c>
      <c r="K101" t="s">
        <v>50</v>
      </c>
      <c r="L101" s="3" t="s">
        <v>94</v>
      </c>
      <c r="M101" s="3" t="s">
        <v>73</v>
      </c>
      <c r="N101" t="s">
        <v>74</v>
      </c>
      <c r="O101" t="s">
        <v>43</v>
      </c>
      <c r="P101" t="s">
        <v>75</v>
      </c>
      <c r="Q101" s="3">
        <v>34248.01</v>
      </c>
      <c r="R101" s="3">
        <v>37082.11</v>
      </c>
      <c r="S101" s="3">
        <v>20077.97</v>
      </c>
      <c r="T101" s="3">
        <v>2933.8</v>
      </c>
      <c r="U101" s="3">
        <v>2469.06</v>
      </c>
      <c r="V101" s="3">
        <v>1413.27</v>
      </c>
      <c r="W101" s="3">
        <v>751.34</v>
      </c>
      <c r="X101" s="3">
        <v>27645.43</v>
      </c>
      <c r="Y101" s="3">
        <v>14170.04</v>
      </c>
      <c r="Z101" s="3">
        <f t="shared" si="9"/>
        <v>6602.5800000000017</v>
      </c>
      <c r="AA101" s="37">
        <f t="shared" si="10"/>
        <v>0.19278725975611433</v>
      </c>
      <c r="AB101" s="3">
        <v>-2834.1</v>
      </c>
      <c r="AC101" s="3">
        <v>2739.84</v>
      </c>
      <c r="AD101" s="3">
        <v>5671.47</v>
      </c>
      <c r="AE101" s="3">
        <v>37179.64</v>
      </c>
      <c r="AF101" t="str">
        <f>IF(tbl_FinancialData[[#This Row],[City]]="","Unknown",PROPER(TRIM(tbl_FinancialData[[#This Row],[City]])))</f>
        <v>Chennai</v>
      </c>
      <c r="AG101" t="str">
        <f>_xlfn.LET(_xlpm.city,LOWER(TRIM(tbl_FinancialData[[#This Row],[City]])),_xlpm.st,PROPER(TRIM(tbl_FinancialData[[#This Row],[State]])),IF(_xlpm.city="pune","Maharashtra",IF(_xlpm.city="jamshedpur","Jharkhand",IF(_xlpm.city="bhilai","Chhattisgarh",IF(_xlpm.city="mumbai","Maharashtra",_xlpm.st)))))</f>
        <v>Tamil Nadu</v>
      </c>
      <c r="AH101" t="str">
        <f>_xlfn.LET(_xlpm.d,PROPER(TRIM(tbl_FinancialData[[#This Row],[Department]])),IF(_xlpm.d="It","IT",_xlpm.d))</f>
        <v>Sales</v>
      </c>
      <c r="AI101" t="str">
        <f>_xlfn.LET(_xlpm.pid,tbl_FinancialData[[#This Row],[Product ID]],_xlpm.n,PROPER(TRIM(tbl_FinancialData[[#This Row],[Product Name]])),IF(_xlpm.pid="P020","Document Scanner",IF(_xlpm.pid="P015","Network Router",SUBSTITUTE(SUBSTITUTE(_xlpm.n,"Crm","CRM"),"Ups","UPS"))))</f>
        <v>Monitor</v>
      </c>
      <c r="AJ101" s="3" t="str">
        <f>UPPER(TRIM(tbl_FinancialData[[#This Row],[Cost Center]]))</f>
        <v>CC-1001</v>
      </c>
    </row>
    <row r="102" spans="1:36" x14ac:dyDescent="0.25">
      <c r="A102" s="3" t="s">
        <v>291</v>
      </c>
      <c r="B102" s="2">
        <v>45849</v>
      </c>
      <c r="C102" t="s">
        <v>32</v>
      </c>
      <c r="D102" s="3" t="str">
        <f t="shared" si="7"/>
        <v>Q2</v>
      </c>
      <c r="E102" s="3" t="str">
        <f t="shared" si="8"/>
        <v>FY2026</v>
      </c>
      <c r="F102" s="8" t="s">
        <v>34</v>
      </c>
      <c r="G102" s="3" t="s">
        <v>35</v>
      </c>
      <c r="H102" t="s">
        <v>36</v>
      </c>
      <c r="I102" t="s">
        <v>145</v>
      </c>
      <c r="J102" s="3" t="s">
        <v>100</v>
      </c>
      <c r="K102" t="s">
        <v>50</v>
      </c>
      <c r="L102" s="3" t="s">
        <v>81</v>
      </c>
      <c r="M102" s="3" t="s">
        <v>82</v>
      </c>
      <c r="N102" t="s">
        <v>83</v>
      </c>
      <c r="O102" t="s">
        <v>43</v>
      </c>
      <c r="P102" t="s">
        <v>75</v>
      </c>
      <c r="Q102" s="3">
        <v>45573.07</v>
      </c>
      <c r="R102" s="3">
        <v>45121.29</v>
      </c>
      <c r="S102" s="3">
        <v>25632.78</v>
      </c>
      <c r="T102" s="3">
        <v>4528.71</v>
      </c>
      <c r="U102" s="3">
        <v>2449.86</v>
      </c>
      <c r="V102" s="3">
        <v>4855.7700000000004</v>
      </c>
      <c r="W102" s="3">
        <v>1523.79</v>
      </c>
      <c r="X102" s="3">
        <v>38990.89</v>
      </c>
      <c r="Y102" s="3">
        <v>19940.29</v>
      </c>
      <c r="Z102" s="3">
        <f t="shared" si="9"/>
        <v>6582.18</v>
      </c>
      <c r="AA102" s="37">
        <f t="shared" si="10"/>
        <v>0.14443134947897959</v>
      </c>
      <c r="AB102" s="3">
        <v>451.77</v>
      </c>
      <c r="AC102" s="3">
        <v>0</v>
      </c>
      <c r="AD102" s="3">
        <v>8203.15</v>
      </c>
      <c r="AE102" s="3">
        <v>53776.22</v>
      </c>
      <c r="AF102" t="str">
        <f>IF(tbl_FinancialData[[#This Row],[City]]="","Unknown",PROPER(TRIM(tbl_FinancialData[[#This Row],[City]])))</f>
        <v>Panaji</v>
      </c>
      <c r="AG102" t="str">
        <f>_xlfn.LET(_xlpm.city,LOWER(TRIM(tbl_FinancialData[[#This Row],[City]])),_xlpm.st,PROPER(TRIM(tbl_FinancialData[[#This Row],[State]])),IF(_xlpm.city="pune","Maharashtra",IF(_xlpm.city="jamshedpur","Jharkhand",IF(_xlpm.city="bhilai","Chhattisgarh",IF(_xlpm.city="mumbai","Maharashtra",_xlpm.st)))))</f>
        <v>Goa</v>
      </c>
      <c r="AH102" t="str">
        <f>_xlfn.LET(_xlpm.d,PROPER(TRIM(tbl_FinancialData[[#This Row],[Department]])),IF(_xlpm.d="It","IT",_xlpm.d))</f>
        <v>Sales</v>
      </c>
      <c r="AI102" t="str">
        <f>_xlfn.LET(_xlpm.pid,tbl_FinancialData[[#This Row],[Product ID]],_xlpm.n,PROPER(TRIM(tbl_FinancialData[[#This Row],[Product Name]])),IF(_xlpm.pid="P020","Document Scanner",IF(_xlpm.pid="P015","Network Router",SUBSTITUTE(SUBSTITUTE(_xlpm.n,"Crm","CRM"),"Ups","UPS"))))</f>
        <v>Business Laptop</v>
      </c>
      <c r="AJ102" s="3" t="str">
        <f>UPPER(TRIM(tbl_FinancialData[[#This Row],[Cost Center]]))</f>
        <v>CC-1005</v>
      </c>
    </row>
    <row r="103" spans="1:36" x14ac:dyDescent="0.25">
      <c r="A103" s="3" t="s">
        <v>292</v>
      </c>
      <c r="B103" s="2">
        <v>46011</v>
      </c>
      <c r="C103" t="s">
        <v>107</v>
      </c>
      <c r="D103" s="3" t="str">
        <f t="shared" si="7"/>
        <v>Q3</v>
      </c>
      <c r="E103" s="3" t="str">
        <f t="shared" si="8"/>
        <v>FY2026</v>
      </c>
      <c r="F103" s="8" t="s">
        <v>85</v>
      </c>
      <c r="G103" s="3" t="s">
        <v>35</v>
      </c>
      <c r="H103" t="s">
        <v>178</v>
      </c>
      <c r="I103" t="s">
        <v>179</v>
      </c>
      <c r="J103" s="3" t="s">
        <v>100</v>
      </c>
      <c r="K103" t="s">
        <v>50</v>
      </c>
      <c r="L103" s="3" t="s">
        <v>40</v>
      </c>
      <c r="M103" s="3" t="s">
        <v>88</v>
      </c>
      <c r="N103" t="s">
        <v>89</v>
      </c>
      <c r="O103" t="s">
        <v>43</v>
      </c>
      <c r="P103" t="s">
        <v>90</v>
      </c>
      <c r="Q103" s="3">
        <v>21055.119999999999</v>
      </c>
      <c r="R103" s="3">
        <v>20919.169999999998</v>
      </c>
      <c r="S103" s="3">
        <v>11940.5</v>
      </c>
      <c r="T103" s="3">
        <v>2729.55</v>
      </c>
      <c r="U103" s="3">
        <v>1137.25</v>
      </c>
      <c r="V103" s="3">
        <v>1404.07</v>
      </c>
      <c r="W103" s="3">
        <v>638.32000000000005</v>
      </c>
      <c r="X103" s="3">
        <v>17849.689999999999</v>
      </c>
      <c r="Y103" s="3">
        <v>9114.6200000000008</v>
      </c>
      <c r="Z103" s="3">
        <f t="shared" si="9"/>
        <v>3205.4300000000003</v>
      </c>
      <c r="AA103" s="37">
        <f t="shared" si="10"/>
        <v>0.15223993024024562</v>
      </c>
      <c r="AB103" s="3">
        <v>135.94999999999999</v>
      </c>
      <c r="AC103" s="3">
        <v>0</v>
      </c>
      <c r="AD103" s="3">
        <v>3789.92</v>
      </c>
      <c r="AE103" s="3">
        <v>24845.040000000001</v>
      </c>
      <c r="AF103" t="str">
        <f>IF(tbl_FinancialData[[#This Row],[City]]="","Unknown",PROPER(TRIM(tbl_FinancialData[[#This Row],[City]])))</f>
        <v>Bilaspur</v>
      </c>
      <c r="AG103" t="str">
        <f>_xlfn.LET(_xlpm.city,LOWER(TRIM(tbl_FinancialData[[#This Row],[City]])),_xlpm.st,PROPER(TRIM(tbl_FinancialData[[#This Row],[State]])),IF(_xlpm.city="pune","Maharashtra",IF(_xlpm.city="jamshedpur","Jharkhand",IF(_xlpm.city="bhilai","Chhattisgarh",IF(_xlpm.city="mumbai","Maharashtra",_xlpm.st)))))</f>
        <v>Chhattisgarh</v>
      </c>
      <c r="AH103" t="str">
        <f>_xlfn.LET(_xlpm.d,PROPER(TRIM(tbl_FinancialData[[#This Row],[Department]])),IF(_xlpm.d="It","IT",_xlpm.d))</f>
        <v>Sales</v>
      </c>
      <c r="AI103" t="str">
        <f>_xlfn.LET(_xlpm.pid,tbl_FinancialData[[#This Row],[Product ID]],_xlpm.n,PROPER(TRIM(tbl_FinancialData[[#This Row],[Product Name]])),IF(_xlpm.pid="P020","Document Scanner",IF(_xlpm.pid="P015","Network Router",SUBSTITUTE(SUBSTITUTE(_xlpm.n,"Crm","CRM"),"Ups","UPS"))))</f>
        <v>Printer</v>
      </c>
      <c r="AJ103" s="3" t="str">
        <f>UPPER(TRIM(tbl_FinancialData[[#This Row],[Cost Center]]))</f>
        <v>CC-1002</v>
      </c>
    </row>
    <row r="104" spans="1:36" x14ac:dyDescent="0.25">
      <c r="A104" s="3" t="s">
        <v>293</v>
      </c>
      <c r="B104" s="2">
        <v>46034</v>
      </c>
      <c r="C104" t="s">
        <v>77</v>
      </c>
      <c r="D104" s="3" t="str">
        <f t="shared" si="7"/>
        <v>Q4</v>
      </c>
      <c r="E104" s="3" t="str">
        <f t="shared" si="8"/>
        <v>FY2026</v>
      </c>
      <c r="F104" s="8" t="s">
        <v>34</v>
      </c>
      <c r="G104" s="3" t="s">
        <v>35</v>
      </c>
      <c r="H104" t="s">
        <v>36</v>
      </c>
      <c r="I104" t="s">
        <v>245</v>
      </c>
      <c r="J104" s="3" t="s">
        <v>100</v>
      </c>
      <c r="K104" t="s">
        <v>101</v>
      </c>
      <c r="L104" s="3" t="s">
        <v>72</v>
      </c>
      <c r="M104" s="3" t="s">
        <v>130</v>
      </c>
      <c r="N104" t="s">
        <v>131</v>
      </c>
      <c r="O104" t="s">
        <v>43</v>
      </c>
      <c r="P104" t="s">
        <v>132</v>
      </c>
      <c r="Q104" s="3">
        <v>43027.29</v>
      </c>
      <c r="R104" s="3">
        <v>43993.94</v>
      </c>
      <c r="S104" s="3">
        <v>24603.279999999999</v>
      </c>
      <c r="T104" s="3">
        <v>2563.84</v>
      </c>
      <c r="U104" s="3">
        <v>3800.2</v>
      </c>
      <c r="V104" s="3">
        <v>1790.03</v>
      </c>
      <c r="W104" s="3">
        <v>1540.43</v>
      </c>
      <c r="X104" s="3">
        <v>34297.769999999997</v>
      </c>
      <c r="Y104" s="3">
        <v>18424.009999999998</v>
      </c>
      <c r="Z104" s="3">
        <f t="shared" si="9"/>
        <v>8729.5200000000041</v>
      </c>
      <c r="AA104" s="37">
        <f t="shared" si="10"/>
        <v>0.20288333288013269</v>
      </c>
      <c r="AB104" s="3">
        <v>-966.65</v>
      </c>
      <c r="AC104" s="3">
        <v>2151.36</v>
      </c>
      <c r="AD104" s="3">
        <v>2043.8</v>
      </c>
      <c r="AE104" s="3">
        <v>42919.72</v>
      </c>
      <c r="AF104" t="str">
        <f>IF(tbl_FinancialData[[#This Row],[City]]="","Unknown",PROPER(TRIM(tbl_FinancialData[[#This Row],[City]])))</f>
        <v>Margao</v>
      </c>
      <c r="AG104" t="str">
        <f>_xlfn.LET(_xlpm.city,LOWER(TRIM(tbl_FinancialData[[#This Row],[City]])),_xlpm.st,PROPER(TRIM(tbl_FinancialData[[#This Row],[State]])),IF(_xlpm.city="pune","Maharashtra",IF(_xlpm.city="jamshedpur","Jharkhand",IF(_xlpm.city="bhilai","Chhattisgarh",IF(_xlpm.city="mumbai","Maharashtra",_xlpm.st)))))</f>
        <v>Goa</v>
      </c>
      <c r="AH104" t="str">
        <f>_xlfn.LET(_xlpm.d,PROPER(TRIM(tbl_FinancialData[[#This Row],[Department]])),IF(_xlpm.d="It","IT",_xlpm.d))</f>
        <v>Finance</v>
      </c>
      <c r="AI104" t="str">
        <f>_xlfn.LET(_xlpm.pid,tbl_FinancialData[[#This Row],[Product ID]],_xlpm.n,PROPER(TRIM(tbl_FinancialData[[#This Row],[Product Name]])),IF(_xlpm.pid="P020","Document Scanner",IF(_xlpm.pid="P015","Network Router",SUBSTITUTE(SUBSTITUTE(_xlpm.n,"Crm","CRM"),"Ups","UPS"))))</f>
        <v>UPS System</v>
      </c>
      <c r="AJ104" s="3" t="str">
        <f>UPPER(TRIM(tbl_FinancialData[[#This Row],[Cost Center]]))</f>
        <v>CC-1004</v>
      </c>
    </row>
    <row r="105" spans="1:36" x14ac:dyDescent="0.25">
      <c r="A105" s="3" t="s">
        <v>294</v>
      </c>
      <c r="B105" s="2">
        <v>46033</v>
      </c>
      <c r="C105" t="s">
        <v>77</v>
      </c>
      <c r="D105" s="3" t="str">
        <f t="shared" si="7"/>
        <v>Q4</v>
      </c>
      <c r="E105" s="3" t="str">
        <f t="shared" si="8"/>
        <v>FY2026</v>
      </c>
      <c r="F105" s="8" t="s">
        <v>67</v>
      </c>
      <c r="G105" s="3" t="s">
        <v>35</v>
      </c>
      <c r="H105" t="s">
        <v>68</v>
      </c>
      <c r="I105" t="s">
        <v>204</v>
      </c>
      <c r="J105" s="3" t="s">
        <v>100</v>
      </c>
      <c r="K105" t="s">
        <v>71</v>
      </c>
      <c r="L105" s="3" t="s">
        <v>94</v>
      </c>
      <c r="M105" s="3" t="s">
        <v>171</v>
      </c>
      <c r="N105" t="s">
        <v>172</v>
      </c>
      <c r="O105" t="s">
        <v>173</v>
      </c>
      <c r="P105" t="s">
        <v>174</v>
      </c>
      <c r="Q105" s="3">
        <v>17919.14</v>
      </c>
      <c r="R105" s="3">
        <v>16108.1</v>
      </c>
      <c r="S105" s="3">
        <v>9107.15</v>
      </c>
      <c r="T105" s="3">
        <v>1221.8800000000001</v>
      </c>
      <c r="U105" s="3">
        <v>845.94</v>
      </c>
      <c r="V105" s="3">
        <v>1262.81</v>
      </c>
      <c r="W105" s="3">
        <v>396.39</v>
      </c>
      <c r="X105" s="3">
        <v>12834.18</v>
      </c>
      <c r="Y105" s="3">
        <v>8811.99</v>
      </c>
      <c r="Z105" s="3">
        <f t="shared" si="9"/>
        <v>5084.9599999999991</v>
      </c>
      <c r="AA105" s="37">
        <f t="shared" si="10"/>
        <v>0.28377254712000682</v>
      </c>
      <c r="AB105" s="3">
        <v>1811.04</v>
      </c>
      <c r="AC105" s="3">
        <v>358.38</v>
      </c>
      <c r="AD105" s="3">
        <v>2107.29</v>
      </c>
      <c r="AE105" s="3">
        <v>19668.05</v>
      </c>
      <c r="AF105" t="str">
        <f>IF(tbl_FinancialData[[#This Row],[City]]="","Unknown",PROPER(TRIM(tbl_FinancialData[[#This Row],[City]])))</f>
        <v>Cuttack</v>
      </c>
      <c r="AG105" t="str">
        <f>_xlfn.LET(_xlpm.city,LOWER(TRIM(tbl_FinancialData[[#This Row],[City]])),_xlpm.st,PROPER(TRIM(tbl_FinancialData[[#This Row],[State]])),IF(_xlpm.city="pune","Maharashtra",IF(_xlpm.city="jamshedpur","Jharkhand",IF(_xlpm.city="bhilai","Chhattisgarh",IF(_xlpm.city="mumbai","Maharashtra",_xlpm.st)))))</f>
        <v>Odisha</v>
      </c>
      <c r="AH105" t="str">
        <f>_xlfn.LET(_xlpm.d,PROPER(TRIM(tbl_FinancialData[[#This Row],[Department]])),IF(_xlpm.d="It","IT",_xlpm.d))</f>
        <v>Marketing</v>
      </c>
      <c r="AI105" t="str">
        <f>_xlfn.LET(_xlpm.pid,tbl_FinancialData[[#This Row],[Product ID]],_xlpm.n,PROPER(TRIM(tbl_FinancialData[[#This Row],[Product Name]])),IF(_xlpm.pid="P020","Document Scanner",IF(_xlpm.pid="P015","Network Router",SUBSTITUTE(SUBSTITUTE(_xlpm.n,"Crm","CRM"),"Ups","UPS"))))</f>
        <v>Network Switch</v>
      </c>
      <c r="AJ105" s="3" t="str">
        <f>UPPER(TRIM(tbl_FinancialData[[#This Row],[Cost Center]]))</f>
        <v>CC-1001</v>
      </c>
    </row>
    <row r="106" spans="1:36" x14ac:dyDescent="0.25">
      <c r="A106" s="3" t="s">
        <v>295</v>
      </c>
      <c r="B106" s="2">
        <v>46070</v>
      </c>
      <c r="C106" t="s">
        <v>57</v>
      </c>
      <c r="D106" s="3" t="str">
        <f t="shared" si="7"/>
        <v>Q4</v>
      </c>
      <c r="E106" s="3" t="str">
        <f t="shared" si="8"/>
        <v>FY2026</v>
      </c>
      <c r="F106" s="8" t="s">
        <v>47</v>
      </c>
      <c r="G106" s="3" t="s">
        <v>35</v>
      </c>
      <c r="H106" t="s">
        <v>206</v>
      </c>
      <c r="I106" t="s">
        <v>296</v>
      </c>
      <c r="J106" s="3" t="s">
        <v>38</v>
      </c>
      <c r="K106" t="s">
        <v>71</v>
      </c>
      <c r="L106" s="3" t="s">
        <v>51</v>
      </c>
      <c r="M106" s="3" t="s">
        <v>221</v>
      </c>
      <c r="N106" t="s">
        <v>222</v>
      </c>
      <c r="O106" t="s">
        <v>104</v>
      </c>
      <c r="P106" t="s">
        <v>223</v>
      </c>
      <c r="Q106" s="3">
        <v>19853.91</v>
      </c>
      <c r="R106" s="3">
        <v>19800.560000000001</v>
      </c>
      <c r="S106" s="3">
        <v>11917.84</v>
      </c>
      <c r="T106" s="3">
        <v>1623.54</v>
      </c>
      <c r="U106" s="3">
        <v>1192.8699999999999</v>
      </c>
      <c r="V106" s="3">
        <v>1791.54</v>
      </c>
      <c r="W106" s="3">
        <v>667.1</v>
      </c>
      <c r="X106" s="3">
        <v>17192.89</v>
      </c>
      <c r="Y106" s="3">
        <v>7936.07</v>
      </c>
      <c r="Z106" s="3">
        <f t="shared" si="9"/>
        <v>2661.0200000000004</v>
      </c>
      <c r="AA106" s="37">
        <f t="shared" si="10"/>
        <v>0.13403002229787486</v>
      </c>
      <c r="AB106" s="3">
        <v>53.35</v>
      </c>
      <c r="AC106" s="3">
        <v>992.7</v>
      </c>
      <c r="AD106" s="3">
        <v>3395.02</v>
      </c>
      <c r="AE106" s="3">
        <v>22256.23</v>
      </c>
      <c r="AF106" t="str">
        <f>IF(tbl_FinancialData[[#This Row],[City]]="","Unknown",PROPER(TRIM(tbl_FinancialData[[#This Row],[City]])))</f>
        <v>Warangal</v>
      </c>
      <c r="AG106" t="str">
        <f>_xlfn.LET(_xlpm.city,LOWER(TRIM(tbl_FinancialData[[#This Row],[City]])),_xlpm.st,PROPER(TRIM(tbl_FinancialData[[#This Row],[State]])),IF(_xlpm.city="pune","Maharashtra",IF(_xlpm.city="jamshedpur","Jharkhand",IF(_xlpm.city="bhilai","Chhattisgarh",IF(_xlpm.city="mumbai","Maharashtra",_xlpm.st)))))</f>
        <v>Telangana</v>
      </c>
      <c r="AH106" t="str">
        <f>_xlfn.LET(_xlpm.d,PROPER(TRIM(tbl_FinancialData[[#This Row],[Department]])),IF(_xlpm.d="It","IT",_xlpm.d))</f>
        <v>Marketing</v>
      </c>
      <c r="AI106" t="str">
        <f>_xlfn.LET(_xlpm.pid,tbl_FinancialData[[#This Row],[Product ID]],_xlpm.n,PROPER(TRIM(tbl_FinancialData[[#This Row],[Product Name]])),IF(_xlpm.pid="P020","Document Scanner",IF(_xlpm.pid="P015","Network Router",SUBSTITUTE(SUBSTITUTE(_xlpm.n,"Crm","CRM"),"Ups","UPS"))))</f>
        <v>Cloud Software</v>
      </c>
      <c r="AJ106" s="3" t="str">
        <f>UPPER(TRIM(tbl_FinancialData[[#This Row],[Cost Center]]))</f>
        <v>CC-1003</v>
      </c>
    </row>
    <row r="107" spans="1:36" x14ac:dyDescent="0.25">
      <c r="A107" s="3" t="s">
        <v>297</v>
      </c>
      <c r="B107" s="2">
        <v>45814</v>
      </c>
      <c r="C107" t="s">
        <v>156</v>
      </c>
      <c r="D107" s="3" t="str">
        <f t="shared" si="7"/>
        <v>Q1</v>
      </c>
      <c r="E107" s="3" t="str">
        <f t="shared" si="8"/>
        <v>FY2026</v>
      </c>
      <c r="F107" s="8" t="s">
        <v>34</v>
      </c>
      <c r="G107" s="3" t="s">
        <v>35</v>
      </c>
      <c r="H107" t="s">
        <v>134</v>
      </c>
      <c r="I107" t="s">
        <v>135</v>
      </c>
      <c r="J107" s="3" t="s">
        <v>80</v>
      </c>
      <c r="K107" t="s">
        <v>50</v>
      </c>
      <c r="L107" s="3" t="s">
        <v>51</v>
      </c>
      <c r="M107" s="3" t="s">
        <v>73</v>
      </c>
      <c r="N107" t="s">
        <v>74</v>
      </c>
      <c r="O107" t="s">
        <v>43</v>
      </c>
      <c r="P107" t="s">
        <v>75</v>
      </c>
      <c r="Q107" s="3">
        <v>22305.97</v>
      </c>
      <c r="R107" s="3">
        <v>26035.46</v>
      </c>
      <c r="S107" s="3">
        <v>13774.6</v>
      </c>
      <c r="T107" s="3">
        <v>2779.74</v>
      </c>
      <c r="U107" s="3">
        <v>1391.57</v>
      </c>
      <c r="V107" s="3">
        <v>1747.64</v>
      </c>
      <c r="W107" s="3">
        <v>467.99</v>
      </c>
      <c r="X107" s="3">
        <v>20161.54</v>
      </c>
      <c r="Y107" s="3">
        <v>8531.3700000000008</v>
      </c>
      <c r="Z107" s="3">
        <f t="shared" si="9"/>
        <v>2144.4300000000003</v>
      </c>
      <c r="AA107" s="37">
        <f t="shared" si="10"/>
        <v>9.6137043132399097E-2</v>
      </c>
      <c r="AB107" s="3">
        <v>-3729.49</v>
      </c>
      <c r="AC107" s="3">
        <v>1115.3</v>
      </c>
      <c r="AD107" s="3">
        <v>1059.53</v>
      </c>
      <c r="AE107" s="3">
        <v>22250.2</v>
      </c>
      <c r="AF107" t="str">
        <f>IF(tbl_FinancialData[[#This Row],[City]]="","Unknown",PROPER(TRIM(tbl_FinancialData[[#This Row],[City]])))</f>
        <v>Jodhpur</v>
      </c>
      <c r="AG107" t="str">
        <f>_xlfn.LET(_xlpm.city,LOWER(TRIM(tbl_FinancialData[[#This Row],[City]])),_xlpm.st,PROPER(TRIM(tbl_FinancialData[[#This Row],[State]])),IF(_xlpm.city="pune","Maharashtra",IF(_xlpm.city="jamshedpur","Jharkhand",IF(_xlpm.city="bhilai","Chhattisgarh",IF(_xlpm.city="mumbai","Maharashtra",_xlpm.st)))))</f>
        <v>Rajasthan</v>
      </c>
      <c r="AH107" t="str">
        <f>_xlfn.LET(_xlpm.d,PROPER(TRIM(tbl_FinancialData[[#This Row],[Department]])),IF(_xlpm.d="It","IT",_xlpm.d))</f>
        <v>Sales</v>
      </c>
      <c r="AI107" t="str">
        <f>_xlfn.LET(_xlpm.pid,tbl_FinancialData[[#This Row],[Product ID]],_xlpm.n,PROPER(TRIM(tbl_FinancialData[[#This Row],[Product Name]])),IF(_xlpm.pid="P020","Document Scanner",IF(_xlpm.pid="P015","Network Router",SUBSTITUTE(SUBSTITUTE(_xlpm.n,"Crm","CRM"),"Ups","UPS"))))</f>
        <v>Monitor</v>
      </c>
      <c r="AJ107" s="3" t="str">
        <f>UPPER(TRIM(tbl_FinancialData[[#This Row],[Cost Center]]))</f>
        <v>CC-1003</v>
      </c>
    </row>
    <row r="108" spans="1:36" x14ac:dyDescent="0.25">
      <c r="A108" s="3" t="s">
        <v>298</v>
      </c>
      <c r="B108" s="2">
        <v>46083</v>
      </c>
      <c r="C108" t="s">
        <v>125</v>
      </c>
      <c r="D108" s="3" t="str">
        <f t="shared" si="7"/>
        <v>Q4</v>
      </c>
      <c r="E108" s="3" t="str">
        <f t="shared" si="8"/>
        <v>FY2026</v>
      </c>
      <c r="F108" s="8" t="s">
        <v>34</v>
      </c>
      <c r="G108" s="3" t="s">
        <v>35</v>
      </c>
      <c r="H108" t="s">
        <v>98</v>
      </c>
      <c r="I108" t="s">
        <v>149</v>
      </c>
      <c r="J108" s="3" t="s">
        <v>70</v>
      </c>
      <c r="K108" t="s">
        <v>101</v>
      </c>
      <c r="L108" s="3" t="s">
        <v>94</v>
      </c>
      <c r="M108" s="3" t="s">
        <v>189</v>
      </c>
      <c r="N108" t="s">
        <v>190</v>
      </c>
      <c r="O108" t="s">
        <v>104</v>
      </c>
      <c r="P108" t="s">
        <v>105</v>
      </c>
      <c r="Q108" s="3">
        <v>10640.25</v>
      </c>
      <c r="R108" s="3">
        <v>9445.82</v>
      </c>
      <c r="S108" s="3">
        <v>5452.49</v>
      </c>
      <c r="T108" s="3">
        <v>1351.84</v>
      </c>
      <c r="U108" s="3">
        <v>646.07000000000005</v>
      </c>
      <c r="V108" s="3">
        <v>1247.74</v>
      </c>
      <c r="W108" s="3">
        <v>267.47000000000003</v>
      </c>
      <c r="X108" s="3">
        <v>8965.6</v>
      </c>
      <c r="Y108" s="3">
        <v>5187.76</v>
      </c>
      <c r="Z108" s="3">
        <f t="shared" si="9"/>
        <v>1674.6499999999996</v>
      </c>
      <c r="AA108" s="37">
        <f t="shared" si="10"/>
        <v>0.15738821926176544</v>
      </c>
      <c r="AB108" s="3">
        <v>1194.44</v>
      </c>
      <c r="AC108" s="3">
        <v>212.81</v>
      </c>
      <c r="AD108" s="3">
        <v>1251.29</v>
      </c>
      <c r="AE108" s="3">
        <v>11678.74</v>
      </c>
      <c r="AF108" t="str">
        <f>IF(tbl_FinancialData[[#This Row],[City]]="","Unknown",PROPER(TRIM(tbl_FinancialData[[#This Row],[City]])))</f>
        <v>Nagpur</v>
      </c>
      <c r="AG108" t="str">
        <f>_xlfn.LET(_xlpm.city,LOWER(TRIM(tbl_FinancialData[[#This Row],[City]])),_xlpm.st,PROPER(TRIM(tbl_FinancialData[[#This Row],[State]])),IF(_xlpm.city="pune","Maharashtra",IF(_xlpm.city="jamshedpur","Jharkhand",IF(_xlpm.city="bhilai","Chhattisgarh",IF(_xlpm.city="mumbai","Maharashtra",_xlpm.st)))))</f>
        <v>Maharashtra</v>
      </c>
      <c r="AH108" t="str">
        <f>_xlfn.LET(_xlpm.d,PROPER(TRIM(tbl_FinancialData[[#This Row],[Department]])),IF(_xlpm.d="It","IT",_xlpm.d))</f>
        <v>Finance</v>
      </c>
      <c r="AI108" t="str">
        <f>_xlfn.LET(_xlpm.pid,tbl_FinancialData[[#This Row],[Product ID]],_xlpm.n,PROPER(TRIM(tbl_FinancialData[[#This Row],[Product Name]])),IF(_xlpm.pid="P020","Document Scanner",IF(_xlpm.pid="P015","Network Router",SUBSTITUTE(SUBSTITUTE(_xlpm.n,"Crm","CRM"),"Ups","UPS"))))</f>
        <v>CRM Software</v>
      </c>
      <c r="AJ108" s="3" t="str">
        <f>UPPER(TRIM(tbl_FinancialData[[#This Row],[Cost Center]]))</f>
        <v>CC-1001</v>
      </c>
    </row>
    <row r="109" spans="1:36" x14ac:dyDescent="0.25">
      <c r="A109" s="3" t="s">
        <v>299</v>
      </c>
      <c r="B109" s="2">
        <v>45893</v>
      </c>
      <c r="C109" t="s">
        <v>117</v>
      </c>
      <c r="D109" s="3" t="str">
        <f t="shared" si="7"/>
        <v>Q2</v>
      </c>
      <c r="E109" s="3" t="str">
        <f t="shared" si="8"/>
        <v>FY2026</v>
      </c>
      <c r="F109" s="8" t="s">
        <v>47</v>
      </c>
      <c r="G109" s="3" t="s">
        <v>35</v>
      </c>
      <c r="H109" t="s">
        <v>206</v>
      </c>
      <c r="I109" t="s">
        <v>296</v>
      </c>
      <c r="J109" s="3" t="s">
        <v>38</v>
      </c>
      <c r="K109" t="s">
        <v>50</v>
      </c>
      <c r="L109" s="3" t="s">
        <v>40</v>
      </c>
      <c r="M109" s="3" t="s">
        <v>41</v>
      </c>
      <c r="N109" t="s">
        <v>42</v>
      </c>
      <c r="O109" t="s">
        <v>43</v>
      </c>
      <c r="P109" t="s">
        <v>44</v>
      </c>
      <c r="Q109" s="3">
        <v>39370.1</v>
      </c>
      <c r="R109" s="3">
        <v>36910.83</v>
      </c>
      <c r="S109" s="3">
        <v>20898.490000000002</v>
      </c>
      <c r="T109" s="3">
        <v>3494.81</v>
      </c>
      <c r="U109" s="3">
        <v>2914.43</v>
      </c>
      <c r="V109" s="3">
        <v>3525.98</v>
      </c>
      <c r="W109" s="3">
        <v>803.44</v>
      </c>
      <c r="X109" s="3">
        <v>31637.15</v>
      </c>
      <c r="Y109" s="3">
        <v>18471.61</v>
      </c>
      <c r="Z109" s="3">
        <f t="shared" si="9"/>
        <v>7732.9499999999971</v>
      </c>
      <c r="AA109" s="37">
        <f t="shared" si="10"/>
        <v>0.196416823934915</v>
      </c>
      <c r="AB109" s="3">
        <v>2459.2600000000002</v>
      </c>
      <c r="AC109" s="3">
        <v>1181.0999999999999</v>
      </c>
      <c r="AD109" s="3">
        <v>1909.45</v>
      </c>
      <c r="AE109" s="3">
        <v>40098.44</v>
      </c>
      <c r="AF109" t="str">
        <f>IF(tbl_FinancialData[[#This Row],[City]]="","Unknown",PROPER(TRIM(tbl_FinancialData[[#This Row],[City]])))</f>
        <v>Warangal</v>
      </c>
      <c r="AG109" t="str">
        <f>_xlfn.LET(_xlpm.city,LOWER(TRIM(tbl_FinancialData[[#This Row],[City]])),_xlpm.st,PROPER(TRIM(tbl_FinancialData[[#This Row],[State]])),IF(_xlpm.city="pune","Maharashtra",IF(_xlpm.city="jamshedpur","Jharkhand",IF(_xlpm.city="bhilai","Chhattisgarh",IF(_xlpm.city="mumbai","Maharashtra",_xlpm.st)))))</f>
        <v>Telangana</v>
      </c>
      <c r="AH109" t="str">
        <f>_xlfn.LET(_xlpm.d,PROPER(TRIM(tbl_FinancialData[[#This Row],[Department]])),IF(_xlpm.d="It","IT",_xlpm.d))</f>
        <v>Sales</v>
      </c>
      <c r="AI109" t="str">
        <f>_xlfn.LET(_xlpm.pid,tbl_FinancialData[[#This Row],[Product ID]],_xlpm.n,PROPER(TRIM(tbl_FinancialData[[#This Row],[Product Name]])),IF(_xlpm.pid="P020","Document Scanner",IF(_xlpm.pid="P015","Network Router",SUBSTITUTE(SUBSTITUTE(_xlpm.n,"Crm","CRM"),"Ups","UPS"))))</f>
        <v>Conference Camera</v>
      </c>
      <c r="AJ109" s="3" t="str">
        <f>UPPER(TRIM(tbl_FinancialData[[#This Row],[Cost Center]]))</f>
        <v>CC-1002</v>
      </c>
    </row>
    <row r="110" spans="1:36" x14ac:dyDescent="0.25">
      <c r="A110" s="3" t="s">
        <v>300</v>
      </c>
      <c r="B110" s="2">
        <v>45896</v>
      </c>
      <c r="C110" t="s">
        <v>117</v>
      </c>
      <c r="D110" s="3" t="str">
        <f t="shared" si="7"/>
        <v>Q2</v>
      </c>
      <c r="E110" s="3" t="str">
        <f t="shared" si="8"/>
        <v>FY2026</v>
      </c>
      <c r="F110" s="8" t="s">
        <v>59</v>
      </c>
      <c r="G110" s="3" t="s">
        <v>35</v>
      </c>
      <c r="H110" t="s">
        <v>230</v>
      </c>
      <c r="I110" t="s">
        <v>301</v>
      </c>
      <c r="J110" s="3" t="s">
        <v>70</v>
      </c>
      <c r="K110" t="s">
        <v>50</v>
      </c>
      <c r="L110" s="3" t="s">
        <v>72</v>
      </c>
      <c r="M110" s="3" t="s">
        <v>82</v>
      </c>
      <c r="N110" t="s">
        <v>83</v>
      </c>
      <c r="O110" t="s">
        <v>43</v>
      </c>
      <c r="P110" t="s">
        <v>75</v>
      </c>
      <c r="Q110" s="3">
        <v>56539.71</v>
      </c>
      <c r="R110" s="3">
        <v>63561.440000000002</v>
      </c>
      <c r="S110" s="3">
        <v>35487.300000000003</v>
      </c>
      <c r="T110" s="3">
        <v>4212.22</v>
      </c>
      <c r="U110" s="3">
        <v>3706.36</v>
      </c>
      <c r="V110" s="3">
        <v>4645.49</v>
      </c>
      <c r="W110" s="3">
        <v>1408.57</v>
      </c>
      <c r="X110" s="3">
        <v>49459.94</v>
      </c>
      <c r="Y110" s="3">
        <v>21052.41</v>
      </c>
      <c r="Z110" s="3">
        <f t="shared" si="9"/>
        <v>7079.7699999999968</v>
      </c>
      <c r="AA110" s="37">
        <f t="shared" si="10"/>
        <v>0.12521765675840921</v>
      </c>
      <c r="AB110" s="3">
        <v>-7021.73</v>
      </c>
      <c r="AC110" s="3">
        <v>0</v>
      </c>
      <c r="AD110" s="3">
        <v>10177.15</v>
      </c>
      <c r="AE110" s="3">
        <v>66716.86</v>
      </c>
      <c r="AF110" t="str">
        <f>IF(tbl_FinancialData[[#This Row],[City]]="","Unknown",PROPER(TRIM(tbl_FinancialData[[#This Row],[City]])))</f>
        <v>Amritsar</v>
      </c>
      <c r="AG110" t="str">
        <f>_xlfn.LET(_xlpm.city,LOWER(TRIM(tbl_FinancialData[[#This Row],[City]])),_xlpm.st,PROPER(TRIM(tbl_FinancialData[[#This Row],[State]])),IF(_xlpm.city="pune","Maharashtra",IF(_xlpm.city="jamshedpur","Jharkhand",IF(_xlpm.city="bhilai","Chhattisgarh",IF(_xlpm.city="mumbai","Maharashtra",_xlpm.st)))))</f>
        <v>Punjab</v>
      </c>
      <c r="AH110" t="str">
        <f>_xlfn.LET(_xlpm.d,PROPER(TRIM(tbl_FinancialData[[#This Row],[Department]])),IF(_xlpm.d="It","IT",_xlpm.d))</f>
        <v>Sales</v>
      </c>
      <c r="AI110" t="str">
        <f>_xlfn.LET(_xlpm.pid,tbl_FinancialData[[#This Row],[Product ID]],_xlpm.n,PROPER(TRIM(tbl_FinancialData[[#This Row],[Product Name]])),IF(_xlpm.pid="P020","Document Scanner",IF(_xlpm.pid="P015","Network Router",SUBSTITUTE(SUBSTITUTE(_xlpm.n,"Crm","CRM"),"Ups","UPS"))))</f>
        <v>Business Laptop</v>
      </c>
      <c r="AJ110" s="3" t="str">
        <f>UPPER(TRIM(tbl_FinancialData[[#This Row],[Cost Center]]))</f>
        <v>CC-1004</v>
      </c>
    </row>
    <row r="111" spans="1:36" x14ac:dyDescent="0.25">
      <c r="A111" s="3" t="s">
        <v>302</v>
      </c>
      <c r="B111" s="2">
        <v>45809</v>
      </c>
      <c r="C111" t="s">
        <v>156</v>
      </c>
      <c r="D111" s="3" t="str">
        <f t="shared" si="7"/>
        <v>Q1</v>
      </c>
      <c r="E111" s="3" t="str">
        <f t="shared" si="8"/>
        <v>FY2026</v>
      </c>
      <c r="F111" s="8" t="s">
        <v>34</v>
      </c>
      <c r="G111" s="3" t="s">
        <v>35</v>
      </c>
      <c r="H111" t="s">
        <v>36</v>
      </c>
      <c r="I111" t="s">
        <v>37</v>
      </c>
      <c r="J111" s="3" t="s">
        <v>70</v>
      </c>
      <c r="K111" t="s">
        <v>101</v>
      </c>
      <c r="L111" s="3" t="s">
        <v>81</v>
      </c>
      <c r="M111" s="3" t="s">
        <v>110</v>
      </c>
      <c r="N111" t="s">
        <v>111</v>
      </c>
      <c r="O111" t="s">
        <v>112</v>
      </c>
      <c r="P111" t="s">
        <v>113</v>
      </c>
      <c r="Q111" s="3">
        <v>8240.15</v>
      </c>
      <c r="R111" s="3">
        <v>8441.24</v>
      </c>
      <c r="S111" s="3">
        <v>3993.23</v>
      </c>
      <c r="T111" s="3">
        <v>583.28</v>
      </c>
      <c r="U111" s="3">
        <v>613.22</v>
      </c>
      <c r="V111" s="3">
        <v>419.99</v>
      </c>
      <c r="W111" s="3">
        <v>236.79</v>
      </c>
      <c r="X111" s="3">
        <v>5846.51</v>
      </c>
      <c r="Y111" s="3">
        <v>4246.92</v>
      </c>
      <c r="Z111" s="3">
        <f t="shared" si="9"/>
        <v>2393.6399999999994</v>
      </c>
      <c r="AA111" s="37">
        <f t="shared" si="10"/>
        <v>0.29048500330697857</v>
      </c>
      <c r="AB111" s="3">
        <v>-201.09</v>
      </c>
      <c r="AC111" s="3">
        <v>164.8</v>
      </c>
      <c r="AD111" s="3">
        <v>403.77</v>
      </c>
      <c r="AE111" s="3">
        <v>8479.1200000000008</v>
      </c>
      <c r="AF111" t="str">
        <f>IF(tbl_FinancialData[[#This Row],[City]]="","Unknown",PROPER(TRIM(tbl_FinancialData[[#This Row],[City]])))</f>
        <v>Vasco Da Gama</v>
      </c>
      <c r="AG111" t="str">
        <f>_xlfn.LET(_xlpm.city,LOWER(TRIM(tbl_FinancialData[[#This Row],[City]])),_xlpm.st,PROPER(TRIM(tbl_FinancialData[[#This Row],[State]])),IF(_xlpm.city="pune","Maharashtra",IF(_xlpm.city="jamshedpur","Jharkhand",IF(_xlpm.city="bhilai","Chhattisgarh",IF(_xlpm.city="mumbai","Maharashtra",_xlpm.st)))))</f>
        <v>Goa</v>
      </c>
      <c r="AH111" t="str">
        <f>_xlfn.LET(_xlpm.d,PROPER(TRIM(tbl_FinancialData[[#This Row],[Department]])),IF(_xlpm.d="It","IT",_xlpm.d))</f>
        <v>Finance</v>
      </c>
      <c r="AI111" t="str">
        <f>_xlfn.LET(_xlpm.pid,tbl_FinancialData[[#This Row],[Product ID]],_xlpm.n,PROPER(TRIM(tbl_FinancialData[[#This Row],[Product Name]])),IF(_xlpm.pid="P020","Document Scanner",IF(_xlpm.pid="P015","Network Router",SUBSTITUTE(SUBSTITUTE(_xlpm.n,"Crm","CRM"),"Ups","UPS"))))</f>
        <v>Office Desk</v>
      </c>
      <c r="AJ111" s="3" t="str">
        <f>UPPER(TRIM(tbl_FinancialData[[#This Row],[Cost Center]]))</f>
        <v>CC-1005</v>
      </c>
    </row>
    <row r="112" spans="1:36" x14ac:dyDescent="0.25">
      <c r="A112" s="3" t="s">
        <v>303</v>
      </c>
      <c r="B112" s="2">
        <v>45989</v>
      </c>
      <c r="C112" t="s">
        <v>147</v>
      </c>
      <c r="D112" s="3" t="str">
        <f t="shared" si="7"/>
        <v>Q3</v>
      </c>
      <c r="E112" s="3" t="str">
        <f t="shared" si="8"/>
        <v>FY2026</v>
      </c>
      <c r="F112" s="8" t="s">
        <v>34</v>
      </c>
      <c r="G112" s="3" t="s">
        <v>35</v>
      </c>
      <c r="H112" t="s">
        <v>98</v>
      </c>
      <c r="I112" t="s">
        <v>304</v>
      </c>
      <c r="J112" s="3" t="s">
        <v>80</v>
      </c>
      <c r="K112" t="s">
        <v>160</v>
      </c>
      <c r="L112" s="3" t="s">
        <v>72</v>
      </c>
      <c r="M112" s="3" t="s">
        <v>130</v>
      </c>
      <c r="N112" t="s">
        <v>131</v>
      </c>
      <c r="O112" t="s">
        <v>43</v>
      </c>
      <c r="P112" t="s">
        <v>132</v>
      </c>
      <c r="Q112" s="3">
        <v>24981.86</v>
      </c>
      <c r="R112" s="3">
        <v>25389.39</v>
      </c>
      <c r="S112" s="3">
        <v>17053.759999999998</v>
      </c>
      <c r="T112" s="3">
        <v>1445.12</v>
      </c>
      <c r="U112" s="3">
        <v>1417.36</v>
      </c>
      <c r="V112" s="3">
        <v>1299.1500000000001</v>
      </c>
      <c r="W112" s="3">
        <v>533.70000000000005</v>
      </c>
      <c r="X112" s="3">
        <v>21749.09</v>
      </c>
      <c r="Y112" s="3">
        <v>7928.1</v>
      </c>
      <c r="Z112" s="3">
        <f t="shared" si="9"/>
        <v>3232.7700000000004</v>
      </c>
      <c r="AA112" s="37">
        <f t="shared" si="10"/>
        <v>0.12940469604745206</v>
      </c>
      <c r="AB112" s="3">
        <v>-407.53</v>
      </c>
      <c r="AC112" s="3">
        <v>1249.0899999999999</v>
      </c>
      <c r="AD112" s="3">
        <v>2847.93</v>
      </c>
      <c r="AE112" s="3">
        <v>26580.7</v>
      </c>
      <c r="AF112" t="str">
        <f>IF(tbl_FinancialData[[#This Row],[City]]="","Unknown",PROPER(TRIM(tbl_FinancialData[[#This Row],[City]])))</f>
        <v>Pune</v>
      </c>
      <c r="AG112" t="str">
        <f>_xlfn.LET(_xlpm.city,LOWER(TRIM(tbl_FinancialData[[#This Row],[City]])),_xlpm.st,PROPER(TRIM(tbl_FinancialData[[#This Row],[State]])),IF(_xlpm.city="pune","Maharashtra",IF(_xlpm.city="jamshedpur","Jharkhand",IF(_xlpm.city="bhilai","Chhattisgarh",IF(_xlpm.city="mumbai","Maharashtra",_xlpm.st)))))</f>
        <v>Maharashtra</v>
      </c>
      <c r="AH112" t="str">
        <f>_xlfn.LET(_xlpm.d,PROPER(TRIM(tbl_FinancialData[[#This Row],[Department]])),IF(_xlpm.d="It","IT",_xlpm.d))</f>
        <v>IT</v>
      </c>
      <c r="AI112" t="str">
        <f>_xlfn.LET(_xlpm.pid,tbl_FinancialData[[#This Row],[Product ID]],_xlpm.n,PROPER(TRIM(tbl_FinancialData[[#This Row],[Product Name]])),IF(_xlpm.pid="P020","Document Scanner",IF(_xlpm.pid="P015","Network Router",SUBSTITUTE(SUBSTITUTE(_xlpm.n,"Crm","CRM"),"Ups","UPS"))))</f>
        <v>UPS System</v>
      </c>
      <c r="AJ112" s="3" t="str">
        <f>UPPER(TRIM(tbl_FinancialData[[#This Row],[Cost Center]]))</f>
        <v>CC-1004</v>
      </c>
    </row>
    <row r="113" spans="1:36" x14ac:dyDescent="0.25">
      <c r="A113" s="3" t="s">
        <v>305</v>
      </c>
      <c r="B113" s="2">
        <v>45980</v>
      </c>
      <c r="C113" t="s">
        <v>147</v>
      </c>
      <c r="D113" s="3" t="str">
        <f t="shared" si="7"/>
        <v>Q3</v>
      </c>
      <c r="E113" s="3" t="str">
        <f t="shared" si="8"/>
        <v>FY2026</v>
      </c>
      <c r="F113" s="8" t="s">
        <v>34</v>
      </c>
      <c r="G113" s="3" t="s">
        <v>35</v>
      </c>
      <c r="H113" t="s">
        <v>98</v>
      </c>
      <c r="I113" t="s">
        <v>304</v>
      </c>
      <c r="J113" s="3" t="s">
        <v>100</v>
      </c>
      <c r="K113" t="s">
        <v>71</v>
      </c>
      <c r="L113" s="3" t="s">
        <v>81</v>
      </c>
      <c r="M113" s="3" t="s">
        <v>130</v>
      </c>
      <c r="N113" t="s">
        <v>131</v>
      </c>
      <c r="O113" t="s">
        <v>43</v>
      </c>
      <c r="P113" t="s">
        <v>132</v>
      </c>
      <c r="Q113" s="3">
        <v>76873.63</v>
      </c>
      <c r="R113" s="3">
        <v>74922.73</v>
      </c>
      <c r="S113" s="3">
        <v>49595.199999999997</v>
      </c>
      <c r="T113" s="3">
        <v>6534.89</v>
      </c>
      <c r="U113" s="3">
        <v>3194.38</v>
      </c>
      <c r="V113" s="3">
        <v>8246.2099999999991</v>
      </c>
      <c r="W113" s="3">
        <v>872.13</v>
      </c>
      <c r="X113" s="3">
        <v>68442.8</v>
      </c>
      <c r="Y113" s="3">
        <v>27278.43</v>
      </c>
      <c r="Z113" s="3">
        <f t="shared" si="9"/>
        <v>8430.8300000000017</v>
      </c>
      <c r="AA113" s="37">
        <f t="shared" si="10"/>
        <v>0.10967128780051107</v>
      </c>
      <c r="AB113" s="3">
        <v>1950.89</v>
      </c>
      <c r="AC113" s="3">
        <v>6149.89</v>
      </c>
      <c r="AD113" s="3">
        <v>8486.85</v>
      </c>
      <c r="AE113" s="3">
        <v>79210.58</v>
      </c>
      <c r="AF113" t="str">
        <f>IF(tbl_FinancialData[[#This Row],[City]]="","Unknown",PROPER(TRIM(tbl_FinancialData[[#This Row],[City]])))</f>
        <v>Pune</v>
      </c>
      <c r="AG113" t="str">
        <f>_xlfn.LET(_xlpm.city,LOWER(TRIM(tbl_FinancialData[[#This Row],[City]])),_xlpm.st,PROPER(TRIM(tbl_FinancialData[[#This Row],[State]])),IF(_xlpm.city="pune","Maharashtra",IF(_xlpm.city="jamshedpur","Jharkhand",IF(_xlpm.city="bhilai","Chhattisgarh",IF(_xlpm.city="mumbai","Maharashtra",_xlpm.st)))))</f>
        <v>Maharashtra</v>
      </c>
      <c r="AH113" t="str">
        <f>_xlfn.LET(_xlpm.d,PROPER(TRIM(tbl_FinancialData[[#This Row],[Department]])),IF(_xlpm.d="It","IT",_xlpm.d))</f>
        <v>Marketing</v>
      </c>
      <c r="AI113" t="str">
        <f>_xlfn.LET(_xlpm.pid,tbl_FinancialData[[#This Row],[Product ID]],_xlpm.n,PROPER(TRIM(tbl_FinancialData[[#This Row],[Product Name]])),IF(_xlpm.pid="P020","Document Scanner",IF(_xlpm.pid="P015","Network Router",SUBSTITUTE(SUBSTITUTE(_xlpm.n,"Crm","CRM"),"Ups","UPS"))))</f>
        <v>UPS System</v>
      </c>
      <c r="AJ113" s="3" t="str">
        <f>UPPER(TRIM(tbl_FinancialData[[#This Row],[Cost Center]]))</f>
        <v>CC-1005</v>
      </c>
    </row>
    <row r="114" spans="1:36" x14ac:dyDescent="0.25">
      <c r="A114" s="3" t="s">
        <v>306</v>
      </c>
      <c r="B114" s="2">
        <v>45950</v>
      </c>
      <c r="C114" t="s">
        <v>92</v>
      </c>
      <c r="D114" s="3" t="str">
        <f t="shared" si="7"/>
        <v>Q3</v>
      </c>
      <c r="E114" s="3" t="str">
        <f t="shared" si="8"/>
        <v>FY2026</v>
      </c>
      <c r="F114" s="8" t="s">
        <v>67</v>
      </c>
      <c r="G114" s="3" t="s">
        <v>35</v>
      </c>
      <c r="H114" t="s">
        <v>118</v>
      </c>
      <c r="I114" t="s">
        <v>227</v>
      </c>
      <c r="J114" s="3" t="s">
        <v>100</v>
      </c>
      <c r="K114" t="s">
        <v>39</v>
      </c>
      <c r="L114" s="3" t="s">
        <v>94</v>
      </c>
      <c r="M114" s="3" t="s">
        <v>189</v>
      </c>
      <c r="N114" t="s">
        <v>190</v>
      </c>
      <c r="O114" t="s">
        <v>104</v>
      </c>
      <c r="P114" t="s">
        <v>105</v>
      </c>
      <c r="Q114" s="3">
        <v>10080.92</v>
      </c>
      <c r="R114" s="3">
        <v>10420.31</v>
      </c>
      <c r="S114" s="3">
        <v>6484.6</v>
      </c>
      <c r="T114" s="3">
        <v>537.65</v>
      </c>
      <c r="U114" s="3">
        <v>307.58</v>
      </c>
      <c r="V114" s="3">
        <v>980.93</v>
      </c>
      <c r="W114" s="3">
        <v>126.24</v>
      </c>
      <c r="X114" s="3">
        <v>8437.02</v>
      </c>
      <c r="Y114" s="3">
        <v>3596.32</v>
      </c>
      <c r="Z114" s="3">
        <f t="shared" si="9"/>
        <v>1643.8999999999996</v>
      </c>
      <c r="AA114" s="37">
        <f t="shared" si="10"/>
        <v>0.16307043404768609</v>
      </c>
      <c r="AB114" s="3">
        <v>-339.39</v>
      </c>
      <c r="AC114" s="3">
        <v>0</v>
      </c>
      <c r="AD114" s="3">
        <v>504.05</v>
      </c>
      <c r="AE114" s="3">
        <v>10584.97</v>
      </c>
      <c r="AF114" t="str">
        <f>IF(tbl_FinancialData[[#This Row],[City]]="","Unknown",PROPER(TRIM(tbl_FinancialData[[#This Row],[City]])))</f>
        <v>Dhanbad</v>
      </c>
      <c r="AG114" t="str">
        <f>_xlfn.LET(_xlpm.city,LOWER(TRIM(tbl_FinancialData[[#This Row],[City]])),_xlpm.st,PROPER(TRIM(tbl_FinancialData[[#This Row],[State]])),IF(_xlpm.city="pune","Maharashtra",IF(_xlpm.city="jamshedpur","Jharkhand",IF(_xlpm.city="bhilai","Chhattisgarh",IF(_xlpm.city="mumbai","Maharashtra",_xlpm.st)))))</f>
        <v>Jharkhand</v>
      </c>
      <c r="AH114" t="str">
        <f>_xlfn.LET(_xlpm.d,PROPER(TRIM(tbl_FinancialData[[#This Row],[Department]])),IF(_xlpm.d="It","IT",_xlpm.d))</f>
        <v>Operations</v>
      </c>
      <c r="AI114" t="str">
        <f>_xlfn.LET(_xlpm.pid,tbl_FinancialData[[#This Row],[Product ID]],_xlpm.n,PROPER(TRIM(tbl_FinancialData[[#This Row],[Product Name]])),IF(_xlpm.pid="P020","Document Scanner",IF(_xlpm.pid="P015","Network Router",SUBSTITUTE(SUBSTITUTE(_xlpm.n,"Crm","CRM"),"Ups","UPS"))))</f>
        <v>CRM Software</v>
      </c>
      <c r="AJ114" s="3" t="str">
        <f>UPPER(TRIM(tbl_FinancialData[[#This Row],[Cost Center]]))</f>
        <v>CC-1001</v>
      </c>
    </row>
    <row r="115" spans="1:36" x14ac:dyDescent="0.25">
      <c r="A115" s="3" t="s">
        <v>307</v>
      </c>
      <c r="B115" s="2">
        <v>45880</v>
      </c>
      <c r="C115" t="s">
        <v>117</v>
      </c>
      <c r="D115" s="3" t="str">
        <f t="shared" si="7"/>
        <v>Q2</v>
      </c>
      <c r="E115" s="3" t="str">
        <f t="shared" si="8"/>
        <v>FY2026</v>
      </c>
      <c r="F115" s="8" t="s">
        <v>67</v>
      </c>
      <c r="G115" s="3" t="s">
        <v>35</v>
      </c>
      <c r="H115" t="s">
        <v>118</v>
      </c>
      <c r="I115" t="s">
        <v>209</v>
      </c>
      <c r="J115" s="3" t="s">
        <v>70</v>
      </c>
      <c r="K115" t="s">
        <v>50</v>
      </c>
      <c r="L115" s="3" t="s">
        <v>51</v>
      </c>
      <c r="M115" s="3" t="s">
        <v>95</v>
      </c>
      <c r="N115" t="s">
        <v>96</v>
      </c>
      <c r="O115" t="s">
        <v>43</v>
      </c>
      <c r="P115" t="s">
        <v>90</v>
      </c>
      <c r="Q115" s="3">
        <v>62397.13</v>
      </c>
      <c r="R115" s="3">
        <v>58376.18</v>
      </c>
      <c r="S115" s="3">
        <v>32557.97</v>
      </c>
      <c r="T115" s="3">
        <v>3611.03</v>
      </c>
      <c r="U115" s="3">
        <v>4237.99</v>
      </c>
      <c r="V115" s="3">
        <v>6311.46</v>
      </c>
      <c r="W115" s="3">
        <v>1202.81</v>
      </c>
      <c r="X115" s="3">
        <v>47921.25</v>
      </c>
      <c r="Y115" s="3">
        <v>29839.17</v>
      </c>
      <c r="Z115" s="3">
        <f t="shared" si="9"/>
        <v>14475.879999999997</v>
      </c>
      <c r="AA115" s="37">
        <f t="shared" si="10"/>
        <v>0.23199592673573285</v>
      </c>
      <c r="AB115" s="3">
        <v>4020.95</v>
      </c>
      <c r="AC115" s="3">
        <v>0</v>
      </c>
      <c r="AD115" s="3">
        <v>3119.86</v>
      </c>
      <c r="AE115" s="3">
        <v>65516.99</v>
      </c>
      <c r="AF115" t="str">
        <f>IF(tbl_FinancialData[[#This Row],[City]]="","Unknown",PROPER(TRIM(tbl_FinancialData[[#This Row],[City]])))</f>
        <v>Jamshedpur</v>
      </c>
      <c r="AG115" t="str">
        <f>_xlfn.LET(_xlpm.city,LOWER(TRIM(tbl_FinancialData[[#This Row],[City]])),_xlpm.st,PROPER(TRIM(tbl_FinancialData[[#This Row],[State]])),IF(_xlpm.city="pune","Maharashtra",IF(_xlpm.city="jamshedpur","Jharkhand",IF(_xlpm.city="bhilai","Chhattisgarh",IF(_xlpm.city="mumbai","Maharashtra",_xlpm.st)))))</f>
        <v>Jharkhand</v>
      </c>
      <c r="AH115" t="str">
        <f>_xlfn.LET(_xlpm.d,PROPER(TRIM(tbl_FinancialData[[#This Row],[Department]])),IF(_xlpm.d="It","IT",_xlpm.d))</f>
        <v>Sales</v>
      </c>
      <c r="AI115" t="str">
        <f>_xlfn.LET(_xlpm.pid,tbl_FinancialData[[#This Row],[Product ID]],_xlpm.n,PROPER(TRIM(tbl_FinancialData[[#This Row],[Product Name]])),IF(_xlpm.pid="P020","Document Scanner",IF(_xlpm.pid="P015","Network Router",SUBSTITUTE(SUBSTITUTE(_xlpm.n,"Crm","CRM"),"Ups","UPS"))))</f>
        <v>Document Scanner</v>
      </c>
      <c r="AJ115" s="3" t="str">
        <f>UPPER(TRIM(tbl_FinancialData[[#This Row],[Cost Center]]))</f>
        <v>CC-1003</v>
      </c>
    </row>
    <row r="116" spans="1:36" x14ac:dyDescent="0.25">
      <c r="A116" s="3" t="s">
        <v>308</v>
      </c>
      <c r="B116" s="2">
        <v>45967</v>
      </c>
      <c r="C116" t="s">
        <v>147</v>
      </c>
      <c r="D116" s="3" t="str">
        <f t="shared" si="7"/>
        <v>Q3</v>
      </c>
      <c r="E116" s="3" t="str">
        <f t="shared" si="8"/>
        <v>FY2026</v>
      </c>
      <c r="F116" s="8" t="s">
        <v>85</v>
      </c>
      <c r="G116" s="3" t="s">
        <v>35</v>
      </c>
      <c r="H116" t="s">
        <v>86</v>
      </c>
      <c r="I116" t="s">
        <v>181</v>
      </c>
      <c r="J116" s="3" t="s">
        <v>100</v>
      </c>
      <c r="K116" t="s">
        <v>39</v>
      </c>
      <c r="L116" s="3" t="s">
        <v>51</v>
      </c>
      <c r="M116" s="3" t="s">
        <v>130</v>
      </c>
      <c r="N116" t="s">
        <v>131</v>
      </c>
      <c r="O116" t="s">
        <v>43</v>
      </c>
      <c r="P116" t="s">
        <v>132</v>
      </c>
      <c r="Q116" s="3">
        <v>27196.86</v>
      </c>
      <c r="R116" s="3">
        <v>24498.29</v>
      </c>
      <c r="S116" s="3">
        <v>19319.52</v>
      </c>
      <c r="T116" s="3">
        <v>2400.41</v>
      </c>
      <c r="U116" s="3">
        <v>2263.54</v>
      </c>
      <c r="V116" s="3">
        <v>1788.93</v>
      </c>
      <c r="W116" s="3">
        <v>391.18</v>
      </c>
      <c r="X116" s="3">
        <v>26163.57</v>
      </c>
      <c r="Y116" s="3">
        <v>7877.34</v>
      </c>
      <c r="Z116" s="3">
        <f t="shared" si="9"/>
        <v>1033.2900000000009</v>
      </c>
      <c r="AA116" s="37">
        <f t="shared" si="10"/>
        <v>3.7992988896512349E-2</v>
      </c>
      <c r="AB116" s="3">
        <v>2698.57</v>
      </c>
      <c r="AC116" s="3">
        <v>815.91</v>
      </c>
      <c r="AD116" s="3">
        <v>1319.05</v>
      </c>
      <c r="AE116" s="3">
        <v>27700</v>
      </c>
      <c r="AF116" t="str">
        <f>IF(tbl_FinancialData[[#This Row],[City]]="","Unknown",PROPER(TRIM(tbl_FinancialData[[#This Row],[City]])))</f>
        <v>Bhopal</v>
      </c>
      <c r="AG116" t="str">
        <f>_xlfn.LET(_xlpm.city,LOWER(TRIM(tbl_FinancialData[[#This Row],[City]])),_xlpm.st,PROPER(TRIM(tbl_FinancialData[[#This Row],[State]])),IF(_xlpm.city="pune","Maharashtra",IF(_xlpm.city="jamshedpur","Jharkhand",IF(_xlpm.city="bhilai","Chhattisgarh",IF(_xlpm.city="mumbai","Maharashtra",_xlpm.st)))))</f>
        <v>Madhya Pradesh</v>
      </c>
      <c r="AH116" t="str">
        <f>_xlfn.LET(_xlpm.d,PROPER(TRIM(tbl_FinancialData[[#This Row],[Department]])),IF(_xlpm.d="It","IT",_xlpm.d))</f>
        <v>Operations</v>
      </c>
      <c r="AI116" t="str">
        <f>_xlfn.LET(_xlpm.pid,tbl_FinancialData[[#This Row],[Product ID]],_xlpm.n,PROPER(TRIM(tbl_FinancialData[[#This Row],[Product Name]])),IF(_xlpm.pid="P020","Document Scanner",IF(_xlpm.pid="P015","Network Router",SUBSTITUTE(SUBSTITUTE(_xlpm.n,"Crm","CRM"),"Ups","UPS"))))</f>
        <v>UPS System</v>
      </c>
      <c r="AJ116" s="3" t="str">
        <f>UPPER(TRIM(tbl_FinancialData[[#This Row],[Cost Center]]))</f>
        <v>CC-1003</v>
      </c>
    </row>
    <row r="117" spans="1:36" x14ac:dyDescent="0.25">
      <c r="A117" s="3" t="s">
        <v>309</v>
      </c>
      <c r="B117" s="2">
        <v>46016</v>
      </c>
      <c r="C117" t="s">
        <v>107</v>
      </c>
      <c r="D117" s="3" t="str">
        <f t="shared" si="7"/>
        <v>Q3</v>
      </c>
      <c r="E117" s="3" t="str">
        <f t="shared" si="8"/>
        <v>FY2026</v>
      </c>
      <c r="F117" s="8" t="s">
        <v>34</v>
      </c>
      <c r="G117" s="3" t="s">
        <v>35</v>
      </c>
      <c r="H117" t="s">
        <v>36</v>
      </c>
      <c r="I117" t="s">
        <v>245</v>
      </c>
      <c r="J117" s="3" t="s">
        <v>70</v>
      </c>
      <c r="K117" t="s">
        <v>50</v>
      </c>
      <c r="L117" s="3" t="s">
        <v>94</v>
      </c>
      <c r="M117" s="3" t="s">
        <v>141</v>
      </c>
      <c r="N117" t="s">
        <v>142</v>
      </c>
      <c r="O117" t="s">
        <v>54</v>
      </c>
      <c r="P117" t="s">
        <v>143</v>
      </c>
      <c r="Q117" s="3">
        <v>4735.96</v>
      </c>
      <c r="R117" s="3">
        <v>4701.8500000000004</v>
      </c>
      <c r="S117" s="3">
        <v>2898.51</v>
      </c>
      <c r="T117" s="3">
        <v>384.05</v>
      </c>
      <c r="U117" s="3">
        <v>168.79</v>
      </c>
      <c r="V117" s="3">
        <v>293.17</v>
      </c>
      <c r="W117" s="3">
        <v>201.24</v>
      </c>
      <c r="X117" s="3">
        <v>3945.75</v>
      </c>
      <c r="Y117" s="3">
        <v>1837.45</v>
      </c>
      <c r="Z117" s="3">
        <f t="shared" si="9"/>
        <v>790.21</v>
      </c>
      <c r="AA117" s="37">
        <f t="shared" si="10"/>
        <v>0.16685318288161219</v>
      </c>
      <c r="AB117" s="3">
        <v>34.11</v>
      </c>
      <c r="AC117" s="3">
        <v>236.8</v>
      </c>
      <c r="AD117" s="3">
        <v>539.9</v>
      </c>
      <c r="AE117" s="3">
        <v>5039.0600000000004</v>
      </c>
      <c r="AF117" t="str">
        <f>IF(tbl_FinancialData[[#This Row],[City]]="","Unknown",PROPER(TRIM(tbl_FinancialData[[#This Row],[City]])))</f>
        <v>Margao</v>
      </c>
      <c r="AG117" t="str">
        <f>_xlfn.LET(_xlpm.city,LOWER(TRIM(tbl_FinancialData[[#This Row],[City]])),_xlpm.st,PROPER(TRIM(tbl_FinancialData[[#This Row],[State]])),IF(_xlpm.city="pune","Maharashtra",IF(_xlpm.city="jamshedpur","Jharkhand",IF(_xlpm.city="bhilai","Chhattisgarh",IF(_xlpm.city="mumbai","Maharashtra",_xlpm.st)))))</f>
        <v>Goa</v>
      </c>
      <c r="AH117" t="str">
        <f>_xlfn.LET(_xlpm.d,PROPER(TRIM(tbl_FinancialData[[#This Row],[Department]])),IF(_xlpm.d="It","IT",_xlpm.d))</f>
        <v>Sales</v>
      </c>
      <c r="AI117" t="str">
        <f>_xlfn.LET(_xlpm.pid,tbl_FinancialData[[#This Row],[Product ID]],_xlpm.n,PROPER(TRIM(tbl_FinancialData[[#This Row],[Product Name]])),IF(_xlpm.pid="P020","Document Scanner",IF(_xlpm.pid="P015","Network Router",SUBSTITUTE(SUBSTITUTE(_xlpm.n,"Crm","CRM"),"Ups","UPS"))))</f>
        <v>Headset</v>
      </c>
      <c r="AJ117" s="3" t="str">
        <f>UPPER(TRIM(tbl_FinancialData[[#This Row],[Cost Center]]))</f>
        <v>CC-1001</v>
      </c>
    </row>
    <row r="118" spans="1:36" x14ac:dyDescent="0.25">
      <c r="A118" s="3" t="s">
        <v>310</v>
      </c>
      <c r="B118" s="2">
        <v>45860</v>
      </c>
      <c r="C118" t="s">
        <v>32</v>
      </c>
      <c r="D118" s="3" t="str">
        <f t="shared" si="7"/>
        <v>Q2</v>
      </c>
      <c r="E118" s="3" t="str">
        <f t="shared" si="8"/>
        <v>FY2026</v>
      </c>
      <c r="F118" s="8" t="s">
        <v>34</v>
      </c>
      <c r="G118" s="3" t="s">
        <v>35</v>
      </c>
      <c r="H118" t="s">
        <v>36</v>
      </c>
      <c r="I118" t="s">
        <v>245</v>
      </c>
      <c r="J118" s="3" t="s">
        <v>38</v>
      </c>
      <c r="K118" t="s">
        <v>50</v>
      </c>
      <c r="L118" s="3" t="s">
        <v>94</v>
      </c>
      <c r="M118" s="3" t="s">
        <v>102</v>
      </c>
      <c r="N118" t="s">
        <v>103</v>
      </c>
      <c r="O118" t="s">
        <v>104</v>
      </c>
      <c r="P118" t="s">
        <v>105</v>
      </c>
      <c r="Q118" s="3">
        <v>23556.92</v>
      </c>
      <c r="R118" s="3">
        <v>26066.03</v>
      </c>
      <c r="S118" s="3">
        <v>13911.06</v>
      </c>
      <c r="T118" s="3">
        <v>2764.64</v>
      </c>
      <c r="U118" s="3">
        <v>1704.39</v>
      </c>
      <c r="V118" s="3">
        <v>2405.5300000000002</v>
      </c>
      <c r="W118" s="3">
        <v>776.57</v>
      </c>
      <c r="X118" s="3">
        <v>21562.19</v>
      </c>
      <c r="Y118" s="3">
        <v>9645.86</v>
      </c>
      <c r="Z118" s="3">
        <f t="shared" si="9"/>
        <v>1994.7299999999996</v>
      </c>
      <c r="AA118" s="37">
        <f t="shared" si="10"/>
        <v>8.4677029085296368E-2</v>
      </c>
      <c r="AB118" s="3">
        <v>-2509.11</v>
      </c>
      <c r="AC118" s="3">
        <v>0</v>
      </c>
      <c r="AD118" s="3">
        <v>2826.83</v>
      </c>
      <c r="AE118" s="3">
        <v>26383.75</v>
      </c>
      <c r="AF118" t="str">
        <f>IF(tbl_FinancialData[[#This Row],[City]]="","Unknown",PROPER(TRIM(tbl_FinancialData[[#This Row],[City]])))</f>
        <v>Margao</v>
      </c>
      <c r="AG118" t="str">
        <f>_xlfn.LET(_xlpm.city,LOWER(TRIM(tbl_FinancialData[[#This Row],[City]])),_xlpm.st,PROPER(TRIM(tbl_FinancialData[[#This Row],[State]])),IF(_xlpm.city="pune","Maharashtra",IF(_xlpm.city="jamshedpur","Jharkhand",IF(_xlpm.city="bhilai","Chhattisgarh",IF(_xlpm.city="mumbai","Maharashtra",_xlpm.st)))))</f>
        <v>Goa</v>
      </c>
      <c r="AH118" t="str">
        <f>_xlfn.LET(_xlpm.d,PROPER(TRIM(tbl_FinancialData[[#This Row],[Department]])),IF(_xlpm.d="It","IT",_xlpm.d))</f>
        <v>Sales</v>
      </c>
      <c r="AI118" t="str">
        <f>_xlfn.LET(_xlpm.pid,tbl_FinancialData[[#This Row],[Product ID]],_xlpm.n,PROPER(TRIM(tbl_FinancialData[[#This Row],[Product Name]])),IF(_xlpm.pid="P020","Document Scanner",IF(_xlpm.pid="P015","Network Router",SUBSTITUTE(SUBSTITUTE(_xlpm.n,"Crm","CRM"),"Ups","UPS"))))</f>
        <v>Accounting Software</v>
      </c>
      <c r="AJ118" s="3" t="str">
        <f>UPPER(TRIM(tbl_FinancialData[[#This Row],[Cost Center]]))</f>
        <v>CC-1001</v>
      </c>
    </row>
    <row r="119" spans="1:36" x14ac:dyDescent="0.25">
      <c r="A119" s="3" t="s">
        <v>311</v>
      </c>
      <c r="B119" s="2">
        <v>45982</v>
      </c>
      <c r="C119" t="s">
        <v>147</v>
      </c>
      <c r="D119" s="3" t="str">
        <f t="shared" si="7"/>
        <v>Q3</v>
      </c>
      <c r="E119" s="3" t="str">
        <f t="shared" si="8"/>
        <v>FY2026</v>
      </c>
      <c r="F119" s="8" t="s">
        <v>47</v>
      </c>
      <c r="G119" s="3" t="s">
        <v>35</v>
      </c>
      <c r="H119" t="s">
        <v>78</v>
      </c>
      <c r="I119" t="s">
        <v>79</v>
      </c>
      <c r="J119" s="3" t="s">
        <v>80</v>
      </c>
      <c r="K119" t="s">
        <v>50</v>
      </c>
      <c r="L119" s="3" t="s">
        <v>81</v>
      </c>
      <c r="M119" s="3" t="s">
        <v>186</v>
      </c>
      <c r="N119" t="s">
        <v>187</v>
      </c>
      <c r="O119" t="s">
        <v>173</v>
      </c>
      <c r="P119" t="s">
        <v>174</v>
      </c>
      <c r="Q119" s="3">
        <v>12722.44</v>
      </c>
      <c r="R119" s="3">
        <v>13059.82</v>
      </c>
      <c r="S119" s="3">
        <v>6566.85</v>
      </c>
      <c r="T119" s="3">
        <v>984.6</v>
      </c>
      <c r="U119" s="3">
        <v>659.94</v>
      </c>
      <c r="V119" s="3">
        <v>1280.58</v>
      </c>
      <c r="W119" s="3">
        <v>458.26</v>
      </c>
      <c r="X119" s="3">
        <v>9950.2199999999993</v>
      </c>
      <c r="Y119" s="3">
        <v>6155.6</v>
      </c>
      <c r="Z119" s="3">
        <f t="shared" si="9"/>
        <v>2772.2200000000012</v>
      </c>
      <c r="AA119" s="37">
        <f t="shared" si="10"/>
        <v>0.21790002546681306</v>
      </c>
      <c r="AB119" s="3">
        <v>-337.38</v>
      </c>
      <c r="AC119" s="3">
        <v>636.12</v>
      </c>
      <c r="AD119" s="3">
        <v>604.32000000000005</v>
      </c>
      <c r="AE119" s="3">
        <v>12690.64</v>
      </c>
      <c r="AF119" t="str">
        <f>IF(tbl_FinancialData[[#This Row],[City]]="","Unknown",PROPER(TRIM(tbl_FinancialData[[#This Row],[City]])))</f>
        <v>Kochi</v>
      </c>
      <c r="AG119" t="str">
        <f>_xlfn.LET(_xlpm.city,LOWER(TRIM(tbl_FinancialData[[#This Row],[City]])),_xlpm.st,PROPER(TRIM(tbl_FinancialData[[#This Row],[State]])),IF(_xlpm.city="pune","Maharashtra",IF(_xlpm.city="jamshedpur","Jharkhand",IF(_xlpm.city="bhilai","Chhattisgarh",IF(_xlpm.city="mumbai","Maharashtra",_xlpm.st)))))</f>
        <v>Kerala</v>
      </c>
      <c r="AH119" t="str">
        <f>_xlfn.LET(_xlpm.d,PROPER(TRIM(tbl_FinancialData[[#This Row],[Department]])),IF(_xlpm.d="It","IT",_xlpm.d))</f>
        <v>Sales</v>
      </c>
      <c r="AI119" t="str">
        <f>_xlfn.LET(_xlpm.pid,tbl_FinancialData[[#This Row],[Product ID]],_xlpm.n,PROPER(TRIM(tbl_FinancialData[[#This Row],[Product Name]])),IF(_xlpm.pid="P020","Document Scanner",IF(_xlpm.pid="P015","Network Router",SUBSTITUTE(SUBSTITUTE(_xlpm.n,"Crm","CRM"),"Ups","UPS"))))</f>
        <v>Network Router</v>
      </c>
      <c r="AJ119" s="3" t="str">
        <f>UPPER(TRIM(tbl_FinancialData[[#This Row],[Cost Center]]))</f>
        <v>CC-1005</v>
      </c>
    </row>
    <row r="120" spans="1:36" x14ac:dyDescent="0.25">
      <c r="A120" s="3" t="s">
        <v>312</v>
      </c>
      <c r="B120" s="2">
        <v>45770</v>
      </c>
      <c r="C120" t="s">
        <v>128</v>
      </c>
      <c r="D120" s="3" t="str">
        <f t="shared" si="7"/>
        <v>Q1</v>
      </c>
      <c r="E120" s="3" t="str">
        <f t="shared" si="8"/>
        <v>FY2026</v>
      </c>
      <c r="F120" s="8" t="s">
        <v>34</v>
      </c>
      <c r="G120" s="3" t="s">
        <v>35</v>
      </c>
      <c r="H120" t="s">
        <v>36</v>
      </c>
      <c r="I120" t="s">
        <v>37</v>
      </c>
      <c r="J120" s="3" t="s">
        <v>80</v>
      </c>
      <c r="K120" t="s">
        <v>71</v>
      </c>
      <c r="L120" s="3" t="s">
        <v>40</v>
      </c>
      <c r="M120" s="3" t="s">
        <v>171</v>
      </c>
      <c r="N120" t="s">
        <v>172</v>
      </c>
      <c r="O120" t="s">
        <v>173</v>
      </c>
      <c r="P120" t="s">
        <v>174</v>
      </c>
      <c r="Q120" s="3">
        <v>35527.040000000001</v>
      </c>
      <c r="R120" s="3">
        <v>40658.400000000001</v>
      </c>
      <c r="S120" s="3">
        <v>19422.509999999998</v>
      </c>
      <c r="T120" s="3">
        <v>2327.6</v>
      </c>
      <c r="U120" s="3">
        <v>2919.9</v>
      </c>
      <c r="V120" s="3">
        <v>3289.98</v>
      </c>
      <c r="W120" s="3">
        <v>741.89</v>
      </c>
      <c r="X120" s="3">
        <v>28701.88</v>
      </c>
      <c r="Y120" s="3">
        <v>16104.53</v>
      </c>
      <c r="Z120" s="3">
        <f t="shared" si="9"/>
        <v>6825.16</v>
      </c>
      <c r="AA120" s="37">
        <f t="shared" si="10"/>
        <v>0.19211169858226296</v>
      </c>
      <c r="AB120" s="3">
        <v>-5131.3599999999997</v>
      </c>
      <c r="AC120" s="3">
        <v>1776.35</v>
      </c>
      <c r="AD120" s="3">
        <v>6075.12</v>
      </c>
      <c r="AE120" s="3">
        <v>39825.81</v>
      </c>
      <c r="AF120" t="str">
        <f>IF(tbl_FinancialData[[#This Row],[City]]="","Unknown",PROPER(TRIM(tbl_FinancialData[[#This Row],[City]])))</f>
        <v>Vasco Da Gama</v>
      </c>
      <c r="AG120" t="str">
        <f>_xlfn.LET(_xlpm.city,LOWER(TRIM(tbl_FinancialData[[#This Row],[City]])),_xlpm.st,PROPER(TRIM(tbl_FinancialData[[#This Row],[State]])),IF(_xlpm.city="pune","Maharashtra",IF(_xlpm.city="jamshedpur","Jharkhand",IF(_xlpm.city="bhilai","Chhattisgarh",IF(_xlpm.city="mumbai","Maharashtra",_xlpm.st)))))</f>
        <v>Goa</v>
      </c>
      <c r="AH120" t="str">
        <f>_xlfn.LET(_xlpm.d,PROPER(TRIM(tbl_FinancialData[[#This Row],[Department]])),IF(_xlpm.d="It","IT",_xlpm.d))</f>
        <v>Marketing</v>
      </c>
      <c r="AI120" t="str">
        <f>_xlfn.LET(_xlpm.pid,tbl_FinancialData[[#This Row],[Product ID]],_xlpm.n,PROPER(TRIM(tbl_FinancialData[[#This Row],[Product Name]])),IF(_xlpm.pid="P020","Document Scanner",IF(_xlpm.pid="P015","Network Router",SUBSTITUTE(SUBSTITUTE(_xlpm.n,"Crm","CRM"),"Ups","UPS"))))</f>
        <v>Network Switch</v>
      </c>
      <c r="AJ120" s="3" t="str">
        <f>UPPER(TRIM(tbl_FinancialData[[#This Row],[Cost Center]]))</f>
        <v>CC-1002</v>
      </c>
    </row>
    <row r="121" spans="1:36" x14ac:dyDescent="0.25">
      <c r="A121" s="3" t="s">
        <v>313</v>
      </c>
      <c r="B121" s="2">
        <v>45966</v>
      </c>
      <c r="C121" t="s">
        <v>147</v>
      </c>
      <c r="D121" s="3" t="str">
        <f t="shared" si="7"/>
        <v>Q3</v>
      </c>
      <c r="E121" s="3" t="str">
        <f t="shared" si="8"/>
        <v>FY2026</v>
      </c>
      <c r="F121" s="8" t="s">
        <v>59</v>
      </c>
      <c r="G121" s="3" t="s">
        <v>35</v>
      </c>
      <c r="H121" t="s">
        <v>254</v>
      </c>
      <c r="I121" t="s">
        <v>314</v>
      </c>
      <c r="J121" s="3" t="s">
        <v>80</v>
      </c>
      <c r="K121" t="s">
        <v>39</v>
      </c>
      <c r="L121" s="3" t="s">
        <v>40</v>
      </c>
      <c r="M121" s="3" t="s">
        <v>102</v>
      </c>
      <c r="N121" t="s">
        <v>103</v>
      </c>
      <c r="O121" t="s">
        <v>104</v>
      </c>
      <c r="P121" t="s">
        <v>105</v>
      </c>
      <c r="Q121" s="3">
        <v>19305.099999999999</v>
      </c>
      <c r="R121" s="3">
        <v>22537.200000000001</v>
      </c>
      <c r="S121" s="3">
        <v>10971.2</v>
      </c>
      <c r="T121" s="3">
        <v>1470.17</v>
      </c>
      <c r="U121" s="3">
        <v>669.46</v>
      </c>
      <c r="V121" s="3">
        <v>1244.18</v>
      </c>
      <c r="W121" s="3">
        <v>785.39</v>
      </c>
      <c r="X121" s="3">
        <v>15140.4</v>
      </c>
      <c r="Y121" s="3">
        <v>8333.9</v>
      </c>
      <c r="Z121" s="3">
        <f t="shared" si="9"/>
        <v>4164.6999999999989</v>
      </c>
      <c r="AA121" s="37">
        <f t="shared" si="10"/>
        <v>0.2157305582462665</v>
      </c>
      <c r="AB121" s="3">
        <v>-3232.1</v>
      </c>
      <c r="AC121" s="3">
        <v>1930.51</v>
      </c>
      <c r="AD121" s="3">
        <v>2084.9499999999998</v>
      </c>
      <c r="AE121" s="3">
        <v>19459.54</v>
      </c>
      <c r="AF121" t="str">
        <f>IF(tbl_FinancialData[[#This Row],[City]]="","Unknown",PROPER(TRIM(tbl_FinancialData[[#This Row],[City]])))</f>
        <v>New Delhi</v>
      </c>
      <c r="AG121" t="str">
        <f>_xlfn.LET(_xlpm.city,LOWER(TRIM(tbl_FinancialData[[#This Row],[City]])),_xlpm.st,PROPER(TRIM(tbl_FinancialData[[#This Row],[State]])),IF(_xlpm.city="pune","Maharashtra",IF(_xlpm.city="jamshedpur","Jharkhand",IF(_xlpm.city="bhilai","Chhattisgarh",IF(_xlpm.city="mumbai","Maharashtra",_xlpm.st)))))</f>
        <v>Delhi</v>
      </c>
      <c r="AH121" t="str">
        <f>_xlfn.LET(_xlpm.d,PROPER(TRIM(tbl_FinancialData[[#This Row],[Department]])),IF(_xlpm.d="It","IT",_xlpm.d))</f>
        <v>Operations</v>
      </c>
      <c r="AI121" t="str">
        <f>_xlfn.LET(_xlpm.pid,tbl_FinancialData[[#This Row],[Product ID]],_xlpm.n,PROPER(TRIM(tbl_FinancialData[[#This Row],[Product Name]])),IF(_xlpm.pid="P020","Document Scanner",IF(_xlpm.pid="P015","Network Router",SUBSTITUTE(SUBSTITUTE(_xlpm.n,"Crm","CRM"),"Ups","UPS"))))</f>
        <v>Accounting Software</v>
      </c>
      <c r="AJ121" s="3" t="str">
        <f>UPPER(TRIM(tbl_FinancialData[[#This Row],[Cost Center]]))</f>
        <v>CC-1002</v>
      </c>
    </row>
    <row r="122" spans="1:36" x14ac:dyDescent="0.25">
      <c r="A122" s="3" t="s">
        <v>315</v>
      </c>
      <c r="B122" s="2">
        <v>45879</v>
      </c>
      <c r="C122" t="s">
        <v>117</v>
      </c>
      <c r="D122" s="3" t="str">
        <f t="shared" si="7"/>
        <v>Q2</v>
      </c>
      <c r="E122" s="3" t="str">
        <f t="shared" si="8"/>
        <v>FY2026</v>
      </c>
      <c r="F122" s="8" t="s">
        <v>34</v>
      </c>
      <c r="G122" s="3" t="s">
        <v>35</v>
      </c>
      <c r="H122" t="s">
        <v>134</v>
      </c>
      <c r="I122" t="s">
        <v>135</v>
      </c>
      <c r="J122" s="3" t="s">
        <v>70</v>
      </c>
      <c r="K122" t="s">
        <v>50</v>
      </c>
      <c r="L122" s="3" t="s">
        <v>81</v>
      </c>
      <c r="M122" s="3" t="s">
        <v>141</v>
      </c>
      <c r="N122" t="s">
        <v>142</v>
      </c>
      <c r="O122" t="s">
        <v>54</v>
      </c>
      <c r="P122" t="s">
        <v>143</v>
      </c>
      <c r="Q122" s="3">
        <v>1988.68</v>
      </c>
      <c r="R122" s="3">
        <v>1849.6</v>
      </c>
      <c r="S122" s="3">
        <v>1041.1099999999999</v>
      </c>
      <c r="T122" s="3">
        <v>161.11000000000001</v>
      </c>
      <c r="U122" s="3">
        <v>101.72</v>
      </c>
      <c r="V122" s="3">
        <v>218.64</v>
      </c>
      <c r="W122" s="3">
        <v>55.39</v>
      </c>
      <c r="X122" s="3">
        <v>1577.97</v>
      </c>
      <c r="Y122" s="3">
        <v>947.57</v>
      </c>
      <c r="Z122" s="3">
        <f t="shared" si="9"/>
        <v>410.71000000000004</v>
      </c>
      <c r="AA122" s="37">
        <f t="shared" si="10"/>
        <v>0.20652392541786513</v>
      </c>
      <c r="AB122" s="3">
        <v>139.08000000000001</v>
      </c>
      <c r="AC122" s="3">
        <v>99.43</v>
      </c>
      <c r="AD122" s="3">
        <v>94.46</v>
      </c>
      <c r="AE122" s="3">
        <v>1983.71</v>
      </c>
      <c r="AF122" t="str">
        <f>IF(tbl_FinancialData[[#This Row],[City]]="","Unknown",PROPER(TRIM(tbl_FinancialData[[#This Row],[City]])))</f>
        <v>Jodhpur</v>
      </c>
      <c r="AG122" t="str">
        <f>_xlfn.LET(_xlpm.city,LOWER(TRIM(tbl_FinancialData[[#This Row],[City]])),_xlpm.st,PROPER(TRIM(tbl_FinancialData[[#This Row],[State]])),IF(_xlpm.city="pune","Maharashtra",IF(_xlpm.city="jamshedpur","Jharkhand",IF(_xlpm.city="bhilai","Chhattisgarh",IF(_xlpm.city="mumbai","Maharashtra",_xlpm.st)))))</f>
        <v>Rajasthan</v>
      </c>
      <c r="AH122" t="str">
        <f>_xlfn.LET(_xlpm.d,PROPER(TRIM(tbl_FinancialData[[#This Row],[Department]])),IF(_xlpm.d="It","IT",_xlpm.d))</f>
        <v>Sales</v>
      </c>
      <c r="AI122" t="str">
        <f>_xlfn.LET(_xlpm.pid,tbl_FinancialData[[#This Row],[Product ID]],_xlpm.n,PROPER(TRIM(tbl_FinancialData[[#This Row],[Product Name]])),IF(_xlpm.pid="P020","Document Scanner",IF(_xlpm.pid="P015","Network Router",SUBSTITUTE(SUBSTITUTE(_xlpm.n,"Crm","CRM"),"Ups","UPS"))))</f>
        <v>Headset</v>
      </c>
      <c r="AJ122" s="3" t="str">
        <f>UPPER(TRIM(tbl_FinancialData[[#This Row],[Cost Center]]))</f>
        <v>CC-1005</v>
      </c>
    </row>
    <row r="123" spans="1:36" x14ac:dyDescent="0.25">
      <c r="A123" s="3" t="s">
        <v>316</v>
      </c>
      <c r="B123" s="2">
        <v>45933</v>
      </c>
      <c r="C123" t="s">
        <v>92</v>
      </c>
      <c r="D123" s="3" t="str">
        <f t="shared" si="7"/>
        <v>Q3</v>
      </c>
      <c r="E123" s="3" t="str">
        <f t="shared" si="8"/>
        <v>FY2026</v>
      </c>
      <c r="F123" s="8" t="s">
        <v>67</v>
      </c>
      <c r="G123" s="3" t="s">
        <v>35</v>
      </c>
      <c r="H123" t="s">
        <v>317</v>
      </c>
      <c r="I123" t="s">
        <v>209</v>
      </c>
      <c r="J123" s="3" t="s">
        <v>38</v>
      </c>
      <c r="K123" t="s">
        <v>39</v>
      </c>
      <c r="L123" s="3" t="s">
        <v>40</v>
      </c>
      <c r="M123" s="3" t="s">
        <v>41</v>
      </c>
      <c r="N123" t="s">
        <v>42</v>
      </c>
      <c r="O123" t="s">
        <v>43</v>
      </c>
      <c r="P123" t="s">
        <v>44</v>
      </c>
      <c r="Q123" s="3">
        <v>38199.47</v>
      </c>
      <c r="R123" s="3">
        <v>39325.46</v>
      </c>
      <c r="S123" s="3">
        <v>19042.21</v>
      </c>
      <c r="T123" s="3">
        <v>2088.9</v>
      </c>
      <c r="U123" s="3">
        <v>1784.89</v>
      </c>
      <c r="V123" s="3">
        <v>3926.59</v>
      </c>
      <c r="W123" s="3">
        <v>1328.15</v>
      </c>
      <c r="X123" s="3">
        <v>28170.74</v>
      </c>
      <c r="Y123" s="3">
        <v>19157.259999999998</v>
      </c>
      <c r="Z123" s="3">
        <f t="shared" si="9"/>
        <v>10028.73</v>
      </c>
      <c r="AA123" s="37">
        <f t="shared" si="10"/>
        <v>0.26253584146586323</v>
      </c>
      <c r="AB123" s="3">
        <v>-1125.99</v>
      </c>
      <c r="AC123" s="3">
        <v>3055.96</v>
      </c>
      <c r="AD123" s="3">
        <v>4217.22</v>
      </c>
      <c r="AE123" s="3">
        <v>39360.730000000003</v>
      </c>
      <c r="AF123" t="str">
        <f>IF(tbl_FinancialData[[#This Row],[City]]="","Unknown",PROPER(TRIM(tbl_FinancialData[[#This Row],[City]])))</f>
        <v>Jamshedpur</v>
      </c>
      <c r="AG123" t="str">
        <f>_xlfn.LET(_xlpm.city,LOWER(TRIM(tbl_FinancialData[[#This Row],[City]])),_xlpm.st,PROPER(TRIM(tbl_FinancialData[[#This Row],[State]])),IF(_xlpm.city="pune","Maharashtra",IF(_xlpm.city="jamshedpur","Jharkhand",IF(_xlpm.city="bhilai","Chhattisgarh",IF(_xlpm.city="mumbai","Maharashtra",_xlpm.st)))))</f>
        <v>Jharkhand</v>
      </c>
      <c r="AH123" t="str">
        <f>_xlfn.LET(_xlpm.d,PROPER(TRIM(tbl_FinancialData[[#This Row],[Department]])),IF(_xlpm.d="It","IT",_xlpm.d))</f>
        <v>Operations</v>
      </c>
      <c r="AI123" t="str">
        <f>_xlfn.LET(_xlpm.pid,tbl_FinancialData[[#This Row],[Product ID]],_xlpm.n,PROPER(TRIM(tbl_FinancialData[[#This Row],[Product Name]])),IF(_xlpm.pid="P020","Document Scanner",IF(_xlpm.pid="P015","Network Router",SUBSTITUTE(SUBSTITUTE(_xlpm.n,"Crm","CRM"),"Ups","UPS"))))</f>
        <v>Conference Camera</v>
      </c>
      <c r="AJ123" s="3" t="str">
        <f>UPPER(TRIM(tbl_FinancialData[[#This Row],[Cost Center]]))</f>
        <v>CC-1002</v>
      </c>
    </row>
    <row r="124" spans="1:36" x14ac:dyDescent="0.25">
      <c r="A124" s="3" t="s">
        <v>318</v>
      </c>
      <c r="B124" s="2">
        <v>45920</v>
      </c>
      <c r="C124" t="s">
        <v>46</v>
      </c>
      <c r="D124" s="3" t="str">
        <f t="shared" si="7"/>
        <v>Q2</v>
      </c>
      <c r="E124" s="3" t="str">
        <f t="shared" si="8"/>
        <v>FY2026</v>
      </c>
      <c r="F124" s="8" t="s">
        <v>59</v>
      </c>
      <c r="G124" s="3" t="s">
        <v>35</v>
      </c>
      <c r="H124" t="s">
        <v>139</v>
      </c>
      <c r="I124" t="s">
        <v>200</v>
      </c>
      <c r="J124" s="3" t="s">
        <v>70</v>
      </c>
      <c r="K124" t="s">
        <v>50</v>
      </c>
      <c r="L124" s="3" t="s">
        <v>72</v>
      </c>
      <c r="M124" s="3" t="s">
        <v>130</v>
      </c>
      <c r="N124" t="s">
        <v>131</v>
      </c>
      <c r="O124" t="s">
        <v>43</v>
      </c>
      <c r="P124" t="s">
        <v>132</v>
      </c>
      <c r="Q124" s="3">
        <v>54943.21</v>
      </c>
      <c r="R124" s="3">
        <v>64805.74</v>
      </c>
      <c r="S124" s="3">
        <v>38677.120000000003</v>
      </c>
      <c r="T124" s="3">
        <v>5571.53</v>
      </c>
      <c r="U124" s="3">
        <v>2877.99</v>
      </c>
      <c r="V124" s="3">
        <v>4994.0200000000004</v>
      </c>
      <c r="W124" s="3">
        <v>2060.25</v>
      </c>
      <c r="X124" s="3">
        <v>54180.9</v>
      </c>
      <c r="Y124" s="3">
        <v>16266.09</v>
      </c>
      <c r="Z124" s="3">
        <f t="shared" si="9"/>
        <v>762.30999999999767</v>
      </c>
      <c r="AA124" s="37">
        <f t="shared" si="10"/>
        <v>1.3874507878225494E-2</v>
      </c>
      <c r="AB124" s="3">
        <v>-9862.5400000000009</v>
      </c>
      <c r="AC124" s="3">
        <v>0</v>
      </c>
      <c r="AD124" s="3">
        <v>6593.18</v>
      </c>
      <c r="AE124" s="3">
        <v>61536.39</v>
      </c>
      <c r="AF124" t="str">
        <f>IF(tbl_FinancialData[[#This Row],[City]]="","Unknown",PROPER(TRIM(tbl_FinancialData[[#This Row],[City]])))</f>
        <v>Gurugram</v>
      </c>
      <c r="AG124" t="str">
        <f>_xlfn.LET(_xlpm.city,LOWER(TRIM(tbl_FinancialData[[#This Row],[City]])),_xlpm.st,PROPER(TRIM(tbl_FinancialData[[#This Row],[State]])),IF(_xlpm.city="pune","Maharashtra",IF(_xlpm.city="jamshedpur","Jharkhand",IF(_xlpm.city="bhilai","Chhattisgarh",IF(_xlpm.city="mumbai","Maharashtra",_xlpm.st)))))</f>
        <v>Haryana</v>
      </c>
      <c r="AH124" t="str">
        <f>_xlfn.LET(_xlpm.d,PROPER(TRIM(tbl_FinancialData[[#This Row],[Department]])),IF(_xlpm.d="It","IT",_xlpm.d))</f>
        <v>Sales</v>
      </c>
      <c r="AI124" t="str">
        <f>_xlfn.LET(_xlpm.pid,tbl_FinancialData[[#This Row],[Product ID]],_xlpm.n,PROPER(TRIM(tbl_FinancialData[[#This Row],[Product Name]])),IF(_xlpm.pid="P020","Document Scanner",IF(_xlpm.pid="P015","Network Router",SUBSTITUTE(SUBSTITUTE(_xlpm.n,"Crm","CRM"),"Ups","UPS"))))</f>
        <v>UPS System</v>
      </c>
      <c r="AJ124" s="3" t="str">
        <f>UPPER(TRIM(tbl_FinancialData[[#This Row],[Cost Center]]))</f>
        <v>CC-1004</v>
      </c>
    </row>
    <row r="125" spans="1:36" x14ac:dyDescent="0.25">
      <c r="A125" s="3" t="s">
        <v>319</v>
      </c>
      <c r="B125" s="2">
        <v>45825</v>
      </c>
      <c r="C125" t="s">
        <v>156</v>
      </c>
      <c r="D125" s="3" t="str">
        <f t="shared" si="7"/>
        <v>Q1</v>
      </c>
      <c r="E125" s="3" t="str">
        <f t="shared" si="8"/>
        <v>FY2026</v>
      </c>
      <c r="F125" s="8" t="s">
        <v>34</v>
      </c>
      <c r="G125" s="3" t="s">
        <v>35</v>
      </c>
      <c r="H125" t="s">
        <v>36</v>
      </c>
      <c r="I125" t="s">
        <v>145</v>
      </c>
      <c r="J125" s="3" t="s">
        <v>100</v>
      </c>
      <c r="K125" t="s">
        <v>39</v>
      </c>
      <c r="L125" s="3" t="s">
        <v>94</v>
      </c>
      <c r="M125" s="3" t="s">
        <v>95</v>
      </c>
      <c r="N125" t="s">
        <v>96</v>
      </c>
      <c r="O125" t="s">
        <v>43</v>
      </c>
      <c r="P125" t="s">
        <v>90</v>
      </c>
      <c r="Q125" s="3">
        <v>33298.57</v>
      </c>
      <c r="R125" s="3">
        <v>29564.43</v>
      </c>
      <c r="S125" s="3">
        <v>16176.64</v>
      </c>
      <c r="T125" s="3">
        <v>3880.47</v>
      </c>
      <c r="U125" s="3">
        <v>1423.5</v>
      </c>
      <c r="V125" s="3">
        <v>2712.05</v>
      </c>
      <c r="W125" s="3">
        <v>681.14</v>
      </c>
      <c r="X125" s="3">
        <v>24873.8</v>
      </c>
      <c r="Y125" s="3">
        <v>17121.919999999998</v>
      </c>
      <c r="Z125" s="3">
        <f t="shared" si="9"/>
        <v>8424.77</v>
      </c>
      <c r="AA125" s="37">
        <f t="shared" si="10"/>
        <v>0.25300696095958475</v>
      </c>
      <c r="AB125" s="3">
        <v>3734.13</v>
      </c>
      <c r="AC125" s="3">
        <v>3329.86</v>
      </c>
      <c r="AD125" s="3">
        <v>3596.25</v>
      </c>
      <c r="AE125" s="3">
        <v>33564.959999999999</v>
      </c>
      <c r="AF125" t="str">
        <f>IF(tbl_FinancialData[[#This Row],[City]]="","Unknown",PROPER(TRIM(tbl_FinancialData[[#This Row],[City]])))</f>
        <v>Panaji</v>
      </c>
      <c r="AG125" t="str">
        <f>_xlfn.LET(_xlpm.city,LOWER(TRIM(tbl_FinancialData[[#This Row],[City]])),_xlpm.st,PROPER(TRIM(tbl_FinancialData[[#This Row],[State]])),IF(_xlpm.city="pune","Maharashtra",IF(_xlpm.city="jamshedpur","Jharkhand",IF(_xlpm.city="bhilai","Chhattisgarh",IF(_xlpm.city="mumbai","Maharashtra",_xlpm.st)))))</f>
        <v>Goa</v>
      </c>
      <c r="AH125" t="str">
        <f>_xlfn.LET(_xlpm.d,PROPER(TRIM(tbl_FinancialData[[#This Row],[Department]])),IF(_xlpm.d="It","IT",_xlpm.d))</f>
        <v>Operations</v>
      </c>
      <c r="AI125" t="str">
        <f>_xlfn.LET(_xlpm.pid,tbl_FinancialData[[#This Row],[Product ID]],_xlpm.n,PROPER(TRIM(tbl_FinancialData[[#This Row],[Product Name]])),IF(_xlpm.pid="P020","Document Scanner",IF(_xlpm.pid="P015","Network Router",SUBSTITUTE(SUBSTITUTE(_xlpm.n,"Crm","CRM"),"Ups","UPS"))))</f>
        <v>Document Scanner</v>
      </c>
      <c r="AJ125" s="3" t="str">
        <f>UPPER(TRIM(tbl_FinancialData[[#This Row],[Cost Center]]))</f>
        <v>CC-1001</v>
      </c>
    </row>
    <row r="126" spans="1:36" x14ac:dyDescent="0.25">
      <c r="A126" s="3" t="s">
        <v>320</v>
      </c>
      <c r="B126" s="2">
        <v>46049</v>
      </c>
      <c r="C126" t="s">
        <v>77</v>
      </c>
      <c r="D126" s="3" t="str">
        <f t="shared" si="7"/>
        <v>Q4</v>
      </c>
      <c r="E126" s="3" t="str">
        <f t="shared" si="8"/>
        <v>FY2026</v>
      </c>
      <c r="F126" s="8" t="s">
        <v>47</v>
      </c>
      <c r="G126" s="3" t="s">
        <v>35</v>
      </c>
      <c r="H126" t="s">
        <v>214</v>
      </c>
      <c r="I126" t="s">
        <v>321</v>
      </c>
      <c r="J126" s="3" t="s">
        <v>38</v>
      </c>
      <c r="K126" t="s">
        <v>50</v>
      </c>
      <c r="L126" s="3" t="s">
        <v>94</v>
      </c>
      <c r="M126" s="3" t="s">
        <v>52</v>
      </c>
      <c r="N126" t="s">
        <v>53</v>
      </c>
      <c r="O126" t="s">
        <v>54</v>
      </c>
      <c r="P126" t="s">
        <v>55</v>
      </c>
      <c r="Q126" s="3">
        <v>9989.02</v>
      </c>
      <c r="R126" s="3">
        <v>10681.77</v>
      </c>
      <c r="S126" s="3">
        <v>4914.22</v>
      </c>
      <c r="T126" s="3">
        <v>1221.79</v>
      </c>
      <c r="U126" s="3">
        <v>840.18</v>
      </c>
      <c r="V126" s="3">
        <v>1023.05</v>
      </c>
      <c r="W126" s="3">
        <v>102.35</v>
      </c>
      <c r="X126" s="3">
        <v>8101.58</v>
      </c>
      <c r="Y126" s="3">
        <v>5074.8</v>
      </c>
      <c r="Z126" s="3">
        <f t="shared" si="9"/>
        <v>1887.4400000000005</v>
      </c>
      <c r="AA126" s="37">
        <f t="shared" si="10"/>
        <v>0.18895146871264654</v>
      </c>
      <c r="AB126" s="3">
        <v>-692.75</v>
      </c>
      <c r="AC126" s="3">
        <v>0</v>
      </c>
      <c r="AD126" s="3">
        <v>499.45</v>
      </c>
      <c r="AE126" s="3">
        <v>10488.48</v>
      </c>
      <c r="AF126" t="str">
        <f>IF(tbl_FinancialData[[#This Row],[City]]="","Unknown",PROPER(TRIM(tbl_FinancialData[[#This Row],[City]])))</f>
        <v>Bengaluru</v>
      </c>
      <c r="AG126" t="str">
        <f>_xlfn.LET(_xlpm.city,LOWER(TRIM(tbl_FinancialData[[#This Row],[City]])),_xlpm.st,PROPER(TRIM(tbl_FinancialData[[#This Row],[State]])),IF(_xlpm.city="pune","Maharashtra",IF(_xlpm.city="jamshedpur","Jharkhand",IF(_xlpm.city="bhilai","Chhattisgarh",IF(_xlpm.city="mumbai","Maharashtra",_xlpm.st)))))</f>
        <v>Karnataka</v>
      </c>
      <c r="AH126" t="str">
        <f>_xlfn.LET(_xlpm.d,PROPER(TRIM(tbl_FinancialData[[#This Row],[Department]])),IF(_xlpm.d="It","IT",_xlpm.d))</f>
        <v>Sales</v>
      </c>
      <c r="AI126" t="str">
        <f>_xlfn.LET(_xlpm.pid,tbl_FinancialData[[#This Row],[Product ID]],_xlpm.n,PROPER(TRIM(tbl_FinancialData[[#This Row],[Product Name]])),IF(_xlpm.pid="P020","Document Scanner",IF(_xlpm.pid="P015","Network Router",SUBSTITUTE(SUBSTITUTE(_xlpm.n,"Crm","CRM"),"Ups","UPS"))))</f>
        <v>Mouse</v>
      </c>
      <c r="AJ126" s="3" t="str">
        <f>UPPER(TRIM(tbl_FinancialData[[#This Row],[Cost Center]]))</f>
        <v>CC-1001</v>
      </c>
    </row>
    <row r="127" spans="1:36" x14ac:dyDescent="0.25">
      <c r="A127" s="3" t="s">
        <v>322</v>
      </c>
      <c r="B127" s="2">
        <v>46111</v>
      </c>
      <c r="C127" t="s">
        <v>125</v>
      </c>
      <c r="D127" s="3" t="str">
        <f t="shared" si="7"/>
        <v>Q4</v>
      </c>
      <c r="E127" s="3" t="str">
        <f t="shared" si="8"/>
        <v>FY2026</v>
      </c>
      <c r="F127" s="8" t="s">
        <v>59</v>
      </c>
      <c r="G127" s="3" t="s">
        <v>35</v>
      </c>
      <c r="H127" t="s">
        <v>139</v>
      </c>
      <c r="I127" t="s">
        <v>200</v>
      </c>
      <c r="J127" s="3" t="s">
        <v>38</v>
      </c>
      <c r="K127" t="s">
        <v>50</v>
      </c>
      <c r="L127" s="3" t="s">
        <v>72</v>
      </c>
      <c r="M127" s="3" t="s">
        <v>52</v>
      </c>
      <c r="N127" t="s">
        <v>53</v>
      </c>
      <c r="O127" t="s">
        <v>54</v>
      </c>
      <c r="P127" t="s">
        <v>55</v>
      </c>
      <c r="Q127" s="3">
        <v>3084.84</v>
      </c>
      <c r="R127" s="3">
        <v>2943.23</v>
      </c>
      <c r="S127" s="3">
        <v>2151.6799999999998</v>
      </c>
      <c r="T127" s="3">
        <v>215.83</v>
      </c>
      <c r="U127" s="3">
        <v>131.65</v>
      </c>
      <c r="V127" s="3">
        <v>310.8</v>
      </c>
      <c r="W127" s="3">
        <v>79.41</v>
      </c>
      <c r="X127" s="3">
        <v>2889.37</v>
      </c>
      <c r="Y127" s="3">
        <v>933.16</v>
      </c>
      <c r="Z127" s="3">
        <f t="shared" si="9"/>
        <v>195.47000000000025</v>
      </c>
      <c r="AA127" s="37">
        <f t="shared" si="10"/>
        <v>6.3364712594494443E-2</v>
      </c>
      <c r="AB127" s="3">
        <v>141.61000000000001</v>
      </c>
      <c r="AC127" s="3">
        <v>154.24</v>
      </c>
      <c r="AD127" s="3">
        <v>146.53</v>
      </c>
      <c r="AE127" s="3">
        <v>3077.13</v>
      </c>
      <c r="AF127" t="str">
        <f>IF(tbl_FinancialData[[#This Row],[City]]="","Unknown",PROPER(TRIM(tbl_FinancialData[[#This Row],[City]])))</f>
        <v>Gurugram</v>
      </c>
      <c r="AG127" t="str">
        <f>_xlfn.LET(_xlpm.city,LOWER(TRIM(tbl_FinancialData[[#This Row],[City]])),_xlpm.st,PROPER(TRIM(tbl_FinancialData[[#This Row],[State]])),IF(_xlpm.city="pune","Maharashtra",IF(_xlpm.city="jamshedpur","Jharkhand",IF(_xlpm.city="bhilai","Chhattisgarh",IF(_xlpm.city="mumbai","Maharashtra",_xlpm.st)))))</f>
        <v>Haryana</v>
      </c>
      <c r="AH127" t="str">
        <f>_xlfn.LET(_xlpm.d,PROPER(TRIM(tbl_FinancialData[[#This Row],[Department]])),IF(_xlpm.d="It","IT",_xlpm.d))</f>
        <v>Sales</v>
      </c>
      <c r="AI127" t="str">
        <f>_xlfn.LET(_xlpm.pid,tbl_FinancialData[[#This Row],[Product ID]],_xlpm.n,PROPER(TRIM(tbl_FinancialData[[#This Row],[Product Name]])),IF(_xlpm.pid="P020","Document Scanner",IF(_xlpm.pid="P015","Network Router",SUBSTITUTE(SUBSTITUTE(_xlpm.n,"Crm","CRM"),"Ups","UPS"))))</f>
        <v>Mouse</v>
      </c>
      <c r="AJ127" s="3" t="str">
        <f>UPPER(TRIM(tbl_FinancialData[[#This Row],[Cost Center]]))</f>
        <v>CC-1004</v>
      </c>
    </row>
    <row r="128" spans="1:36" x14ac:dyDescent="0.25">
      <c r="A128" s="3" t="s">
        <v>323</v>
      </c>
      <c r="B128" s="2">
        <v>46048</v>
      </c>
      <c r="C128" t="s">
        <v>77</v>
      </c>
      <c r="D128" s="3" t="str">
        <f t="shared" si="7"/>
        <v>Q4</v>
      </c>
      <c r="E128" s="3" t="str">
        <f t="shared" si="8"/>
        <v>FY2026</v>
      </c>
      <c r="F128" s="8" t="s">
        <v>85</v>
      </c>
      <c r="G128" s="3" t="s">
        <v>35</v>
      </c>
      <c r="H128" t="s">
        <v>60</v>
      </c>
      <c r="I128" t="s">
        <v>185</v>
      </c>
      <c r="J128" s="3" t="s">
        <v>100</v>
      </c>
      <c r="K128" t="s">
        <v>39</v>
      </c>
      <c r="L128" s="3" t="s">
        <v>81</v>
      </c>
      <c r="M128" s="3" t="s">
        <v>211</v>
      </c>
      <c r="N128" t="s">
        <v>212</v>
      </c>
      <c r="O128" t="s">
        <v>112</v>
      </c>
      <c r="P128" t="s">
        <v>113</v>
      </c>
      <c r="Q128" s="3">
        <v>18116.86</v>
      </c>
      <c r="R128" s="3">
        <v>16412.560000000001</v>
      </c>
      <c r="S128" s="3">
        <v>9725.64</v>
      </c>
      <c r="T128" s="3">
        <v>1967.42</v>
      </c>
      <c r="U128" s="3">
        <v>1098.6199999999999</v>
      </c>
      <c r="V128" s="3">
        <v>910.17</v>
      </c>
      <c r="W128" s="3">
        <v>740.52</v>
      </c>
      <c r="X128" s="3">
        <v>14442.38</v>
      </c>
      <c r="Y128" s="3">
        <v>8391.2199999999993</v>
      </c>
      <c r="Z128" s="3">
        <f t="shared" si="9"/>
        <v>3674.4800000000014</v>
      </c>
      <c r="AA128" s="37">
        <f t="shared" si="10"/>
        <v>0.20282101865334287</v>
      </c>
      <c r="AB128" s="3">
        <v>1704.3</v>
      </c>
      <c r="AC128" s="3">
        <v>543.51</v>
      </c>
      <c r="AD128" s="3">
        <v>3163.2</v>
      </c>
      <c r="AE128" s="3">
        <v>20736.560000000001</v>
      </c>
      <c r="AF128" t="str">
        <f>IF(tbl_FinancialData[[#This Row],[City]]="","Unknown",PROPER(TRIM(tbl_FinancialData[[#This Row],[City]])))</f>
        <v>Kanpur</v>
      </c>
      <c r="AG128" t="str">
        <f>_xlfn.LET(_xlpm.city,LOWER(TRIM(tbl_FinancialData[[#This Row],[City]])),_xlpm.st,PROPER(TRIM(tbl_FinancialData[[#This Row],[State]])),IF(_xlpm.city="pune","Maharashtra",IF(_xlpm.city="jamshedpur","Jharkhand",IF(_xlpm.city="bhilai","Chhattisgarh",IF(_xlpm.city="mumbai","Maharashtra",_xlpm.st)))))</f>
        <v>Uttar Pradesh</v>
      </c>
      <c r="AH128" t="str">
        <f>_xlfn.LET(_xlpm.d,PROPER(TRIM(tbl_FinancialData[[#This Row],[Department]])),IF(_xlpm.d="It","IT",_xlpm.d))</f>
        <v>Operations</v>
      </c>
      <c r="AI128" t="str">
        <f>_xlfn.LET(_xlpm.pid,tbl_FinancialData[[#This Row],[Product ID]],_xlpm.n,PROPER(TRIM(tbl_FinancialData[[#This Row],[Product Name]])),IF(_xlpm.pid="P020","Document Scanner",IF(_xlpm.pid="P015","Network Router",SUBSTITUTE(SUBSTITUTE(_xlpm.n,"Crm","CRM"),"Ups","UPS"))))</f>
        <v>Office Chair</v>
      </c>
      <c r="AJ128" s="3" t="str">
        <f>UPPER(TRIM(tbl_FinancialData[[#This Row],[Cost Center]]))</f>
        <v>CC-1005</v>
      </c>
    </row>
    <row r="129" spans="1:36" x14ac:dyDescent="0.25">
      <c r="A129" s="3" t="s">
        <v>324</v>
      </c>
      <c r="B129" s="2">
        <v>45889</v>
      </c>
      <c r="C129" t="s">
        <v>117</v>
      </c>
      <c r="D129" s="3" t="str">
        <f t="shared" si="7"/>
        <v>Q2</v>
      </c>
      <c r="E129" s="3" t="str">
        <f t="shared" si="8"/>
        <v>FY2026</v>
      </c>
      <c r="F129" s="8" t="s">
        <v>34</v>
      </c>
      <c r="G129" s="3" t="s">
        <v>35</v>
      </c>
      <c r="H129" t="s">
        <v>157</v>
      </c>
      <c r="I129" t="s">
        <v>158</v>
      </c>
      <c r="J129" s="3" t="s">
        <v>100</v>
      </c>
      <c r="K129" t="s">
        <v>50</v>
      </c>
      <c r="L129" s="3" t="s">
        <v>40</v>
      </c>
      <c r="M129" s="3" t="s">
        <v>110</v>
      </c>
      <c r="N129" t="s">
        <v>111</v>
      </c>
      <c r="O129" t="s">
        <v>112</v>
      </c>
      <c r="P129" t="s">
        <v>113</v>
      </c>
      <c r="Q129" s="3">
        <v>21016.86</v>
      </c>
      <c r="R129" s="3">
        <v>24623.38</v>
      </c>
      <c r="S129" s="3">
        <v>13157.53</v>
      </c>
      <c r="T129" s="3">
        <v>1638.48</v>
      </c>
      <c r="U129" s="3">
        <v>681.29</v>
      </c>
      <c r="V129" s="3">
        <v>1094.97</v>
      </c>
      <c r="W129" s="3">
        <v>375.91</v>
      </c>
      <c r="X129" s="3">
        <v>16948.18</v>
      </c>
      <c r="Y129" s="3">
        <v>7859.33</v>
      </c>
      <c r="Z129" s="3">
        <f t="shared" si="9"/>
        <v>4068.6800000000003</v>
      </c>
      <c r="AA129" s="37">
        <f t="shared" si="10"/>
        <v>0.1935912405563914</v>
      </c>
      <c r="AB129" s="3">
        <v>-3606.53</v>
      </c>
      <c r="AC129" s="3">
        <v>420.34</v>
      </c>
      <c r="AD129" s="3">
        <v>3707.37</v>
      </c>
      <c r="AE129" s="3">
        <v>24303.89</v>
      </c>
      <c r="AF129" t="str">
        <f>IF(tbl_FinancialData[[#This Row],[City]]="","Unknown",PROPER(TRIM(tbl_FinancialData[[#This Row],[City]])))</f>
        <v>Ahmedabad</v>
      </c>
      <c r="AG129" t="str">
        <f>_xlfn.LET(_xlpm.city,LOWER(TRIM(tbl_FinancialData[[#This Row],[City]])),_xlpm.st,PROPER(TRIM(tbl_FinancialData[[#This Row],[State]])),IF(_xlpm.city="pune","Maharashtra",IF(_xlpm.city="jamshedpur","Jharkhand",IF(_xlpm.city="bhilai","Chhattisgarh",IF(_xlpm.city="mumbai","Maharashtra",_xlpm.st)))))</f>
        <v>Gujarat</v>
      </c>
      <c r="AH129" t="str">
        <f>_xlfn.LET(_xlpm.d,PROPER(TRIM(tbl_FinancialData[[#This Row],[Department]])),IF(_xlpm.d="It","IT",_xlpm.d))</f>
        <v>Sales</v>
      </c>
      <c r="AI129" t="str">
        <f>_xlfn.LET(_xlpm.pid,tbl_FinancialData[[#This Row],[Product ID]],_xlpm.n,PROPER(TRIM(tbl_FinancialData[[#This Row],[Product Name]])),IF(_xlpm.pid="P020","Document Scanner",IF(_xlpm.pid="P015","Network Router",SUBSTITUTE(SUBSTITUTE(_xlpm.n,"Crm","CRM"),"Ups","UPS"))))</f>
        <v>Office Desk</v>
      </c>
      <c r="AJ129" s="3" t="str">
        <f>UPPER(TRIM(tbl_FinancialData[[#This Row],[Cost Center]]))</f>
        <v>CC-1002</v>
      </c>
    </row>
    <row r="130" spans="1:36" x14ac:dyDescent="0.25">
      <c r="A130" s="3" t="s">
        <v>325</v>
      </c>
      <c r="B130" s="2">
        <v>46036</v>
      </c>
      <c r="C130" t="s">
        <v>77</v>
      </c>
      <c r="D130" s="3" t="str">
        <f t="shared" ref="D130:D193" si="11">"Q"&amp;INT(MOD(MONTH(B130)-4,12)/3)+1</f>
        <v>Q4</v>
      </c>
      <c r="E130" s="3" t="str">
        <f t="shared" ref="E130:E193" si="12">"FY"&amp; (YEAR(B130)+(MONTH(B130)&gt;=4))</f>
        <v>FY2026</v>
      </c>
      <c r="F130" s="8" t="s">
        <v>67</v>
      </c>
      <c r="G130" s="3" t="s">
        <v>35</v>
      </c>
      <c r="H130" t="s">
        <v>168</v>
      </c>
      <c r="I130" t="s">
        <v>169</v>
      </c>
      <c r="J130" s="3" t="s">
        <v>100</v>
      </c>
      <c r="K130" t="s">
        <v>101</v>
      </c>
      <c r="L130" s="3" t="s">
        <v>51</v>
      </c>
      <c r="M130" s="3" t="s">
        <v>62</v>
      </c>
      <c r="N130" t="s">
        <v>63</v>
      </c>
      <c r="O130" t="s">
        <v>54</v>
      </c>
      <c r="P130" t="s">
        <v>55</v>
      </c>
      <c r="Q130" s="3">
        <v>7960.14</v>
      </c>
      <c r="R130" s="3">
        <v>8468.56</v>
      </c>
      <c r="S130" s="3">
        <v>4252.91</v>
      </c>
      <c r="T130" s="3">
        <v>937.33</v>
      </c>
      <c r="U130" s="3">
        <v>420.78</v>
      </c>
      <c r="V130" s="3">
        <v>408.17</v>
      </c>
      <c r="W130" s="3">
        <v>264.64999999999998</v>
      </c>
      <c r="X130" s="3">
        <v>6283.84</v>
      </c>
      <c r="Y130" s="3">
        <v>3707.23</v>
      </c>
      <c r="Z130" s="3">
        <f t="shared" si="9"/>
        <v>1676.3000000000002</v>
      </c>
      <c r="AA130" s="37">
        <f t="shared" si="10"/>
        <v>0.21058674847427308</v>
      </c>
      <c r="AB130" s="3">
        <v>-508.41</v>
      </c>
      <c r="AC130" s="3">
        <v>159.19999999999999</v>
      </c>
      <c r="AD130" s="3">
        <v>390.05</v>
      </c>
      <c r="AE130" s="3">
        <v>8190.99</v>
      </c>
      <c r="AF130" t="str">
        <f>IF(tbl_FinancialData[[#This Row],[City]]="","Unknown",PROPER(TRIM(tbl_FinancialData[[#This Row],[City]])))</f>
        <v>Kolkata</v>
      </c>
      <c r="AG130" t="str">
        <f>_xlfn.LET(_xlpm.city,LOWER(TRIM(tbl_FinancialData[[#This Row],[City]])),_xlpm.st,PROPER(TRIM(tbl_FinancialData[[#This Row],[State]])),IF(_xlpm.city="pune","Maharashtra",IF(_xlpm.city="jamshedpur","Jharkhand",IF(_xlpm.city="bhilai","Chhattisgarh",IF(_xlpm.city="mumbai","Maharashtra",_xlpm.st)))))</f>
        <v>West Bengal</v>
      </c>
      <c r="AH130" t="str">
        <f>_xlfn.LET(_xlpm.d,PROPER(TRIM(tbl_FinancialData[[#This Row],[Department]])),IF(_xlpm.d="It","IT",_xlpm.d))</f>
        <v>Finance</v>
      </c>
      <c r="AI130" t="str">
        <f>_xlfn.LET(_xlpm.pid,tbl_FinancialData[[#This Row],[Product ID]],_xlpm.n,PROPER(TRIM(tbl_FinancialData[[#This Row],[Product Name]])),IF(_xlpm.pid="P020","Document Scanner",IF(_xlpm.pid="P015","Network Router",SUBSTITUTE(SUBSTITUTE(_xlpm.n,"Crm","CRM"),"Ups","UPS"))))</f>
        <v>Keyboard</v>
      </c>
      <c r="AJ130" s="3" t="str">
        <f>UPPER(TRIM(tbl_FinancialData[[#This Row],[Cost Center]]))</f>
        <v>CC-1003</v>
      </c>
    </row>
    <row r="131" spans="1:36" x14ac:dyDescent="0.25">
      <c r="A131" s="3" t="s">
        <v>326</v>
      </c>
      <c r="B131" s="2">
        <v>45891</v>
      </c>
      <c r="C131" t="s">
        <v>117</v>
      </c>
      <c r="D131" s="3" t="str">
        <f t="shared" si="11"/>
        <v>Q2</v>
      </c>
      <c r="E131" s="3" t="str">
        <f t="shared" si="12"/>
        <v>FY2026</v>
      </c>
      <c r="F131" s="8" t="s">
        <v>67</v>
      </c>
      <c r="G131" s="3" t="s">
        <v>35</v>
      </c>
      <c r="H131" t="s">
        <v>168</v>
      </c>
      <c r="I131" t="s">
        <v>278</v>
      </c>
      <c r="J131" s="3" t="s">
        <v>100</v>
      </c>
      <c r="K131" t="s">
        <v>50</v>
      </c>
      <c r="L131" s="3" t="s">
        <v>72</v>
      </c>
      <c r="M131" s="3" t="s">
        <v>52</v>
      </c>
      <c r="N131" t="s">
        <v>53</v>
      </c>
      <c r="O131" t="s">
        <v>54</v>
      </c>
      <c r="P131" t="s">
        <v>55</v>
      </c>
      <c r="Q131" s="3">
        <v>10827.69</v>
      </c>
      <c r="R131" s="3">
        <v>11143.6</v>
      </c>
      <c r="S131" s="3">
        <v>6080.25</v>
      </c>
      <c r="T131" s="3">
        <v>1296.8399999999999</v>
      </c>
      <c r="U131" s="3">
        <v>654.16</v>
      </c>
      <c r="V131" s="3">
        <v>1090.07</v>
      </c>
      <c r="W131" s="3">
        <v>394.06</v>
      </c>
      <c r="X131" s="3">
        <v>9515.3700000000008</v>
      </c>
      <c r="Y131" s="3">
        <v>4747.4399999999996</v>
      </c>
      <c r="Z131" s="3">
        <f t="shared" ref="Z131:Z194" si="13">Q131-X131</f>
        <v>1312.3199999999997</v>
      </c>
      <c r="AA131" s="37">
        <f t="shared" ref="AA131:AA194" si="14">Z131/Q131</f>
        <v>0.1212003668372478</v>
      </c>
      <c r="AB131" s="3">
        <v>-315.92</v>
      </c>
      <c r="AC131" s="3">
        <v>0</v>
      </c>
      <c r="AD131" s="3">
        <v>541.38</v>
      </c>
      <c r="AE131" s="3">
        <v>11369.07</v>
      </c>
      <c r="AF131" t="str">
        <f>IF(tbl_FinancialData[[#This Row],[City]]="","Unknown",PROPER(TRIM(tbl_FinancialData[[#This Row],[City]])))</f>
        <v>Siliguri</v>
      </c>
      <c r="AG131" t="str">
        <f>_xlfn.LET(_xlpm.city,LOWER(TRIM(tbl_FinancialData[[#This Row],[City]])),_xlpm.st,PROPER(TRIM(tbl_FinancialData[[#This Row],[State]])),IF(_xlpm.city="pune","Maharashtra",IF(_xlpm.city="jamshedpur","Jharkhand",IF(_xlpm.city="bhilai","Chhattisgarh",IF(_xlpm.city="mumbai","Maharashtra",_xlpm.st)))))</f>
        <v>West Bengal</v>
      </c>
      <c r="AH131" t="str">
        <f>_xlfn.LET(_xlpm.d,PROPER(TRIM(tbl_FinancialData[[#This Row],[Department]])),IF(_xlpm.d="It","IT",_xlpm.d))</f>
        <v>Sales</v>
      </c>
      <c r="AI131" t="str">
        <f>_xlfn.LET(_xlpm.pid,tbl_FinancialData[[#This Row],[Product ID]],_xlpm.n,PROPER(TRIM(tbl_FinancialData[[#This Row],[Product Name]])),IF(_xlpm.pid="P020","Document Scanner",IF(_xlpm.pid="P015","Network Router",SUBSTITUTE(SUBSTITUTE(_xlpm.n,"Crm","CRM"),"Ups","UPS"))))</f>
        <v>Mouse</v>
      </c>
      <c r="AJ131" s="3" t="str">
        <f>UPPER(TRIM(tbl_FinancialData[[#This Row],[Cost Center]]))</f>
        <v>CC-1004</v>
      </c>
    </row>
    <row r="132" spans="1:36" x14ac:dyDescent="0.25">
      <c r="A132" s="3" t="s">
        <v>327</v>
      </c>
      <c r="B132" s="2">
        <v>45826</v>
      </c>
      <c r="C132" t="s">
        <v>156</v>
      </c>
      <c r="D132" s="3" t="str">
        <f t="shared" si="11"/>
        <v>Q1</v>
      </c>
      <c r="E132" s="3" t="str">
        <f t="shared" si="12"/>
        <v>FY2026</v>
      </c>
      <c r="F132" s="8" t="s">
        <v>85</v>
      </c>
      <c r="G132" s="3" t="s">
        <v>35</v>
      </c>
      <c r="H132" t="s">
        <v>178</v>
      </c>
      <c r="I132" t="s">
        <v>179</v>
      </c>
      <c r="J132" s="3" t="s">
        <v>80</v>
      </c>
      <c r="K132" t="s">
        <v>101</v>
      </c>
      <c r="L132" s="3" t="s">
        <v>40</v>
      </c>
      <c r="M132" s="3" t="s">
        <v>130</v>
      </c>
      <c r="N132" t="s">
        <v>131</v>
      </c>
      <c r="O132" t="s">
        <v>43</v>
      </c>
      <c r="P132" t="s">
        <v>132</v>
      </c>
      <c r="Q132" s="3">
        <v>15211.82</v>
      </c>
      <c r="R132" s="3">
        <v>15503.57</v>
      </c>
      <c r="S132" s="3">
        <v>10621.09</v>
      </c>
      <c r="T132" s="3">
        <v>1416.16</v>
      </c>
      <c r="U132" s="3">
        <v>872.52</v>
      </c>
      <c r="V132" s="3">
        <v>736.83</v>
      </c>
      <c r="W132" s="3">
        <v>501.8</v>
      </c>
      <c r="X132" s="3">
        <v>14148.39</v>
      </c>
      <c r="Y132" s="3">
        <v>4590.7299999999996</v>
      </c>
      <c r="Z132" s="3">
        <f t="shared" si="13"/>
        <v>1063.4300000000003</v>
      </c>
      <c r="AA132" s="37">
        <f t="shared" si="14"/>
        <v>6.9908137224868577E-2</v>
      </c>
      <c r="AB132" s="3">
        <v>-291.75</v>
      </c>
      <c r="AC132" s="3">
        <v>1216.95</v>
      </c>
      <c r="AD132" s="3">
        <v>1679.38</v>
      </c>
      <c r="AE132" s="3">
        <v>15674.26</v>
      </c>
      <c r="AF132" t="str">
        <f>IF(tbl_FinancialData[[#This Row],[City]]="","Unknown",PROPER(TRIM(tbl_FinancialData[[#This Row],[City]])))</f>
        <v>Bilaspur</v>
      </c>
      <c r="AG132" t="str">
        <f>_xlfn.LET(_xlpm.city,LOWER(TRIM(tbl_FinancialData[[#This Row],[City]])),_xlpm.st,PROPER(TRIM(tbl_FinancialData[[#This Row],[State]])),IF(_xlpm.city="pune","Maharashtra",IF(_xlpm.city="jamshedpur","Jharkhand",IF(_xlpm.city="bhilai","Chhattisgarh",IF(_xlpm.city="mumbai","Maharashtra",_xlpm.st)))))</f>
        <v>Chhattisgarh</v>
      </c>
      <c r="AH132" t="str">
        <f>_xlfn.LET(_xlpm.d,PROPER(TRIM(tbl_FinancialData[[#This Row],[Department]])),IF(_xlpm.d="It","IT",_xlpm.d))</f>
        <v>Finance</v>
      </c>
      <c r="AI132" t="str">
        <f>_xlfn.LET(_xlpm.pid,tbl_FinancialData[[#This Row],[Product ID]],_xlpm.n,PROPER(TRIM(tbl_FinancialData[[#This Row],[Product Name]])),IF(_xlpm.pid="P020","Document Scanner",IF(_xlpm.pid="P015","Network Router",SUBSTITUTE(SUBSTITUTE(_xlpm.n,"Crm","CRM"),"Ups","UPS"))))</f>
        <v>UPS System</v>
      </c>
      <c r="AJ132" s="3" t="str">
        <f>UPPER(TRIM(tbl_FinancialData[[#This Row],[Cost Center]]))</f>
        <v>CC-1002</v>
      </c>
    </row>
    <row r="133" spans="1:36" x14ac:dyDescent="0.25">
      <c r="A133" s="3" t="s">
        <v>328</v>
      </c>
      <c r="B133" s="2">
        <v>45944</v>
      </c>
      <c r="C133" t="s">
        <v>92</v>
      </c>
      <c r="D133" s="3" t="str">
        <f t="shared" si="11"/>
        <v>Q3</v>
      </c>
      <c r="E133" s="3" t="str">
        <f t="shared" si="12"/>
        <v>FY2026</v>
      </c>
      <c r="F133" s="8" t="s">
        <v>85</v>
      </c>
      <c r="G133" s="3" t="s">
        <v>35</v>
      </c>
      <c r="H133" t="s">
        <v>178</v>
      </c>
      <c r="I133" t="s">
        <v>329</v>
      </c>
      <c r="J133" s="3" t="s">
        <v>38</v>
      </c>
      <c r="K133" t="s">
        <v>50</v>
      </c>
      <c r="L133" s="3" t="s">
        <v>94</v>
      </c>
      <c r="M133" s="3" t="s">
        <v>186</v>
      </c>
      <c r="N133" t="s">
        <v>187</v>
      </c>
      <c r="O133" t="s">
        <v>173</v>
      </c>
      <c r="P133" t="s">
        <v>174</v>
      </c>
      <c r="Q133" s="3">
        <v>16080.98</v>
      </c>
      <c r="R133" s="3">
        <v>16660.82</v>
      </c>
      <c r="S133" s="3">
        <v>9446.3700000000008</v>
      </c>
      <c r="T133" s="3">
        <v>1521.67</v>
      </c>
      <c r="U133" s="3">
        <v>575.57000000000005</v>
      </c>
      <c r="V133" s="3">
        <v>1432.46</v>
      </c>
      <c r="W133" s="3">
        <v>365.18</v>
      </c>
      <c r="X133" s="3">
        <v>13341.25</v>
      </c>
      <c r="Y133" s="3">
        <v>6634.62</v>
      </c>
      <c r="Z133" s="3">
        <f t="shared" si="13"/>
        <v>2739.7299999999996</v>
      </c>
      <c r="AA133" s="37">
        <f t="shared" si="14"/>
        <v>0.17037083560827759</v>
      </c>
      <c r="AB133" s="3">
        <v>-579.83000000000004</v>
      </c>
      <c r="AC133" s="3">
        <v>1286.48</v>
      </c>
      <c r="AD133" s="3">
        <v>739.73</v>
      </c>
      <c r="AE133" s="3">
        <v>15534.23</v>
      </c>
      <c r="AF133" t="str">
        <f>IF(tbl_FinancialData[[#This Row],[City]]="","Unknown",PROPER(TRIM(tbl_FinancialData[[#This Row],[City]])))</f>
        <v>Raipur</v>
      </c>
      <c r="AG133" t="str">
        <f>_xlfn.LET(_xlpm.city,LOWER(TRIM(tbl_FinancialData[[#This Row],[City]])),_xlpm.st,PROPER(TRIM(tbl_FinancialData[[#This Row],[State]])),IF(_xlpm.city="pune","Maharashtra",IF(_xlpm.city="jamshedpur","Jharkhand",IF(_xlpm.city="bhilai","Chhattisgarh",IF(_xlpm.city="mumbai","Maharashtra",_xlpm.st)))))</f>
        <v>Chhattisgarh</v>
      </c>
      <c r="AH133" t="str">
        <f>_xlfn.LET(_xlpm.d,PROPER(TRIM(tbl_FinancialData[[#This Row],[Department]])),IF(_xlpm.d="It","IT",_xlpm.d))</f>
        <v>Sales</v>
      </c>
      <c r="AI133" t="str">
        <f>_xlfn.LET(_xlpm.pid,tbl_FinancialData[[#This Row],[Product ID]],_xlpm.n,PROPER(TRIM(tbl_FinancialData[[#This Row],[Product Name]])),IF(_xlpm.pid="P020","Document Scanner",IF(_xlpm.pid="P015","Network Router",SUBSTITUTE(SUBSTITUTE(_xlpm.n,"Crm","CRM"),"Ups","UPS"))))</f>
        <v>Network Router</v>
      </c>
      <c r="AJ133" s="3" t="str">
        <f>UPPER(TRIM(tbl_FinancialData[[#This Row],[Cost Center]]))</f>
        <v>CC-1001</v>
      </c>
    </row>
    <row r="134" spans="1:36" x14ac:dyDescent="0.25">
      <c r="A134" s="3" t="s">
        <v>330</v>
      </c>
      <c r="B134" s="2">
        <v>45967</v>
      </c>
      <c r="C134" t="s">
        <v>147</v>
      </c>
      <c r="D134" s="3" t="str">
        <f t="shared" si="11"/>
        <v>Q3</v>
      </c>
      <c r="E134" s="3" t="str">
        <f t="shared" si="12"/>
        <v>FY2026</v>
      </c>
      <c r="F134" s="8" t="s">
        <v>47</v>
      </c>
      <c r="G134" s="3" t="s">
        <v>35</v>
      </c>
      <c r="H134" t="s">
        <v>78</v>
      </c>
      <c r="I134" t="s">
        <v>79</v>
      </c>
      <c r="J134" s="3" t="s">
        <v>38</v>
      </c>
      <c r="K134" t="s">
        <v>39</v>
      </c>
      <c r="L134" s="3" t="s">
        <v>51</v>
      </c>
      <c r="M134" s="3" t="s">
        <v>110</v>
      </c>
      <c r="N134" t="s">
        <v>111</v>
      </c>
      <c r="O134" t="s">
        <v>112</v>
      </c>
      <c r="P134" t="s">
        <v>113</v>
      </c>
      <c r="Q134" s="3">
        <v>19795.04</v>
      </c>
      <c r="R134" s="3">
        <v>17915.29</v>
      </c>
      <c r="S134" s="3">
        <v>13693.81</v>
      </c>
      <c r="T134" s="3">
        <v>2262.34</v>
      </c>
      <c r="U134" s="3">
        <v>1144.9100000000001</v>
      </c>
      <c r="V134" s="3">
        <v>2323.35</v>
      </c>
      <c r="W134" s="3">
        <v>487.39</v>
      </c>
      <c r="X134" s="3">
        <v>19911.8</v>
      </c>
      <c r="Y134" s="3">
        <v>6101.23</v>
      </c>
      <c r="Z134" s="3">
        <f t="shared" si="13"/>
        <v>-116.7599999999984</v>
      </c>
      <c r="AA134" s="37">
        <f t="shared" si="14"/>
        <v>-5.8984472878053492E-3</v>
      </c>
      <c r="AB134" s="3">
        <v>1879.75</v>
      </c>
      <c r="AC134" s="3">
        <v>1979.5</v>
      </c>
      <c r="AD134" s="3">
        <v>3206.8</v>
      </c>
      <c r="AE134" s="3">
        <v>21022.34</v>
      </c>
      <c r="AF134" t="str">
        <f>IF(tbl_FinancialData[[#This Row],[City]]="","Unknown",PROPER(TRIM(tbl_FinancialData[[#This Row],[City]])))</f>
        <v>Kochi</v>
      </c>
      <c r="AG134" t="str">
        <f>_xlfn.LET(_xlpm.city,LOWER(TRIM(tbl_FinancialData[[#This Row],[City]])),_xlpm.st,PROPER(TRIM(tbl_FinancialData[[#This Row],[State]])),IF(_xlpm.city="pune","Maharashtra",IF(_xlpm.city="jamshedpur","Jharkhand",IF(_xlpm.city="bhilai","Chhattisgarh",IF(_xlpm.city="mumbai","Maharashtra",_xlpm.st)))))</f>
        <v>Kerala</v>
      </c>
      <c r="AH134" t="str">
        <f>_xlfn.LET(_xlpm.d,PROPER(TRIM(tbl_FinancialData[[#This Row],[Department]])),IF(_xlpm.d="It","IT",_xlpm.d))</f>
        <v>Operations</v>
      </c>
      <c r="AI134" t="str">
        <f>_xlfn.LET(_xlpm.pid,tbl_FinancialData[[#This Row],[Product ID]],_xlpm.n,PROPER(TRIM(tbl_FinancialData[[#This Row],[Product Name]])),IF(_xlpm.pid="P020","Document Scanner",IF(_xlpm.pid="P015","Network Router",SUBSTITUTE(SUBSTITUTE(_xlpm.n,"Crm","CRM"),"Ups","UPS"))))</f>
        <v>Office Desk</v>
      </c>
      <c r="AJ134" s="3" t="str">
        <f>UPPER(TRIM(tbl_FinancialData[[#This Row],[Cost Center]]))</f>
        <v>CC-1003</v>
      </c>
    </row>
    <row r="135" spans="1:36" x14ac:dyDescent="0.25">
      <c r="A135" s="3" t="s">
        <v>331</v>
      </c>
      <c r="B135" s="2">
        <v>46016</v>
      </c>
      <c r="C135" t="s">
        <v>107</v>
      </c>
      <c r="D135" s="3" t="str">
        <f t="shared" si="11"/>
        <v>Q3</v>
      </c>
      <c r="E135" s="3" t="str">
        <f t="shared" si="12"/>
        <v>FY2026</v>
      </c>
      <c r="F135" s="8" t="s">
        <v>47</v>
      </c>
      <c r="G135" s="3" t="s">
        <v>35</v>
      </c>
      <c r="H135" t="s">
        <v>78</v>
      </c>
      <c r="I135" t="s">
        <v>115</v>
      </c>
      <c r="J135" s="3" t="s">
        <v>100</v>
      </c>
      <c r="K135" t="s">
        <v>101</v>
      </c>
      <c r="L135" s="3" t="s">
        <v>51</v>
      </c>
      <c r="M135" s="3" t="s">
        <v>110</v>
      </c>
      <c r="N135" t="s">
        <v>111</v>
      </c>
      <c r="O135" t="s">
        <v>112</v>
      </c>
      <c r="P135" t="s">
        <v>113</v>
      </c>
      <c r="Q135" s="3">
        <v>21664.32</v>
      </c>
      <c r="R135" s="3">
        <v>23739.9</v>
      </c>
      <c r="S135" s="3">
        <v>15027.72</v>
      </c>
      <c r="T135" s="3">
        <v>1220.8399999999999</v>
      </c>
      <c r="U135" s="3">
        <v>1571.69</v>
      </c>
      <c r="V135" s="3">
        <v>1191.3900000000001</v>
      </c>
      <c r="W135" s="3">
        <v>867.36</v>
      </c>
      <c r="X135" s="3">
        <v>19878.990000000002</v>
      </c>
      <c r="Y135" s="3">
        <v>6636.61</v>
      </c>
      <c r="Z135" s="3">
        <f t="shared" si="13"/>
        <v>1785.3299999999981</v>
      </c>
      <c r="AA135" s="37">
        <f t="shared" si="14"/>
        <v>8.2408771657730223E-2</v>
      </c>
      <c r="AB135" s="3">
        <v>-2075.5700000000002</v>
      </c>
      <c r="AC135" s="3">
        <v>1733.15</v>
      </c>
      <c r="AD135" s="3">
        <v>2391.7399999999998</v>
      </c>
      <c r="AE135" s="3">
        <v>22322.92</v>
      </c>
      <c r="AF135" t="str">
        <f>IF(tbl_FinancialData[[#This Row],[City]]="","Unknown",PROPER(TRIM(tbl_FinancialData[[#This Row],[City]])))</f>
        <v>Thiruvananthapuram</v>
      </c>
      <c r="AG135" t="str">
        <f>_xlfn.LET(_xlpm.city,LOWER(TRIM(tbl_FinancialData[[#This Row],[City]])),_xlpm.st,PROPER(TRIM(tbl_FinancialData[[#This Row],[State]])),IF(_xlpm.city="pune","Maharashtra",IF(_xlpm.city="jamshedpur","Jharkhand",IF(_xlpm.city="bhilai","Chhattisgarh",IF(_xlpm.city="mumbai","Maharashtra",_xlpm.st)))))</f>
        <v>Kerala</v>
      </c>
      <c r="AH135" t="str">
        <f>_xlfn.LET(_xlpm.d,PROPER(TRIM(tbl_FinancialData[[#This Row],[Department]])),IF(_xlpm.d="It","IT",_xlpm.d))</f>
        <v>Finance</v>
      </c>
      <c r="AI135" t="str">
        <f>_xlfn.LET(_xlpm.pid,tbl_FinancialData[[#This Row],[Product ID]],_xlpm.n,PROPER(TRIM(tbl_FinancialData[[#This Row],[Product Name]])),IF(_xlpm.pid="P020","Document Scanner",IF(_xlpm.pid="P015","Network Router",SUBSTITUTE(SUBSTITUTE(_xlpm.n,"Crm","CRM"),"Ups","UPS"))))</f>
        <v>Office Desk</v>
      </c>
      <c r="AJ135" s="3" t="str">
        <f>UPPER(TRIM(tbl_FinancialData[[#This Row],[Cost Center]]))</f>
        <v>CC-1003</v>
      </c>
    </row>
    <row r="136" spans="1:36" x14ac:dyDescent="0.25">
      <c r="A136" s="3" t="s">
        <v>332</v>
      </c>
      <c r="B136" s="2">
        <v>45958</v>
      </c>
      <c r="C136" t="s">
        <v>92</v>
      </c>
      <c r="D136" s="3" t="str">
        <f t="shared" si="11"/>
        <v>Q3</v>
      </c>
      <c r="E136" s="3" t="str">
        <f t="shared" si="12"/>
        <v>FY2026</v>
      </c>
      <c r="F136" s="8" t="s">
        <v>34</v>
      </c>
      <c r="G136" s="3" t="s">
        <v>35</v>
      </c>
      <c r="H136" t="s">
        <v>98</v>
      </c>
      <c r="I136" t="s">
        <v>149</v>
      </c>
      <c r="J136" s="3" t="s">
        <v>100</v>
      </c>
      <c r="K136" t="s">
        <v>71</v>
      </c>
      <c r="L136" s="3" t="s">
        <v>72</v>
      </c>
      <c r="M136" s="3" t="s">
        <v>62</v>
      </c>
      <c r="N136" t="s">
        <v>63</v>
      </c>
      <c r="O136" t="s">
        <v>54</v>
      </c>
      <c r="P136" t="s">
        <v>55</v>
      </c>
      <c r="Q136" s="3">
        <v>4176.51</v>
      </c>
      <c r="R136" s="3">
        <v>4713.09</v>
      </c>
      <c r="S136" s="3">
        <v>2340.7199999999998</v>
      </c>
      <c r="T136" s="3">
        <v>266.88</v>
      </c>
      <c r="U136" s="3">
        <v>297.70999999999998</v>
      </c>
      <c r="V136" s="3">
        <v>443.04</v>
      </c>
      <c r="W136" s="3">
        <v>56.48</v>
      </c>
      <c r="X136" s="3">
        <v>3404.83</v>
      </c>
      <c r="Y136" s="3">
        <v>1835.79</v>
      </c>
      <c r="Z136" s="3">
        <f t="shared" si="13"/>
        <v>771.68000000000029</v>
      </c>
      <c r="AA136" s="37">
        <f t="shared" si="14"/>
        <v>0.1847667071310736</v>
      </c>
      <c r="AB136" s="3">
        <v>-536.58000000000004</v>
      </c>
      <c r="AC136" s="3">
        <v>83.53</v>
      </c>
      <c r="AD136" s="3">
        <v>204.65</v>
      </c>
      <c r="AE136" s="3">
        <v>4297.63</v>
      </c>
      <c r="AF136" t="str">
        <f>IF(tbl_FinancialData[[#This Row],[City]]="","Unknown",PROPER(TRIM(tbl_FinancialData[[#This Row],[City]])))</f>
        <v>Nagpur</v>
      </c>
      <c r="AG136" t="str">
        <f>_xlfn.LET(_xlpm.city,LOWER(TRIM(tbl_FinancialData[[#This Row],[City]])),_xlpm.st,PROPER(TRIM(tbl_FinancialData[[#This Row],[State]])),IF(_xlpm.city="pune","Maharashtra",IF(_xlpm.city="jamshedpur","Jharkhand",IF(_xlpm.city="bhilai","Chhattisgarh",IF(_xlpm.city="mumbai","Maharashtra",_xlpm.st)))))</f>
        <v>Maharashtra</v>
      </c>
      <c r="AH136" t="str">
        <f>_xlfn.LET(_xlpm.d,PROPER(TRIM(tbl_FinancialData[[#This Row],[Department]])),IF(_xlpm.d="It","IT",_xlpm.d))</f>
        <v>Marketing</v>
      </c>
      <c r="AI136" t="str">
        <f>_xlfn.LET(_xlpm.pid,tbl_FinancialData[[#This Row],[Product ID]],_xlpm.n,PROPER(TRIM(tbl_FinancialData[[#This Row],[Product Name]])),IF(_xlpm.pid="P020","Document Scanner",IF(_xlpm.pid="P015","Network Router",SUBSTITUTE(SUBSTITUTE(_xlpm.n,"Crm","CRM"),"Ups","UPS"))))</f>
        <v>Keyboard</v>
      </c>
      <c r="AJ136" s="3" t="str">
        <f>UPPER(TRIM(tbl_FinancialData[[#This Row],[Cost Center]]))</f>
        <v>CC-1004</v>
      </c>
    </row>
    <row r="137" spans="1:36" x14ac:dyDescent="0.25">
      <c r="A137" s="3" t="s">
        <v>333</v>
      </c>
      <c r="B137" s="2">
        <v>45788</v>
      </c>
      <c r="C137" t="s">
        <v>65</v>
      </c>
      <c r="D137" s="3" t="str">
        <f t="shared" si="11"/>
        <v>Q1</v>
      </c>
      <c r="E137" s="3" t="str">
        <f t="shared" si="12"/>
        <v>FY2026</v>
      </c>
      <c r="F137" s="8" t="s">
        <v>34</v>
      </c>
      <c r="G137" s="3" t="s">
        <v>35</v>
      </c>
      <c r="H137" t="s">
        <v>157</v>
      </c>
      <c r="I137" t="s">
        <v>194</v>
      </c>
      <c r="J137" s="3" t="s">
        <v>70</v>
      </c>
      <c r="K137" t="s">
        <v>39</v>
      </c>
      <c r="L137" s="3" t="s">
        <v>94</v>
      </c>
      <c r="M137" s="3" t="s">
        <v>110</v>
      </c>
      <c r="N137" t="s">
        <v>111</v>
      </c>
      <c r="O137" t="s">
        <v>112</v>
      </c>
      <c r="P137" t="s">
        <v>113</v>
      </c>
      <c r="Q137" s="3">
        <v>32331.040000000001</v>
      </c>
      <c r="R137" s="3">
        <v>30914.7</v>
      </c>
      <c r="S137" s="3">
        <v>15760.34</v>
      </c>
      <c r="T137" s="3">
        <v>3528.73</v>
      </c>
      <c r="U137" s="3">
        <v>1031.76</v>
      </c>
      <c r="V137" s="3">
        <v>2107.7800000000002</v>
      </c>
      <c r="W137" s="3">
        <v>327.63</v>
      </c>
      <c r="X137" s="3">
        <v>22756.23</v>
      </c>
      <c r="Y137" s="3">
        <v>16570.7</v>
      </c>
      <c r="Z137" s="3">
        <f t="shared" si="13"/>
        <v>9574.8100000000013</v>
      </c>
      <c r="AA137" s="37">
        <f t="shared" si="14"/>
        <v>0.2961491495479267</v>
      </c>
      <c r="AB137" s="3">
        <v>1416.34</v>
      </c>
      <c r="AC137" s="3">
        <v>1616.55</v>
      </c>
      <c r="AD137" s="3">
        <v>1535.72</v>
      </c>
      <c r="AE137" s="3">
        <v>32250.22</v>
      </c>
      <c r="AF137" t="str">
        <f>IF(tbl_FinancialData[[#This Row],[City]]="","Unknown",PROPER(TRIM(tbl_FinancialData[[#This Row],[City]])))</f>
        <v>Surat</v>
      </c>
      <c r="AG137" t="str">
        <f>_xlfn.LET(_xlpm.city,LOWER(TRIM(tbl_FinancialData[[#This Row],[City]])),_xlpm.st,PROPER(TRIM(tbl_FinancialData[[#This Row],[State]])),IF(_xlpm.city="pune","Maharashtra",IF(_xlpm.city="jamshedpur","Jharkhand",IF(_xlpm.city="bhilai","Chhattisgarh",IF(_xlpm.city="mumbai","Maharashtra",_xlpm.st)))))</f>
        <v>Gujarat</v>
      </c>
      <c r="AH137" t="str">
        <f>_xlfn.LET(_xlpm.d,PROPER(TRIM(tbl_FinancialData[[#This Row],[Department]])),IF(_xlpm.d="It","IT",_xlpm.d))</f>
        <v>Operations</v>
      </c>
      <c r="AI137" t="str">
        <f>_xlfn.LET(_xlpm.pid,tbl_FinancialData[[#This Row],[Product ID]],_xlpm.n,PROPER(TRIM(tbl_FinancialData[[#This Row],[Product Name]])),IF(_xlpm.pid="P020","Document Scanner",IF(_xlpm.pid="P015","Network Router",SUBSTITUTE(SUBSTITUTE(_xlpm.n,"Crm","CRM"),"Ups","UPS"))))</f>
        <v>Office Desk</v>
      </c>
      <c r="AJ137" s="3" t="str">
        <f>UPPER(TRIM(tbl_FinancialData[[#This Row],[Cost Center]]))</f>
        <v>CC-1001</v>
      </c>
    </row>
    <row r="138" spans="1:36" x14ac:dyDescent="0.25">
      <c r="A138" s="3" t="s">
        <v>334</v>
      </c>
      <c r="B138" s="2">
        <v>45895</v>
      </c>
      <c r="C138" t="s">
        <v>117</v>
      </c>
      <c r="D138" s="3" t="str">
        <f t="shared" si="11"/>
        <v>Q2</v>
      </c>
      <c r="E138" s="3" t="str">
        <f t="shared" si="12"/>
        <v>FY2026</v>
      </c>
      <c r="F138" s="8" t="s">
        <v>47</v>
      </c>
      <c r="G138" s="3" t="s">
        <v>35</v>
      </c>
      <c r="H138" t="s">
        <v>78</v>
      </c>
      <c r="I138" t="s">
        <v>183</v>
      </c>
      <c r="J138" s="3" t="s">
        <v>70</v>
      </c>
      <c r="K138" t="s">
        <v>50</v>
      </c>
      <c r="L138" s="3" t="s">
        <v>51</v>
      </c>
      <c r="M138" s="3" t="s">
        <v>211</v>
      </c>
      <c r="N138" t="s">
        <v>212</v>
      </c>
      <c r="O138" t="s">
        <v>112</v>
      </c>
      <c r="P138" t="s">
        <v>113</v>
      </c>
      <c r="Q138" s="3">
        <v>23794.79</v>
      </c>
      <c r="R138" s="3">
        <v>23511.95</v>
      </c>
      <c r="S138" s="3">
        <v>11812.71</v>
      </c>
      <c r="T138" s="3">
        <v>2642.47</v>
      </c>
      <c r="U138" s="3">
        <v>1226.3800000000001</v>
      </c>
      <c r="V138" s="3">
        <v>2397.08</v>
      </c>
      <c r="W138" s="3">
        <v>990.49</v>
      </c>
      <c r="X138" s="3">
        <v>19069.14</v>
      </c>
      <c r="Y138" s="3">
        <v>11982.07</v>
      </c>
      <c r="Z138" s="3">
        <f t="shared" si="13"/>
        <v>4725.6500000000015</v>
      </c>
      <c r="AA138" s="37">
        <f t="shared" si="14"/>
        <v>0.19860019777438681</v>
      </c>
      <c r="AB138" s="3">
        <v>282.83999999999997</v>
      </c>
      <c r="AC138" s="3">
        <v>475.9</v>
      </c>
      <c r="AD138" s="3">
        <v>4197.3999999999996</v>
      </c>
      <c r="AE138" s="3">
        <v>27516.29</v>
      </c>
      <c r="AF138" t="str">
        <f>IF(tbl_FinancialData[[#This Row],[City]]="","Unknown",PROPER(TRIM(tbl_FinancialData[[#This Row],[City]])))</f>
        <v>Kozhikode</v>
      </c>
      <c r="AG138" t="str">
        <f>_xlfn.LET(_xlpm.city,LOWER(TRIM(tbl_FinancialData[[#This Row],[City]])),_xlpm.st,PROPER(TRIM(tbl_FinancialData[[#This Row],[State]])),IF(_xlpm.city="pune","Maharashtra",IF(_xlpm.city="jamshedpur","Jharkhand",IF(_xlpm.city="bhilai","Chhattisgarh",IF(_xlpm.city="mumbai","Maharashtra",_xlpm.st)))))</f>
        <v>Kerala</v>
      </c>
      <c r="AH138" t="str">
        <f>_xlfn.LET(_xlpm.d,PROPER(TRIM(tbl_FinancialData[[#This Row],[Department]])),IF(_xlpm.d="It","IT",_xlpm.d))</f>
        <v>Sales</v>
      </c>
      <c r="AI138" t="str">
        <f>_xlfn.LET(_xlpm.pid,tbl_FinancialData[[#This Row],[Product ID]],_xlpm.n,PROPER(TRIM(tbl_FinancialData[[#This Row],[Product Name]])),IF(_xlpm.pid="P020","Document Scanner",IF(_xlpm.pid="P015","Network Router",SUBSTITUTE(SUBSTITUTE(_xlpm.n,"Crm","CRM"),"Ups","UPS"))))</f>
        <v>Office Chair</v>
      </c>
      <c r="AJ138" s="3" t="str">
        <f>UPPER(TRIM(tbl_FinancialData[[#This Row],[Cost Center]]))</f>
        <v>CC-1003</v>
      </c>
    </row>
    <row r="139" spans="1:36" x14ac:dyDescent="0.25">
      <c r="A139" s="3" t="s">
        <v>335</v>
      </c>
      <c r="B139" s="2">
        <v>45999</v>
      </c>
      <c r="C139" t="s">
        <v>107</v>
      </c>
      <c r="D139" s="3" t="str">
        <f t="shared" si="11"/>
        <v>Q3</v>
      </c>
      <c r="E139" s="3" t="str">
        <f t="shared" si="12"/>
        <v>FY2026</v>
      </c>
      <c r="F139" s="8" t="s">
        <v>34</v>
      </c>
      <c r="G139" s="3" t="s">
        <v>35</v>
      </c>
      <c r="H139" t="s">
        <v>157</v>
      </c>
      <c r="I139" t="s">
        <v>166</v>
      </c>
      <c r="J139" s="3" t="s">
        <v>80</v>
      </c>
      <c r="K139" t="s">
        <v>71</v>
      </c>
      <c r="L139" s="3" t="s">
        <v>51</v>
      </c>
      <c r="M139" s="3" t="s">
        <v>73</v>
      </c>
      <c r="N139" t="s">
        <v>74</v>
      </c>
      <c r="O139" t="s">
        <v>43</v>
      </c>
      <c r="P139" t="s">
        <v>75</v>
      </c>
      <c r="Q139" s="3">
        <v>40034.300000000003</v>
      </c>
      <c r="R139" s="3">
        <v>45613.84</v>
      </c>
      <c r="S139" s="3">
        <v>24468.79</v>
      </c>
      <c r="T139" s="3">
        <v>3220.04</v>
      </c>
      <c r="U139" s="3">
        <v>3542.72</v>
      </c>
      <c r="V139" s="3">
        <v>1955.98</v>
      </c>
      <c r="W139" s="3">
        <v>992.42</v>
      </c>
      <c r="X139" s="3">
        <v>34179.94</v>
      </c>
      <c r="Y139" s="3">
        <v>15565.51</v>
      </c>
      <c r="Z139" s="3">
        <f t="shared" si="13"/>
        <v>5854.3600000000006</v>
      </c>
      <c r="AA139" s="37">
        <f t="shared" si="14"/>
        <v>0.1462336046839835</v>
      </c>
      <c r="AB139" s="3">
        <v>-5579.54</v>
      </c>
      <c r="AC139" s="3">
        <v>0</v>
      </c>
      <c r="AD139" s="3">
        <v>7206.17</v>
      </c>
      <c r="AE139" s="3">
        <v>47240.47</v>
      </c>
      <c r="AF139" t="str">
        <f>IF(tbl_FinancialData[[#This Row],[City]]="","Unknown",PROPER(TRIM(tbl_FinancialData[[#This Row],[City]])))</f>
        <v>Vadodara</v>
      </c>
      <c r="AG139" t="str">
        <f>_xlfn.LET(_xlpm.city,LOWER(TRIM(tbl_FinancialData[[#This Row],[City]])),_xlpm.st,PROPER(TRIM(tbl_FinancialData[[#This Row],[State]])),IF(_xlpm.city="pune","Maharashtra",IF(_xlpm.city="jamshedpur","Jharkhand",IF(_xlpm.city="bhilai","Chhattisgarh",IF(_xlpm.city="mumbai","Maharashtra",_xlpm.st)))))</f>
        <v>Gujarat</v>
      </c>
      <c r="AH139" t="str">
        <f>_xlfn.LET(_xlpm.d,PROPER(TRIM(tbl_FinancialData[[#This Row],[Department]])),IF(_xlpm.d="It","IT",_xlpm.d))</f>
        <v>Marketing</v>
      </c>
      <c r="AI139" t="str">
        <f>_xlfn.LET(_xlpm.pid,tbl_FinancialData[[#This Row],[Product ID]],_xlpm.n,PROPER(TRIM(tbl_FinancialData[[#This Row],[Product Name]])),IF(_xlpm.pid="P020","Document Scanner",IF(_xlpm.pid="P015","Network Router",SUBSTITUTE(SUBSTITUTE(_xlpm.n,"Crm","CRM"),"Ups","UPS"))))</f>
        <v>Monitor</v>
      </c>
      <c r="AJ139" s="3" t="str">
        <f>UPPER(TRIM(tbl_FinancialData[[#This Row],[Cost Center]]))</f>
        <v>CC-1003</v>
      </c>
    </row>
    <row r="140" spans="1:36" x14ac:dyDescent="0.25">
      <c r="A140" s="3" t="s">
        <v>336</v>
      </c>
      <c r="B140" s="2">
        <v>45901</v>
      </c>
      <c r="C140" t="s">
        <v>46</v>
      </c>
      <c r="D140" s="3" t="str">
        <f t="shared" si="11"/>
        <v>Q2</v>
      </c>
      <c r="E140" s="3" t="str">
        <f t="shared" si="12"/>
        <v>FY2026</v>
      </c>
      <c r="F140" s="8" t="s">
        <v>85</v>
      </c>
      <c r="G140" s="3" t="s">
        <v>35</v>
      </c>
      <c r="H140" t="s">
        <v>178</v>
      </c>
      <c r="I140" t="s">
        <v>329</v>
      </c>
      <c r="J140" s="3" t="s">
        <v>70</v>
      </c>
      <c r="K140" t="s">
        <v>160</v>
      </c>
      <c r="L140" s="3" t="s">
        <v>51</v>
      </c>
      <c r="M140" s="3" t="s">
        <v>52</v>
      </c>
      <c r="N140" t="s">
        <v>53</v>
      </c>
      <c r="O140" t="s">
        <v>54</v>
      </c>
      <c r="P140" t="s">
        <v>55</v>
      </c>
      <c r="Q140" s="3">
        <v>8342.7900000000009</v>
      </c>
      <c r="R140" s="3">
        <v>9798.94</v>
      </c>
      <c r="S140" s="3">
        <v>5248.64</v>
      </c>
      <c r="T140" s="3">
        <v>790.35</v>
      </c>
      <c r="U140" s="3">
        <v>549.25</v>
      </c>
      <c r="V140" s="3">
        <v>689.23</v>
      </c>
      <c r="W140" s="3">
        <v>268.87</v>
      </c>
      <c r="X140" s="3">
        <v>7546.35</v>
      </c>
      <c r="Y140" s="3">
        <v>3094.15</v>
      </c>
      <c r="Z140" s="3">
        <f t="shared" si="13"/>
        <v>796.44000000000051</v>
      </c>
      <c r="AA140" s="37">
        <f t="shared" si="14"/>
        <v>9.5464466922935906E-2</v>
      </c>
      <c r="AB140" s="3">
        <v>-1456.15</v>
      </c>
      <c r="AC140" s="3">
        <v>250.28</v>
      </c>
      <c r="AD140" s="3">
        <v>404.63</v>
      </c>
      <c r="AE140" s="3">
        <v>8497.1299999999992</v>
      </c>
      <c r="AF140" t="str">
        <f>IF(tbl_FinancialData[[#This Row],[City]]="","Unknown",PROPER(TRIM(tbl_FinancialData[[#This Row],[City]])))</f>
        <v>Raipur</v>
      </c>
      <c r="AG140" t="str">
        <f>_xlfn.LET(_xlpm.city,LOWER(TRIM(tbl_FinancialData[[#This Row],[City]])),_xlpm.st,PROPER(TRIM(tbl_FinancialData[[#This Row],[State]])),IF(_xlpm.city="pune","Maharashtra",IF(_xlpm.city="jamshedpur","Jharkhand",IF(_xlpm.city="bhilai","Chhattisgarh",IF(_xlpm.city="mumbai","Maharashtra",_xlpm.st)))))</f>
        <v>Chhattisgarh</v>
      </c>
      <c r="AH140" t="str">
        <f>_xlfn.LET(_xlpm.d,PROPER(TRIM(tbl_FinancialData[[#This Row],[Department]])),IF(_xlpm.d="It","IT",_xlpm.d))</f>
        <v>IT</v>
      </c>
      <c r="AI140" t="str">
        <f>_xlfn.LET(_xlpm.pid,tbl_FinancialData[[#This Row],[Product ID]],_xlpm.n,PROPER(TRIM(tbl_FinancialData[[#This Row],[Product Name]])),IF(_xlpm.pid="P020","Document Scanner",IF(_xlpm.pid="P015","Network Router",SUBSTITUTE(SUBSTITUTE(_xlpm.n,"Crm","CRM"),"Ups","UPS"))))</f>
        <v>Mouse</v>
      </c>
      <c r="AJ140" s="3" t="str">
        <f>UPPER(TRIM(tbl_FinancialData[[#This Row],[Cost Center]]))</f>
        <v>CC-1003</v>
      </c>
    </row>
    <row r="141" spans="1:36" x14ac:dyDescent="0.25">
      <c r="A141" s="3" t="s">
        <v>337</v>
      </c>
      <c r="B141" s="2">
        <v>46064</v>
      </c>
      <c r="C141" t="s">
        <v>57</v>
      </c>
      <c r="D141" s="3" t="str">
        <f t="shared" si="11"/>
        <v>Q4</v>
      </c>
      <c r="E141" s="3" t="str">
        <f t="shared" si="12"/>
        <v>FY2026</v>
      </c>
      <c r="F141" s="8" t="s">
        <v>59</v>
      </c>
      <c r="G141" s="3" t="s">
        <v>35</v>
      </c>
      <c r="H141" t="s">
        <v>254</v>
      </c>
      <c r="I141" t="s">
        <v>200</v>
      </c>
      <c r="J141" s="3" t="s">
        <v>80</v>
      </c>
      <c r="K141" t="s">
        <v>50</v>
      </c>
      <c r="L141" s="3" t="s">
        <v>72</v>
      </c>
      <c r="M141" s="3" t="s">
        <v>235</v>
      </c>
      <c r="N141" t="s">
        <v>236</v>
      </c>
      <c r="O141" t="s">
        <v>104</v>
      </c>
      <c r="P141" t="s">
        <v>237</v>
      </c>
      <c r="Q141" s="3">
        <v>17417.77</v>
      </c>
      <c r="R141" s="3">
        <v>16894.82</v>
      </c>
      <c r="S141" s="3">
        <v>11467.28</v>
      </c>
      <c r="T141" s="3">
        <v>937.97</v>
      </c>
      <c r="U141" s="3">
        <v>1457.66</v>
      </c>
      <c r="V141" s="3">
        <v>1884.27</v>
      </c>
      <c r="W141" s="3">
        <v>581.29</v>
      </c>
      <c r="X141" s="3">
        <v>16328.47</v>
      </c>
      <c r="Y141" s="3">
        <v>5950.5</v>
      </c>
      <c r="Z141" s="3">
        <f t="shared" si="13"/>
        <v>1089.3000000000011</v>
      </c>
      <c r="AA141" s="37">
        <f t="shared" si="14"/>
        <v>6.2539578832422352E-2</v>
      </c>
      <c r="AB141" s="3">
        <v>522.96</v>
      </c>
      <c r="AC141" s="3">
        <v>870.89</v>
      </c>
      <c r="AD141" s="3">
        <v>2978.44</v>
      </c>
      <c r="AE141" s="3">
        <v>19525.32</v>
      </c>
      <c r="AF141" t="str">
        <f>IF(tbl_FinancialData[[#This Row],[City]]="","Unknown",PROPER(TRIM(tbl_FinancialData[[#This Row],[City]])))</f>
        <v>Gurugram</v>
      </c>
      <c r="AG141" t="str">
        <f>_xlfn.LET(_xlpm.city,LOWER(TRIM(tbl_FinancialData[[#This Row],[City]])),_xlpm.st,PROPER(TRIM(tbl_FinancialData[[#This Row],[State]])),IF(_xlpm.city="pune","Maharashtra",IF(_xlpm.city="jamshedpur","Jharkhand",IF(_xlpm.city="bhilai","Chhattisgarh",IF(_xlpm.city="mumbai","Maharashtra",_xlpm.st)))))</f>
        <v>Delhi</v>
      </c>
      <c r="AH141" t="str">
        <f>_xlfn.LET(_xlpm.d,PROPER(TRIM(tbl_FinancialData[[#This Row],[Department]])),IF(_xlpm.d="It","IT",_xlpm.d))</f>
        <v>Sales</v>
      </c>
      <c r="AI141" t="str">
        <f>_xlfn.LET(_xlpm.pid,tbl_FinancialData[[#This Row],[Product ID]],_xlpm.n,PROPER(TRIM(tbl_FinancialData[[#This Row],[Product Name]])),IF(_xlpm.pid="P020","Document Scanner",IF(_xlpm.pid="P015","Network Router",SUBSTITUTE(SUBSTITUTE(_xlpm.n,"Crm","CRM"),"Ups","UPS"))))</f>
        <v>Data Storage</v>
      </c>
      <c r="AJ141" s="3" t="str">
        <f>UPPER(TRIM(tbl_FinancialData[[#This Row],[Cost Center]]))</f>
        <v>CC-1004</v>
      </c>
    </row>
    <row r="142" spans="1:36" x14ac:dyDescent="0.25">
      <c r="A142" s="3" t="s">
        <v>338</v>
      </c>
      <c r="B142" s="2">
        <v>45874</v>
      </c>
      <c r="C142" t="s">
        <v>117</v>
      </c>
      <c r="D142" s="3" t="str">
        <f t="shared" si="11"/>
        <v>Q2</v>
      </c>
      <c r="E142" s="3" t="str">
        <f t="shared" si="12"/>
        <v>FY2026</v>
      </c>
      <c r="F142" s="8" t="s">
        <v>34</v>
      </c>
      <c r="G142" s="3" t="s">
        <v>35</v>
      </c>
      <c r="H142" t="s">
        <v>134</v>
      </c>
      <c r="I142" t="s">
        <v>176</v>
      </c>
      <c r="J142" s="3" t="s">
        <v>100</v>
      </c>
      <c r="K142" t="s">
        <v>71</v>
      </c>
      <c r="L142" s="3" t="s">
        <v>72</v>
      </c>
      <c r="M142" s="3" t="s">
        <v>88</v>
      </c>
      <c r="N142" t="s">
        <v>89</v>
      </c>
      <c r="O142" t="s">
        <v>43</v>
      </c>
      <c r="P142" t="s">
        <v>90</v>
      </c>
      <c r="Q142" s="3">
        <v>37421.26</v>
      </c>
      <c r="R142" s="3">
        <v>39367.339999999997</v>
      </c>
      <c r="S142" s="3">
        <v>23879.18</v>
      </c>
      <c r="T142" s="3">
        <v>2626.4</v>
      </c>
      <c r="U142" s="3">
        <v>1471.2</v>
      </c>
      <c r="V142" s="3">
        <v>2958.9</v>
      </c>
      <c r="W142" s="3">
        <v>1340.23</v>
      </c>
      <c r="X142" s="3">
        <v>32275.91</v>
      </c>
      <c r="Y142" s="3">
        <v>13542.08</v>
      </c>
      <c r="Z142" s="3">
        <f t="shared" si="13"/>
        <v>5145.3500000000022</v>
      </c>
      <c r="AA142" s="37">
        <f t="shared" si="14"/>
        <v>0.13749804255655748</v>
      </c>
      <c r="AB142" s="3">
        <v>-1946.09</v>
      </c>
      <c r="AC142" s="3">
        <v>1122.6400000000001</v>
      </c>
      <c r="AD142" s="3">
        <v>1814.93</v>
      </c>
      <c r="AE142" s="3">
        <v>38113.550000000003</v>
      </c>
      <c r="AF142" t="str">
        <f>IF(tbl_FinancialData[[#This Row],[City]]="","Unknown",PROPER(TRIM(tbl_FinancialData[[#This Row],[City]])))</f>
        <v>Jaipur</v>
      </c>
      <c r="AG142" t="str">
        <f>_xlfn.LET(_xlpm.city,LOWER(TRIM(tbl_FinancialData[[#This Row],[City]])),_xlpm.st,PROPER(TRIM(tbl_FinancialData[[#This Row],[State]])),IF(_xlpm.city="pune","Maharashtra",IF(_xlpm.city="jamshedpur","Jharkhand",IF(_xlpm.city="bhilai","Chhattisgarh",IF(_xlpm.city="mumbai","Maharashtra",_xlpm.st)))))</f>
        <v>Rajasthan</v>
      </c>
      <c r="AH142" t="str">
        <f>_xlfn.LET(_xlpm.d,PROPER(TRIM(tbl_FinancialData[[#This Row],[Department]])),IF(_xlpm.d="It","IT",_xlpm.d))</f>
        <v>Marketing</v>
      </c>
      <c r="AI142" t="str">
        <f>_xlfn.LET(_xlpm.pid,tbl_FinancialData[[#This Row],[Product ID]],_xlpm.n,PROPER(TRIM(tbl_FinancialData[[#This Row],[Product Name]])),IF(_xlpm.pid="P020","Document Scanner",IF(_xlpm.pid="P015","Network Router",SUBSTITUTE(SUBSTITUTE(_xlpm.n,"Crm","CRM"),"Ups","UPS"))))</f>
        <v>Printer</v>
      </c>
      <c r="AJ142" s="3" t="str">
        <f>UPPER(TRIM(tbl_FinancialData[[#This Row],[Cost Center]]))</f>
        <v>CC-1004</v>
      </c>
    </row>
    <row r="143" spans="1:36" x14ac:dyDescent="0.25">
      <c r="A143" s="3" t="s">
        <v>339</v>
      </c>
      <c r="B143" s="2">
        <v>45782</v>
      </c>
      <c r="C143" t="s">
        <v>65</v>
      </c>
      <c r="D143" s="3" t="str">
        <f t="shared" si="11"/>
        <v>Q1</v>
      </c>
      <c r="E143" s="3" t="str">
        <f t="shared" si="12"/>
        <v>FY2026</v>
      </c>
      <c r="F143" s="8" t="s">
        <v>34</v>
      </c>
      <c r="G143" s="3" t="s">
        <v>35</v>
      </c>
      <c r="H143" t="s">
        <v>134</v>
      </c>
      <c r="I143" t="s">
        <v>176</v>
      </c>
      <c r="J143" s="3" t="s">
        <v>38</v>
      </c>
      <c r="K143" t="s">
        <v>39</v>
      </c>
      <c r="L143" s="3" t="s">
        <v>72</v>
      </c>
      <c r="M143" s="3" t="s">
        <v>102</v>
      </c>
      <c r="N143" t="s">
        <v>103</v>
      </c>
      <c r="O143" t="s">
        <v>104</v>
      </c>
      <c r="P143" t="s">
        <v>105</v>
      </c>
      <c r="Q143" s="3">
        <v>13055.46</v>
      </c>
      <c r="R143" s="3">
        <v>12823.66</v>
      </c>
      <c r="S143" s="3">
        <v>6783.07</v>
      </c>
      <c r="T143" s="3">
        <v>830.93</v>
      </c>
      <c r="U143" s="3">
        <v>1130.96</v>
      </c>
      <c r="V143" s="3">
        <v>987.25</v>
      </c>
      <c r="W143" s="3">
        <v>490.99</v>
      </c>
      <c r="X143" s="3">
        <v>10223.200000000001</v>
      </c>
      <c r="Y143" s="3">
        <v>6272.39</v>
      </c>
      <c r="Z143" s="3">
        <f t="shared" si="13"/>
        <v>2832.2599999999984</v>
      </c>
      <c r="AA143" s="37">
        <f t="shared" si="14"/>
        <v>0.21694065165072687</v>
      </c>
      <c r="AB143" s="3">
        <v>231.8</v>
      </c>
      <c r="AC143" s="3">
        <v>652.77</v>
      </c>
      <c r="AD143" s="3">
        <v>2232.48</v>
      </c>
      <c r="AE143" s="3">
        <v>14635.17</v>
      </c>
      <c r="AF143" t="str">
        <f>IF(tbl_FinancialData[[#This Row],[City]]="","Unknown",PROPER(TRIM(tbl_FinancialData[[#This Row],[City]])))</f>
        <v>Jaipur</v>
      </c>
      <c r="AG143" t="str">
        <f>_xlfn.LET(_xlpm.city,LOWER(TRIM(tbl_FinancialData[[#This Row],[City]])),_xlpm.st,PROPER(TRIM(tbl_FinancialData[[#This Row],[State]])),IF(_xlpm.city="pune","Maharashtra",IF(_xlpm.city="jamshedpur","Jharkhand",IF(_xlpm.city="bhilai","Chhattisgarh",IF(_xlpm.city="mumbai","Maharashtra",_xlpm.st)))))</f>
        <v>Rajasthan</v>
      </c>
      <c r="AH143" t="str">
        <f>_xlfn.LET(_xlpm.d,PROPER(TRIM(tbl_FinancialData[[#This Row],[Department]])),IF(_xlpm.d="It","IT",_xlpm.d))</f>
        <v>Operations</v>
      </c>
      <c r="AI143" t="str">
        <f>_xlfn.LET(_xlpm.pid,tbl_FinancialData[[#This Row],[Product ID]],_xlpm.n,PROPER(TRIM(tbl_FinancialData[[#This Row],[Product Name]])),IF(_xlpm.pid="P020","Document Scanner",IF(_xlpm.pid="P015","Network Router",SUBSTITUTE(SUBSTITUTE(_xlpm.n,"Crm","CRM"),"Ups","UPS"))))</f>
        <v>Accounting Software</v>
      </c>
      <c r="AJ143" s="3" t="str">
        <f>UPPER(TRIM(tbl_FinancialData[[#This Row],[Cost Center]]))</f>
        <v>CC-1004</v>
      </c>
    </row>
    <row r="144" spans="1:36" x14ac:dyDescent="0.25">
      <c r="A144" s="3" t="s">
        <v>340</v>
      </c>
      <c r="B144" s="2">
        <v>46095</v>
      </c>
      <c r="C144" t="s">
        <v>125</v>
      </c>
      <c r="D144" s="3" t="str">
        <f t="shared" si="11"/>
        <v>Q4</v>
      </c>
      <c r="E144" s="3" t="str">
        <f t="shared" si="12"/>
        <v>FY2026</v>
      </c>
      <c r="F144" s="8" t="s">
        <v>59</v>
      </c>
      <c r="G144" s="3" t="s">
        <v>35</v>
      </c>
      <c r="H144" t="s">
        <v>230</v>
      </c>
      <c r="I144" t="s">
        <v>231</v>
      </c>
      <c r="J144" s="3" t="s">
        <v>70</v>
      </c>
      <c r="K144" t="s">
        <v>39</v>
      </c>
      <c r="L144" s="3" t="s">
        <v>40</v>
      </c>
      <c r="M144" s="3" t="s">
        <v>73</v>
      </c>
      <c r="N144" t="s">
        <v>74</v>
      </c>
      <c r="O144" t="s">
        <v>43</v>
      </c>
      <c r="P144" t="s">
        <v>75</v>
      </c>
      <c r="Q144" s="3">
        <v>53915.3</v>
      </c>
      <c r="R144" s="3">
        <v>51795.76</v>
      </c>
      <c r="S144" s="3">
        <v>31145.43</v>
      </c>
      <c r="T144" s="3">
        <v>6540.92</v>
      </c>
      <c r="U144" s="3">
        <v>1358.12</v>
      </c>
      <c r="V144" s="3">
        <v>2328.13</v>
      </c>
      <c r="W144" s="3">
        <v>1679.06</v>
      </c>
      <c r="X144" s="3">
        <v>43051.65</v>
      </c>
      <c r="Y144" s="3">
        <v>22769.87</v>
      </c>
      <c r="Z144" s="3">
        <f t="shared" si="13"/>
        <v>10863.650000000001</v>
      </c>
      <c r="AA144" s="37">
        <f t="shared" si="14"/>
        <v>0.20149475195352712</v>
      </c>
      <c r="AB144" s="3">
        <v>2119.54</v>
      </c>
      <c r="AC144" s="3">
        <v>4313.22</v>
      </c>
      <c r="AD144" s="3">
        <v>2480.1</v>
      </c>
      <c r="AE144" s="3">
        <v>52082.18</v>
      </c>
      <c r="AF144" t="str">
        <f>IF(tbl_FinancialData[[#This Row],[City]]="","Unknown",PROPER(TRIM(tbl_FinancialData[[#This Row],[City]])))</f>
        <v>Ludhiana</v>
      </c>
      <c r="AG144" t="str">
        <f>_xlfn.LET(_xlpm.city,LOWER(TRIM(tbl_FinancialData[[#This Row],[City]])),_xlpm.st,PROPER(TRIM(tbl_FinancialData[[#This Row],[State]])),IF(_xlpm.city="pune","Maharashtra",IF(_xlpm.city="jamshedpur","Jharkhand",IF(_xlpm.city="bhilai","Chhattisgarh",IF(_xlpm.city="mumbai","Maharashtra",_xlpm.st)))))</f>
        <v>Punjab</v>
      </c>
      <c r="AH144" t="str">
        <f>_xlfn.LET(_xlpm.d,PROPER(TRIM(tbl_FinancialData[[#This Row],[Department]])),IF(_xlpm.d="It","IT",_xlpm.d))</f>
        <v>Operations</v>
      </c>
      <c r="AI144" t="str">
        <f>_xlfn.LET(_xlpm.pid,tbl_FinancialData[[#This Row],[Product ID]],_xlpm.n,PROPER(TRIM(tbl_FinancialData[[#This Row],[Product Name]])),IF(_xlpm.pid="P020","Document Scanner",IF(_xlpm.pid="P015","Network Router",SUBSTITUTE(SUBSTITUTE(_xlpm.n,"Crm","CRM"),"Ups","UPS"))))</f>
        <v>Monitor</v>
      </c>
      <c r="AJ144" s="3" t="str">
        <f>UPPER(TRIM(tbl_FinancialData[[#This Row],[Cost Center]]))</f>
        <v>CC-1002</v>
      </c>
    </row>
    <row r="145" spans="1:36" x14ac:dyDescent="0.25">
      <c r="A145" s="3" t="s">
        <v>341</v>
      </c>
      <c r="B145" s="2">
        <v>46109</v>
      </c>
      <c r="C145" t="s">
        <v>125</v>
      </c>
      <c r="D145" s="3" t="str">
        <f t="shared" si="11"/>
        <v>Q4</v>
      </c>
      <c r="E145" s="3" t="str">
        <f t="shared" si="12"/>
        <v>FY2026</v>
      </c>
      <c r="F145" s="8" t="s">
        <v>85</v>
      </c>
      <c r="G145" s="3" t="s">
        <v>35</v>
      </c>
      <c r="H145" t="s">
        <v>86</v>
      </c>
      <c r="I145" t="s">
        <v>181</v>
      </c>
      <c r="J145" s="3" t="s">
        <v>80</v>
      </c>
      <c r="K145" t="s">
        <v>39</v>
      </c>
      <c r="L145" s="3" t="s">
        <v>51</v>
      </c>
      <c r="M145" s="3" t="s">
        <v>171</v>
      </c>
      <c r="N145" t="s">
        <v>172</v>
      </c>
      <c r="O145" t="s">
        <v>173</v>
      </c>
      <c r="P145" t="s">
        <v>174</v>
      </c>
      <c r="Q145" s="3">
        <v>12989.79</v>
      </c>
      <c r="R145" s="3">
        <v>13444.06</v>
      </c>
      <c r="S145" s="3">
        <v>6252.26</v>
      </c>
      <c r="T145" s="3">
        <v>657.45</v>
      </c>
      <c r="U145" s="3">
        <v>509.71</v>
      </c>
      <c r="V145" s="3">
        <v>557.75</v>
      </c>
      <c r="W145" s="3">
        <v>179.01</v>
      </c>
      <c r="X145" s="3">
        <v>8156.19</v>
      </c>
      <c r="Y145" s="3">
        <v>6737.52</v>
      </c>
      <c r="Z145" s="3">
        <f t="shared" si="13"/>
        <v>4833.6000000000013</v>
      </c>
      <c r="AA145" s="37">
        <f t="shared" si="14"/>
        <v>0.37210763222500143</v>
      </c>
      <c r="AB145" s="3">
        <v>-454.28</v>
      </c>
      <c r="AC145" s="3">
        <v>389.69</v>
      </c>
      <c r="AD145" s="3">
        <v>2268.02</v>
      </c>
      <c r="AE145" s="3">
        <v>14868.11</v>
      </c>
      <c r="AF145" t="str">
        <f>IF(tbl_FinancialData[[#This Row],[City]]="","Unknown",PROPER(TRIM(tbl_FinancialData[[#This Row],[City]])))</f>
        <v>Bhopal</v>
      </c>
      <c r="AG145" t="str">
        <f>_xlfn.LET(_xlpm.city,LOWER(TRIM(tbl_FinancialData[[#This Row],[City]])),_xlpm.st,PROPER(TRIM(tbl_FinancialData[[#This Row],[State]])),IF(_xlpm.city="pune","Maharashtra",IF(_xlpm.city="jamshedpur","Jharkhand",IF(_xlpm.city="bhilai","Chhattisgarh",IF(_xlpm.city="mumbai","Maharashtra",_xlpm.st)))))</f>
        <v>Madhya Pradesh</v>
      </c>
      <c r="AH145" t="str">
        <f>_xlfn.LET(_xlpm.d,PROPER(TRIM(tbl_FinancialData[[#This Row],[Department]])),IF(_xlpm.d="It","IT",_xlpm.d))</f>
        <v>Operations</v>
      </c>
      <c r="AI145" t="str">
        <f>_xlfn.LET(_xlpm.pid,tbl_FinancialData[[#This Row],[Product ID]],_xlpm.n,PROPER(TRIM(tbl_FinancialData[[#This Row],[Product Name]])),IF(_xlpm.pid="P020","Document Scanner",IF(_xlpm.pid="P015","Network Router",SUBSTITUTE(SUBSTITUTE(_xlpm.n,"Crm","CRM"),"Ups","UPS"))))</f>
        <v>Network Switch</v>
      </c>
      <c r="AJ145" s="3" t="str">
        <f>UPPER(TRIM(tbl_FinancialData[[#This Row],[Cost Center]]))</f>
        <v>CC-1003</v>
      </c>
    </row>
    <row r="146" spans="1:36" x14ac:dyDescent="0.25">
      <c r="A146" s="3" t="s">
        <v>342</v>
      </c>
      <c r="B146" s="2">
        <v>45939</v>
      </c>
      <c r="C146" t="s">
        <v>92</v>
      </c>
      <c r="D146" s="3" t="str">
        <f t="shared" si="11"/>
        <v>Q3</v>
      </c>
      <c r="E146" s="3" t="str">
        <f t="shared" si="12"/>
        <v>FY2026</v>
      </c>
      <c r="F146" s="8" t="s">
        <v>67</v>
      </c>
      <c r="G146" s="3" t="s">
        <v>35</v>
      </c>
      <c r="H146" t="s">
        <v>217</v>
      </c>
      <c r="I146" t="s">
        <v>218</v>
      </c>
      <c r="J146" s="3" t="s">
        <v>100</v>
      </c>
      <c r="K146" t="s">
        <v>50</v>
      </c>
      <c r="L146" s="3" t="s">
        <v>81</v>
      </c>
      <c r="M146" s="3" t="s">
        <v>130</v>
      </c>
      <c r="N146" t="s">
        <v>131</v>
      </c>
      <c r="O146" t="s">
        <v>43</v>
      </c>
      <c r="P146" t="s">
        <v>132</v>
      </c>
      <c r="Q146" s="3">
        <v>38461.980000000003</v>
      </c>
      <c r="R146" s="3">
        <v>37829.93</v>
      </c>
      <c r="S146" s="3">
        <v>23145.61</v>
      </c>
      <c r="T146" s="3">
        <v>4613.05</v>
      </c>
      <c r="U146" s="3">
        <v>2195.4299999999998</v>
      </c>
      <c r="V146" s="3">
        <v>3699.3</v>
      </c>
      <c r="W146" s="3">
        <v>1721.12</v>
      </c>
      <c r="X146" s="3">
        <v>35374.5</v>
      </c>
      <c r="Y146" s="3">
        <v>15316.37</v>
      </c>
      <c r="Z146" s="3">
        <f t="shared" si="13"/>
        <v>3087.4800000000032</v>
      </c>
      <c r="AA146" s="37">
        <f t="shared" si="14"/>
        <v>8.0273558459548963E-2</v>
      </c>
      <c r="AB146" s="3">
        <v>632.04999999999995</v>
      </c>
      <c r="AC146" s="3">
        <v>0</v>
      </c>
      <c r="AD146" s="3">
        <v>4615.4399999999996</v>
      </c>
      <c r="AE146" s="3">
        <v>43077.42</v>
      </c>
      <c r="AF146" t="str">
        <f>IF(tbl_FinancialData[[#This Row],[City]]="","Unknown",PROPER(TRIM(tbl_FinancialData[[#This Row],[City]])))</f>
        <v>Gaya</v>
      </c>
      <c r="AG146" t="str">
        <f>_xlfn.LET(_xlpm.city,LOWER(TRIM(tbl_FinancialData[[#This Row],[City]])),_xlpm.st,PROPER(TRIM(tbl_FinancialData[[#This Row],[State]])),IF(_xlpm.city="pune","Maharashtra",IF(_xlpm.city="jamshedpur","Jharkhand",IF(_xlpm.city="bhilai","Chhattisgarh",IF(_xlpm.city="mumbai","Maharashtra",_xlpm.st)))))</f>
        <v>Bihar</v>
      </c>
      <c r="AH146" t="str">
        <f>_xlfn.LET(_xlpm.d,PROPER(TRIM(tbl_FinancialData[[#This Row],[Department]])),IF(_xlpm.d="It","IT",_xlpm.d))</f>
        <v>Sales</v>
      </c>
      <c r="AI146" t="str">
        <f>_xlfn.LET(_xlpm.pid,tbl_FinancialData[[#This Row],[Product ID]],_xlpm.n,PROPER(TRIM(tbl_FinancialData[[#This Row],[Product Name]])),IF(_xlpm.pid="P020","Document Scanner",IF(_xlpm.pid="P015","Network Router",SUBSTITUTE(SUBSTITUTE(_xlpm.n,"Crm","CRM"),"Ups","UPS"))))</f>
        <v>UPS System</v>
      </c>
      <c r="AJ146" s="3" t="str">
        <f>UPPER(TRIM(tbl_FinancialData[[#This Row],[Cost Center]]))</f>
        <v>CC-1005</v>
      </c>
    </row>
    <row r="147" spans="1:36" x14ac:dyDescent="0.25">
      <c r="A147" s="3" t="s">
        <v>343</v>
      </c>
      <c r="B147" s="2">
        <v>45748</v>
      </c>
      <c r="C147" t="s">
        <v>128</v>
      </c>
      <c r="D147" s="3" t="str">
        <f t="shared" si="11"/>
        <v>Q1</v>
      </c>
      <c r="E147" s="3" t="str">
        <f t="shared" si="12"/>
        <v>FY2026</v>
      </c>
      <c r="F147" s="8" t="s">
        <v>47</v>
      </c>
      <c r="G147" s="3" t="s">
        <v>35</v>
      </c>
      <c r="H147" t="s">
        <v>206</v>
      </c>
      <c r="I147" t="s">
        <v>344</v>
      </c>
      <c r="J147" s="3" t="s">
        <v>80</v>
      </c>
      <c r="K147" t="s">
        <v>50</v>
      </c>
      <c r="L147" s="3" t="s">
        <v>81</v>
      </c>
      <c r="M147" s="3" t="s">
        <v>171</v>
      </c>
      <c r="N147" t="s">
        <v>172</v>
      </c>
      <c r="O147" t="s">
        <v>173</v>
      </c>
      <c r="P147" t="s">
        <v>174</v>
      </c>
      <c r="Q147" s="3">
        <v>18080.07</v>
      </c>
      <c r="R147" s="3">
        <v>21085.16</v>
      </c>
      <c r="S147" s="3">
        <v>11808.72</v>
      </c>
      <c r="T147" s="3">
        <v>2152.08</v>
      </c>
      <c r="U147" s="3">
        <v>454.47</v>
      </c>
      <c r="V147" s="3">
        <v>1761.1</v>
      </c>
      <c r="W147" s="3">
        <v>705.77</v>
      </c>
      <c r="X147" s="3">
        <v>16882.14</v>
      </c>
      <c r="Y147" s="3">
        <v>6271.35</v>
      </c>
      <c r="Z147" s="3">
        <f t="shared" si="13"/>
        <v>1197.9300000000003</v>
      </c>
      <c r="AA147" s="37">
        <f t="shared" si="14"/>
        <v>6.6256933739747711E-2</v>
      </c>
      <c r="AB147" s="3">
        <v>-3005.09</v>
      </c>
      <c r="AC147" s="3">
        <v>0</v>
      </c>
      <c r="AD147" s="3">
        <v>3254.41</v>
      </c>
      <c r="AE147" s="3">
        <v>21334.48</v>
      </c>
      <c r="AF147" t="str">
        <f>IF(tbl_FinancialData[[#This Row],[City]]="","Unknown",PROPER(TRIM(tbl_FinancialData[[#This Row],[City]])))</f>
        <v>Hyderabad</v>
      </c>
      <c r="AG147" t="str">
        <f>_xlfn.LET(_xlpm.city,LOWER(TRIM(tbl_FinancialData[[#This Row],[City]])),_xlpm.st,PROPER(TRIM(tbl_FinancialData[[#This Row],[State]])),IF(_xlpm.city="pune","Maharashtra",IF(_xlpm.city="jamshedpur","Jharkhand",IF(_xlpm.city="bhilai","Chhattisgarh",IF(_xlpm.city="mumbai","Maharashtra",_xlpm.st)))))</f>
        <v>Telangana</v>
      </c>
      <c r="AH147" t="str">
        <f>_xlfn.LET(_xlpm.d,PROPER(TRIM(tbl_FinancialData[[#This Row],[Department]])),IF(_xlpm.d="It","IT",_xlpm.d))</f>
        <v>Sales</v>
      </c>
      <c r="AI147" t="str">
        <f>_xlfn.LET(_xlpm.pid,tbl_FinancialData[[#This Row],[Product ID]],_xlpm.n,PROPER(TRIM(tbl_FinancialData[[#This Row],[Product Name]])),IF(_xlpm.pid="P020","Document Scanner",IF(_xlpm.pid="P015","Network Router",SUBSTITUTE(SUBSTITUTE(_xlpm.n,"Crm","CRM"),"Ups","UPS"))))</f>
        <v>Network Switch</v>
      </c>
      <c r="AJ147" s="3" t="str">
        <f>UPPER(TRIM(tbl_FinancialData[[#This Row],[Cost Center]]))</f>
        <v>CC-1005</v>
      </c>
    </row>
    <row r="148" spans="1:36" x14ac:dyDescent="0.25">
      <c r="A148" s="3" t="s">
        <v>345</v>
      </c>
      <c r="B148" s="2">
        <v>45893</v>
      </c>
      <c r="C148" t="s">
        <v>117</v>
      </c>
      <c r="D148" s="3" t="str">
        <f t="shared" si="11"/>
        <v>Q2</v>
      </c>
      <c r="E148" s="3" t="str">
        <f t="shared" si="12"/>
        <v>FY2026</v>
      </c>
      <c r="F148" s="8" t="s">
        <v>59</v>
      </c>
      <c r="G148" s="3" t="s">
        <v>35</v>
      </c>
      <c r="H148" t="s">
        <v>230</v>
      </c>
      <c r="I148" t="s">
        <v>231</v>
      </c>
      <c r="J148" s="3" t="s">
        <v>70</v>
      </c>
      <c r="K148" t="s">
        <v>39</v>
      </c>
      <c r="L148" s="3" t="s">
        <v>81</v>
      </c>
      <c r="M148" s="3" t="s">
        <v>41</v>
      </c>
      <c r="N148" t="s">
        <v>42</v>
      </c>
      <c r="O148" t="s">
        <v>43</v>
      </c>
      <c r="P148" t="s">
        <v>44</v>
      </c>
      <c r="Q148" s="3">
        <v>49697.78</v>
      </c>
      <c r="R148" s="3">
        <v>57157.24</v>
      </c>
      <c r="S148" s="3">
        <v>28676.49</v>
      </c>
      <c r="T148" s="3">
        <v>3761.45</v>
      </c>
      <c r="U148" s="3">
        <v>3664.73</v>
      </c>
      <c r="V148" s="3">
        <v>3628.64</v>
      </c>
      <c r="W148" s="3">
        <v>1620.81</v>
      </c>
      <c r="X148" s="3">
        <v>41352.120000000003</v>
      </c>
      <c r="Y148" s="3">
        <v>21021.29</v>
      </c>
      <c r="Z148" s="3">
        <f t="shared" si="13"/>
        <v>8345.6599999999962</v>
      </c>
      <c r="AA148" s="37">
        <f t="shared" si="14"/>
        <v>0.16792822536539853</v>
      </c>
      <c r="AB148" s="3">
        <v>-7459.46</v>
      </c>
      <c r="AC148" s="3">
        <v>2484.89</v>
      </c>
      <c r="AD148" s="3">
        <v>8498.32</v>
      </c>
      <c r="AE148" s="3">
        <v>55711.21</v>
      </c>
      <c r="AF148" t="str">
        <f>IF(tbl_FinancialData[[#This Row],[City]]="","Unknown",PROPER(TRIM(tbl_FinancialData[[#This Row],[City]])))</f>
        <v>Ludhiana</v>
      </c>
      <c r="AG148" t="str">
        <f>_xlfn.LET(_xlpm.city,LOWER(TRIM(tbl_FinancialData[[#This Row],[City]])),_xlpm.st,PROPER(TRIM(tbl_FinancialData[[#This Row],[State]])),IF(_xlpm.city="pune","Maharashtra",IF(_xlpm.city="jamshedpur","Jharkhand",IF(_xlpm.city="bhilai","Chhattisgarh",IF(_xlpm.city="mumbai","Maharashtra",_xlpm.st)))))</f>
        <v>Punjab</v>
      </c>
      <c r="AH148" t="str">
        <f>_xlfn.LET(_xlpm.d,PROPER(TRIM(tbl_FinancialData[[#This Row],[Department]])),IF(_xlpm.d="It","IT",_xlpm.d))</f>
        <v>Operations</v>
      </c>
      <c r="AI148" t="str">
        <f>_xlfn.LET(_xlpm.pid,tbl_FinancialData[[#This Row],[Product ID]],_xlpm.n,PROPER(TRIM(tbl_FinancialData[[#This Row],[Product Name]])),IF(_xlpm.pid="P020","Document Scanner",IF(_xlpm.pid="P015","Network Router",SUBSTITUTE(SUBSTITUTE(_xlpm.n,"Crm","CRM"),"Ups","UPS"))))</f>
        <v>Conference Camera</v>
      </c>
      <c r="AJ148" s="3" t="str">
        <f>UPPER(TRIM(tbl_FinancialData[[#This Row],[Cost Center]]))</f>
        <v>CC-1005</v>
      </c>
    </row>
    <row r="149" spans="1:36" x14ac:dyDescent="0.25">
      <c r="A149" s="3" t="s">
        <v>346</v>
      </c>
      <c r="B149" s="2">
        <v>46013</v>
      </c>
      <c r="C149" t="s">
        <v>107</v>
      </c>
      <c r="D149" s="3" t="str">
        <f t="shared" si="11"/>
        <v>Q3</v>
      </c>
      <c r="E149" s="3" t="str">
        <f t="shared" si="12"/>
        <v>FY2026</v>
      </c>
      <c r="F149" s="8" t="s">
        <v>67</v>
      </c>
      <c r="G149" s="3" t="s">
        <v>35</v>
      </c>
      <c r="H149" t="s">
        <v>217</v>
      </c>
      <c r="I149" t="s">
        <v>218</v>
      </c>
      <c r="J149" s="3" t="s">
        <v>80</v>
      </c>
      <c r="K149" t="s">
        <v>39</v>
      </c>
      <c r="L149" s="3" t="s">
        <v>72</v>
      </c>
      <c r="M149" s="3" t="s">
        <v>88</v>
      </c>
      <c r="N149" t="s">
        <v>89</v>
      </c>
      <c r="O149" t="s">
        <v>43</v>
      </c>
      <c r="P149" t="s">
        <v>90</v>
      </c>
      <c r="Q149" s="3">
        <v>42783.41</v>
      </c>
      <c r="R149" s="3">
        <v>49232.41</v>
      </c>
      <c r="S149" s="3">
        <v>21218.28</v>
      </c>
      <c r="T149" s="3">
        <v>3966.77</v>
      </c>
      <c r="U149" s="3">
        <v>1464.86</v>
      </c>
      <c r="V149" s="3">
        <v>1751.4</v>
      </c>
      <c r="W149" s="3">
        <v>1059.8</v>
      </c>
      <c r="X149" s="3">
        <v>29461.11</v>
      </c>
      <c r="Y149" s="3">
        <v>21565.119999999999</v>
      </c>
      <c r="Z149" s="3">
        <f t="shared" si="13"/>
        <v>13322.300000000003</v>
      </c>
      <c r="AA149" s="37">
        <f t="shared" si="14"/>
        <v>0.31138939135520055</v>
      </c>
      <c r="AB149" s="3">
        <v>-6449</v>
      </c>
      <c r="AC149" s="3">
        <v>855.67</v>
      </c>
      <c r="AD149" s="3">
        <v>5031.33</v>
      </c>
      <c r="AE149" s="3">
        <v>46959.07</v>
      </c>
      <c r="AF149" t="str">
        <f>IF(tbl_FinancialData[[#This Row],[City]]="","Unknown",PROPER(TRIM(tbl_FinancialData[[#This Row],[City]])))</f>
        <v>Gaya</v>
      </c>
      <c r="AG149" t="str">
        <f>_xlfn.LET(_xlpm.city,LOWER(TRIM(tbl_FinancialData[[#This Row],[City]])),_xlpm.st,PROPER(TRIM(tbl_FinancialData[[#This Row],[State]])),IF(_xlpm.city="pune","Maharashtra",IF(_xlpm.city="jamshedpur","Jharkhand",IF(_xlpm.city="bhilai","Chhattisgarh",IF(_xlpm.city="mumbai","Maharashtra",_xlpm.st)))))</f>
        <v>Bihar</v>
      </c>
      <c r="AH149" t="str">
        <f>_xlfn.LET(_xlpm.d,PROPER(TRIM(tbl_FinancialData[[#This Row],[Department]])),IF(_xlpm.d="It","IT",_xlpm.d))</f>
        <v>Operations</v>
      </c>
      <c r="AI149" t="str">
        <f>_xlfn.LET(_xlpm.pid,tbl_FinancialData[[#This Row],[Product ID]],_xlpm.n,PROPER(TRIM(tbl_FinancialData[[#This Row],[Product Name]])),IF(_xlpm.pid="P020","Document Scanner",IF(_xlpm.pid="P015","Network Router",SUBSTITUTE(SUBSTITUTE(_xlpm.n,"Crm","CRM"),"Ups","UPS"))))</f>
        <v>Printer</v>
      </c>
      <c r="AJ149" s="3" t="str">
        <f>UPPER(TRIM(tbl_FinancialData[[#This Row],[Cost Center]]))</f>
        <v>CC-1004</v>
      </c>
    </row>
    <row r="150" spans="1:36" x14ac:dyDescent="0.25">
      <c r="A150" s="3" t="s">
        <v>347</v>
      </c>
      <c r="B150" s="2">
        <v>46048</v>
      </c>
      <c r="C150" t="s">
        <v>77</v>
      </c>
      <c r="D150" s="3" t="str">
        <f t="shared" si="11"/>
        <v>Q4</v>
      </c>
      <c r="E150" s="3" t="str">
        <f t="shared" si="12"/>
        <v>FY2026</v>
      </c>
      <c r="F150" s="8" t="s">
        <v>47</v>
      </c>
      <c r="G150" s="3" t="s">
        <v>35</v>
      </c>
      <c r="H150" t="s">
        <v>214</v>
      </c>
      <c r="I150" t="s">
        <v>321</v>
      </c>
      <c r="J150" s="3" t="s">
        <v>100</v>
      </c>
      <c r="K150" t="s">
        <v>39</v>
      </c>
      <c r="L150" s="3" t="s">
        <v>94</v>
      </c>
      <c r="M150" s="3" t="s">
        <v>197</v>
      </c>
      <c r="N150" t="s">
        <v>198</v>
      </c>
      <c r="O150" t="s">
        <v>43</v>
      </c>
      <c r="P150" t="s">
        <v>163</v>
      </c>
      <c r="Q150" s="3">
        <v>67299.69</v>
      </c>
      <c r="R150" s="3">
        <v>67904</v>
      </c>
      <c r="S150" s="3">
        <v>43173.56</v>
      </c>
      <c r="T150" s="3">
        <v>4847.63</v>
      </c>
      <c r="U150" s="3">
        <v>3022.45</v>
      </c>
      <c r="V150" s="3">
        <v>6939.86</v>
      </c>
      <c r="W150" s="3">
        <v>1724.53</v>
      </c>
      <c r="X150" s="3">
        <v>59708.04</v>
      </c>
      <c r="Y150" s="3">
        <v>24126.13</v>
      </c>
      <c r="Z150" s="3">
        <f t="shared" si="13"/>
        <v>7591.6500000000015</v>
      </c>
      <c r="AA150" s="37">
        <f t="shared" si="14"/>
        <v>0.11280363995733117</v>
      </c>
      <c r="AB150" s="3">
        <v>-604.30999999999995</v>
      </c>
      <c r="AC150" s="3">
        <v>5383.98</v>
      </c>
      <c r="AD150" s="3">
        <v>11144.83</v>
      </c>
      <c r="AE150" s="3">
        <v>73060.539999999994</v>
      </c>
      <c r="AF150" t="str">
        <f>IF(tbl_FinancialData[[#This Row],[City]]="","Unknown",PROPER(TRIM(tbl_FinancialData[[#This Row],[City]])))</f>
        <v>Bengaluru</v>
      </c>
      <c r="AG150" t="str">
        <f>_xlfn.LET(_xlpm.city,LOWER(TRIM(tbl_FinancialData[[#This Row],[City]])),_xlpm.st,PROPER(TRIM(tbl_FinancialData[[#This Row],[State]])),IF(_xlpm.city="pune","Maharashtra",IF(_xlpm.city="jamshedpur","Jharkhand",IF(_xlpm.city="bhilai","Chhattisgarh",IF(_xlpm.city="mumbai","Maharashtra",_xlpm.st)))))</f>
        <v>Karnataka</v>
      </c>
      <c r="AH150" t="str">
        <f>_xlfn.LET(_xlpm.d,PROPER(TRIM(tbl_FinancialData[[#This Row],[Department]])),IF(_xlpm.d="It","IT",_xlpm.d))</f>
        <v>Operations</v>
      </c>
      <c r="AI150" t="str">
        <f>_xlfn.LET(_xlpm.pid,tbl_FinancialData[[#This Row],[Product ID]],_xlpm.n,PROPER(TRIM(tbl_FinancialData[[#This Row],[Product Name]])),IF(_xlpm.pid="P020","Document Scanner",IF(_xlpm.pid="P015","Network Router",SUBSTITUTE(SUBSTITUTE(_xlpm.n,"Crm","CRM"),"Ups","UPS"))))</f>
        <v>Smartphone</v>
      </c>
      <c r="AJ150" s="3" t="str">
        <f>UPPER(TRIM(tbl_FinancialData[[#This Row],[Cost Center]]))</f>
        <v>CC-1001</v>
      </c>
    </row>
    <row r="151" spans="1:36" x14ac:dyDescent="0.25">
      <c r="A151" s="3" t="s">
        <v>348</v>
      </c>
      <c r="B151" s="2">
        <v>45903</v>
      </c>
      <c r="C151" t="s">
        <v>46</v>
      </c>
      <c r="D151" s="3" t="str">
        <f t="shared" si="11"/>
        <v>Q2</v>
      </c>
      <c r="E151" s="3" t="str">
        <f t="shared" si="12"/>
        <v>FY2026</v>
      </c>
      <c r="F151" s="8" t="s">
        <v>34</v>
      </c>
      <c r="G151" s="3" t="s">
        <v>35</v>
      </c>
      <c r="H151" t="s">
        <v>98</v>
      </c>
      <c r="I151" t="s">
        <v>149</v>
      </c>
      <c r="J151" s="3" t="s">
        <v>70</v>
      </c>
      <c r="K151" t="s">
        <v>50</v>
      </c>
      <c r="L151" s="3" t="s">
        <v>40</v>
      </c>
      <c r="M151" s="3" t="s">
        <v>211</v>
      </c>
      <c r="N151" t="s">
        <v>212</v>
      </c>
      <c r="O151" t="s">
        <v>112</v>
      </c>
      <c r="P151" t="s">
        <v>113</v>
      </c>
      <c r="Q151" s="3">
        <v>17735.5</v>
      </c>
      <c r="R151" s="3">
        <v>18329.72</v>
      </c>
      <c r="S151" s="3">
        <v>9218.0400000000009</v>
      </c>
      <c r="T151" s="3">
        <v>1802.98</v>
      </c>
      <c r="U151" s="3">
        <v>495.01</v>
      </c>
      <c r="V151" s="3">
        <v>1790.44</v>
      </c>
      <c r="W151" s="3">
        <v>764.98</v>
      </c>
      <c r="X151" s="3">
        <v>14071.45</v>
      </c>
      <c r="Y151" s="3">
        <v>8517.4599999999991</v>
      </c>
      <c r="Z151" s="3">
        <f t="shared" si="13"/>
        <v>3664.0499999999993</v>
      </c>
      <c r="AA151" s="37">
        <f t="shared" si="14"/>
        <v>0.20659411913957876</v>
      </c>
      <c r="AB151" s="3">
        <v>-594.22</v>
      </c>
      <c r="AC151" s="3">
        <v>532.07000000000005</v>
      </c>
      <c r="AD151" s="3">
        <v>2064.41</v>
      </c>
      <c r="AE151" s="3">
        <v>19267.849999999999</v>
      </c>
      <c r="AF151" t="str">
        <f>IF(tbl_FinancialData[[#This Row],[City]]="","Unknown",PROPER(TRIM(tbl_FinancialData[[#This Row],[City]])))</f>
        <v>Nagpur</v>
      </c>
      <c r="AG151" t="str">
        <f>_xlfn.LET(_xlpm.city,LOWER(TRIM(tbl_FinancialData[[#This Row],[City]])),_xlpm.st,PROPER(TRIM(tbl_FinancialData[[#This Row],[State]])),IF(_xlpm.city="pune","Maharashtra",IF(_xlpm.city="jamshedpur","Jharkhand",IF(_xlpm.city="bhilai","Chhattisgarh",IF(_xlpm.city="mumbai","Maharashtra",_xlpm.st)))))</f>
        <v>Maharashtra</v>
      </c>
      <c r="AH151" t="str">
        <f>_xlfn.LET(_xlpm.d,PROPER(TRIM(tbl_FinancialData[[#This Row],[Department]])),IF(_xlpm.d="It","IT",_xlpm.d))</f>
        <v>Sales</v>
      </c>
      <c r="AI151" t="str">
        <f>_xlfn.LET(_xlpm.pid,tbl_FinancialData[[#This Row],[Product ID]],_xlpm.n,PROPER(TRIM(tbl_FinancialData[[#This Row],[Product Name]])),IF(_xlpm.pid="P020","Document Scanner",IF(_xlpm.pid="P015","Network Router",SUBSTITUTE(SUBSTITUTE(_xlpm.n,"Crm","CRM"),"Ups","UPS"))))</f>
        <v>Office Chair</v>
      </c>
      <c r="AJ151" s="3" t="str">
        <f>UPPER(TRIM(tbl_FinancialData[[#This Row],[Cost Center]]))</f>
        <v>CC-1002</v>
      </c>
    </row>
    <row r="152" spans="1:36" x14ac:dyDescent="0.25">
      <c r="A152" s="3" t="s">
        <v>349</v>
      </c>
      <c r="B152" s="2">
        <v>45873</v>
      </c>
      <c r="C152" t="s">
        <v>117</v>
      </c>
      <c r="D152" s="3" t="str">
        <f t="shared" si="11"/>
        <v>Q2</v>
      </c>
      <c r="E152" s="3" t="str">
        <f t="shared" si="12"/>
        <v>FY2026</v>
      </c>
      <c r="F152" s="8" t="s">
        <v>34</v>
      </c>
      <c r="G152" s="3" t="s">
        <v>35</v>
      </c>
      <c r="H152" t="s">
        <v>98</v>
      </c>
      <c r="I152" t="s">
        <v>304</v>
      </c>
      <c r="J152" s="3" t="s">
        <v>38</v>
      </c>
      <c r="K152" t="s">
        <v>39</v>
      </c>
      <c r="L152" s="3" t="s">
        <v>40</v>
      </c>
      <c r="M152" s="3" t="s">
        <v>171</v>
      </c>
      <c r="N152" t="s">
        <v>172</v>
      </c>
      <c r="O152" t="s">
        <v>173</v>
      </c>
      <c r="P152" t="s">
        <v>174</v>
      </c>
      <c r="Q152" s="3">
        <v>17592.29</v>
      </c>
      <c r="R152" s="3">
        <v>17877.3</v>
      </c>
      <c r="S152" s="3">
        <v>11350.3</v>
      </c>
      <c r="T152" s="3">
        <v>1077.43</v>
      </c>
      <c r="U152" s="3">
        <v>995.08</v>
      </c>
      <c r="V152" s="3">
        <v>742.45</v>
      </c>
      <c r="W152" s="3">
        <v>487.15</v>
      </c>
      <c r="X152" s="3">
        <v>14652.4</v>
      </c>
      <c r="Y152" s="3">
        <v>6242</v>
      </c>
      <c r="Z152" s="3">
        <f t="shared" si="13"/>
        <v>2939.8900000000012</v>
      </c>
      <c r="AA152" s="37">
        <f t="shared" si="14"/>
        <v>0.16711241117557754</v>
      </c>
      <c r="AB152" s="3">
        <v>-285</v>
      </c>
      <c r="AC152" s="3">
        <v>1759.23</v>
      </c>
      <c r="AD152" s="3">
        <v>1899.97</v>
      </c>
      <c r="AE152" s="3">
        <v>17733.03</v>
      </c>
      <c r="AF152" t="str">
        <f>IF(tbl_FinancialData[[#This Row],[City]]="","Unknown",PROPER(TRIM(tbl_FinancialData[[#This Row],[City]])))</f>
        <v>Pune</v>
      </c>
      <c r="AG152" t="str">
        <f>_xlfn.LET(_xlpm.city,LOWER(TRIM(tbl_FinancialData[[#This Row],[City]])),_xlpm.st,PROPER(TRIM(tbl_FinancialData[[#This Row],[State]])),IF(_xlpm.city="pune","Maharashtra",IF(_xlpm.city="jamshedpur","Jharkhand",IF(_xlpm.city="bhilai","Chhattisgarh",IF(_xlpm.city="mumbai","Maharashtra",_xlpm.st)))))</f>
        <v>Maharashtra</v>
      </c>
      <c r="AH152" t="str">
        <f>_xlfn.LET(_xlpm.d,PROPER(TRIM(tbl_FinancialData[[#This Row],[Department]])),IF(_xlpm.d="It","IT",_xlpm.d))</f>
        <v>Operations</v>
      </c>
      <c r="AI152" t="str">
        <f>_xlfn.LET(_xlpm.pid,tbl_FinancialData[[#This Row],[Product ID]],_xlpm.n,PROPER(TRIM(tbl_FinancialData[[#This Row],[Product Name]])),IF(_xlpm.pid="P020","Document Scanner",IF(_xlpm.pid="P015","Network Router",SUBSTITUTE(SUBSTITUTE(_xlpm.n,"Crm","CRM"),"Ups","UPS"))))</f>
        <v>Network Switch</v>
      </c>
      <c r="AJ152" s="3" t="str">
        <f>UPPER(TRIM(tbl_FinancialData[[#This Row],[Cost Center]]))</f>
        <v>CC-1002</v>
      </c>
    </row>
    <row r="153" spans="1:36" x14ac:dyDescent="0.25">
      <c r="A153" s="3" t="s">
        <v>350</v>
      </c>
      <c r="B153" s="2">
        <v>45902</v>
      </c>
      <c r="C153" t="s">
        <v>46</v>
      </c>
      <c r="D153" s="3" t="str">
        <f t="shared" si="11"/>
        <v>Q2</v>
      </c>
      <c r="E153" s="3" t="str">
        <f t="shared" si="12"/>
        <v>FY2026</v>
      </c>
      <c r="F153" s="8" t="s">
        <v>47</v>
      </c>
      <c r="G153" s="3" t="s">
        <v>35</v>
      </c>
      <c r="H153" t="s">
        <v>206</v>
      </c>
      <c r="I153" t="s">
        <v>207</v>
      </c>
      <c r="J153" s="3" t="s">
        <v>100</v>
      </c>
      <c r="K153" t="s">
        <v>101</v>
      </c>
      <c r="L153" s="3" t="s">
        <v>51</v>
      </c>
      <c r="M153" s="3" t="s">
        <v>186</v>
      </c>
      <c r="N153" t="s">
        <v>187</v>
      </c>
      <c r="O153" t="s">
        <v>173</v>
      </c>
      <c r="P153" t="s">
        <v>174</v>
      </c>
      <c r="Q153" s="3">
        <v>17106.93</v>
      </c>
      <c r="R153" s="3">
        <v>19341.849999999999</v>
      </c>
      <c r="S153" s="3">
        <v>9732.0499999999993</v>
      </c>
      <c r="T153" s="3">
        <v>1368.29</v>
      </c>
      <c r="U153" s="3">
        <v>954.75</v>
      </c>
      <c r="V153" s="3">
        <v>1292.0899999999999</v>
      </c>
      <c r="W153" s="3">
        <v>766.73</v>
      </c>
      <c r="X153" s="3">
        <v>14113.91</v>
      </c>
      <c r="Y153" s="3">
        <v>7374.88</v>
      </c>
      <c r="Z153" s="3">
        <f t="shared" si="13"/>
        <v>2993.0200000000004</v>
      </c>
      <c r="AA153" s="37">
        <f t="shared" si="14"/>
        <v>0.17495950471534052</v>
      </c>
      <c r="AB153" s="3">
        <v>-2234.92</v>
      </c>
      <c r="AC153" s="3">
        <v>855.35</v>
      </c>
      <c r="AD153" s="3">
        <v>812.58</v>
      </c>
      <c r="AE153" s="3">
        <v>17064.169999999998</v>
      </c>
      <c r="AF153" t="str">
        <f>IF(tbl_FinancialData[[#This Row],[City]]="","Unknown",PROPER(TRIM(tbl_FinancialData[[#This Row],[City]])))</f>
        <v>Nizamabad</v>
      </c>
      <c r="AG153" t="str">
        <f>_xlfn.LET(_xlpm.city,LOWER(TRIM(tbl_FinancialData[[#This Row],[City]])),_xlpm.st,PROPER(TRIM(tbl_FinancialData[[#This Row],[State]])),IF(_xlpm.city="pune","Maharashtra",IF(_xlpm.city="jamshedpur","Jharkhand",IF(_xlpm.city="bhilai","Chhattisgarh",IF(_xlpm.city="mumbai","Maharashtra",_xlpm.st)))))</f>
        <v>Telangana</v>
      </c>
      <c r="AH153" t="str">
        <f>_xlfn.LET(_xlpm.d,PROPER(TRIM(tbl_FinancialData[[#This Row],[Department]])),IF(_xlpm.d="It","IT",_xlpm.d))</f>
        <v>Finance</v>
      </c>
      <c r="AI153" t="str">
        <f>_xlfn.LET(_xlpm.pid,tbl_FinancialData[[#This Row],[Product ID]],_xlpm.n,PROPER(TRIM(tbl_FinancialData[[#This Row],[Product Name]])),IF(_xlpm.pid="P020","Document Scanner",IF(_xlpm.pid="P015","Network Router",SUBSTITUTE(SUBSTITUTE(_xlpm.n,"Crm","CRM"),"Ups","UPS"))))</f>
        <v>Network Router</v>
      </c>
      <c r="AJ153" s="3" t="str">
        <f>UPPER(TRIM(tbl_FinancialData[[#This Row],[Cost Center]]))</f>
        <v>CC-1003</v>
      </c>
    </row>
    <row r="154" spans="1:36" x14ac:dyDescent="0.25">
      <c r="A154" s="3" t="s">
        <v>351</v>
      </c>
      <c r="B154" s="2">
        <v>45806</v>
      </c>
      <c r="C154" t="s">
        <v>65</v>
      </c>
      <c r="D154" s="3" t="str">
        <f t="shared" si="11"/>
        <v>Q1</v>
      </c>
      <c r="E154" s="3" t="str">
        <f t="shared" si="12"/>
        <v>FY2026</v>
      </c>
      <c r="F154" s="8" t="s">
        <v>85</v>
      </c>
      <c r="G154" s="3" t="s">
        <v>35</v>
      </c>
      <c r="H154" t="s">
        <v>86</v>
      </c>
      <c r="I154" t="s">
        <v>181</v>
      </c>
      <c r="J154" s="3" t="s">
        <v>38</v>
      </c>
      <c r="K154" t="s">
        <v>50</v>
      </c>
      <c r="L154" s="3" t="s">
        <v>72</v>
      </c>
      <c r="M154" s="3" t="s">
        <v>110</v>
      </c>
      <c r="N154" t="s">
        <v>111</v>
      </c>
      <c r="O154" t="s">
        <v>112</v>
      </c>
      <c r="P154" t="s">
        <v>113</v>
      </c>
      <c r="Q154" s="3">
        <v>12327.85</v>
      </c>
      <c r="R154" s="3">
        <v>12851.93</v>
      </c>
      <c r="S154" s="3">
        <v>8171.6</v>
      </c>
      <c r="T154" s="3">
        <v>1438.56</v>
      </c>
      <c r="U154" s="3">
        <v>661.13</v>
      </c>
      <c r="V154" s="3">
        <v>791.28</v>
      </c>
      <c r="W154" s="3">
        <v>235.18</v>
      </c>
      <c r="X154" s="3">
        <v>11297.74</v>
      </c>
      <c r="Y154" s="3">
        <v>4156.26</v>
      </c>
      <c r="Z154" s="3">
        <f t="shared" si="13"/>
        <v>1030.1100000000006</v>
      </c>
      <c r="AA154" s="37">
        <f t="shared" si="14"/>
        <v>8.3559582571170202E-2</v>
      </c>
      <c r="AB154" s="3">
        <v>-524.07000000000005</v>
      </c>
      <c r="AC154" s="3">
        <v>246.56</v>
      </c>
      <c r="AD154" s="3">
        <v>604.05999999999995</v>
      </c>
      <c r="AE154" s="3">
        <v>12685.36</v>
      </c>
      <c r="AF154" t="str">
        <f>IF(tbl_FinancialData[[#This Row],[City]]="","Unknown",PROPER(TRIM(tbl_FinancialData[[#This Row],[City]])))</f>
        <v>Bhopal</v>
      </c>
      <c r="AG154" t="str">
        <f>_xlfn.LET(_xlpm.city,LOWER(TRIM(tbl_FinancialData[[#This Row],[City]])),_xlpm.st,PROPER(TRIM(tbl_FinancialData[[#This Row],[State]])),IF(_xlpm.city="pune","Maharashtra",IF(_xlpm.city="jamshedpur","Jharkhand",IF(_xlpm.city="bhilai","Chhattisgarh",IF(_xlpm.city="mumbai","Maharashtra",_xlpm.st)))))</f>
        <v>Madhya Pradesh</v>
      </c>
      <c r="AH154" t="str">
        <f>_xlfn.LET(_xlpm.d,PROPER(TRIM(tbl_FinancialData[[#This Row],[Department]])),IF(_xlpm.d="It","IT",_xlpm.d))</f>
        <v>Sales</v>
      </c>
      <c r="AI154" t="str">
        <f>_xlfn.LET(_xlpm.pid,tbl_FinancialData[[#This Row],[Product ID]],_xlpm.n,PROPER(TRIM(tbl_FinancialData[[#This Row],[Product Name]])),IF(_xlpm.pid="P020","Document Scanner",IF(_xlpm.pid="P015","Network Router",SUBSTITUTE(SUBSTITUTE(_xlpm.n,"Crm","CRM"),"Ups","UPS"))))</f>
        <v>Office Desk</v>
      </c>
      <c r="AJ154" s="3" t="str">
        <f>UPPER(TRIM(tbl_FinancialData[[#This Row],[Cost Center]]))</f>
        <v>CC-1004</v>
      </c>
    </row>
    <row r="155" spans="1:36" x14ac:dyDescent="0.25">
      <c r="A155" s="3" t="s">
        <v>352</v>
      </c>
      <c r="B155" s="2">
        <v>45768</v>
      </c>
      <c r="C155" t="s">
        <v>128</v>
      </c>
      <c r="D155" s="3" t="str">
        <f t="shared" si="11"/>
        <v>Q1</v>
      </c>
      <c r="E155" s="3" t="str">
        <f t="shared" si="12"/>
        <v>FY2026</v>
      </c>
      <c r="F155" s="8" t="s">
        <v>85</v>
      </c>
      <c r="G155" s="3" t="s">
        <v>35</v>
      </c>
      <c r="H155" t="s">
        <v>60</v>
      </c>
      <c r="I155" t="s">
        <v>108</v>
      </c>
      <c r="J155" s="3" t="s">
        <v>80</v>
      </c>
      <c r="K155" t="s">
        <v>39</v>
      </c>
      <c r="L155" s="3" t="s">
        <v>81</v>
      </c>
      <c r="M155" s="3" t="s">
        <v>88</v>
      </c>
      <c r="N155" t="s">
        <v>89</v>
      </c>
      <c r="O155" t="s">
        <v>43</v>
      </c>
      <c r="P155" t="s">
        <v>90</v>
      </c>
      <c r="Q155" s="3">
        <v>31093.75</v>
      </c>
      <c r="R155" s="3">
        <v>29296.3</v>
      </c>
      <c r="S155" s="3">
        <v>20763.57</v>
      </c>
      <c r="T155" s="3">
        <v>3381.95</v>
      </c>
      <c r="U155" s="3">
        <v>1384.66</v>
      </c>
      <c r="V155" s="3">
        <v>2054.2399999999998</v>
      </c>
      <c r="W155" s="3">
        <v>1173.42</v>
      </c>
      <c r="X155" s="3">
        <v>28757.84</v>
      </c>
      <c r="Y155" s="3">
        <v>10330.18</v>
      </c>
      <c r="Z155" s="3">
        <f t="shared" si="13"/>
        <v>2335.91</v>
      </c>
      <c r="AA155" s="37">
        <f t="shared" si="14"/>
        <v>7.5124743718592957E-2</v>
      </c>
      <c r="AB155" s="3">
        <v>1797.45</v>
      </c>
      <c r="AC155" s="3">
        <v>932.81</v>
      </c>
      <c r="AD155" s="3">
        <v>5428.97</v>
      </c>
      <c r="AE155" s="3">
        <v>35589.910000000003</v>
      </c>
      <c r="AF155" t="str">
        <f>IF(tbl_FinancialData[[#This Row],[City]]="","Unknown",PROPER(TRIM(tbl_FinancialData[[#This Row],[City]])))</f>
        <v>Agra</v>
      </c>
      <c r="AG155" t="str">
        <f>_xlfn.LET(_xlpm.city,LOWER(TRIM(tbl_FinancialData[[#This Row],[City]])),_xlpm.st,PROPER(TRIM(tbl_FinancialData[[#This Row],[State]])),IF(_xlpm.city="pune","Maharashtra",IF(_xlpm.city="jamshedpur","Jharkhand",IF(_xlpm.city="bhilai","Chhattisgarh",IF(_xlpm.city="mumbai","Maharashtra",_xlpm.st)))))</f>
        <v>Uttar Pradesh</v>
      </c>
      <c r="AH155" t="str">
        <f>_xlfn.LET(_xlpm.d,PROPER(TRIM(tbl_FinancialData[[#This Row],[Department]])),IF(_xlpm.d="It","IT",_xlpm.d))</f>
        <v>Operations</v>
      </c>
      <c r="AI155" t="str">
        <f>_xlfn.LET(_xlpm.pid,tbl_FinancialData[[#This Row],[Product ID]],_xlpm.n,PROPER(TRIM(tbl_FinancialData[[#This Row],[Product Name]])),IF(_xlpm.pid="P020","Document Scanner",IF(_xlpm.pid="P015","Network Router",SUBSTITUTE(SUBSTITUTE(_xlpm.n,"Crm","CRM"),"Ups","UPS"))))</f>
        <v>Printer</v>
      </c>
      <c r="AJ155" s="3" t="str">
        <f>UPPER(TRIM(tbl_FinancialData[[#This Row],[Cost Center]]))</f>
        <v>CC-1005</v>
      </c>
    </row>
    <row r="156" spans="1:36" x14ac:dyDescent="0.25">
      <c r="A156" s="3" t="s">
        <v>353</v>
      </c>
      <c r="B156" s="2">
        <v>45755</v>
      </c>
      <c r="C156" t="s">
        <v>128</v>
      </c>
      <c r="D156" s="3" t="str">
        <f t="shared" si="11"/>
        <v>Q1</v>
      </c>
      <c r="E156" s="3" t="str">
        <f t="shared" si="12"/>
        <v>FY2026</v>
      </c>
      <c r="F156" s="8" t="s">
        <v>59</v>
      </c>
      <c r="G156" s="3" t="s">
        <v>35</v>
      </c>
      <c r="H156" t="s">
        <v>254</v>
      </c>
      <c r="I156" t="s">
        <v>314</v>
      </c>
      <c r="J156" s="3" t="s">
        <v>38</v>
      </c>
      <c r="K156" t="s">
        <v>160</v>
      </c>
      <c r="L156" s="3" t="s">
        <v>51</v>
      </c>
      <c r="M156" s="3" t="s">
        <v>73</v>
      </c>
      <c r="N156" t="s">
        <v>74</v>
      </c>
      <c r="O156" t="s">
        <v>43</v>
      </c>
      <c r="P156" t="s">
        <v>75</v>
      </c>
      <c r="Q156" s="3">
        <v>55578.239999999998</v>
      </c>
      <c r="R156" s="3">
        <v>63414.26</v>
      </c>
      <c r="S156" s="3">
        <v>28420.3</v>
      </c>
      <c r="T156" s="3">
        <v>6293.72</v>
      </c>
      <c r="U156" s="3">
        <v>1840.38</v>
      </c>
      <c r="V156" s="3">
        <v>5754.4</v>
      </c>
      <c r="W156" s="3">
        <v>1092.22</v>
      </c>
      <c r="X156" s="3">
        <v>43401.02</v>
      </c>
      <c r="Y156" s="3">
        <v>27157.94</v>
      </c>
      <c r="Z156" s="3">
        <f t="shared" si="13"/>
        <v>12177.220000000001</v>
      </c>
      <c r="AA156" s="37">
        <f t="shared" si="14"/>
        <v>0.21910049688511191</v>
      </c>
      <c r="AB156" s="3">
        <v>-7836.02</v>
      </c>
      <c r="AC156" s="3">
        <v>4446.26</v>
      </c>
      <c r="AD156" s="3">
        <v>9203.76</v>
      </c>
      <c r="AE156" s="3">
        <v>60335.74</v>
      </c>
      <c r="AF156" t="str">
        <f>IF(tbl_FinancialData[[#This Row],[City]]="","Unknown",PROPER(TRIM(tbl_FinancialData[[#This Row],[City]])))</f>
        <v>New Delhi</v>
      </c>
      <c r="AG156" t="str">
        <f>_xlfn.LET(_xlpm.city,LOWER(TRIM(tbl_FinancialData[[#This Row],[City]])),_xlpm.st,PROPER(TRIM(tbl_FinancialData[[#This Row],[State]])),IF(_xlpm.city="pune","Maharashtra",IF(_xlpm.city="jamshedpur","Jharkhand",IF(_xlpm.city="bhilai","Chhattisgarh",IF(_xlpm.city="mumbai","Maharashtra",_xlpm.st)))))</f>
        <v>Delhi</v>
      </c>
      <c r="AH156" t="str">
        <f>_xlfn.LET(_xlpm.d,PROPER(TRIM(tbl_FinancialData[[#This Row],[Department]])),IF(_xlpm.d="It","IT",_xlpm.d))</f>
        <v>IT</v>
      </c>
      <c r="AI156" t="str">
        <f>_xlfn.LET(_xlpm.pid,tbl_FinancialData[[#This Row],[Product ID]],_xlpm.n,PROPER(TRIM(tbl_FinancialData[[#This Row],[Product Name]])),IF(_xlpm.pid="P020","Document Scanner",IF(_xlpm.pid="P015","Network Router",SUBSTITUTE(SUBSTITUTE(_xlpm.n,"Crm","CRM"),"Ups","UPS"))))</f>
        <v>Monitor</v>
      </c>
      <c r="AJ156" s="3" t="str">
        <f>UPPER(TRIM(tbl_FinancialData[[#This Row],[Cost Center]]))</f>
        <v>CC-1003</v>
      </c>
    </row>
    <row r="157" spans="1:36" x14ac:dyDescent="0.25">
      <c r="A157" s="3" t="s">
        <v>354</v>
      </c>
      <c r="B157" s="2">
        <v>45764</v>
      </c>
      <c r="C157" t="s">
        <v>128</v>
      </c>
      <c r="D157" s="3" t="str">
        <f t="shared" si="11"/>
        <v>Q1</v>
      </c>
      <c r="E157" s="3" t="str">
        <f t="shared" si="12"/>
        <v>FY2026</v>
      </c>
      <c r="F157" s="8" t="s">
        <v>85</v>
      </c>
      <c r="G157" s="3" t="s">
        <v>35</v>
      </c>
      <c r="H157" t="s">
        <v>178</v>
      </c>
      <c r="I157" t="s">
        <v>249</v>
      </c>
      <c r="J157" s="3" t="s">
        <v>70</v>
      </c>
      <c r="K157" t="s">
        <v>50</v>
      </c>
      <c r="L157" s="3" t="s">
        <v>72</v>
      </c>
      <c r="M157" s="3" t="s">
        <v>197</v>
      </c>
      <c r="N157" t="s">
        <v>198</v>
      </c>
      <c r="O157" t="s">
        <v>43</v>
      </c>
      <c r="P157" t="s">
        <v>163</v>
      </c>
      <c r="Q157" s="3">
        <v>46283.83</v>
      </c>
      <c r="R157" s="3">
        <v>46856.23</v>
      </c>
      <c r="S157" s="3">
        <v>28945.040000000001</v>
      </c>
      <c r="T157" s="3">
        <v>5716</v>
      </c>
      <c r="U157" s="3">
        <v>2246.96</v>
      </c>
      <c r="V157" s="3">
        <v>4538.47</v>
      </c>
      <c r="W157" s="3">
        <v>1911.79</v>
      </c>
      <c r="X157" s="3">
        <v>43358.26</v>
      </c>
      <c r="Y157" s="3">
        <v>17338.79</v>
      </c>
      <c r="Z157" s="3">
        <f t="shared" si="13"/>
        <v>2925.5699999999997</v>
      </c>
      <c r="AA157" s="37">
        <f t="shared" si="14"/>
        <v>6.3209332503381843E-2</v>
      </c>
      <c r="AB157" s="3">
        <v>-572.4</v>
      </c>
      <c r="AC157" s="3">
        <v>1388.51</v>
      </c>
      <c r="AD157" s="3">
        <v>5387.44</v>
      </c>
      <c r="AE157" s="3">
        <v>50282.75</v>
      </c>
      <c r="AF157" t="str">
        <f>IF(tbl_FinancialData[[#This Row],[City]]="","Unknown",PROPER(TRIM(tbl_FinancialData[[#This Row],[City]])))</f>
        <v>Bhilai</v>
      </c>
      <c r="AG157" t="str">
        <f>_xlfn.LET(_xlpm.city,LOWER(TRIM(tbl_FinancialData[[#This Row],[City]])),_xlpm.st,PROPER(TRIM(tbl_FinancialData[[#This Row],[State]])),IF(_xlpm.city="pune","Maharashtra",IF(_xlpm.city="jamshedpur","Jharkhand",IF(_xlpm.city="bhilai","Chhattisgarh",IF(_xlpm.city="mumbai","Maharashtra",_xlpm.st)))))</f>
        <v>Chhattisgarh</v>
      </c>
      <c r="AH157" t="str">
        <f>_xlfn.LET(_xlpm.d,PROPER(TRIM(tbl_FinancialData[[#This Row],[Department]])),IF(_xlpm.d="It","IT",_xlpm.d))</f>
        <v>Sales</v>
      </c>
      <c r="AI157" t="str">
        <f>_xlfn.LET(_xlpm.pid,tbl_FinancialData[[#This Row],[Product ID]],_xlpm.n,PROPER(TRIM(tbl_FinancialData[[#This Row],[Product Name]])),IF(_xlpm.pid="P020","Document Scanner",IF(_xlpm.pid="P015","Network Router",SUBSTITUTE(SUBSTITUTE(_xlpm.n,"Crm","CRM"),"Ups","UPS"))))</f>
        <v>Smartphone</v>
      </c>
      <c r="AJ157" s="3" t="str">
        <f>UPPER(TRIM(tbl_FinancialData[[#This Row],[Cost Center]]))</f>
        <v>CC-1004</v>
      </c>
    </row>
    <row r="158" spans="1:36" x14ac:dyDescent="0.25">
      <c r="A158" s="3" t="s">
        <v>355</v>
      </c>
      <c r="B158" s="2">
        <v>45922</v>
      </c>
      <c r="C158" t="s">
        <v>46</v>
      </c>
      <c r="D158" s="3" t="str">
        <f t="shared" si="11"/>
        <v>Q2</v>
      </c>
      <c r="E158" s="3" t="str">
        <f t="shared" si="12"/>
        <v>FY2026</v>
      </c>
      <c r="F158" s="8" t="s">
        <v>34</v>
      </c>
      <c r="G158" s="3" t="s">
        <v>35</v>
      </c>
      <c r="H158" t="s">
        <v>134</v>
      </c>
      <c r="I158" t="s">
        <v>154</v>
      </c>
      <c r="J158" s="3" t="s">
        <v>80</v>
      </c>
      <c r="K158" t="s">
        <v>101</v>
      </c>
      <c r="L158" s="3" t="s">
        <v>94</v>
      </c>
      <c r="M158" s="3" t="s">
        <v>141</v>
      </c>
      <c r="N158" t="s">
        <v>142</v>
      </c>
      <c r="O158" t="s">
        <v>54</v>
      </c>
      <c r="P158" t="s">
        <v>143</v>
      </c>
      <c r="Q158" s="3">
        <v>7966.95</v>
      </c>
      <c r="R158" s="3">
        <v>9035.24</v>
      </c>
      <c r="S158" s="3">
        <v>5531.78</v>
      </c>
      <c r="T158" s="3">
        <v>438.16</v>
      </c>
      <c r="U158" s="3">
        <v>656.68</v>
      </c>
      <c r="V158" s="3">
        <v>604.41999999999996</v>
      </c>
      <c r="W158" s="3">
        <v>222</v>
      </c>
      <c r="X158" s="3">
        <v>7453.03</v>
      </c>
      <c r="Y158" s="3">
        <v>2435.16</v>
      </c>
      <c r="Z158" s="3">
        <f t="shared" si="13"/>
        <v>513.92000000000007</v>
      </c>
      <c r="AA158" s="37">
        <f t="shared" si="14"/>
        <v>6.450649244692136E-2</v>
      </c>
      <c r="AB158" s="3">
        <v>-1068.29</v>
      </c>
      <c r="AC158" s="3">
        <v>398.35</v>
      </c>
      <c r="AD158" s="3">
        <v>1362.35</v>
      </c>
      <c r="AE158" s="3">
        <v>8930.9500000000007</v>
      </c>
      <c r="AF158" t="str">
        <f>IF(tbl_FinancialData[[#This Row],[City]]="","Unknown",PROPER(TRIM(tbl_FinancialData[[#This Row],[City]])))</f>
        <v>Udaipur</v>
      </c>
      <c r="AG158" t="str">
        <f>_xlfn.LET(_xlpm.city,LOWER(TRIM(tbl_FinancialData[[#This Row],[City]])),_xlpm.st,PROPER(TRIM(tbl_FinancialData[[#This Row],[State]])),IF(_xlpm.city="pune","Maharashtra",IF(_xlpm.city="jamshedpur","Jharkhand",IF(_xlpm.city="bhilai","Chhattisgarh",IF(_xlpm.city="mumbai","Maharashtra",_xlpm.st)))))</f>
        <v>Rajasthan</v>
      </c>
      <c r="AH158" t="str">
        <f>_xlfn.LET(_xlpm.d,PROPER(TRIM(tbl_FinancialData[[#This Row],[Department]])),IF(_xlpm.d="It","IT",_xlpm.d))</f>
        <v>Finance</v>
      </c>
      <c r="AI158" t="str">
        <f>_xlfn.LET(_xlpm.pid,tbl_FinancialData[[#This Row],[Product ID]],_xlpm.n,PROPER(TRIM(tbl_FinancialData[[#This Row],[Product Name]])),IF(_xlpm.pid="P020","Document Scanner",IF(_xlpm.pid="P015","Network Router",SUBSTITUTE(SUBSTITUTE(_xlpm.n,"Crm","CRM"),"Ups","UPS"))))</f>
        <v>Headset</v>
      </c>
      <c r="AJ158" s="3" t="str">
        <f>UPPER(TRIM(tbl_FinancialData[[#This Row],[Cost Center]]))</f>
        <v>CC-1001</v>
      </c>
    </row>
    <row r="159" spans="1:36" x14ac:dyDescent="0.25">
      <c r="A159" s="3" t="s">
        <v>356</v>
      </c>
      <c r="B159" s="2">
        <v>45955</v>
      </c>
      <c r="C159" t="s">
        <v>92</v>
      </c>
      <c r="D159" s="3" t="str">
        <f t="shared" si="11"/>
        <v>Q3</v>
      </c>
      <c r="E159" s="3" t="str">
        <f t="shared" si="12"/>
        <v>FY2026</v>
      </c>
      <c r="F159" s="8" t="s">
        <v>34</v>
      </c>
      <c r="G159" s="3" t="s">
        <v>35</v>
      </c>
      <c r="H159" t="s">
        <v>157</v>
      </c>
      <c r="I159" t="s">
        <v>158</v>
      </c>
      <c r="J159" s="3" t="s">
        <v>100</v>
      </c>
      <c r="K159" t="s">
        <v>71</v>
      </c>
      <c r="L159" s="3" t="s">
        <v>40</v>
      </c>
      <c r="M159" s="3" t="s">
        <v>52</v>
      </c>
      <c r="N159" t="s">
        <v>53</v>
      </c>
      <c r="O159" t="s">
        <v>54</v>
      </c>
      <c r="P159" t="s">
        <v>55</v>
      </c>
      <c r="Q159" s="3">
        <v>6972.23</v>
      </c>
      <c r="R159" s="3">
        <v>7850.31</v>
      </c>
      <c r="S159" s="3">
        <v>3904.57</v>
      </c>
      <c r="T159" s="3">
        <v>757.49</v>
      </c>
      <c r="U159" s="3">
        <v>413.85</v>
      </c>
      <c r="V159" s="3">
        <v>721.43</v>
      </c>
      <c r="W159" s="3">
        <v>311.44</v>
      </c>
      <c r="X159" s="3">
        <v>6108.79</v>
      </c>
      <c r="Y159" s="3">
        <v>3067.66</v>
      </c>
      <c r="Z159" s="3">
        <f t="shared" si="13"/>
        <v>863.4399999999996</v>
      </c>
      <c r="AA159" s="37">
        <f t="shared" si="14"/>
        <v>0.12383986185194688</v>
      </c>
      <c r="AB159" s="3">
        <v>-878.08</v>
      </c>
      <c r="AC159" s="3">
        <v>139.44</v>
      </c>
      <c r="AD159" s="3">
        <v>1229.9000000000001</v>
      </c>
      <c r="AE159" s="3">
        <v>8062.69</v>
      </c>
      <c r="AF159" t="str">
        <f>IF(tbl_FinancialData[[#This Row],[City]]="","Unknown",PROPER(TRIM(tbl_FinancialData[[#This Row],[City]])))</f>
        <v>Ahmedabad</v>
      </c>
      <c r="AG159" t="str">
        <f>_xlfn.LET(_xlpm.city,LOWER(TRIM(tbl_FinancialData[[#This Row],[City]])),_xlpm.st,PROPER(TRIM(tbl_FinancialData[[#This Row],[State]])),IF(_xlpm.city="pune","Maharashtra",IF(_xlpm.city="jamshedpur","Jharkhand",IF(_xlpm.city="bhilai","Chhattisgarh",IF(_xlpm.city="mumbai","Maharashtra",_xlpm.st)))))</f>
        <v>Gujarat</v>
      </c>
      <c r="AH159" t="str">
        <f>_xlfn.LET(_xlpm.d,PROPER(TRIM(tbl_FinancialData[[#This Row],[Department]])),IF(_xlpm.d="It","IT",_xlpm.d))</f>
        <v>Marketing</v>
      </c>
      <c r="AI159" t="str">
        <f>_xlfn.LET(_xlpm.pid,tbl_FinancialData[[#This Row],[Product ID]],_xlpm.n,PROPER(TRIM(tbl_FinancialData[[#This Row],[Product Name]])),IF(_xlpm.pid="P020","Document Scanner",IF(_xlpm.pid="P015","Network Router",SUBSTITUTE(SUBSTITUTE(_xlpm.n,"Crm","CRM"),"Ups","UPS"))))</f>
        <v>Mouse</v>
      </c>
      <c r="AJ159" s="3" t="str">
        <f>UPPER(TRIM(tbl_FinancialData[[#This Row],[Cost Center]]))</f>
        <v>CC-1002</v>
      </c>
    </row>
    <row r="160" spans="1:36" x14ac:dyDescent="0.25">
      <c r="A160" s="3" t="s">
        <v>357</v>
      </c>
      <c r="B160" s="2">
        <v>46074</v>
      </c>
      <c r="C160" t="s">
        <v>57</v>
      </c>
      <c r="D160" s="3" t="str">
        <f t="shared" si="11"/>
        <v>Q4</v>
      </c>
      <c r="E160" s="3" t="str">
        <f t="shared" si="12"/>
        <v>FY2026</v>
      </c>
      <c r="F160" s="8" t="s">
        <v>59</v>
      </c>
      <c r="G160" s="3" t="s">
        <v>35</v>
      </c>
      <c r="H160" t="s">
        <v>139</v>
      </c>
      <c r="I160" t="s">
        <v>200</v>
      </c>
      <c r="J160" s="3" t="s">
        <v>38</v>
      </c>
      <c r="K160" t="s">
        <v>71</v>
      </c>
      <c r="L160" s="3" t="s">
        <v>358</v>
      </c>
      <c r="M160" s="3" t="s">
        <v>186</v>
      </c>
      <c r="N160" t="s">
        <v>187</v>
      </c>
      <c r="O160" t="s">
        <v>173</v>
      </c>
      <c r="P160" t="s">
        <v>174</v>
      </c>
      <c r="Q160" s="3">
        <v>13222.39</v>
      </c>
      <c r="R160" s="3">
        <v>14685.81</v>
      </c>
      <c r="S160" s="3">
        <v>8436.5400000000009</v>
      </c>
      <c r="T160" s="3">
        <v>1471.51</v>
      </c>
      <c r="U160" s="3">
        <v>1057.5899999999999</v>
      </c>
      <c r="V160" s="3">
        <v>1177.96</v>
      </c>
      <c r="W160" s="3">
        <v>173.23</v>
      </c>
      <c r="X160" s="3">
        <v>12316.84</v>
      </c>
      <c r="Y160" s="3">
        <v>4785.8500000000004</v>
      </c>
      <c r="Z160" s="3">
        <f t="shared" si="13"/>
        <v>905.54999999999927</v>
      </c>
      <c r="AA160" s="37">
        <f t="shared" si="14"/>
        <v>6.8486105764540242E-2</v>
      </c>
      <c r="AB160" s="3">
        <v>-1463.41</v>
      </c>
      <c r="AC160" s="3">
        <v>396.67</v>
      </c>
      <c r="AD160" s="3">
        <v>641.29</v>
      </c>
      <c r="AE160" s="3">
        <v>13467.01</v>
      </c>
      <c r="AF160" t="str">
        <f>IF(tbl_FinancialData[[#This Row],[City]]="","Unknown",PROPER(TRIM(tbl_FinancialData[[#This Row],[City]])))</f>
        <v>Gurugram</v>
      </c>
      <c r="AG160" t="str">
        <f>_xlfn.LET(_xlpm.city,LOWER(TRIM(tbl_FinancialData[[#This Row],[City]])),_xlpm.st,PROPER(TRIM(tbl_FinancialData[[#This Row],[State]])),IF(_xlpm.city="pune","Maharashtra",IF(_xlpm.city="jamshedpur","Jharkhand",IF(_xlpm.city="bhilai","Chhattisgarh",IF(_xlpm.city="mumbai","Maharashtra",_xlpm.st)))))</f>
        <v>Haryana</v>
      </c>
      <c r="AH160" t="str">
        <f>_xlfn.LET(_xlpm.d,PROPER(TRIM(tbl_FinancialData[[#This Row],[Department]])),IF(_xlpm.d="It","IT",_xlpm.d))</f>
        <v>Marketing</v>
      </c>
      <c r="AI160" t="str">
        <f>_xlfn.LET(_xlpm.pid,tbl_FinancialData[[#This Row],[Product ID]],_xlpm.n,PROPER(TRIM(tbl_FinancialData[[#This Row],[Product Name]])),IF(_xlpm.pid="P020","Document Scanner",IF(_xlpm.pid="P015","Network Router",SUBSTITUTE(SUBSTITUTE(_xlpm.n,"Crm","CRM"),"Ups","UPS"))))</f>
        <v>Network Router</v>
      </c>
      <c r="AJ160" s="3" t="str">
        <f>UPPER(TRIM(tbl_FinancialData[[#This Row],[Cost Center]]))</f>
        <v>CC-1001</v>
      </c>
    </row>
    <row r="161" spans="1:36" x14ac:dyDescent="0.25">
      <c r="A161" s="3" t="s">
        <v>359</v>
      </c>
      <c r="B161" s="2">
        <v>46007</v>
      </c>
      <c r="C161" t="s">
        <v>107</v>
      </c>
      <c r="D161" s="3" t="str">
        <f t="shared" si="11"/>
        <v>Q3</v>
      </c>
      <c r="E161" s="3" t="str">
        <f t="shared" si="12"/>
        <v>FY2026</v>
      </c>
      <c r="F161" s="8" t="s">
        <v>67</v>
      </c>
      <c r="G161" s="3" t="s">
        <v>35</v>
      </c>
      <c r="H161" t="s">
        <v>68</v>
      </c>
      <c r="I161" t="s">
        <v>260</v>
      </c>
      <c r="J161" s="3" t="s">
        <v>70</v>
      </c>
      <c r="K161" t="s">
        <v>39</v>
      </c>
      <c r="L161" s="3" t="s">
        <v>72</v>
      </c>
      <c r="M161" s="3" t="s">
        <v>189</v>
      </c>
      <c r="N161" t="s">
        <v>190</v>
      </c>
      <c r="O161" t="s">
        <v>104</v>
      </c>
      <c r="P161" t="s">
        <v>105</v>
      </c>
      <c r="Q161" s="3">
        <v>21260.33</v>
      </c>
      <c r="R161" s="3">
        <v>24800.91</v>
      </c>
      <c r="S161" s="3">
        <v>12871.39</v>
      </c>
      <c r="T161" s="3">
        <v>1572.53</v>
      </c>
      <c r="U161" s="3">
        <v>637.73</v>
      </c>
      <c r="V161" s="3">
        <v>1701.89</v>
      </c>
      <c r="W161" s="3">
        <v>803.81</v>
      </c>
      <c r="X161" s="3">
        <v>17587.349999999999</v>
      </c>
      <c r="Y161" s="3">
        <v>8388.94</v>
      </c>
      <c r="Z161" s="3">
        <f t="shared" si="13"/>
        <v>3672.9800000000032</v>
      </c>
      <c r="AA161" s="37">
        <f t="shared" si="14"/>
        <v>0.17276213492452858</v>
      </c>
      <c r="AB161" s="3">
        <v>-3540.58</v>
      </c>
      <c r="AC161" s="3">
        <v>1063.02</v>
      </c>
      <c r="AD161" s="3">
        <v>1009.87</v>
      </c>
      <c r="AE161" s="3">
        <v>21207.18</v>
      </c>
      <c r="AF161" t="str">
        <f>IF(tbl_FinancialData[[#This Row],[City]]="","Unknown",PROPER(TRIM(tbl_FinancialData[[#This Row],[City]])))</f>
        <v>Rourkela</v>
      </c>
      <c r="AG161" t="str">
        <f>_xlfn.LET(_xlpm.city,LOWER(TRIM(tbl_FinancialData[[#This Row],[City]])),_xlpm.st,PROPER(TRIM(tbl_FinancialData[[#This Row],[State]])),IF(_xlpm.city="pune","Maharashtra",IF(_xlpm.city="jamshedpur","Jharkhand",IF(_xlpm.city="bhilai","Chhattisgarh",IF(_xlpm.city="mumbai","Maharashtra",_xlpm.st)))))</f>
        <v>Odisha</v>
      </c>
      <c r="AH161" t="str">
        <f>_xlfn.LET(_xlpm.d,PROPER(TRIM(tbl_FinancialData[[#This Row],[Department]])),IF(_xlpm.d="It","IT",_xlpm.d))</f>
        <v>Operations</v>
      </c>
      <c r="AI161" t="str">
        <f>_xlfn.LET(_xlpm.pid,tbl_FinancialData[[#This Row],[Product ID]],_xlpm.n,PROPER(TRIM(tbl_FinancialData[[#This Row],[Product Name]])),IF(_xlpm.pid="P020","Document Scanner",IF(_xlpm.pid="P015","Network Router",SUBSTITUTE(SUBSTITUTE(_xlpm.n,"Crm","CRM"),"Ups","UPS"))))</f>
        <v>CRM Software</v>
      </c>
      <c r="AJ161" s="3" t="str">
        <f>UPPER(TRIM(tbl_FinancialData[[#This Row],[Cost Center]]))</f>
        <v>CC-1004</v>
      </c>
    </row>
    <row r="162" spans="1:36" x14ac:dyDescent="0.25">
      <c r="A162" s="3" t="s">
        <v>360</v>
      </c>
      <c r="B162" s="2">
        <v>45760</v>
      </c>
      <c r="C162" t="s">
        <v>128</v>
      </c>
      <c r="D162" s="3" t="str">
        <f t="shared" si="11"/>
        <v>Q1</v>
      </c>
      <c r="E162" s="3" t="str">
        <f t="shared" si="12"/>
        <v>FY2026</v>
      </c>
      <c r="F162" s="8" t="s">
        <v>34</v>
      </c>
      <c r="G162" s="3" t="s">
        <v>35</v>
      </c>
      <c r="H162" t="s">
        <v>36</v>
      </c>
      <c r="I162" t="s">
        <v>245</v>
      </c>
      <c r="J162" s="3" t="s">
        <v>70</v>
      </c>
      <c r="K162" t="s">
        <v>101</v>
      </c>
      <c r="L162" s="3" t="s">
        <v>51</v>
      </c>
      <c r="M162" s="3" t="s">
        <v>161</v>
      </c>
      <c r="N162" t="s">
        <v>162</v>
      </c>
      <c r="O162" t="s">
        <v>43</v>
      </c>
      <c r="P162" t="s">
        <v>163</v>
      </c>
      <c r="Q162" s="3">
        <v>35772.33</v>
      </c>
      <c r="R162" s="3">
        <v>38353.050000000003</v>
      </c>
      <c r="S162" s="3">
        <v>25575.63</v>
      </c>
      <c r="T162" s="3">
        <v>3515.69</v>
      </c>
      <c r="U162" s="3">
        <v>1726.3</v>
      </c>
      <c r="V162" s="3">
        <v>3284.81</v>
      </c>
      <c r="W162" s="3">
        <v>511.62</v>
      </c>
      <c r="X162" s="3">
        <v>34614.04</v>
      </c>
      <c r="Y162" s="3">
        <v>10196.709999999999</v>
      </c>
      <c r="Z162" s="3">
        <f t="shared" si="13"/>
        <v>1158.2900000000009</v>
      </c>
      <c r="AA162" s="37">
        <f t="shared" si="14"/>
        <v>3.2379495548654526E-2</v>
      </c>
      <c r="AB162" s="3">
        <v>-2580.7199999999998</v>
      </c>
      <c r="AC162" s="3">
        <v>2861.79</v>
      </c>
      <c r="AD162" s="3">
        <v>3949.27</v>
      </c>
      <c r="AE162" s="3">
        <v>36859.81</v>
      </c>
      <c r="AF162" t="str">
        <f>IF(tbl_FinancialData[[#This Row],[City]]="","Unknown",PROPER(TRIM(tbl_FinancialData[[#This Row],[City]])))</f>
        <v>Margao</v>
      </c>
      <c r="AG162" t="str">
        <f>_xlfn.LET(_xlpm.city,LOWER(TRIM(tbl_FinancialData[[#This Row],[City]])),_xlpm.st,PROPER(TRIM(tbl_FinancialData[[#This Row],[State]])),IF(_xlpm.city="pune","Maharashtra",IF(_xlpm.city="jamshedpur","Jharkhand",IF(_xlpm.city="bhilai","Chhattisgarh",IF(_xlpm.city="mumbai","Maharashtra",_xlpm.st)))))</f>
        <v>Goa</v>
      </c>
      <c r="AH162" t="str">
        <f>_xlfn.LET(_xlpm.d,PROPER(TRIM(tbl_FinancialData[[#This Row],[Department]])),IF(_xlpm.d="It","IT",_xlpm.d))</f>
        <v>Finance</v>
      </c>
      <c r="AI162" t="str">
        <f>_xlfn.LET(_xlpm.pid,tbl_FinancialData[[#This Row],[Product ID]],_xlpm.n,PROPER(TRIM(tbl_FinancialData[[#This Row],[Product Name]])),IF(_xlpm.pid="P020","Document Scanner",IF(_xlpm.pid="P015","Network Router",SUBSTITUTE(SUBSTITUTE(_xlpm.n,"Crm","CRM"),"Ups","UPS"))))</f>
        <v>Tablet</v>
      </c>
      <c r="AJ162" s="3" t="str">
        <f>UPPER(TRIM(tbl_FinancialData[[#This Row],[Cost Center]]))</f>
        <v>CC-1003</v>
      </c>
    </row>
    <row r="163" spans="1:36" x14ac:dyDescent="0.25">
      <c r="A163" s="3" t="s">
        <v>361</v>
      </c>
      <c r="B163" s="2">
        <v>45821</v>
      </c>
      <c r="C163" t="s">
        <v>156</v>
      </c>
      <c r="D163" s="3" t="str">
        <f t="shared" si="11"/>
        <v>Q1</v>
      </c>
      <c r="E163" s="3" t="str">
        <f t="shared" si="12"/>
        <v>FY2026</v>
      </c>
      <c r="F163" s="8" t="s">
        <v>34</v>
      </c>
      <c r="G163" s="3" t="s">
        <v>35</v>
      </c>
      <c r="H163" t="s">
        <v>134</v>
      </c>
      <c r="I163" t="s">
        <v>135</v>
      </c>
      <c r="J163" s="3" t="s">
        <v>38</v>
      </c>
      <c r="K163" t="s">
        <v>39</v>
      </c>
      <c r="L163" s="3" t="s">
        <v>40</v>
      </c>
      <c r="M163" s="3" t="s">
        <v>235</v>
      </c>
      <c r="N163" t="s">
        <v>236</v>
      </c>
      <c r="O163" t="s">
        <v>104</v>
      </c>
      <c r="P163" t="s">
        <v>237</v>
      </c>
      <c r="Q163" s="3">
        <v>13943.54</v>
      </c>
      <c r="R163" s="3">
        <v>13538.6</v>
      </c>
      <c r="S163" s="3">
        <v>7663.27</v>
      </c>
      <c r="T163" s="3">
        <v>1325.52</v>
      </c>
      <c r="U163" s="3">
        <v>457.31</v>
      </c>
      <c r="V163" s="3">
        <v>1580.41</v>
      </c>
      <c r="W163" s="3">
        <v>491.13</v>
      </c>
      <c r="X163" s="3">
        <v>11517.63</v>
      </c>
      <c r="Y163" s="3">
        <v>6280.27</v>
      </c>
      <c r="Z163" s="3">
        <f t="shared" si="13"/>
        <v>2425.9100000000017</v>
      </c>
      <c r="AA163" s="37">
        <f t="shared" si="14"/>
        <v>0.17398092593416031</v>
      </c>
      <c r="AB163" s="3">
        <v>404.95</v>
      </c>
      <c r="AC163" s="3">
        <v>418.31</v>
      </c>
      <c r="AD163" s="3">
        <v>676.26</v>
      </c>
      <c r="AE163" s="3">
        <v>14201.5</v>
      </c>
      <c r="AF163" t="str">
        <f>IF(tbl_FinancialData[[#This Row],[City]]="","Unknown",PROPER(TRIM(tbl_FinancialData[[#This Row],[City]])))</f>
        <v>Jodhpur</v>
      </c>
      <c r="AG163" t="str">
        <f>_xlfn.LET(_xlpm.city,LOWER(TRIM(tbl_FinancialData[[#This Row],[City]])),_xlpm.st,PROPER(TRIM(tbl_FinancialData[[#This Row],[State]])),IF(_xlpm.city="pune","Maharashtra",IF(_xlpm.city="jamshedpur","Jharkhand",IF(_xlpm.city="bhilai","Chhattisgarh",IF(_xlpm.city="mumbai","Maharashtra",_xlpm.st)))))</f>
        <v>Rajasthan</v>
      </c>
      <c r="AH163" t="str">
        <f>_xlfn.LET(_xlpm.d,PROPER(TRIM(tbl_FinancialData[[#This Row],[Department]])),IF(_xlpm.d="It","IT",_xlpm.d))</f>
        <v>Operations</v>
      </c>
      <c r="AI163" t="str">
        <f>_xlfn.LET(_xlpm.pid,tbl_FinancialData[[#This Row],[Product ID]],_xlpm.n,PROPER(TRIM(tbl_FinancialData[[#This Row],[Product Name]])),IF(_xlpm.pid="P020","Document Scanner",IF(_xlpm.pid="P015","Network Router",SUBSTITUTE(SUBSTITUTE(_xlpm.n,"Crm","CRM"),"Ups","UPS"))))</f>
        <v>Data Storage</v>
      </c>
      <c r="AJ163" s="3" t="str">
        <f>UPPER(TRIM(tbl_FinancialData[[#This Row],[Cost Center]]))</f>
        <v>CC-1002</v>
      </c>
    </row>
    <row r="164" spans="1:36" x14ac:dyDescent="0.25">
      <c r="A164" s="3" t="s">
        <v>362</v>
      </c>
      <c r="B164" s="2">
        <v>46037</v>
      </c>
      <c r="C164" t="s">
        <v>77</v>
      </c>
      <c r="D164" s="3" t="str">
        <f t="shared" si="11"/>
        <v>Q4</v>
      </c>
      <c r="E164" s="3" t="str">
        <f t="shared" si="12"/>
        <v>FY2026</v>
      </c>
      <c r="F164" s="8" t="s">
        <v>59</v>
      </c>
      <c r="G164" s="3" t="s">
        <v>35</v>
      </c>
      <c r="H164" t="s">
        <v>230</v>
      </c>
      <c r="I164" t="s">
        <v>363</v>
      </c>
      <c r="J164" s="3" t="s">
        <v>70</v>
      </c>
      <c r="K164" t="s">
        <v>50</v>
      </c>
      <c r="L164" s="3" t="s">
        <v>94</v>
      </c>
      <c r="M164" s="3" t="s">
        <v>186</v>
      </c>
      <c r="N164" t="s">
        <v>187</v>
      </c>
      <c r="O164" t="s">
        <v>173</v>
      </c>
      <c r="P164" t="s">
        <v>174</v>
      </c>
      <c r="Q164" s="3">
        <v>8527.99</v>
      </c>
      <c r="R164" s="3">
        <v>9507.9</v>
      </c>
      <c r="S164" s="3">
        <v>5556.92</v>
      </c>
      <c r="T164" s="3">
        <v>831.3</v>
      </c>
      <c r="U164" s="3">
        <v>709.72</v>
      </c>
      <c r="V164" s="3">
        <v>739.05</v>
      </c>
      <c r="W164" s="3">
        <v>224.66</v>
      </c>
      <c r="X164" s="3">
        <v>8061.65</v>
      </c>
      <c r="Y164" s="3">
        <v>2971.07</v>
      </c>
      <c r="Z164" s="3">
        <f t="shared" si="13"/>
        <v>466.34000000000015</v>
      </c>
      <c r="AA164" s="37">
        <f t="shared" si="14"/>
        <v>5.4683459994676373E-2</v>
      </c>
      <c r="AB164" s="3">
        <v>-979.91</v>
      </c>
      <c r="AC164" s="3">
        <v>255.84</v>
      </c>
      <c r="AD164" s="3">
        <v>1488.99</v>
      </c>
      <c r="AE164" s="3">
        <v>9761.14</v>
      </c>
      <c r="AF164" t="str">
        <f>IF(tbl_FinancialData[[#This Row],[City]]="","Unknown",PROPER(TRIM(tbl_FinancialData[[#This Row],[City]])))</f>
        <v>Jalandhar</v>
      </c>
      <c r="AG164" t="str">
        <f>_xlfn.LET(_xlpm.city,LOWER(TRIM(tbl_FinancialData[[#This Row],[City]])),_xlpm.st,PROPER(TRIM(tbl_FinancialData[[#This Row],[State]])),IF(_xlpm.city="pune","Maharashtra",IF(_xlpm.city="jamshedpur","Jharkhand",IF(_xlpm.city="bhilai","Chhattisgarh",IF(_xlpm.city="mumbai","Maharashtra",_xlpm.st)))))</f>
        <v>Punjab</v>
      </c>
      <c r="AH164" t="str">
        <f>_xlfn.LET(_xlpm.d,PROPER(TRIM(tbl_FinancialData[[#This Row],[Department]])),IF(_xlpm.d="It","IT",_xlpm.d))</f>
        <v>Sales</v>
      </c>
      <c r="AI164" t="str">
        <f>_xlfn.LET(_xlpm.pid,tbl_FinancialData[[#This Row],[Product ID]],_xlpm.n,PROPER(TRIM(tbl_FinancialData[[#This Row],[Product Name]])),IF(_xlpm.pid="P020","Document Scanner",IF(_xlpm.pid="P015","Network Router",SUBSTITUTE(SUBSTITUTE(_xlpm.n,"Crm","CRM"),"Ups","UPS"))))</f>
        <v>Network Router</v>
      </c>
      <c r="AJ164" s="3" t="str">
        <f>UPPER(TRIM(tbl_FinancialData[[#This Row],[Cost Center]]))</f>
        <v>CC-1001</v>
      </c>
    </row>
    <row r="165" spans="1:36" x14ac:dyDescent="0.25">
      <c r="A165" s="3" t="s">
        <v>364</v>
      </c>
      <c r="B165" s="2">
        <v>46067</v>
      </c>
      <c r="C165" t="s">
        <v>57</v>
      </c>
      <c r="D165" s="3" t="str">
        <f t="shared" si="11"/>
        <v>Q4</v>
      </c>
      <c r="E165" s="3" t="str">
        <f t="shared" si="12"/>
        <v>FY2026</v>
      </c>
      <c r="F165" s="8" t="s">
        <v>47</v>
      </c>
      <c r="G165" s="3" t="s">
        <v>35</v>
      </c>
      <c r="H165" t="s">
        <v>206</v>
      </c>
      <c r="I165" t="s">
        <v>344</v>
      </c>
      <c r="J165" s="3" t="s">
        <v>80</v>
      </c>
      <c r="K165" t="s">
        <v>50</v>
      </c>
      <c r="L165" s="3" t="s">
        <v>94</v>
      </c>
      <c r="M165" s="3" t="s">
        <v>73</v>
      </c>
      <c r="N165" t="s">
        <v>74</v>
      </c>
      <c r="O165" t="s">
        <v>43</v>
      </c>
      <c r="P165" t="s">
        <v>75</v>
      </c>
      <c r="Q165" s="3">
        <v>40037.32</v>
      </c>
      <c r="R165" s="3">
        <v>45945.29</v>
      </c>
      <c r="S165" s="3">
        <v>23386.44</v>
      </c>
      <c r="T165" s="3">
        <v>4916.3999999999996</v>
      </c>
      <c r="U165" s="3">
        <v>1982.88</v>
      </c>
      <c r="V165" s="3">
        <v>4689.42</v>
      </c>
      <c r="W165" s="3">
        <v>525.5</v>
      </c>
      <c r="X165" s="3">
        <v>35500.639999999999</v>
      </c>
      <c r="Y165" s="3">
        <v>16650.87</v>
      </c>
      <c r="Z165" s="3">
        <f t="shared" si="13"/>
        <v>4536.68</v>
      </c>
      <c r="AA165" s="37">
        <f t="shared" si="14"/>
        <v>0.11331128057522333</v>
      </c>
      <c r="AB165" s="3">
        <v>-5907.97</v>
      </c>
      <c r="AC165" s="3">
        <v>2001.87</v>
      </c>
      <c r="AD165" s="3">
        <v>4564.25</v>
      </c>
      <c r="AE165" s="3">
        <v>42599.7</v>
      </c>
      <c r="AF165" t="str">
        <f>IF(tbl_FinancialData[[#This Row],[City]]="","Unknown",PROPER(TRIM(tbl_FinancialData[[#This Row],[City]])))</f>
        <v>Hyderabad</v>
      </c>
      <c r="AG165" t="str">
        <f>_xlfn.LET(_xlpm.city,LOWER(TRIM(tbl_FinancialData[[#This Row],[City]])),_xlpm.st,PROPER(TRIM(tbl_FinancialData[[#This Row],[State]])),IF(_xlpm.city="pune","Maharashtra",IF(_xlpm.city="jamshedpur","Jharkhand",IF(_xlpm.city="bhilai","Chhattisgarh",IF(_xlpm.city="mumbai","Maharashtra",_xlpm.st)))))</f>
        <v>Telangana</v>
      </c>
      <c r="AH165" t="str">
        <f>_xlfn.LET(_xlpm.d,PROPER(TRIM(tbl_FinancialData[[#This Row],[Department]])),IF(_xlpm.d="It","IT",_xlpm.d))</f>
        <v>Sales</v>
      </c>
      <c r="AI165" t="str">
        <f>_xlfn.LET(_xlpm.pid,tbl_FinancialData[[#This Row],[Product ID]],_xlpm.n,PROPER(TRIM(tbl_FinancialData[[#This Row],[Product Name]])),IF(_xlpm.pid="P020","Document Scanner",IF(_xlpm.pid="P015","Network Router",SUBSTITUTE(SUBSTITUTE(_xlpm.n,"Crm","CRM"),"Ups","UPS"))))</f>
        <v>Monitor</v>
      </c>
      <c r="AJ165" s="3" t="str">
        <f>UPPER(TRIM(tbl_FinancialData[[#This Row],[Cost Center]]))</f>
        <v>CC-1001</v>
      </c>
    </row>
    <row r="166" spans="1:36" x14ac:dyDescent="0.25">
      <c r="A166" s="3" t="s">
        <v>365</v>
      </c>
      <c r="B166" s="2">
        <v>46063</v>
      </c>
      <c r="C166" t="s">
        <v>57</v>
      </c>
      <c r="D166" s="3" t="str">
        <f t="shared" si="11"/>
        <v>Q4</v>
      </c>
      <c r="E166" s="3" t="str">
        <f t="shared" si="12"/>
        <v>FY2026</v>
      </c>
      <c r="F166" s="8" t="s">
        <v>34</v>
      </c>
      <c r="G166" s="3" t="s">
        <v>35</v>
      </c>
      <c r="H166" t="s">
        <v>134</v>
      </c>
      <c r="I166" t="s">
        <v>154</v>
      </c>
      <c r="J166" s="3" t="s">
        <v>100</v>
      </c>
      <c r="K166" t="s">
        <v>50</v>
      </c>
      <c r="L166" s="3" t="s">
        <v>81</v>
      </c>
      <c r="M166" s="3" t="s">
        <v>221</v>
      </c>
      <c r="N166" t="s">
        <v>222</v>
      </c>
      <c r="O166" t="s">
        <v>104</v>
      </c>
      <c r="P166" t="s">
        <v>223</v>
      </c>
      <c r="Q166" s="3">
        <v>27027.18</v>
      </c>
      <c r="R166" s="3">
        <v>29954.53</v>
      </c>
      <c r="S166" s="3">
        <v>19140.25</v>
      </c>
      <c r="T166" s="3">
        <v>2870.37</v>
      </c>
      <c r="U166" s="3">
        <v>1199.29</v>
      </c>
      <c r="V166" s="3">
        <v>1308.9000000000001</v>
      </c>
      <c r="W166" s="3">
        <v>1009.84</v>
      </c>
      <c r="X166" s="3">
        <v>25528.66</v>
      </c>
      <c r="Y166" s="3">
        <v>7886.92</v>
      </c>
      <c r="Z166" s="3">
        <f t="shared" si="13"/>
        <v>1498.5200000000004</v>
      </c>
      <c r="AA166" s="37">
        <f t="shared" si="14"/>
        <v>5.5444926181717827E-2</v>
      </c>
      <c r="AB166" s="3">
        <v>-2927.35</v>
      </c>
      <c r="AC166" s="3">
        <v>1351.36</v>
      </c>
      <c r="AD166" s="3">
        <v>1283.79</v>
      </c>
      <c r="AE166" s="3">
        <v>26959.61</v>
      </c>
      <c r="AF166" t="str">
        <f>IF(tbl_FinancialData[[#This Row],[City]]="","Unknown",PROPER(TRIM(tbl_FinancialData[[#This Row],[City]])))</f>
        <v>Udaipur</v>
      </c>
      <c r="AG166" t="str">
        <f>_xlfn.LET(_xlpm.city,LOWER(TRIM(tbl_FinancialData[[#This Row],[City]])),_xlpm.st,PROPER(TRIM(tbl_FinancialData[[#This Row],[State]])),IF(_xlpm.city="pune","Maharashtra",IF(_xlpm.city="jamshedpur","Jharkhand",IF(_xlpm.city="bhilai","Chhattisgarh",IF(_xlpm.city="mumbai","Maharashtra",_xlpm.st)))))</f>
        <v>Rajasthan</v>
      </c>
      <c r="AH166" t="str">
        <f>_xlfn.LET(_xlpm.d,PROPER(TRIM(tbl_FinancialData[[#This Row],[Department]])),IF(_xlpm.d="It","IT",_xlpm.d))</f>
        <v>Sales</v>
      </c>
      <c r="AI166" t="str">
        <f>_xlfn.LET(_xlpm.pid,tbl_FinancialData[[#This Row],[Product ID]],_xlpm.n,PROPER(TRIM(tbl_FinancialData[[#This Row],[Product Name]])),IF(_xlpm.pid="P020","Document Scanner",IF(_xlpm.pid="P015","Network Router",SUBSTITUTE(SUBSTITUTE(_xlpm.n,"Crm","CRM"),"Ups","UPS"))))</f>
        <v>Cloud Software</v>
      </c>
      <c r="AJ166" s="3" t="str">
        <f>UPPER(TRIM(tbl_FinancialData[[#This Row],[Cost Center]]))</f>
        <v>CC-1005</v>
      </c>
    </row>
    <row r="167" spans="1:36" x14ac:dyDescent="0.25">
      <c r="A167" s="3" t="s">
        <v>366</v>
      </c>
      <c r="B167" s="2">
        <v>45848</v>
      </c>
      <c r="C167" t="s">
        <v>32</v>
      </c>
      <c r="D167" s="3" t="str">
        <f t="shared" si="11"/>
        <v>Q2</v>
      </c>
      <c r="E167" s="3" t="str">
        <f t="shared" si="12"/>
        <v>FY2026</v>
      </c>
      <c r="F167" s="8" t="s">
        <v>67</v>
      </c>
      <c r="G167" s="3" t="s">
        <v>35</v>
      </c>
      <c r="H167" t="s">
        <v>217</v>
      </c>
      <c r="I167" t="s">
        <v>284</v>
      </c>
      <c r="J167" s="3" t="s">
        <v>70</v>
      </c>
      <c r="K167" t="s">
        <v>101</v>
      </c>
      <c r="L167" s="3" t="s">
        <v>40</v>
      </c>
      <c r="M167" s="3" t="s">
        <v>235</v>
      </c>
      <c r="N167" t="s">
        <v>236</v>
      </c>
      <c r="O167" t="s">
        <v>104</v>
      </c>
      <c r="P167" t="s">
        <v>237</v>
      </c>
      <c r="Q167" s="3">
        <v>17085.259999999998</v>
      </c>
      <c r="R167" s="3">
        <v>19437.669999999998</v>
      </c>
      <c r="S167" s="3">
        <v>8963.7000000000007</v>
      </c>
      <c r="T167" s="3">
        <v>1608.84</v>
      </c>
      <c r="U167" s="3">
        <v>888.89</v>
      </c>
      <c r="V167" s="3">
        <v>1667.05</v>
      </c>
      <c r="W167" s="3">
        <v>392.8</v>
      </c>
      <c r="X167" s="3">
        <v>13521.29</v>
      </c>
      <c r="Y167" s="3">
        <v>8121.55</v>
      </c>
      <c r="Z167" s="3">
        <f t="shared" si="13"/>
        <v>3563.9699999999975</v>
      </c>
      <c r="AA167" s="37">
        <f t="shared" si="14"/>
        <v>0.20859910823715869</v>
      </c>
      <c r="AB167" s="3">
        <v>-2352.42</v>
      </c>
      <c r="AC167" s="3">
        <v>1366.82</v>
      </c>
      <c r="AD167" s="3">
        <v>2829.32</v>
      </c>
      <c r="AE167" s="3">
        <v>18547.75</v>
      </c>
      <c r="AF167" t="str">
        <f>IF(tbl_FinancialData[[#This Row],[City]]="","Unknown",PROPER(TRIM(tbl_FinancialData[[#This Row],[City]])))</f>
        <v>Patna</v>
      </c>
      <c r="AG167" t="str">
        <f>_xlfn.LET(_xlpm.city,LOWER(TRIM(tbl_FinancialData[[#This Row],[City]])),_xlpm.st,PROPER(TRIM(tbl_FinancialData[[#This Row],[State]])),IF(_xlpm.city="pune","Maharashtra",IF(_xlpm.city="jamshedpur","Jharkhand",IF(_xlpm.city="bhilai","Chhattisgarh",IF(_xlpm.city="mumbai","Maharashtra",_xlpm.st)))))</f>
        <v>Bihar</v>
      </c>
      <c r="AH167" t="str">
        <f>_xlfn.LET(_xlpm.d,PROPER(TRIM(tbl_FinancialData[[#This Row],[Department]])),IF(_xlpm.d="It","IT",_xlpm.d))</f>
        <v>Finance</v>
      </c>
      <c r="AI167" t="str">
        <f>_xlfn.LET(_xlpm.pid,tbl_FinancialData[[#This Row],[Product ID]],_xlpm.n,PROPER(TRIM(tbl_FinancialData[[#This Row],[Product Name]])),IF(_xlpm.pid="P020","Document Scanner",IF(_xlpm.pid="P015","Network Router",SUBSTITUTE(SUBSTITUTE(_xlpm.n,"Crm","CRM"),"Ups","UPS"))))</f>
        <v>Data Storage</v>
      </c>
      <c r="AJ167" s="3" t="str">
        <f>UPPER(TRIM(tbl_FinancialData[[#This Row],[Cost Center]]))</f>
        <v>CC-1002</v>
      </c>
    </row>
    <row r="168" spans="1:36" x14ac:dyDescent="0.25">
      <c r="A168" s="3" t="s">
        <v>367</v>
      </c>
      <c r="B168" s="2">
        <v>45847</v>
      </c>
      <c r="C168" t="s">
        <v>32</v>
      </c>
      <c r="D168" s="3" t="str">
        <f t="shared" si="11"/>
        <v>Q2</v>
      </c>
      <c r="E168" s="3" t="str">
        <f t="shared" si="12"/>
        <v>FY2026</v>
      </c>
      <c r="F168" s="8" t="s">
        <v>34</v>
      </c>
      <c r="G168" s="3" t="s">
        <v>35</v>
      </c>
      <c r="H168" t="s">
        <v>98</v>
      </c>
      <c r="I168" t="s">
        <v>99</v>
      </c>
      <c r="J168" s="3" t="s">
        <v>100</v>
      </c>
      <c r="K168" t="s">
        <v>101</v>
      </c>
      <c r="L168" s="3" t="s">
        <v>72</v>
      </c>
      <c r="M168" s="3" t="s">
        <v>120</v>
      </c>
      <c r="N168" t="s">
        <v>121</v>
      </c>
      <c r="O168" t="s">
        <v>43</v>
      </c>
      <c r="P168" t="s">
        <v>122</v>
      </c>
      <c r="Q168" s="3">
        <v>70266.23</v>
      </c>
      <c r="R168" s="3">
        <v>62934.62</v>
      </c>
      <c r="S168" s="3">
        <v>45232.24</v>
      </c>
      <c r="T168" s="3">
        <v>6144.95</v>
      </c>
      <c r="U168" s="3">
        <v>4401.93</v>
      </c>
      <c r="V168" s="3">
        <v>3290.38</v>
      </c>
      <c r="W168" s="3">
        <v>808.43</v>
      </c>
      <c r="X168" s="3">
        <v>59877.919999999998</v>
      </c>
      <c r="Y168" s="3">
        <v>25033.99</v>
      </c>
      <c r="Z168" s="3">
        <f t="shared" si="13"/>
        <v>10388.309999999998</v>
      </c>
      <c r="AA168" s="37">
        <f t="shared" si="14"/>
        <v>0.14784214266227175</v>
      </c>
      <c r="AB168" s="3">
        <v>7331.61</v>
      </c>
      <c r="AC168" s="3">
        <v>3513.31</v>
      </c>
      <c r="AD168" s="3">
        <v>12015.53</v>
      </c>
      <c r="AE168" s="3">
        <v>78768.44</v>
      </c>
      <c r="AF168" t="str">
        <f>IF(tbl_FinancialData[[#This Row],[City]]="","Unknown",PROPER(TRIM(tbl_FinancialData[[#This Row],[City]])))</f>
        <v>Mumbai</v>
      </c>
      <c r="AG168" t="str">
        <f>_xlfn.LET(_xlpm.city,LOWER(TRIM(tbl_FinancialData[[#This Row],[City]])),_xlpm.st,PROPER(TRIM(tbl_FinancialData[[#This Row],[State]])),IF(_xlpm.city="pune","Maharashtra",IF(_xlpm.city="jamshedpur","Jharkhand",IF(_xlpm.city="bhilai","Chhattisgarh",IF(_xlpm.city="mumbai","Maharashtra",_xlpm.st)))))</f>
        <v>Maharashtra</v>
      </c>
      <c r="AH168" t="str">
        <f>_xlfn.LET(_xlpm.d,PROPER(TRIM(tbl_FinancialData[[#This Row],[Department]])),IF(_xlpm.d="It","IT",_xlpm.d))</f>
        <v>Finance</v>
      </c>
      <c r="AI168" t="str">
        <f>_xlfn.LET(_xlpm.pid,tbl_FinancialData[[#This Row],[Product ID]],_xlpm.n,PROPER(TRIM(tbl_FinancialData[[#This Row],[Product Name]])),IF(_xlpm.pid="P020","Document Scanner",IF(_xlpm.pid="P015","Network Router",SUBSTITUTE(SUBSTITUTE(_xlpm.n,"Crm","CRM"),"Ups","UPS"))))</f>
        <v>Projector</v>
      </c>
      <c r="AJ168" s="3" t="str">
        <f>UPPER(TRIM(tbl_FinancialData[[#This Row],[Cost Center]]))</f>
        <v>CC-1004</v>
      </c>
    </row>
    <row r="169" spans="1:36" x14ac:dyDescent="0.25">
      <c r="A169" s="3" t="s">
        <v>368</v>
      </c>
      <c r="B169" s="2">
        <v>45801</v>
      </c>
      <c r="C169" t="s">
        <v>65</v>
      </c>
      <c r="D169" s="3" t="str">
        <f t="shared" si="11"/>
        <v>Q1</v>
      </c>
      <c r="E169" s="3" t="str">
        <f t="shared" si="12"/>
        <v>FY2026</v>
      </c>
      <c r="F169" s="8" t="s">
        <v>67</v>
      </c>
      <c r="G169" s="3" t="s">
        <v>35</v>
      </c>
      <c r="H169" t="s">
        <v>118</v>
      </c>
      <c r="I169" t="s">
        <v>227</v>
      </c>
      <c r="J169" s="3" t="s">
        <v>80</v>
      </c>
      <c r="K169" t="s">
        <v>39</v>
      </c>
      <c r="L169" s="3" t="s">
        <v>81</v>
      </c>
      <c r="M169" s="3" t="s">
        <v>110</v>
      </c>
      <c r="N169" t="s">
        <v>111</v>
      </c>
      <c r="O169" t="s">
        <v>112</v>
      </c>
      <c r="P169" t="s">
        <v>113</v>
      </c>
      <c r="Q169" s="3">
        <v>35137.379999999997</v>
      </c>
      <c r="R169" s="3">
        <v>38398.65</v>
      </c>
      <c r="S169" s="3">
        <v>24867.53</v>
      </c>
      <c r="T169" s="3">
        <v>1845.2</v>
      </c>
      <c r="U169" s="3">
        <v>2559.86</v>
      </c>
      <c r="V169" s="3">
        <v>2333.8000000000002</v>
      </c>
      <c r="W169" s="3">
        <v>1465.66</v>
      </c>
      <c r="X169" s="3">
        <v>33072.050000000003</v>
      </c>
      <c r="Y169" s="3">
        <v>10269.85</v>
      </c>
      <c r="Z169" s="3">
        <f t="shared" si="13"/>
        <v>2065.3299999999945</v>
      </c>
      <c r="AA169" s="37">
        <f t="shared" si="14"/>
        <v>5.877871372310612E-2</v>
      </c>
      <c r="AB169" s="3">
        <v>-3261.27</v>
      </c>
      <c r="AC169" s="3">
        <v>702.75</v>
      </c>
      <c r="AD169" s="3">
        <v>6198.23</v>
      </c>
      <c r="AE169" s="3">
        <v>40632.86</v>
      </c>
      <c r="AF169" t="str">
        <f>IF(tbl_FinancialData[[#This Row],[City]]="","Unknown",PROPER(TRIM(tbl_FinancialData[[#This Row],[City]])))</f>
        <v>Dhanbad</v>
      </c>
      <c r="AG169" t="str">
        <f>_xlfn.LET(_xlpm.city,LOWER(TRIM(tbl_FinancialData[[#This Row],[City]])),_xlpm.st,PROPER(TRIM(tbl_FinancialData[[#This Row],[State]])),IF(_xlpm.city="pune","Maharashtra",IF(_xlpm.city="jamshedpur","Jharkhand",IF(_xlpm.city="bhilai","Chhattisgarh",IF(_xlpm.city="mumbai","Maharashtra",_xlpm.st)))))</f>
        <v>Jharkhand</v>
      </c>
      <c r="AH169" t="str">
        <f>_xlfn.LET(_xlpm.d,PROPER(TRIM(tbl_FinancialData[[#This Row],[Department]])),IF(_xlpm.d="It","IT",_xlpm.d))</f>
        <v>Operations</v>
      </c>
      <c r="AI169" t="str">
        <f>_xlfn.LET(_xlpm.pid,tbl_FinancialData[[#This Row],[Product ID]],_xlpm.n,PROPER(TRIM(tbl_FinancialData[[#This Row],[Product Name]])),IF(_xlpm.pid="P020","Document Scanner",IF(_xlpm.pid="P015","Network Router",SUBSTITUTE(SUBSTITUTE(_xlpm.n,"Crm","CRM"),"Ups","UPS"))))</f>
        <v>Office Desk</v>
      </c>
      <c r="AJ169" s="3" t="str">
        <f>UPPER(TRIM(tbl_FinancialData[[#This Row],[Cost Center]]))</f>
        <v>CC-1005</v>
      </c>
    </row>
    <row r="170" spans="1:36" x14ac:dyDescent="0.25">
      <c r="A170" s="3" t="s">
        <v>369</v>
      </c>
      <c r="B170" s="2">
        <v>45975</v>
      </c>
      <c r="C170" t="s">
        <v>147</v>
      </c>
      <c r="D170" s="3" t="str">
        <f t="shared" si="11"/>
        <v>Q3</v>
      </c>
      <c r="E170" s="3" t="str">
        <f t="shared" si="12"/>
        <v>FY2026</v>
      </c>
      <c r="F170" s="8" t="s">
        <v>59</v>
      </c>
      <c r="G170" s="3" t="s">
        <v>35</v>
      </c>
      <c r="H170" t="s">
        <v>230</v>
      </c>
      <c r="I170" t="s">
        <v>301</v>
      </c>
      <c r="J170" s="3" t="s">
        <v>80</v>
      </c>
      <c r="K170" t="s">
        <v>50</v>
      </c>
      <c r="L170" s="3" t="s">
        <v>72</v>
      </c>
      <c r="M170" s="3" t="s">
        <v>171</v>
      </c>
      <c r="N170" t="s">
        <v>172</v>
      </c>
      <c r="O170" t="s">
        <v>173</v>
      </c>
      <c r="P170" t="s">
        <v>174</v>
      </c>
      <c r="Q170" s="3">
        <v>30439.87</v>
      </c>
      <c r="R170" s="3">
        <v>35700</v>
      </c>
      <c r="S170" s="3">
        <v>15528.35</v>
      </c>
      <c r="T170" s="3">
        <v>1563.26</v>
      </c>
      <c r="U170" s="3">
        <v>2284.8200000000002</v>
      </c>
      <c r="V170" s="3">
        <v>3183.17</v>
      </c>
      <c r="W170" s="3">
        <v>432.47</v>
      </c>
      <c r="X170" s="3">
        <v>22992.080000000002</v>
      </c>
      <c r="Y170" s="3">
        <v>14911.51</v>
      </c>
      <c r="Z170" s="3">
        <f t="shared" si="13"/>
        <v>7447.7899999999972</v>
      </c>
      <c r="AA170" s="37">
        <f t="shared" si="14"/>
        <v>0.24467220129389505</v>
      </c>
      <c r="AB170" s="3">
        <v>-5260.14</v>
      </c>
      <c r="AC170" s="3">
        <v>608.79999999999995</v>
      </c>
      <c r="AD170" s="3">
        <v>1491.55</v>
      </c>
      <c r="AE170" s="3">
        <v>31322.62</v>
      </c>
      <c r="AF170" t="str">
        <f>IF(tbl_FinancialData[[#This Row],[City]]="","Unknown",PROPER(TRIM(tbl_FinancialData[[#This Row],[City]])))</f>
        <v>Amritsar</v>
      </c>
      <c r="AG170" t="str">
        <f>_xlfn.LET(_xlpm.city,LOWER(TRIM(tbl_FinancialData[[#This Row],[City]])),_xlpm.st,PROPER(TRIM(tbl_FinancialData[[#This Row],[State]])),IF(_xlpm.city="pune","Maharashtra",IF(_xlpm.city="jamshedpur","Jharkhand",IF(_xlpm.city="bhilai","Chhattisgarh",IF(_xlpm.city="mumbai","Maharashtra",_xlpm.st)))))</f>
        <v>Punjab</v>
      </c>
      <c r="AH170" t="str">
        <f>_xlfn.LET(_xlpm.d,PROPER(TRIM(tbl_FinancialData[[#This Row],[Department]])),IF(_xlpm.d="It","IT",_xlpm.d))</f>
        <v>Sales</v>
      </c>
      <c r="AI170" t="str">
        <f>_xlfn.LET(_xlpm.pid,tbl_FinancialData[[#This Row],[Product ID]],_xlpm.n,PROPER(TRIM(tbl_FinancialData[[#This Row],[Product Name]])),IF(_xlpm.pid="P020","Document Scanner",IF(_xlpm.pid="P015","Network Router",SUBSTITUTE(SUBSTITUTE(_xlpm.n,"Crm","CRM"),"Ups","UPS"))))</f>
        <v>Network Switch</v>
      </c>
      <c r="AJ170" s="3" t="str">
        <f>UPPER(TRIM(tbl_FinancialData[[#This Row],[Cost Center]]))</f>
        <v>CC-1004</v>
      </c>
    </row>
    <row r="171" spans="1:36" x14ac:dyDescent="0.25">
      <c r="A171" s="3" t="s">
        <v>370</v>
      </c>
      <c r="B171" s="2">
        <v>45900</v>
      </c>
      <c r="C171" t="s">
        <v>117</v>
      </c>
      <c r="D171" s="3" t="str">
        <f t="shared" si="11"/>
        <v>Q2</v>
      </c>
      <c r="E171" s="3" t="str">
        <f t="shared" si="12"/>
        <v>FY2026</v>
      </c>
      <c r="F171" s="8" t="s">
        <v>34</v>
      </c>
      <c r="G171" s="3" t="s">
        <v>35</v>
      </c>
      <c r="H171" t="s">
        <v>157</v>
      </c>
      <c r="I171" t="s">
        <v>166</v>
      </c>
      <c r="J171" s="3" t="s">
        <v>38</v>
      </c>
      <c r="K171" t="s">
        <v>39</v>
      </c>
      <c r="L171" s="3" t="s">
        <v>72</v>
      </c>
      <c r="M171" s="3" t="s">
        <v>171</v>
      </c>
      <c r="N171" t="s">
        <v>172</v>
      </c>
      <c r="O171" t="s">
        <v>173</v>
      </c>
      <c r="P171" t="s">
        <v>174</v>
      </c>
      <c r="Q171" s="3">
        <v>26292.29</v>
      </c>
      <c r="R171" s="3">
        <v>27462.68</v>
      </c>
      <c r="S171" s="3">
        <v>18168.53</v>
      </c>
      <c r="T171" s="3">
        <v>2735.62</v>
      </c>
      <c r="U171" s="3">
        <v>1592.07</v>
      </c>
      <c r="V171" s="3">
        <v>2797</v>
      </c>
      <c r="W171" s="3">
        <v>820.72</v>
      </c>
      <c r="X171" s="3">
        <v>26113.93</v>
      </c>
      <c r="Y171" s="3">
        <v>8123.76</v>
      </c>
      <c r="Z171" s="3">
        <f t="shared" si="13"/>
        <v>178.36000000000058</v>
      </c>
      <c r="AA171" s="37">
        <f t="shared" si="14"/>
        <v>6.7837377421289882E-3</v>
      </c>
      <c r="AB171" s="3">
        <v>-1170.3900000000001</v>
      </c>
      <c r="AC171" s="3">
        <v>525.85</v>
      </c>
      <c r="AD171" s="3">
        <v>1288.32</v>
      </c>
      <c r="AE171" s="3">
        <v>27054.76</v>
      </c>
      <c r="AF171" t="str">
        <f>IF(tbl_FinancialData[[#This Row],[City]]="","Unknown",PROPER(TRIM(tbl_FinancialData[[#This Row],[City]])))</f>
        <v>Vadodara</v>
      </c>
      <c r="AG171" t="str">
        <f>_xlfn.LET(_xlpm.city,LOWER(TRIM(tbl_FinancialData[[#This Row],[City]])),_xlpm.st,PROPER(TRIM(tbl_FinancialData[[#This Row],[State]])),IF(_xlpm.city="pune","Maharashtra",IF(_xlpm.city="jamshedpur","Jharkhand",IF(_xlpm.city="bhilai","Chhattisgarh",IF(_xlpm.city="mumbai","Maharashtra",_xlpm.st)))))</f>
        <v>Gujarat</v>
      </c>
      <c r="AH171" t="str">
        <f>_xlfn.LET(_xlpm.d,PROPER(TRIM(tbl_FinancialData[[#This Row],[Department]])),IF(_xlpm.d="It","IT",_xlpm.d))</f>
        <v>Operations</v>
      </c>
      <c r="AI171" t="str">
        <f>_xlfn.LET(_xlpm.pid,tbl_FinancialData[[#This Row],[Product ID]],_xlpm.n,PROPER(TRIM(tbl_FinancialData[[#This Row],[Product Name]])),IF(_xlpm.pid="P020","Document Scanner",IF(_xlpm.pid="P015","Network Router",SUBSTITUTE(SUBSTITUTE(_xlpm.n,"Crm","CRM"),"Ups","UPS"))))</f>
        <v>Network Switch</v>
      </c>
      <c r="AJ171" s="3" t="str">
        <f>UPPER(TRIM(tbl_FinancialData[[#This Row],[Cost Center]]))</f>
        <v>CC-1004</v>
      </c>
    </row>
    <row r="172" spans="1:36" x14ac:dyDescent="0.25">
      <c r="A172" s="3" t="s">
        <v>371</v>
      </c>
      <c r="B172" s="2">
        <v>45806</v>
      </c>
      <c r="C172" t="s">
        <v>65</v>
      </c>
      <c r="D172" s="3" t="str">
        <f t="shared" si="11"/>
        <v>Q1</v>
      </c>
      <c r="E172" s="3" t="str">
        <f t="shared" si="12"/>
        <v>FY2026</v>
      </c>
      <c r="F172" s="8" t="s">
        <v>47</v>
      </c>
      <c r="G172" s="3" t="s">
        <v>35</v>
      </c>
      <c r="H172" t="s">
        <v>206</v>
      </c>
      <c r="I172" t="s">
        <v>344</v>
      </c>
      <c r="J172" s="3" t="s">
        <v>80</v>
      </c>
      <c r="K172" t="s">
        <v>160</v>
      </c>
      <c r="L172" s="3" t="s">
        <v>40</v>
      </c>
      <c r="M172" s="3" t="s">
        <v>189</v>
      </c>
      <c r="N172" t="s">
        <v>190</v>
      </c>
      <c r="O172" t="s">
        <v>104</v>
      </c>
      <c r="P172" t="s">
        <v>105</v>
      </c>
      <c r="Q172" s="3">
        <v>22952.07</v>
      </c>
      <c r="R172" s="3">
        <v>20596.11</v>
      </c>
      <c r="S172" s="3">
        <v>16292.97</v>
      </c>
      <c r="T172" s="3">
        <v>2878.6</v>
      </c>
      <c r="U172" s="3">
        <v>1745.21</v>
      </c>
      <c r="V172" s="3">
        <v>2738.32</v>
      </c>
      <c r="W172" s="3">
        <v>666.92</v>
      </c>
      <c r="X172" s="3">
        <v>24322.03</v>
      </c>
      <c r="Y172" s="3">
        <v>6659.09</v>
      </c>
      <c r="Z172" s="3">
        <f t="shared" si="13"/>
        <v>-1369.9599999999991</v>
      </c>
      <c r="AA172" s="37">
        <f t="shared" si="14"/>
        <v>-5.9687862576229468E-2</v>
      </c>
      <c r="AB172" s="3">
        <v>2355.9499999999998</v>
      </c>
      <c r="AC172" s="3">
        <v>2295.21</v>
      </c>
      <c r="AD172" s="3">
        <v>1032.8399999999999</v>
      </c>
      <c r="AE172" s="3">
        <v>21689.7</v>
      </c>
      <c r="AF172" t="str">
        <f>IF(tbl_FinancialData[[#This Row],[City]]="","Unknown",PROPER(TRIM(tbl_FinancialData[[#This Row],[City]])))</f>
        <v>Hyderabad</v>
      </c>
      <c r="AG172" t="str">
        <f>_xlfn.LET(_xlpm.city,LOWER(TRIM(tbl_FinancialData[[#This Row],[City]])),_xlpm.st,PROPER(TRIM(tbl_FinancialData[[#This Row],[State]])),IF(_xlpm.city="pune","Maharashtra",IF(_xlpm.city="jamshedpur","Jharkhand",IF(_xlpm.city="bhilai","Chhattisgarh",IF(_xlpm.city="mumbai","Maharashtra",_xlpm.st)))))</f>
        <v>Telangana</v>
      </c>
      <c r="AH172" t="str">
        <f>_xlfn.LET(_xlpm.d,PROPER(TRIM(tbl_FinancialData[[#This Row],[Department]])),IF(_xlpm.d="It","IT",_xlpm.d))</f>
        <v>IT</v>
      </c>
      <c r="AI172" t="str">
        <f>_xlfn.LET(_xlpm.pid,tbl_FinancialData[[#This Row],[Product ID]],_xlpm.n,PROPER(TRIM(tbl_FinancialData[[#This Row],[Product Name]])),IF(_xlpm.pid="P020","Document Scanner",IF(_xlpm.pid="P015","Network Router",SUBSTITUTE(SUBSTITUTE(_xlpm.n,"Crm","CRM"),"Ups","UPS"))))</f>
        <v>CRM Software</v>
      </c>
      <c r="AJ172" s="3" t="str">
        <f>UPPER(TRIM(tbl_FinancialData[[#This Row],[Cost Center]]))</f>
        <v>CC-1002</v>
      </c>
    </row>
    <row r="173" spans="1:36" x14ac:dyDescent="0.25">
      <c r="A173" s="3" t="s">
        <v>372</v>
      </c>
      <c r="B173" s="2">
        <v>45980</v>
      </c>
      <c r="C173" t="s">
        <v>147</v>
      </c>
      <c r="D173" s="3" t="str">
        <f t="shared" si="11"/>
        <v>Q3</v>
      </c>
      <c r="E173" s="3" t="str">
        <f t="shared" si="12"/>
        <v>FY2026</v>
      </c>
      <c r="F173" s="8" t="s">
        <v>47</v>
      </c>
      <c r="G173" s="3" t="s">
        <v>35</v>
      </c>
      <c r="H173" t="s">
        <v>48</v>
      </c>
      <c r="I173" t="s">
        <v>265</v>
      </c>
      <c r="J173" s="3" t="s">
        <v>100</v>
      </c>
      <c r="K173" t="s">
        <v>160</v>
      </c>
      <c r="L173" s="3" t="s">
        <v>94</v>
      </c>
      <c r="M173" s="3" t="s">
        <v>52</v>
      </c>
      <c r="N173" t="s">
        <v>53</v>
      </c>
      <c r="O173" t="s">
        <v>54</v>
      </c>
      <c r="P173" t="s">
        <v>55</v>
      </c>
      <c r="Q173" s="3">
        <v>3349.92</v>
      </c>
      <c r="R173" s="3">
        <v>3934.47</v>
      </c>
      <c r="S173" s="3">
        <v>2031.87</v>
      </c>
      <c r="T173" s="3">
        <v>410.41</v>
      </c>
      <c r="U173" s="3">
        <v>119.43</v>
      </c>
      <c r="V173" s="3">
        <v>306.27</v>
      </c>
      <c r="W173" s="3">
        <v>128.44999999999999</v>
      </c>
      <c r="X173" s="3">
        <v>2996.44</v>
      </c>
      <c r="Y173" s="3">
        <v>1318.05</v>
      </c>
      <c r="Z173" s="3">
        <f t="shared" si="13"/>
        <v>353.48</v>
      </c>
      <c r="AA173" s="37">
        <f t="shared" si="14"/>
        <v>0.10551893776567799</v>
      </c>
      <c r="AB173" s="3">
        <v>-584.54999999999995</v>
      </c>
      <c r="AC173" s="3">
        <v>334.99</v>
      </c>
      <c r="AD173" s="3">
        <v>361.79</v>
      </c>
      <c r="AE173" s="3">
        <v>3376.72</v>
      </c>
      <c r="AF173" t="str">
        <f>IF(tbl_FinancialData[[#This Row],[City]]="","Unknown",PROPER(TRIM(tbl_FinancialData[[#This Row],[City]])))</f>
        <v>Madurai</v>
      </c>
      <c r="AG173" t="str">
        <f>_xlfn.LET(_xlpm.city,LOWER(TRIM(tbl_FinancialData[[#This Row],[City]])),_xlpm.st,PROPER(TRIM(tbl_FinancialData[[#This Row],[State]])),IF(_xlpm.city="pune","Maharashtra",IF(_xlpm.city="jamshedpur","Jharkhand",IF(_xlpm.city="bhilai","Chhattisgarh",IF(_xlpm.city="mumbai","Maharashtra",_xlpm.st)))))</f>
        <v>Tamil Nadu</v>
      </c>
      <c r="AH173" t="str">
        <f>_xlfn.LET(_xlpm.d,PROPER(TRIM(tbl_FinancialData[[#This Row],[Department]])),IF(_xlpm.d="It","IT",_xlpm.d))</f>
        <v>IT</v>
      </c>
      <c r="AI173" t="str">
        <f>_xlfn.LET(_xlpm.pid,tbl_FinancialData[[#This Row],[Product ID]],_xlpm.n,PROPER(TRIM(tbl_FinancialData[[#This Row],[Product Name]])),IF(_xlpm.pid="P020","Document Scanner",IF(_xlpm.pid="P015","Network Router",SUBSTITUTE(SUBSTITUTE(_xlpm.n,"Crm","CRM"),"Ups","UPS"))))</f>
        <v>Mouse</v>
      </c>
      <c r="AJ173" s="3" t="str">
        <f>UPPER(TRIM(tbl_FinancialData[[#This Row],[Cost Center]]))</f>
        <v>CC-1001</v>
      </c>
    </row>
    <row r="174" spans="1:36" x14ac:dyDescent="0.25">
      <c r="A174" s="3" t="s">
        <v>373</v>
      </c>
      <c r="B174" s="2">
        <v>45935</v>
      </c>
      <c r="C174" t="s">
        <v>92</v>
      </c>
      <c r="D174" s="3" t="str">
        <f t="shared" si="11"/>
        <v>Q3</v>
      </c>
      <c r="E174" s="3" t="str">
        <f t="shared" si="12"/>
        <v>FY2026</v>
      </c>
      <c r="F174" s="8" t="s">
        <v>67</v>
      </c>
      <c r="G174" s="3" t="s">
        <v>35</v>
      </c>
      <c r="H174" t="s">
        <v>217</v>
      </c>
      <c r="I174" t="s">
        <v>284</v>
      </c>
      <c r="J174" s="3" t="s">
        <v>100</v>
      </c>
      <c r="K174" t="s">
        <v>50</v>
      </c>
      <c r="L174" s="3" t="s">
        <v>94</v>
      </c>
      <c r="M174" s="3" t="s">
        <v>120</v>
      </c>
      <c r="N174" t="s">
        <v>121</v>
      </c>
      <c r="O174" t="s">
        <v>43</v>
      </c>
      <c r="P174" t="s">
        <v>122</v>
      </c>
      <c r="Q174" s="3">
        <v>20729.89</v>
      </c>
      <c r="R174" s="3">
        <v>21026.37</v>
      </c>
      <c r="S174" s="3">
        <v>10618.39</v>
      </c>
      <c r="T174" s="3">
        <v>2625.12</v>
      </c>
      <c r="U174" s="3">
        <v>1231.93</v>
      </c>
      <c r="V174" s="3">
        <v>1230.3499999999999</v>
      </c>
      <c r="W174" s="3">
        <v>570.51</v>
      </c>
      <c r="X174" s="3">
        <v>16276.3</v>
      </c>
      <c r="Y174" s="3">
        <v>10111.5</v>
      </c>
      <c r="Z174" s="3">
        <f t="shared" si="13"/>
        <v>4453.59</v>
      </c>
      <c r="AA174" s="37">
        <f t="shared" si="14"/>
        <v>0.21483905606831488</v>
      </c>
      <c r="AB174" s="3">
        <v>-296.48</v>
      </c>
      <c r="AC174" s="3">
        <v>1036.49</v>
      </c>
      <c r="AD174" s="3">
        <v>984.67</v>
      </c>
      <c r="AE174" s="3">
        <v>20678.060000000001</v>
      </c>
      <c r="AF174" t="str">
        <f>IF(tbl_FinancialData[[#This Row],[City]]="","Unknown",PROPER(TRIM(tbl_FinancialData[[#This Row],[City]])))</f>
        <v>Patna</v>
      </c>
      <c r="AG174" t="str">
        <f>_xlfn.LET(_xlpm.city,LOWER(TRIM(tbl_FinancialData[[#This Row],[City]])),_xlpm.st,PROPER(TRIM(tbl_FinancialData[[#This Row],[State]])),IF(_xlpm.city="pune","Maharashtra",IF(_xlpm.city="jamshedpur","Jharkhand",IF(_xlpm.city="bhilai","Chhattisgarh",IF(_xlpm.city="mumbai","Maharashtra",_xlpm.st)))))</f>
        <v>Bihar</v>
      </c>
      <c r="AH174" t="str">
        <f>_xlfn.LET(_xlpm.d,PROPER(TRIM(tbl_FinancialData[[#This Row],[Department]])),IF(_xlpm.d="It","IT",_xlpm.d))</f>
        <v>Sales</v>
      </c>
      <c r="AI174" t="str">
        <f>_xlfn.LET(_xlpm.pid,tbl_FinancialData[[#This Row],[Product ID]],_xlpm.n,PROPER(TRIM(tbl_FinancialData[[#This Row],[Product Name]])),IF(_xlpm.pid="P020","Document Scanner",IF(_xlpm.pid="P015","Network Router",SUBSTITUTE(SUBSTITUTE(_xlpm.n,"Crm","CRM"),"Ups","UPS"))))</f>
        <v>Projector</v>
      </c>
      <c r="AJ174" s="3" t="str">
        <f>UPPER(TRIM(tbl_FinancialData[[#This Row],[Cost Center]]))</f>
        <v>CC-1001</v>
      </c>
    </row>
    <row r="175" spans="1:36" x14ac:dyDescent="0.25">
      <c r="A175" s="3" t="s">
        <v>374</v>
      </c>
      <c r="B175" s="2">
        <v>46041</v>
      </c>
      <c r="C175" t="s">
        <v>77</v>
      </c>
      <c r="D175" s="3" t="str">
        <f t="shared" si="11"/>
        <v>Q4</v>
      </c>
      <c r="E175" s="3" t="str">
        <f t="shared" si="12"/>
        <v>FY2026</v>
      </c>
      <c r="F175" s="8" t="s">
        <v>85</v>
      </c>
      <c r="G175" s="3" t="s">
        <v>35</v>
      </c>
      <c r="H175" t="s">
        <v>178</v>
      </c>
      <c r="I175" t="s">
        <v>249</v>
      </c>
      <c r="J175" s="3" t="s">
        <v>100</v>
      </c>
      <c r="K175" t="s">
        <v>39</v>
      </c>
      <c r="L175" s="3" t="s">
        <v>81</v>
      </c>
      <c r="M175" s="3" t="s">
        <v>88</v>
      </c>
      <c r="N175" t="s">
        <v>89</v>
      </c>
      <c r="O175" t="s">
        <v>43</v>
      </c>
      <c r="P175" t="s">
        <v>90</v>
      </c>
      <c r="Q175" s="3">
        <v>26237.06</v>
      </c>
      <c r="R175" s="3">
        <v>24735.13</v>
      </c>
      <c r="S175" s="3">
        <v>12908.5</v>
      </c>
      <c r="T175" s="3">
        <v>3082.64</v>
      </c>
      <c r="U175" s="3">
        <v>2329.2600000000002</v>
      </c>
      <c r="V175" s="3">
        <v>2714.26</v>
      </c>
      <c r="W175" s="3">
        <v>1046.4000000000001</v>
      </c>
      <c r="X175" s="3">
        <v>22081.06</v>
      </c>
      <c r="Y175" s="3">
        <v>13328.56</v>
      </c>
      <c r="Z175" s="3">
        <f t="shared" si="13"/>
        <v>4156</v>
      </c>
      <c r="AA175" s="37">
        <f t="shared" si="14"/>
        <v>0.15840189411466071</v>
      </c>
      <c r="AB175" s="3">
        <v>1501.92</v>
      </c>
      <c r="AC175" s="3">
        <v>524.74</v>
      </c>
      <c r="AD175" s="3">
        <v>4628.22</v>
      </c>
      <c r="AE175" s="3">
        <v>30340.53</v>
      </c>
      <c r="AF175" t="str">
        <f>IF(tbl_FinancialData[[#This Row],[City]]="","Unknown",PROPER(TRIM(tbl_FinancialData[[#This Row],[City]])))</f>
        <v>Bhilai</v>
      </c>
      <c r="AG175" t="str">
        <f>_xlfn.LET(_xlpm.city,LOWER(TRIM(tbl_FinancialData[[#This Row],[City]])),_xlpm.st,PROPER(TRIM(tbl_FinancialData[[#This Row],[State]])),IF(_xlpm.city="pune","Maharashtra",IF(_xlpm.city="jamshedpur","Jharkhand",IF(_xlpm.city="bhilai","Chhattisgarh",IF(_xlpm.city="mumbai","Maharashtra",_xlpm.st)))))</f>
        <v>Chhattisgarh</v>
      </c>
      <c r="AH175" t="str">
        <f>_xlfn.LET(_xlpm.d,PROPER(TRIM(tbl_FinancialData[[#This Row],[Department]])),IF(_xlpm.d="It","IT",_xlpm.d))</f>
        <v>Operations</v>
      </c>
      <c r="AI175" t="str">
        <f>_xlfn.LET(_xlpm.pid,tbl_FinancialData[[#This Row],[Product ID]],_xlpm.n,PROPER(TRIM(tbl_FinancialData[[#This Row],[Product Name]])),IF(_xlpm.pid="P020","Document Scanner",IF(_xlpm.pid="P015","Network Router",SUBSTITUTE(SUBSTITUTE(_xlpm.n,"Crm","CRM"),"Ups","UPS"))))</f>
        <v>Printer</v>
      </c>
      <c r="AJ175" s="3" t="str">
        <f>UPPER(TRIM(tbl_FinancialData[[#This Row],[Cost Center]]))</f>
        <v>CC-1005</v>
      </c>
    </row>
    <row r="176" spans="1:36" x14ac:dyDescent="0.25">
      <c r="A176" s="3" t="s">
        <v>375</v>
      </c>
      <c r="B176" s="2">
        <v>46019</v>
      </c>
      <c r="C176" t="s">
        <v>107</v>
      </c>
      <c r="D176" s="3" t="str">
        <f t="shared" si="11"/>
        <v>Q3</v>
      </c>
      <c r="E176" s="3" t="str">
        <f t="shared" si="12"/>
        <v>FY2026</v>
      </c>
      <c r="F176" s="8" t="s">
        <v>34</v>
      </c>
      <c r="G176" s="3" t="s">
        <v>35</v>
      </c>
      <c r="H176" t="s">
        <v>134</v>
      </c>
      <c r="I176" t="s">
        <v>154</v>
      </c>
      <c r="J176" s="3" t="s">
        <v>100</v>
      </c>
      <c r="K176" t="s">
        <v>39</v>
      </c>
      <c r="L176" s="3" t="s">
        <v>72</v>
      </c>
      <c r="M176" s="3" t="s">
        <v>221</v>
      </c>
      <c r="N176" t="s">
        <v>222</v>
      </c>
      <c r="O176" t="s">
        <v>104</v>
      </c>
      <c r="P176" t="s">
        <v>223</v>
      </c>
      <c r="Q176" s="3">
        <v>20248.400000000001</v>
      </c>
      <c r="R176" s="3">
        <v>18888.29</v>
      </c>
      <c r="S176" s="3">
        <v>10758.98</v>
      </c>
      <c r="T176" s="3">
        <v>1033.53</v>
      </c>
      <c r="U176" s="3">
        <v>524.89</v>
      </c>
      <c r="V176" s="3">
        <v>2153.44</v>
      </c>
      <c r="W176" s="3">
        <v>721.33</v>
      </c>
      <c r="X176" s="3">
        <v>15192.17</v>
      </c>
      <c r="Y176" s="3">
        <v>9489.42</v>
      </c>
      <c r="Z176" s="3">
        <f t="shared" si="13"/>
        <v>5056.2300000000014</v>
      </c>
      <c r="AA176" s="37">
        <f t="shared" si="14"/>
        <v>0.2497101005511547</v>
      </c>
      <c r="AB176" s="3">
        <v>1360.11</v>
      </c>
      <c r="AC176" s="3">
        <v>607.45000000000005</v>
      </c>
      <c r="AD176" s="3">
        <v>3535.37</v>
      </c>
      <c r="AE176" s="3">
        <v>23176.32</v>
      </c>
      <c r="AF176" t="str">
        <f>IF(tbl_FinancialData[[#This Row],[City]]="","Unknown",PROPER(TRIM(tbl_FinancialData[[#This Row],[City]])))</f>
        <v>Udaipur</v>
      </c>
      <c r="AG176" t="str">
        <f>_xlfn.LET(_xlpm.city,LOWER(TRIM(tbl_FinancialData[[#This Row],[City]])),_xlpm.st,PROPER(TRIM(tbl_FinancialData[[#This Row],[State]])),IF(_xlpm.city="pune","Maharashtra",IF(_xlpm.city="jamshedpur","Jharkhand",IF(_xlpm.city="bhilai","Chhattisgarh",IF(_xlpm.city="mumbai","Maharashtra",_xlpm.st)))))</f>
        <v>Rajasthan</v>
      </c>
      <c r="AH176" t="str">
        <f>_xlfn.LET(_xlpm.d,PROPER(TRIM(tbl_FinancialData[[#This Row],[Department]])),IF(_xlpm.d="It","IT",_xlpm.d))</f>
        <v>Operations</v>
      </c>
      <c r="AI176" t="str">
        <f>_xlfn.LET(_xlpm.pid,tbl_FinancialData[[#This Row],[Product ID]],_xlpm.n,PROPER(TRIM(tbl_FinancialData[[#This Row],[Product Name]])),IF(_xlpm.pid="P020","Document Scanner",IF(_xlpm.pid="P015","Network Router",SUBSTITUTE(SUBSTITUTE(_xlpm.n,"Crm","CRM"),"Ups","UPS"))))</f>
        <v>Cloud Software</v>
      </c>
      <c r="AJ176" s="3" t="str">
        <f>UPPER(TRIM(tbl_FinancialData[[#This Row],[Cost Center]]))</f>
        <v>CC-1004</v>
      </c>
    </row>
    <row r="177" spans="1:36" x14ac:dyDescent="0.25">
      <c r="A177" s="3" t="s">
        <v>376</v>
      </c>
      <c r="B177" s="2">
        <v>46046</v>
      </c>
      <c r="C177" t="s">
        <v>77</v>
      </c>
      <c r="D177" s="3" t="str">
        <f t="shared" si="11"/>
        <v>Q4</v>
      </c>
      <c r="E177" s="3" t="str">
        <f t="shared" si="12"/>
        <v>FY2026</v>
      </c>
      <c r="F177" s="8" t="s">
        <v>67</v>
      </c>
      <c r="G177" s="3" t="s">
        <v>35</v>
      </c>
      <c r="H177" t="s">
        <v>68</v>
      </c>
      <c r="I177" t="s">
        <v>204</v>
      </c>
      <c r="J177" s="3" t="s">
        <v>70</v>
      </c>
      <c r="K177" t="s">
        <v>101</v>
      </c>
      <c r="L177" s="3" t="s">
        <v>40</v>
      </c>
      <c r="M177" s="3" t="s">
        <v>141</v>
      </c>
      <c r="N177" t="s">
        <v>142</v>
      </c>
      <c r="O177" t="s">
        <v>54</v>
      </c>
      <c r="P177" t="s">
        <v>143</v>
      </c>
      <c r="Q177" s="3">
        <v>6767.37</v>
      </c>
      <c r="R177" s="3">
        <v>6426.37</v>
      </c>
      <c r="S177" s="3">
        <v>3992.59</v>
      </c>
      <c r="T177" s="3">
        <v>761.38</v>
      </c>
      <c r="U177" s="3">
        <v>591.54</v>
      </c>
      <c r="V177" s="3">
        <v>684.09</v>
      </c>
      <c r="W177" s="3">
        <v>270.24</v>
      </c>
      <c r="X177" s="3">
        <v>6299.84</v>
      </c>
      <c r="Y177" s="3">
        <v>2774.78</v>
      </c>
      <c r="Z177" s="3">
        <f t="shared" si="13"/>
        <v>467.52999999999975</v>
      </c>
      <c r="AA177" s="37">
        <f t="shared" si="14"/>
        <v>6.9085922596222718E-2</v>
      </c>
      <c r="AB177" s="3">
        <v>340.99</v>
      </c>
      <c r="AC177" s="3">
        <v>338.37</v>
      </c>
      <c r="AD177" s="3">
        <v>1157.22</v>
      </c>
      <c r="AE177" s="3">
        <v>7586.22</v>
      </c>
      <c r="AF177" t="str">
        <f>IF(tbl_FinancialData[[#This Row],[City]]="","Unknown",PROPER(TRIM(tbl_FinancialData[[#This Row],[City]])))</f>
        <v>Cuttack</v>
      </c>
      <c r="AG177" t="str">
        <f>_xlfn.LET(_xlpm.city,LOWER(TRIM(tbl_FinancialData[[#This Row],[City]])),_xlpm.st,PROPER(TRIM(tbl_FinancialData[[#This Row],[State]])),IF(_xlpm.city="pune","Maharashtra",IF(_xlpm.city="jamshedpur","Jharkhand",IF(_xlpm.city="bhilai","Chhattisgarh",IF(_xlpm.city="mumbai","Maharashtra",_xlpm.st)))))</f>
        <v>Odisha</v>
      </c>
      <c r="AH177" t="str">
        <f>_xlfn.LET(_xlpm.d,PROPER(TRIM(tbl_FinancialData[[#This Row],[Department]])),IF(_xlpm.d="It","IT",_xlpm.d))</f>
        <v>Finance</v>
      </c>
      <c r="AI177" t="str">
        <f>_xlfn.LET(_xlpm.pid,tbl_FinancialData[[#This Row],[Product ID]],_xlpm.n,PROPER(TRIM(tbl_FinancialData[[#This Row],[Product Name]])),IF(_xlpm.pid="P020","Document Scanner",IF(_xlpm.pid="P015","Network Router",SUBSTITUTE(SUBSTITUTE(_xlpm.n,"Crm","CRM"),"Ups","UPS"))))</f>
        <v>Headset</v>
      </c>
      <c r="AJ177" s="3" t="str">
        <f>UPPER(TRIM(tbl_FinancialData[[#This Row],[Cost Center]]))</f>
        <v>CC-1002</v>
      </c>
    </row>
    <row r="178" spans="1:36" x14ac:dyDescent="0.25">
      <c r="A178" s="3" t="s">
        <v>377</v>
      </c>
      <c r="B178" s="2">
        <v>45783</v>
      </c>
      <c r="C178" t="s">
        <v>65</v>
      </c>
      <c r="D178" s="3" t="str">
        <f t="shared" si="11"/>
        <v>Q1</v>
      </c>
      <c r="E178" s="3" t="str">
        <f t="shared" si="12"/>
        <v>FY2026</v>
      </c>
      <c r="F178" s="8" t="s">
        <v>47</v>
      </c>
      <c r="G178" s="3" t="s">
        <v>35</v>
      </c>
      <c r="H178" t="s">
        <v>78</v>
      </c>
      <c r="I178" t="s">
        <v>115</v>
      </c>
      <c r="J178" s="3" t="s">
        <v>70</v>
      </c>
      <c r="K178" t="s">
        <v>39</v>
      </c>
      <c r="L178" s="3" t="s">
        <v>40</v>
      </c>
      <c r="M178" s="3" t="s">
        <v>141</v>
      </c>
      <c r="N178" t="s">
        <v>142</v>
      </c>
      <c r="O178" t="s">
        <v>54</v>
      </c>
      <c r="P178" t="s">
        <v>143</v>
      </c>
      <c r="Q178" s="3">
        <v>9278.56</v>
      </c>
      <c r="R178" s="3">
        <v>8430.68</v>
      </c>
      <c r="S178" s="3">
        <v>5408.37</v>
      </c>
      <c r="T178" s="3">
        <v>485.58</v>
      </c>
      <c r="U178" s="3">
        <v>521.99</v>
      </c>
      <c r="V178" s="3">
        <v>862.86</v>
      </c>
      <c r="W178" s="3">
        <v>131.27000000000001</v>
      </c>
      <c r="X178" s="3">
        <v>7410.06</v>
      </c>
      <c r="Y178" s="3">
        <v>3870.19</v>
      </c>
      <c r="Z178" s="3">
        <f t="shared" si="13"/>
        <v>1868.4999999999991</v>
      </c>
      <c r="AA178" s="37">
        <f t="shared" si="14"/>
        <v>0.20137823110482653</v>
      </c>
      <c r="AB178" s="3">
        <v>847.88</v>
      </c>
      <c r="AC178" s="3">
        <v>185.57</v>
      </c>
      <c r="AD178" s="3">
        <v>1091.1600000000001</v>
      </c>
      <c r="AE178" s="3">
        <v>10184.15</v>
      </c>
      <c r="AF178" t="str">
        <f>IF(tbl_FinancialData[[#This Row],[City]]="","Unknown",PROPER(TRIM(tbl_FinancialData[[#This Row],[City]])))</f>
        <v>Thiruvananthapuram</v>
      </c>
      <c r="AG178" t="str">
        <f>_xlfn.LET(_xlpm.city,LOWER(TRIM(tbl_FinancialData[[#This Row],[City]])),_xlpm.st,PROPER(TRIM(tbl_FinancialData[[#This Row],[State]])),IF(_xlpm.city="pune","Maharashtra",IF(_xlpm.city="jamshedpur","Jharkhand",IF(_xlpm.city="bhilai","Chhattisgarh",IF(_xlpm.city="mumbai","Maharashtra",_xlpm.st)))))</f>
        <v>Kerala</v>
      </c>
      <c r="AH178" t="str">
        <f>_xlfn.LET(_xlpm.d,PROPER(TRIM(tbl_FinancialData[[#This Row],[Department]])),IF(_xlpm.d="It","IT",_xlpm.d))</f>
        <v>Operations</v>
      </c>
      <c r="AI178" t="str">
        <f>_xlfn.LET(_xlpm.pid,tbl_FinancialData[[#This Row],[Product ID]],_xlpm.n,PROPER(TRIM(tbl_FinancialData[[#This Row],[Product Name]])),IF(_xlpm.pid="P020","Document Scanner",IF(_xlpm.pid="P015","Network Router",SUBSTITUTE(SUBSTITUTE(_xlpm.n,"Crm","CRM"),"Ups","UPS"))))</f>
        <v>Headset</v>
      </c>
      <c r="AJ178" s="3" t="str">
        <f>UPPER(TRIM(tbl_FinancialData[[#This Row],[Cost Center]]))</f>
        <v>CC-1002</v>
      </c>
    </row>
    <row r="179" spans="1:36" x14ac:dyDescent="0.25">
      <c r="A179" s="3" t="s">
        <v>378</v>
      </c>
      <c r="B179" s="2">
        <v>45902</v>
      </c>
      <c r="C179" t="s">
        <v>46</v>
      </c>
      <c r="D179" s="3" t="str">
        <f t="shared" si="11"/>
        <v>Q2</v>
      </c>
      <c r="E179" s="3" t="str">
        <f t="shared" si="12"/>
        <v>FY2026</v>
      </c>
      <c r="F179" s="8" t="s">
        <v>85</v>
      </c>
      <c r="G179" s="3" t="s">
        <v>35</v>
      </c>
      <c r="H179" t="s">
        <v>86</v>
      </c>
      <c r="I179" t="s">
        <v>181</v>
      </c>
      <c r="J179" s="3" t="s">
        <v>80</v>
      </c>
      <c r="K179" t="s">
        <v>101</v>
      </c>
      <c r="L179" s="3" t="s">
        <v>51</v>
      </c>
      <c r="M179" s="3" t="s">
        <v>95</v>
      </c>
      <c r="N179" t="s">
        <v>96</v>
      </c>
      <c r="O179" t="s">
        <v>43</v>
      </c>
      <c r="P179" t="s">
        <v>90</v>
      </c>
      <c r="Q179" s="3">
        <v>17133.66</v>
      </c>
      <c r="R179" s="3">
        <v>15374.22</v>
      </c>
      <c r="S179" s="3">
        <v>10051.42</v>
      </c>
      <c r="T179" s="3">
        <v>1234.3699999999999</v>
      </c>
      <c r="U179" s="3">
        <v>1121.0999999999999</v>
      </c>
      <c r="V179" s="3">
        <v>2045.68</v>
      </c>
      <c r="W179" s="3">
        <v>403.01</v>
      </c>
      <c r="X179" s="3">
        <v>14855.58</v>
      </c>
      <c r="Y179" s="3">
        <v>7082.24</v>
      </c>
      <c r="Z179" s="3">
        <f t="shared" si="13"/>
        <v>2278.08</v>
      </c>
      <c r="AA179" s="37">
        <f t="shared" si="14"/>
        <v>0.13295933268198387</v>
      </c>
      <c r="AB179" s="3">
        <v>1759.44</v>
      </c>
      <c r="AC179" s="3">
        <v>856.68</v>
      </c>
      <c r="AD179" s="3">
        <v>1953.24</v>
      </c>
      <c r="AE179" s="3">
        <v>18230.22</v>
      </c>
      <c r="AF179" t="str">
        <f>IF(tbl_FinancialData[[#This Row],[City]]="","Unknown",PROPER(TRIM(tbl_FinancialData[[#This Row],[City]])))</f>
        <v>Bhopal</v>
      </c>
      <c r="AG179" t="str">
        <f>_xlfn.LET(_xlpm.city,LOWER(TRIM(tbl_FinancialData[[#This Row],[City]])),_xlpm.st,PROPER(TRIM(tbl_FinancialData[[#This Row],[State]])),IF(_xlpm.city="pune","Maharashtra",IF(_xlpm.city="jamshedpur","Jharkhand",IF(_xlpm.city="bhilai","Chhattisgarh",IF(_xlpm.city="mumbai","Maharashtra",_xlpm.st)))))</f>
        <v>Madhya Pradesh</v>
      </c>
      <c r="AH179" t="str">
        <f>_xlfn.LET(_xlpm.d,PROPER(TRIM(tbl_FinancialData[[#This Row],[Department]])),IF(_xlpm.d="It","IT",_xlpm.d))</f>
        <v>Finance</v>
      </c>
      <c r="AI179" t="str">
        <f>_xlfn.LET(_xlpm.pid,tbl_FinancialData[[#This Row],[Product ID]],_xlpm.n,PROPER(TRIM(tbl_FinancialData[[#This Row],[Product Name]])),IF(_xlpm.pid="P020","Document Scanner",IF(_xlpm.pid="P015","Network Router",SUBSTITUTE(SUBSTITUTE(_xlpm.n,"Crm","CRM"),"Ups","UPS"))))</f>
        <v>Document Scanner</v>
      </c>
      <c r="AJ179" s="3" t="str">
        <f>UPPER(TRIM(tbl_FinancialData[[#This Row],[Cost Center]]))</f>
        <v>CC-1003</v>
      </c>
    </row>
    <row r="180" spans="1:36" x14ac:dyDescent="0.25">
      <c r="A180" s="3" t="s">
        <v>379</v>
      </c>
      <c r="B180" s="2">
        <v>45861</v>
      </c>
      <c r="C180" t="s">
        <v>32</v>
      </c>
      <c r="D180" s="3" t="str">
        <f t="shared" si="11"/>
        <v>Q2</v>
      </c>
      <c r="E180" s="3" t="str">
        <f t="shared" si="12"/>
        <v>FY2026</v>
      </c>
      <c r="F180" s="8" t="s">
        <v>85</v>
      </c>
      <c r="G180" s="3" t="s">
        <v>35</v>
      </c>
      <c r="H180" t="s">
        <v>178</v>
      </c>
      <c r="I180" t="s">
        <v>329</v>
      </c>
      <c r="J180" s="3" t="s">
        <v>38</v>
      </c>
      <c r="K180" t="s">
        <v>50</v>
      </c>
      <c r="L180" s="3" t="s">
        <v>40</v>
      </c>
      <c r="M180" s="3" t="s">
        <v>221</v>
      </c>
      <c r="N180" t="s">
        <v>222</v>
      </c>
      <c r="O180" t="s">
        <v>104</v>
      </c>
      <c r="P180" t="s">
        <v>223</v>
      </c>
      <c r="Q180" s="3">
        <v>19776.73</v>
      </c>
      <c r="R180" s="3">
        <v>23077.39</v>
      </c>
      <c r="S180" s="3">
        <v>10196.15</v>
      </c>
      <c r="T180" s="3">
        <v>2063.98</v>
      </c>
      <c r="U180" s="3">
        <v>783.51</v>
      </c>
      <c r="V180" s="3">
        <v>1473.57</v>
      </c>
      <c r="W180" s="3">
        <v>695.56</v>
      </c>
      <c r="X180" s="3">
        <v>15212.77</v>
      </c>
      <c r="Y180" s="3">
        <v>9580.59</v>
      </c>
      <c r="Z180" s="3">
        <f t="shared" si="13"/>
        <v>4563.9599999999991</v>
      </c>
      <c r="AA180" s="37">
        <f t="shared" si="14"/>
        <v>0.23077424832113294</v>
      </c>
      <c r="AB180" s="3">
        <v>-3300.66</v>
      </c>
      <c r="AC180" s="3">
        <v>988.84</v>
      </c>
      <c r="AD180" s="3">
        <v>2254.5500000000002</v>
      </c>
      <c r="AE180" s="3">
        <v>21042.44</v>
      </c>
      <c r="AF180" t="str">
        <f>IF(tbl_FinancialData[[#This Row],[City]]="","Unknown",PROPER(TRIM(tbl_FinancialData[[#This Row],[City]])))</f>
        <v>Raipur</v>
      </c>
      <c r="AG180" t="str">
        <f>_xlfn.LET(_xlpm.city,LOWER(TRIM(tbl_FinancialData[[#This Row],[City]])),_xlpm.st,PROPER(TRIM(tbl_FinancialData[[#This Row],[State]])),IF(_xlpm.city="pune","Maharashtra",IF(_xlpm.city="jamshedpur","Jharkhand",IF(_xlpm.city="bhilai","Chhattisgarh",IF(_xlpm.city="mumbai","Maharashtra",_xlpm.st)))))</f>
        <v>Chhattisgarh</v>
      </c>
      <c r="AH180" t="str">
        <f>_xlfn.LET(_xlpm.d,PROPER(TRIM(tbl_FinancialData[[#This Row],[Department]])),IF(_xlpm.d="It","IT",_xlpm.d))</f>
        <v>Sales</v>
      </c>
      <c r="AI180" t="str">
        <f>_xlfn.LET(_xlpm.pid,tbl_FinancialData[[#This Row],[Product ID]],_xlpm.n,PROPER(TRIM(tbl_FinancialData[[#This Row],[Product Name]])),IF(_xlpm.pid="P020","Document Scanner",IF(_xlpm.pid="P015","Network Router",SUBSTITUTE(SUBSTITUTE(_xlpm.n,"Crm","CRM"),"Ups","UPS"))))</f>
        <v>Cloud Software</v>
      </c>
      <c r="AJ180" s="3" t="str">
        <f>UPPER(TRIM(tbl_FinancialData[[#This Row],[Cost Center]]))</f>
        <v>CC-1002</v>
      </c>
    </row>
    <row r="181" spans="1:36" x14ac:dyDescent="0.25">
      <c r="A181" s="3" t="s">
        <v>380</v>
      </c>
      <c r="B181" s="2">
        <v>45823</v>
      </c>
      <c r="C181" t="s">
        <v>156</v>
      </c>
      <c r="D181" s="3" t="str">
        <f t="shared" si="11"/>
        <v>Q1</v>
      </c>
      <c r="E181" s="3" t="str">
        <f t="shared" si="12"/>
        <v>FY2026</v>
      </c>
      <c r="F181" s="8" t="s">
        <v>34</v>
      </c>
      <c r="G181" s="3" t="s">
        <v>35</v>
      </c>
      <c r="H181" t="s">
        <v>36</v>
      </c>
      <c r="I181" t="s">
        <v>145</v>
      </c>
      <c r="J181" s="3" t="s">
        <v>38</v>
      </c>
      <c r="K181" t="s">
        <v>101</v>
      </c>
      <c r="L181" s="3" t="s">
        <v>40</v>
      </c>
      <c r="M181" s="3" t="s">
        <v>141</v>
      </c>
      <c r="N181" t="s">
        <v>142</v>
      </c>
      <c r="O181" t="s">
        <v>54</v>
      </c>
      <c r="P181" t="s">
        <v>143</v>
      </c>
      <c r="Q181" s="3">
        <v>5226.8500000000004</v>
      </c>
      <c r="R181" s="3">
        <v>5890.39</v>
      </c>
      <c r="S181" s="3">
        <v>3623.95</v>
      </c>
      <c r="T181" s="3">
        <v>489.03</v>
      </c>
      <c r="U181" s="3">
        <v>200.14</v>
      </c>
      <c r="V181" s="3">
        <v>315.83</v>
      </c>
      <c r="W181" s="3">
        <v>106.36</v>
      </c>
      <c r="X181" s="3">
        <v>4735.3</v>
      </c>
      <c r="Y181" s="3">
        <v>1602.9</v>
      </c>
      <c r="Z181" s="3">
        <f t="shared" si="13"/>
        <v>491.55000000000018</v>
      </c>
      <c r="AA181" s="37">
        <f t="shared" si="14"/>
        <v>9.4043257411251552E-2</v>
      </c>
      <c r="AB181" s="3">
        <v>-663.54</v>
      </c>
      <c r="AC181" s="3">
        <v>261.33999999999997</v>
      </c>
      <c r="AD181" s="3">
        <v>248.28</v>
      </c>
      <c r="AE181" s="3">
        <v>5213.78</v>
      </c>
      <c r="AF181" t="str">
        <f>IF(tbl_FinancialData[[#This Row],[City]]="","Unknown",PROPER(TRIM(tbl_FinancialData[[#This Row],[City]])))</f>
        <v>Panaji</v>
      </c>
      <c r="AG181" t="str">
        <f>_xlfn.LET(_xlpm.city,LOWER(TRIM(tbl_FinancialData[[#This Row],[City]])),_xlpm.st,PROPER(TRIM(tbl_FinancialData[[#This Row],[State]])),IF(_xlpm.city="pune","Maharashtra",IF(_xlpm.city="jamshedpur","Jharkhand",IF(_xlpm.city="bhilai","Chhattisgarh",IF(_xlpm.city="mumbai","Maharashtra",_xlpm.st)))))</f>
        <v>Goa</v>
      </c>
      <c r="AH181" t="str">
        <f>_xlfn.LET(_xlpm.d,PROPER(TRIM(tbl_FinancialData[[#This Row],[Department]])),IF(_xlpm.d="It","IT",_xlpm.d))</f>
        <v>Finance</v>
      </c>
      <c r="AI181" t="str">
        <f>_xlfn.LET(_xlpm.pid,tbl_FinancialData[[#This Row],[Product ID]],_xlpm.n,PROPER(TRIM(tbl_FinancialData[[#This Row],[Product Name]])),IF(_xlpm.pid="P020","Document Scanner",IF(_xlpm.pid="P015","Network Router",SUBSTITUTE(SUBSTITUTE(_xlpm.n,"Crm","CRM"),"Ups","UPS"))))</f>
        <v>Headset</v>
      </c>
      <c r="AJ181" s="3" t="str">
        <f>UPPER(TRIM(tbl_FinancialData[[#This Row],[Cost Center]]))</f>
        <v>CC-1002</v>
      </c>
    </row>
    <row r="182" spans="1:36" x14ac:dyDescent="0.25">
      <c r="A182" s="3" t="s">
        <v>381</v>
      </c>
      <c r="B182" s="2">
        <v>46071</v>
      </c>
      <c r="C182" t="s">
        <v>57</v>
      </c>
      <c r="D182" s="3" t="str">
        <f t="shared" si="11"/>
        <v>Q4</v>
      </c>
      <c r="E182" s="3" t="str">
        <f t="shared" si="12"/>
        <v>FY2026</v>
      </c>
      <c r="F182" s="8" t="s">
        <v>47</v>
      </c>
      <c r="G182" s="3" t="s">
        <v>35</v>
      </c>
      <c r="H182" t="s">
        <v>206</v>
      </c>
      <c r="I182" t="s">
        <v>344</v>
      </c>
      <c r="J182" s="3" t="s">
        <v>80</v>
      </c>
      <c r="K182" t="s">
        <v>101</v>
      </c>
      <c r="L182" s="3" t="s">
        <v>51</v>
      </c>
      <c r="M182" s="3" t="s">
        <v>141</v>
      </c>
      <c r="N182" t="s">
        <v>142</v>
      </c>
      <c r="O182" t="s">
        <v>54</v>
      </c>
      <c r="P182" t="s">
        <v>143</v>
      </c>
      <c r="Q182" s="3">
        <v>1864</v>
      </c>
      <c r="R182" s="3">
        <v>2073.09</v>
      </c>
      <c r="S182" s="3">
        <v>1052.46</v>
      </c>
      <c r="T182" s="3">
        <v>216.19</v>
      </c>
      <c r="U182" s="3">
        <v>109.08</v>
      </c>
      <c r="V182" s="3">
        <v>143.65</v>
      </c>
      <c r="W182" s="3">
        <v>21.6</v>
      </c>
      <c r="X182" s="3">
        <v>1542.98</v>
      </c>
      <c r="Y182" s="3">
        <v>811.54</v>
      </c>
      <c r="Z182" s="3">
        <f t="shared" si="13"/>
        <v>321.02</v>
      </c>
      <c r="AA182" s="37">
        <f t="shared" si="14"/>
        <v>0.17222103004291844</v>
      </c>
      <c r="AB182" s="3">
        <v>-209.09</v>
      </c>
      <c r="AC182" s="3">
        <v>37.28</v>
      </c>
      <c r="AD182" s="3">
        <v>328.81</v>
      </c>
      <c r="AE182" s="3">
        <v>2155.5300000000002</v>
      </c>
      <c r="AF182" t="str">
        <f>IF(tbl_FinancialData[[#This Row],[City]]="","Unknown",PROPER(TRIM(tbl_FinancialData[[#This Row],[City]])))</f>
        <v>Hyderabad</v>
      </c>
      <c r="AG182" t="str">
        <f>_xlfn.LET(_xlpm.city,LOWER(TRIM(tbl_FinancialData[[#This Row],[City]])),_xlpm.st,PROPER(TRIM(tbl_FinancialData[[#This Row],[State]])),IF(_xlpm.city="pune","Maharashtra",IF(_xlpm.city="jamshedpur","Jharkhand",IF(_xlpm.city="bhilai","Chhattisgarh",IF(_xlpm.city="mumbai","Maharashtra",_xlpm.st)))))</f>
        <v>Telangana</v>
      </c>
      <c r="AH182" t="str">
        <f>_xlfn.LET(_xlpm.d,PROPER(TRIM(tbl_FinancialData[[#This Row],[Department]])),IF(_xlpm.d="It","IT",_xlpm.d))</f>
        <v>Finance</v>
      </c>
      <c r="AI182" t="str">
        <f>_xlfn.LET(_xlpm.pid,tbl_FinancialData[[#This Row],[Product ID]],_xlpm.n,PROPER(TRIM(tbl_FinancialData[[#This Row],[Product Name]])),IF(_xlpm.pid="P020","Document Scanner",IF(_xlpm.pid="P015","Network Router",SUBSTITUTE(SUBSTITUTE(_xlpm.n,"Crm","CRM"),"Ups","UPS"))))</f>
        <v>Headset</v>
      </c>
      <c r="AJ182" s="3" t="str">
        <f>UPPER(TRIM(tbl_FinancialData[[#This Row],[Cost Center]]))</f>
        <v>CC-1003</v>
      </c>
    </row>
    <row r="183" spans="1:36" x14ac:dyDescent="0.25">
      <c r="A183" s="3" t="s">
        <v>382</v>
      </c>
      <c r="B183" s="2">
        <v>46098</v>
      </c>
      <c r="C183" t="s">
        <v>125</v>
      </c>
      <c r="D183" s="3" t="str">
        <f t="shared" si="11"/>
        <v>Q4</v>
      </c>
      <c r="E183" s="3" t="str">
        <f t="shared" si="12"/>
        <v>FY2026</v>
      </c>
      <c r="F183" s="8" t="s">
        <v>59</v>
      </c>
      <c r="G183" s="3" t="s">
        <v>35</v>
      </c>
      <c r="H183" t="s">
        <v>230</v>
      </c>
      <c r="I183" t="s">
        <v>231</v>
      </c>
      <c r="J183" s="3" t="s">
        <v>80</v>
      </c>
      <c r="K183" t="s">
        <v>39</v>
      </c>
      <c r="L183" s="3" t="s">
        <v>72</v>
      </c>
      <c r="M183" s="3" t="s">
        <v>197</v>
      </c>
      <c r="N183" t="s">
        <v>198</v>
      </c>
      <c r="O183" t="s">
        <v>43</v>
      </c>
      <c r="P183" t="s">
        <v>163</v>
      </c>
      <c r="Q183" s="3">
        <v>27434.32</v>
      </c>
      <c r="R183" s="3">
        <v>26003.279999999999</v>
      </c>
      <c r="S183" s="3">
        <v>15171.39</v>
      </c>
      <c r="T183" s="3">
        <v>2038.79</v>
      </c>
      <c r="U183" s="3">
        <v>1096.74</v>
      </c>
      <c r="V183" s="3">
        <v>1100.6099999999999</v>
      </c>
      <c r="W183" s="3">
        <v>974.66</v>
      </c>
      <c r="X183" s="3">
        <v>20382.189999999999</v>
      </c>
      <c r="Y183" s="3">
        <v>12262.93</v>
      </c>
      <c r="Z183" s="3">
        <f t="shared" si="13"/>
        <v>7052.130000000001</v>
      </c>
      <c r="AA183" s="37">
        <f t="shared" si="14"/>
        <v>0.25705503179958539</v>
      </c>
      <c r="AB183" s="3">
        <v>1431.04</v>
      </c>
      <c r="AC183" s="3">
        <v>2743.43</v>
      </c>
      <c r="AD183" s="3">
        <v>1234.54</v>
      </c>
      <c r="AE183" s="3">
        <v>25925.43</v>
      </c>
      <c r="AF183" t="str">
        <f>IF(tbl_FinancialData[[#This Row],[City]]="","Unknown",PROPER(TRIM(tbl_FinancialData[[#This Row],[City]])))</f>
        <v>Ludhiana</v>
      </c>
      <c r="AG183" t="str">
        <f>_xlfn.LET(_xlpm.city,LOWER(TRIM(tbl_FinancialData[[#This Row],[City]])),_xlpm.st,PROPER(TRIM(tbl_FinancialData[[#This Row],[State]])),IF(_xlpm.city="pune","Maharashtra",IF(_xlpm.city="jamshedpur","Jharkhand",IF(_xlpm.city="bhilai","Chhattisgarh",IF(_xlpm.city="mumbai","Maharashtra",_xlpm.st)))))</f>
        <v>Punjab</v>
      </c>
      <c r="AH183" t="str">
        <f>_xlfn.LET(_xlpm.d,PROPER(TRIM(tbl_FinancialData[[#This Row],[Department]])),IF(_xlpm.d="It","IT",_xlpm.d))</f>
        <v>Operations</v>
      </c>
      <c r="AI183" t="str">
        <f>_xlfn.LET(_xlpm.pid,tbl_FinancialData[[#This Row],[Product ID]],_xlpm.n,PROPER(TRIM(tbl_FinancialData[[#This Row],[Product Name]])),IF(_xlpm.pid="P020","Document Scanner",IF(_xlpm.pid="P015","Network Router",SUBSTITUTE(SUBSTITUTE(_xlpm.n,"Crm","CRM"),"Ups","UPS"))))</f>
        <v>Smartphone</v>
      </c>
      <c r="AJ183" s="3" t="str">
        <f>UPPER(TRIM(tbl_FinancialData[[#This Row],[Cost Center]]))</f>
        <v>CC-1004</v>
      </c>
    </row>
    <row r="184" spans="1:36" x14ac:dyDescent="0.25">
      <c r="A184" s="3" t="s">
        <v>383</v>
      </c>
      <c r="B184" s="2">
        <v>45986</v>
      </c>
      <c r="C184" t="s">
        <v>147</v>
      </c>
      <c r="D184" s="3" t="str">
        <f t="shared" si="11"/>
        <v>Q3</v>
      </c>
      <c r="E184" s="3" t="str">
        <f t="shared" si="12"/>
        <v>FY2026</v>
      </c>
      <c r="F184" s="8" t="s">
        <v>67</v>
      </c>
      <c r="G184" s="3" t="s">
        <v>35</v>
      </c>
      <c r="H184" t="s">
        <v>168</v>
      </c>
      <c r="I184" t="s">
        <v>278</v>
      </c>
      <c r="J184" s="3" t="s">
        <v>100</v>
      </c>
      <c r="K184" t="s">
        <v>50</v>
      </c>
      <c r="L184" s="3" t="s">
        <v>81</v>
      </c>
      <c r="M184" s="3" t="s">
        <v>171</v>
      </c>
      <c r="N184" t="s">
        <v>172</v>
      </c>
      <c r="O184" t="s">
        <v>173</v>
      </c>
      <c r="P184" t="s">
        <v>174</v>
      </c>
      <c r="Q184" s="3">
        <v>25657.24</v>
      </c>
      <c r="R184" s="3">
        <v>25433.56</v>
      </c>
      <c r="S184" s="3">
        <v>17869.38</v>
      </c>
      <c r="T184" s="3">
        <v>2938.66</v>
      </c>
      <c r="U184" s="3">
        <v>2283.9</v>
      </c>
      <c r="V184" s="3">
        <v>2574.44</v>
      </c>
      <c r="W184" s="3">
        <v>609.66</v>
      </c>
      <c r="X184" s="3">
        <v>26276.05</v>
      </c>
      <c r="Y184" s="3">
        <v>7787.85</v>
      </c>
      <c r="Z184" s="3">
        <f t="shared" si="13"/>
        <v>-618.80999999999767</v>
      </c>
      <c r="AA184" s="37">
        <f t="shared" si="14"/>
        <v>-2.4118338527448692E-2</v>
      </c>
      <c r="AB184" s="3">
        <v>223.67</v>
      </c>
      <c r="AC184" s="3">
        <v>1282.8599999999999</v>
      </c>
      <c r="AD184" s="3">
        <v>4387.3900000000003</v>
      </c>
      <c r="AE184" s="3">
        <v>28761.759999999998</v>
      </c>
      <c r="AF184" t="str">
        <f>IF(tbl_FinancialData[[#This Row],[City]]="","Unknown",PROPER(TRIM(tbl_FinancialData[[#This Row],[City]])))</f>
        <v>Siliguri</v>
      </c>
      <c r="AG184" t="str">
        <f>_xlfn.LET(_xlpm.city,LOWER(TRIM(tbl_FinancialData[[#This Row],[City]])),_xlpm.st,PROPER(TRIM(tbl_FinancialData[[#This Row],[State]])),IF(_xlpm.city="pune","Maharashtra",IF(_xlpm.city="jamshedpur","Jharkhand",IF(_xlpm.city="bhilai","Chhattisgarh",IF(_xlpm.city="mumbai","Maharashtra",_xlpm.st)))))</f>
        <v>West Bengal</v>
      </c>
      <c r="AH184" t="str">
        <f>_xlfn.LET(_xlpm.d,PROPER(TRIM(tbl_FinancialData[[#This Row],[Department]])),IF(_xlpm.d="It","IT",_xlpm.d))</f>
        <v>Sales</v>
      </c>
      <c r="AI184" t="str">
        <f>_xlfn.LET(_xlpm.pid,tbl_FinancialData[[#This Row],[Product ID]],_xlpm.n,PROPER(TRIM(tbl_FinancialData[[#This Row],[Product Name]])),IF(_xlpm.pid="P020","Document Scanner",IF(_xlpm.pid="P015","Network Router",SUBSTITUTE(SUBSTITUTE(_xlpm.n,"Crm","CRM"),"Ups","UPS"))))</f>
        <v>Network Switch</v>
      </c>
      <c r="AJ184" s="3" t="str">
        <f>UPPER(TRIM(tbl_FinancialData[[#This Row],[Cost Center]]))</f>
        <v>CC-1005</v>
      </c>
    </row>
    <row r="185" spans="1:36" x14ac:dyDescent="0.25">
      <c r="A185" s="3" t="s">
        <v>384</v>
      </c>
      <c r="B185" s="2">
        <v>45806</v>
      </c>
      <c r="C185" t="s">
        <v>65</v>
      </c>
      <c r="D185" s="3" t="str">
        <f t="shared" si="11"/>
        <v>Q1</v>
      </c>
      <c r="E185" s="3" t="str">
        <f t="shared" si="12"/>
        <v>FY2026</v>
      </c>
      <c r="F185" s="8" t="s">
        <v>67</v>
      </c>
      <c r="G185" s="3" t="s">
        <v>35</v>
      </c>
      <c r="H185" t="s">
        <v>68</v>
      </c>
      <c r="I185" t="s">
        <v>204</v>
      </c>
      <c r="J185" s="3" t="s">
        <v>38</v>
      </c>
      <c r="K185" t="s">
        <v>50</v>
      </c>
      <c r="L185" s="3" t="s">
        <v>94</v>
      </c>
      <c r="M185" s="3" t="s">
        <v>130</v>
      </c>
      <c r="N185" t="s">
        <v>131</v>
      </c>
      <c r="O185" t="s">
        <v>43</v>
      </c>
      <c r="P185" t="s">
        <v>132</v>
      </c>
      <c r="Q185" s="3">
        <v>48663.13</v>
      </c>
      <c r="R185" s="3">
        <v>46697.03</v>
      </c>
      <c r="S185" s="3">
        <v>30383.94</v>
      </c>
      <c r="T185" s="3">
        <v>3587.68</v>
      </c>
      <c r="U185" s="3">
        <v>3476.38</v>
      </c>
      <c r="V185" s="3">
        <v>4901.37</v>
      </c>
      <c r="W185" s="3">
        <v>661.24</v>
      </c>
      <c r="X185" s="3">
        <v>43010.6</v>
      </c>
      <c r="Y185" s="3">
        <v>18279.189999999999</v>
      </c>
      <c r="Z185" s="3">
        <f t="shared" si="13"/>
        <v>5652.5299999999988</v>
      </c>
      <c r="AA185" s="37">
        <f t="shared" si="14"/>
        <v>0.11615631793515951</v>
      </c>
      <c r="AB185" s="3">
        <v>1966.1</v>
      </c>
      <c r="AC185" s="3">
        <v>1459.89</v>
      </c>
      <c r="AD185" s="3">
        <v>5664.39</v>
      </c>
      <c r="AE185" s="3">
        <v>52867.62</v>
      </c>
      <c r="AF185" t="str">
        <f>IF(tbl_FinancialData[[#This Row],[City]]="","Unknown",PROPER(TRIM(tbl_FinancialData[[#This Row],[City]])))</f>
        <v>Cuttack</v>
      </c>
      <c r="AG185" t="str">
        <f>_xlfn.LET(_xlpm.city,LOWER(TRIM(tbl_FinancialData[[#This Row],[City]])),_xlpm.st,PROPER(TRIM(tbl_FinancialData[[#This Row],[State]])),IF(_xlpm.city="pune","Maharashtra",IF(_xlpm.city="jamshedpur","Jharkhand",IF(_xlpm.city="bhilai","Chhattisgarh",IF(_xlpm.city="mumbai","Maharashtra",_xlpm.st)))))</f>
        <v>Odisha</v>
      </c>
      <c r="AH185" t="str">
        <f>_xlfn.LET(_xlpm.d,PROPER(TRIM(tbl_FinancialData[[#This Row],[Department]])),IF(_xlpm.d="It","IT",_xlpm.d))</f>
        <v>Sales</v>
      </c>
      <c r="AI185" t="str">
        <f>_xlfn.LET(_xlpm.pid,tbl_FinancialData[[#This Row],[Product ID]],_xlpm.n,PROPER(TRIM(tbl_FinancialData[[#This Row],[Product Name]])),IF(_xlpm.pid="P020","Document Scanner",IF(_xlpm.pid="P015","Network Router",SUBSTITUTE(SUBSTITUTE(_xlpm.n,"Crm","CRM"),"Ups","UPS"))))</f>
        <v>UPS System</v>
      </c>
      <c r="AJ185" s="3" t="str">
        <f>UPPER(TRIM(tbl_FinancialData[[#This Row],[Cost Center]]))</f>
        <v>CC-1001</v>
      </c>
    </row>
    <row r="186" spans="1:36" x14ac:dyDescent="0.25">
      <c r="A186" s="3" t="s">
        <v>385</v>
      </c>
      <c r="B186" s="2">
        <v>46039</v>
      </c>
      <c r="C186" t="s">
        <v>77</v>
      </c>
      <c r="D186" s="3" t="str">
        <f t="shared" si="11"/>
        <v>Q4</v>
      </c>
      <c r="E186" s="3" t="str">
        <f t="shared" si="12"/>
        <v>FY2026</v>
      </c>
      <c r="F186" s="8" t="s">
        <v>85</v>
      </c>
      <c r="G186" s="3" t="s">
        <v>35</v>
      </c>
      <c r="H186" t="s">
        <v>60</v>
      </c>
      <c r="I186" t="s">
        <v>185</v>
      </c>
      <c r="J186" s="3" t="s">
        <v>38</v>
      </c>
      <c r="K186" t="s">
        <v>50</v>
      </c>
      <c r="L186" s="3" t="s">
        <v>51</v>
      </c>
      <c r="M186" s="3" t="s">
        <v>197</v>
      </c>
      <c r="N186" t="s">
        <v>198</v>
      </c>
      <c r="O186" t="s">
        <v>43</v>
      </c>
      <c r="P186" t="s">
        <v>163</v>
      </c>
      <c r="Q186" s="3">
        <v>71506.75</v>
      </c>
      <c r="R186" s="3">
        <v>78564.06</v>
      </c>
      <c r="S186" s="3">
        <v>49111.25</v>
      </c>
      <c r="T186" s="3">
        <v>5143.18</v>
      </c>
      <c r="U186" s="3">
        <v>5538.88</v>
      </c>
      <c r="V186" s="3">
        <v>3977.15</v>
      </c>
      <c r="W186" s="3">
        <v>1579.37</v>
      </c>
      <c r="X186" s="3">
        <v>65349.83</v>
      </c>
      <c r="Y186" s="3">
        <v>22395.5</v>
      </c>
      <c r="Z186" s="3">
        <f t="shared" si="13"/>
        <v>6156.9199999999983</v>
      </c>
      <c r="AA186" s="37">
        <f t="shared" si="14"/>
        <v>8.6102640659797822E-2</v>
      </c>
      <c r="AB186" s="3">
        <v>-7057.31</v>
      </c>
      <c r="AC186" s="3">
        <v>2145.1999999999998</v>
      </c>
      <c r="AD186" s="3">
        <v>12485.08</v>
      </c>
      <c r="AE186" s="3">
        <v>81846.63</v>
      </c>
      <c r="AF186" t="str">
        <f>IF(tbl_FinancialData[[#This Row],[City]]="","Unknown",PROPER(TRIM(tbl_FinancialData[[#This Row],[City]])))</f>
        <v>Kanpur</v>
      </c>
      <c r="AG186" t="str">
        <f>_xlfn.LET(_xlpm.city,LOWER(TRIM(tbl_FinancialData[[#This Row],[City]])),_xlpm.st,PROPER(TRIM(tbl_FinancialData[[#This Row],[State]])),IF(_xlpm.city="pune","Maharashtra",IF(_xlpm.city="jamshedpur","Jharkhand",IF(_xlpm.city="bhilai","Chhattisgarh",IF(_xlpm.city="mumbai","Maharashtra",_xlpm.st)))))</f>
        <v>Uttar Pradesh</v>
      </c>
      <c r="AH186" t="str">
        <f>_xlfn.LET(_xlpm.d,PROPER(TRIM(tbl_FinancialData[[#This Row],[Department]])),IF(_xlpm.d="It","IT",_xlpm.d))</f>
        <v>Sales</v>
      </c>
      <c r="AI186" t="str">
        <f>_xlfn.LET(_xlpm.pid,tbl_FinancialData[[#This Row],[Product ID]],_xlpm.n,PROPER(TRIM(tbl_FinancialData[[#This Row],[Product Name]])),IF(_xlpm.pid="P020","Document Scanner",IF(_xlpm.pid="P015","Network Router",SUBSTITUTE(SUBSTITUTE(_xlpm.n,"Crm","CRM"),"Ups","UPS"))))</f>
        <v>Smartphone</v>
      </c>
      <c r="AJ186" s="3" t="str">
        <f>UPPER(TRIM(tbl_FinancialData[[#This Row],[Cost Center]]))</f>
        <v>CC-1003</v>
      </c>
    </row>
    <row r="187" spans="1:36" x14ac:dyDescent="0.25">
      <c r="A187" s="3" t="s">
        <v>386</v>
      </c>
      <c r="B187" s="2">
        <v>45750</v>
      </c>
      <c r="C187" t="s">
        <v>128</v>
      </c>
      <c r="D187" s="3" t="str">
        <f t="shared" si="11"/>
        <v>Q1</v>
      </c>
      <c r="E187" s="3" t="str">
        <f t="shared" si="12"/>
        <v>FY2026</v>
      </c>
      <c r="F187" s="8" t="s">
        <v>59</v>
      </c>
      <c r="G187" s="3" t="s">
        <v>35</v>
      </c>
      <c r="H187" t="s">
        <v>254</v>
      </c>
      <c r="I187" t="s">
        <v>255</v>
      </c>
      <c r="J187" s="3" t="s">
        <v>80</v>
      </c>
      <c r="K187" t="s">
        <v>160</v>
      </c>
      <c r="L187" s="3" t="s">
        <v>94</v>
      </c>
      <c r="M187" s="3" t="s">
        <v>130</v>
      </c>
      <c r="N187" t="s">
        <v>131</v>
      </c>
      <c r="O187" t="s">
        <v>43</v>
      </c>
      <c r="P187" t="s">
        <v>132</v>
      </c>
      <c r="Q187" s="3">
        <v>30423.5</v>
      </c>
      <c r="R187" s="3">
        <v>33948.42</v>
      </c>
      <c r="S187" s="3">
        <v>19965.919999999998</v>
      </c>
      <c r="T187" s="3">
        <v>2456.65</v>
      </c>
      <c r="U187" s="3">
        <v>810.41</v>
      </c>
      <c r="V187" s="3">
        <v>3258.96</v>
      </c>
      <c r="W187" s="3">
        <v>316.39</v>
      </c>
      <c r="X187" s="3">
        <v>26808.33</v>
      </c>
      <c r="Y187" s="3">
        <v>10457.57</v>
      </c>
      <c r="Z187" s="3">
        <f t="shared" si="13"/>
        <v>3615.1699999999983</v>
      </c>
      <c r="AA187" s="37">
        <f t="shared" si="14"/>
        <v>0.11882820845727804</v>
      </c>
      <c r="AB187" s="3">
        <v>-3524.92</v>
      </c>
      <c r="AC187" s="3">
        <v>1521.17</v>
      </c>
      <c r="AD187" s="3">
        <v>5202.42</v>
      </c>
      <c r="AE187" s="3">
        <v>34104.74</v>
      </c>
      <c r="AF187" t="str">
        <f>IF(tbl_FinancialData[[#This Row],[City]]="","Unknown",PROPER(TRIM(tbl_FinancialData[[#This Row],[City]])))</f>
        <v>Noida</v>
      </c>
      <c r="AG187" t="str">
        <f>_xlfn.LET(_xlpm.city,LOWER(TRIM(tbl_FinancialData[[#This Row],[City]])),_xlpm.st,PROPER(TRIM(tbl_FinancialData[[#This Row],[State]])),IF(_xlpm.city="pune","Maharashtra",IF(_xlpm.city="jamshedpur","Jharkhand",IF(_xlpm.city="bhilai","Chhattisgarh",IF(_xlpm.city="mumbai","Maharashtra",_xlpm.st)))))</f>
        <v>Delhi</v>
      </c>
      <c r="AH187" t="str">
        <f>_xlfn.LET(_xlpm.d,PROPER(TRIM(tbl_FinancialData[[#This Row],[Department]])),IF(_xlpm.d="It","IT",_xlpm.d))</f>
        <v>IT</v>
      </c>
      <c r="AI187" t="str">
        <f>_xlfn.LET(_xlpm.pid,tbl_FinancialData[[#This Row],[Product ID]],_xlpm.n,PROPER(TRIM(tbl_FinancialData[[#This Row],[Product Name]])),IF(_xlpm.pid="P020","Document Scanner",IF(_xlpm.pid="P015","Network Router",SUBSTITUTE(SUBSTITUTE(_xlpm.n,"Crm","CRM"),"Ups","UPS"))))</f>
        <v>UPS System</v>
      </c>
      <c r="AJ187" s="3" t="str">
        <f>UPPER(TRIM(tbl_FinancialData[[#This Row],[Cost Center]]))</f>
        <v>CC-1001</v>
      </c>
    </row>
    <row r="188" spans="1:36" x14ac:dyDescent="0.25">
      <c r="A188" s="3" t="s">
        <v>387</v>
      </c>
      <c r="B188" s="2">
        <v>45936</v>
      </c>
      <c r="C188" t="s">
        <v>92</v>
      </c>
      <c r="D188" s="3" t="str">
        <f t="shared" si="11"/>
        <v>Q3</v>
      </c>
      <c r="E188" s="3" t="str">
        <f t="shared" si="12"/>
        <v>FY2026</v>
      </c>
      <c r="F188" s="8" t="s">
        <v>59</v>
      </c>
      <c r="G188" s="3" t="s">
        <v>35</v>
      </c>
      <c r="H188" t="s">
        <v>60</v>
      </c>
      <c r="I188" t="s">
        <v>108</v>
      </c>
      <c r="J188" s="3" t="s">
        <v>80</v>
      </c>
      <c r="K188" t="s">
        <v>71</v>
      </c>
      <c r="L188" s="3" t="s">
        <v>94</v>
      </c>
      <c r="M188" s="3" t="s">
        <v>82</v>
      </c>
      <c r="N188" t="s">
        <v>83</v>
      </c>
      <c r="O188" t="s">
        <v>43</v>
      </c>
      <c r="P188" t="s">
        <v>75</v>
      </c>
      <c r="Q188" s="3">
        <v>49555.040000000001</v>
      </c>
      <c r="R188" s="3">
        <v>51112.99</v>
      </c>
      <c r="S188" s="3">
        <v>32331.14</v>
      </c>
      <c r="T188" s="3">
        <v>5897.61</v>
      </c>
      <c r="U188" s="3">
        <v>1816.27</v>
      </c>
      <c r="V188" s="3">
        <v>5153.74</v>
      </c>
      <c r="W188" s="3">
        <v>1454.18</v>
      </c>
      <c r="X188" s="3">
        <v>46652.94</v>
      </c>
      <c r="Y188" s="3">
        <v>17223.900000000001</v>
      </c>
      <c r="Z188" s="3">
        <f t="shared" si="13"/>
        <v>2902.0999999999985</v>
      </c>
      <c r="AA188" s="37">
        <f t="shared" si="14"/>
        <v>5.8563165320823035E-2</v>
      </c>
      <c r="AB188" s="3">
        <v>-1557.95</v>
      </c>
      <c r="AC188" s="3">
        <v>1486.65</v>
      </c>
      <c r="AD188" s="3">
        <v>2403.42</v>
      </c>
      <c r="AE188" s="3">
        <v>50471.81</v>
      </c>
      <c r="AF188" t="str">
        <f>IF(tbl_FinancialData[[#This Row],[City]]="","Unknown",PROPER(TRIM(tbl_FinancialData[[#This Row],[City]])))</f>
        <v>Agra</v>
      </c>
      <c r="AG188" t="str">
        <f>_xlfn.LET(_xlpm.city,LOWER(TRIM(tbl_FinancialData[[#This Row],[City]])),_xlpm.st,PROPER(TRIM(tbl_FinancialData[[#This Row],[State]])),IF(_xlpm.city="pune","Maharashtra",IF(_xlpm.city="jamshedpur","Jharkhand",IF(_xlpm.city="bhilai","Chhattisgarh",IF(_xlpm.city="mumbai","Maharashtra",_xlpm.st)))))</f>
        <v>Uttar Pradesh</v>
      </c>
      <c r="AH188" t="str">
        <f>_xlfn.LET(_xlpm.d,PROPER(TRIM(tbl_FinancialData[[#This Row],[Department]])),IF(_xlpm.d="It","IT",_xlpm.d))</f>
        <v>Marketing</v>
      </c>
      <c r="AI188" t="str">
        <f>_xlfn.LET(_xlpm.pid,tbl_FinancialData[[#This Row],[Product ID]],_xlpm.n,PROPER(TRIM(tbl_FinancialData[[#This Row],[Product Name]])),IF(_xlpm.pid="P020","Document Scanner",IF(_xlpm.pid="P015","Network Router",SUBSTITUTE(SUBSTITUTE(_xlpm.n,"Crm","CRM"),"Ups","UPS"))))</f>
        <v>Business Laptop</v>
      </c>
      <c r="AJ188" s="3" t="str">
        <f>UPPER(TRIM(tbl_FinancialData[[#This Row],[Cost Center]]))</f>
        <v>CC-1001</v>
      </c>
    </row>
    <row r="189" spans="1:36" x14ac:dyDescent="0.25">
      <c r="A189" s="3" t="s">
        <v>388</v>
      </c>
      <c r="B189" s="2">
        <v>45836</v>
      </c>
      <c r="C189" t="s">
        <v>156</v>
      </c>
      <c r="D189" s="3" t="str">
        <f t="shared" si="11"/>
        <v>Q1</v>
      </c>
      <c r="E189" s="3" t="str">
        <f t="shared" si="12"/>
        <v>FY2026</v>
      </c>
      <c r="F189" s="8" t="s">
        <v>59</v>
      </c>
      <c r="G189" s="3" t="s">
        <v>35</v>
      </c>
      <c r="H189" t="s">
        <v>60</v>
      </c>
      <c r="I189" t="s">
        <v>108</v>
      </c>
      <c r="J189" s="3" t="s">
        <v>100</v>
      </c>
      <c r="K189" t="s">
        <v>71</v>
      </c>
      <c r="L189" s="3" t="s">
        <v>51</v>
      </c>
      <c r="M189" s="3" t="s">
        <v>110</v>
      </c>
      <c r="N189" t="s">
        <v>111</v>
      </c>
      <c r="O189" t="s">
        <v>112</v>
      </c>
      <c r="P189" t="s">
        <v>113</v>
      </c>
      <c r="Q189" s="3">
        <v>8964.2199999999993</v>
      </c>
      <c r="R189" s="3">
        <v>10403.780000000001</v>
      </c>
      <c r="S189" s="3">
        <v>6132.99</v>
      </c>
      <c r="T189" s="3">
        <v>1152.3699999999999</v>
      </c>
      <c r="U189" s="3">
        <v>590.02</v>
      </c>
      <c r="V189" s="3">
        <v>536.07000000000005</v>
      </c>
      <c r="W189" s="3">
        <v>140.72999999999999</v>
      </c>
      <c r="X189" s="3">
        <v>8552.18</v>
      </c>
      <c r="Y189" s="3">
        <v>2831.23</v>
      </c>
      <c r="Z189" s="3">
        <f t="shared" si="13"/>
        <v>412.03999999999905</v>
      </c>
      <c r="AA189" s="37">
        <f t="shared" si="14"/>
        <v>4.5964958468221337E-2</v>
      </c>
      <c r="AB189" s="3">
        <v>-1439.56</v>
      </c>
      <c r="AC189" s="3">
        <v>179.28</v>
      </c>
      <c r="AD189" s="3">
        <v>439.25</v>
      </c>
      <c r="AE189" s="3">
        <v>9224.18</v>
      </c>
      <c r="AF189" t="str">
        <f>IF(tbl_FinancialData[[#This Row],[City]]="","Unknown",PROPER(TRIM(tbl_FinancialData[[#This Row],[City]])))</f>
        <v>Agra</v>
      </c>
      <c r="AG189" t="str">
        <f>_xlfn.LET(_xlpm.city,LOWER(TRIM(tbl_FinancialData[[#This Row],[City]])),_xlpm.st,PROPER(TRIM(tbl_FinancialData[[#This Row],[State]])),IF(_xlpm.city="pune","Maharashtra",IF(_xlpm.city="jamshedpur","Jharkhand",IF(_xlpm.city="bhilai","Chhattisgarh",IF(_xlpm.city="mumbai","Maharashtra",_xlpm.st)))))</f>
        <v>Uttar Pradesh</v>
      </c>
      <c r="AH189" t="str">
        <f>_xlfn.LET(_xlpm.d,PROPER(TRIM(tbl_FinancialData[[#This Row],[Department]])),IF(_xlpm.d="It","IT",_xlpm.d))</f>
        <v>Marketing</v>
      </c>
      <c r="AI189" t="str">
        <f>_xlfn.LET(_xlpm.pid,tbl_FinancialData[[#This Row],[Product ID]],_xlpm.n,PROPER(TRIM(tbl_FinancialData[[#This Row],[Product Name]])),IF(_xlpm.pid="P020","Document Scanner",IF(_xlpm.pid="P015","Network Router",SUBSTITUTE(SUBSTITUTE(_xlpm.n,"Crm","CRM"),"Ups","UPS"))))</f>
        <v>Office Desk</v>
      </c>
      <c r="AJ189" s="3" t="str">
        <f>UPPER(TRIM(tbl_FinancialData[[#This Row],[Cost Center]]))</f>
        <v>CC-1003</v>
      </c>
    </row>
    <row r="190" spans="1:36" x14ac:dyDescent="0.25">
      <c r="A190" s="3" t="s">
        <v>389</v>
      </c>
      <c r="B190" s="2">
        <v>45800</v>
      </c>
      <c r="C190" t="s">
        <v>65</v>
      </c>
      <c r="D190" s="3" t="str">
        <f t="shared" si="11"/>
        <v>Q1</v>
      </c>
      <c r="E190" s="3" t="str">
        <f t="shared" si="12"/>
        <v>FY2026</v>
      </c>
      <c r="F190" s="8" t="s">
        <v>47</v>
      </c>
      <c r="G190" s="3" t="s">
        <v>35</v>
      </c>
      <c r="H190" t="s">
        <v>206</v>
      </c>
      <c r="I190" t="s">
        <v>344</v>
      </c>
      <c r="J190" s="3" t="s">
        <v>100</v>
      </c>
      <c r="K190" t="s">
        <v>50</v>
      </c>
      <c r="L190" s="3" t="s">
        <v>94</v>
      </c>
      <c r="M190" s="3" t="s">
        <v>235</v>
      </c>
      <c r="N190" t="s">
        <v>236</v>
      </c>
      <c r="O190" t="s">
        <v>104</v>
      </c>
      <c r="P190" t="s">
        <v>237</v>
      </c>
      <c r="Q190" s="3">
        <v>17001.37</v>
      </c>
      <c r="R190" s="3">
        <v>16776.22</v>
      </c>
      <c r="S190" s="3">
        <v>8503.08</v>
      </c>
      <c r="T190" s="3">
        <v>1303.6099999999999</v>
      </c>
      <c r="U190" s="3">
        <v>1173.78</v>
      </c>
      <c r="V190" s="3">
        <v>778.13</v>
      </c>
      <c r="W190" s="3">
        <v>292.24</v>
      </c>
      <c r="X190" s="3">
        <v>12050.84</v>
      </c>
      <c r="Y190" s="3">
        <v>8498.2999999999993</v>
      </c>
      <c r="Z190" s="3">
        <f t="shared" si="13"/>
        <v>4950.5299999999988</v>
      </c>
      <c r="AA190" s="37">
        <f t="shared" si="14"/>
        <v>0.29118418103952792</v>
      </c>
      <c r="AB190" s="3">
        <v>225.16</v>
      </c>
      <c r="AC190" s="3">
        <v>510.04</v>
      </c>
      <c r="AD190" s="3">
        <v>2968.44</v>
      </c>
      <c r="AE190" s="3">
        <v>19459.77</v>
      </c>
      <c r="AF190" t="str">
        <f>IF(tbl_FinancialData[[#This Row],[City]]="","Unknown",PROPER(TRIM(tbl_FinancialData[[#This Row],[City]])))</f>
        <v>Hyderabad</v>
      </c>
      <c r="AG190" t="str">
        <f>_xlfn.LET(_xlpm.city,LOWER(TRIM(tbl_FinancialData[[#This Row],[City]])),_xlpm.st,PROPER(TRIM(tbl_FinancialData[[#This Row],[State]])),IF(_xlpm.city="pune","Maharashtra",IF(_xlpm.city="jamshedpur","Jharkhand",IF(_xlpm.city="bhilai","Chhattisgarh",IF(_xlpm.city="mumbai","Maharashtra",_xlpm.st)))))</f>
        <v>Telangana</v>
      </c>
      <c r="AH190" t="str">
        <f>_xlfn.LET(_xlpm.d,PROPER(TRIM(tbl_FinancialData[[#This Row],[Department]])),IF(_xlpm.d="It","IT",_xlpm.d))</f>
        <v>Sales</v>
      </c>
      <c r="AI190" t="str">
        <f>_xlfn.LET(_xlpm.pid,tbl_FinancialData[[#This Row],[Product ID]],_xlpm.n,PROPER(TRIM(tbl_FinancialData[[#This Row],[Product Name]])),IF(_xlpm.pid="P020","Document Scanner",IF(_xlpm.pid="P015","Network Router",SUBSTITUTE(SUBSTITUTE(_xlpm.n,"Crm","CRM"),"Ups","UPS"))))</f>
        <v>Data Storage</v>
      </c>
      <c r="AJ190" s="3" t="str">
        <f>UPPER(TRIM(tbl_FinancialData[[#This Row],[Cost Center]]))</f>
        <v>CC-1001</v>
      </c>
    </row>
    <row r="191" spans="1:36" x14ac:dyDescent="0.25">
      <c r="A191" s="3" t="s">
        <v>390</v>
      </c>
      <c r="B191" s="2">
        <v>45831</v>
      </c>
      <c r="C191" t="s">
        <v>156</v>
      </c>
      <c r="D191" s="3" t="str">
        <f t="shared" si="11"/>
        <v>Q1</v>
      </c>
      <c r="E191" s="3" t="str">
        <f t="shared" si="12"/>
        <v>FY2026</v>
      </c>
      <c r="F191" s="8" t="s">
        <v>34</v>
      </c>
      <c r="G191" s="3" t="s">
        <v>35</v>
      </c>
      <c r="H191" t="s">
        <v>36</v>
      </c>
      <c r="I191" t="s">
        <v>37</v>
      </c>
      <c r="J191" s="3" t="s">
        <v>100</v>
      </c>
      <c r="K191" t="s">
        <v>71</v>
      </c>
      <c r="L191" s="3" t="s">
        <v>81</v>
      </c>
      <c r="M191" s="3" t="s">
        <v>95</v>
      </c>
      <c r="N191" t="s">
        <v>96</v>
      </c>
      <c r="O191" t="s">
        <v>43</v>
      </c>
      <c r="P191" t="s">
        <v>90</v>
      </c>
      <c r="Q191" s="3">
        <v>28443.64</v>
      </c>
      <c r="R191" s="3">
        <v>28716.86</v>
      </c>
      <c r="S191" s="3">
        <v>20345.41</v>
      </c>
      <c r="T191" s="3">
        <v>1575.78</v>
      </c>
      <c r="U191" s="3">
        <v>1670.08</v>
      </c>
      <c r="V191" s="3">
        <v>1545.89</v>
      </c>
      <c r="W191" s="3">
        <v>1250.77</v>
      </c>
      <c r="X191" s="3">
        <v>26387.94</v>
      </c>
      <c r="Y191" s="3">
        <v>8098.23</v>
      </c>
      <c r="Z191" s="3">
        <f t="shared" si="13"/>
        <v>2055.7000000000007</v>
      </c>
      <c r="AA191" s="37">
        <f t="shared" si="14"/>
        <v>7.2272747088628631E-2</v>
      </c>
      <c r="AB191" s="3">
        <v>-273.22000000000003</v>
      </c>
      <c r="AC191" s="3">
        <v>0</v>
      </c>
      <c r="AD191" s="3">
        <v>3413.24</v>
      </c>
      <c r="AE191" s="3">
        <v>31856.880000000001</v>
      </c>
      <c r="AF191" t="str">
        <f>IF(tbl_FinancialData[[#This Row],[City]]="","Unknown",PROPER(TRIM(tbl_FinancialData[[#This Row],[City]])))</f>
        <v>Vasco Da Gama</v>
      </c>
      <c r="AG191" t="str">
        <f>_xlfn.LET(_xlpm.city,LOWER(TRIM(tbl_FinancialData[[#This Row],[City]])),_xlpm.st,PROPER(TRIM(tbl_FinancialData[[#This Row],[State]])),IF(_xlpm.city="pune","Maharashtra",IF(_xlpm.city="jamshedpur","Jharkhand",IF(_xlpm.city="bhilai","Chhattisgarh",IF(_xlpm.city="mumbai","Maharashtra",_xlpm.st)))))</f>
        <v>Goa</v>
      </c>
      <c r="AH191" t="str">
        <f>_xlfn.LET(_xlpm.d,PROPER(TRIM(tbl_FinancialData[[#This Row],[Department]])),IF(_xlpm.d="It","IT",_xlpm.d))</f>
        <v>Marketing</v>
      </c>
      <c r="AI191" t="str">
        <f>_xlfn.LET(_xlpm.pid,tbl_FinancialData[[#This Row],[Product ID]],_xlpm.n,PROPER(TRIM(tbl_FinancialData[[#This Row],[Product Name]])),IF(_xlpm.pid="P020","Document Scanner",IF(_xlpm.pid="P015","Network Router",SUBSTITUTE(SUBSTITUTE(_xlpm.n,"Crm","CRM"),"Ups","UPS"))))</f>
        <v>Document Scanner</v>
      </c>
      <c r="AJ191" s="3" t="str">
        <f>UPPER(TRIM(tbl_FinancialData[[#This Row],[Cost Center]]))</f>
        <v>CC-1005</v>
      </c>
    </row>
    <row r="192" spans="1:36" x14ac:dyDescent="0.25">
      <c r="A192" s="3" t="s">
        <v>391</v>
      </c>
      <c r="B192" s="2">
        <v>45829</v>
      </c>
      <c r="C192" t="s">
        <v>156</v>
      </c>
      <c r="D192" s="3" t="str">
        <f t="shared" si="11"/>
        <v>Q1</v>
      </c>
      <c r="E192" s="3" t="str">
        <f t="shared" si="12"/>
        <v>FY2026</v>
      </c>
      <c r="F192" s="8" t="s">
        <v>34</v>
      </c>
      <c r="G192" s="3" t="s">
        <v>35</v>
      </c>
      <c r="H192" t="s">
        <v>98</v>
      </c>
      <c r="I192" t="s">
        <v>99</v>
      </c>
      <c r="J192" s="3" t="s">
        <v>70</v>
      </c>
      <c r="K192" t="s">
        <v>39</v>
      </c>
      <c r="L192" s="3" t="s">
        <v>51</v>
      </c>
      <c r="M192" s="3" t="s">
        <v>88</v>
      </c>
      <c r="N192" t="s">
        <v>89</v>
      </c>
      <c r="O192" t="s">
        <v>43</v>
      </c>
      <c r="P192" t="s">
        <v>90</v>
      </c>
      <c r="Q192" s="3">
        <v>28751.8</v>
      </c>
      <c r="R192" s="3">
        <v>27617.84</v>
      </c>
      <c r="S192" s="3">
        <v>15784.48</v>
      </c>
      <c r="T192" s="3">
        <v>2948.22</v>
      </c>
      <c r="U192" s="3">
        <v>2528.86</v>
      </c>
      <c r="V192" s="3">
        <v>2538.52</v>
      </c>
      <c r="W192" s="3">
        <v>364.98</v>
      </c>
      <c r="X192" s="3">
        <v>24165.07</v>
      </c>
      <c r="Y192" s="3">
        <v>12967.33</v>
      </c>
      <c r="Z192" s="3">
        <f t="shared" si="13"/>
        <v>4586.7299999999996</v>
      </c>
      <c r="AA192" s="37">
        <f t="shared" si="14"/>
        <v>0.15952844691462795</v>
      </c>
      <c r="AB192" s="3">
        <v>1133.97</v>
      </c>
      <c r="AC192" s="3">
        <v>0</v>
      </c>
      <c r="AD192" s="3">
        <v>5175.32</v>
      </c>
      <c r="AE192" s="3">
        <v>33927.129999999997</v>
      </c>
      <c r="AF192" t="str">
        <f>IF(tbl_FinancialData[[#This Row],[City]]="","Unknown",PROPER(TRIM(tbl_FinancialData[[#This Row],[City]])))</f>
        <v>Mumbai</v>
      </c>
      <c r="AG192" t="str">
        <f>_xlfn.LET(_xlpm.city,LOWER(TRIM(tbl_FinancialData[[#This Row],[City]])),_xlpm.st,PROPER(TRIM(tbl_FinancialData[[#This Row],[State]])),IF(_xlpm.city="pune","Maharashtra",IF(_xlpm.city="jamshedpur","Jharkhand",IF(_xlpm.city="bhilai","Chhattisgarh",IF(_xlpm.city="mumbai","Maharashtra",_xlpm.st)))))</f>
        <v>Maharashtra</v>
      </c>
      <c r="AH192" t="str">
        <f>_xlfn.LET(_xlpm.d,PROPER(TRIM(tbl_FinancialData[[#This Row],[Department]])),IF(_xlpm.d="It","IT",_xlpm.d))</f>
        <v>Operations</v>
      </c>
      <c r="AI192" t="str">
        <f>_xlfn.LET(_xlpm.pid,tbl_FinancialData[[#This Row],[Product ID]],_xlpm.n,PROPER(TRIM(tbl_FinancialData[[#This Row],[Product Name]])),IF(_xlpm.pid="P020","Document Scanner",IF(_xlpm.pid="P015","Network Router",SUBSTITUTE(SUBSTITUTE(_xlpm.n,"Crm","CRM"),"Ups","UPS"))))</f>
        <v>Printer</v>
      </c>
      <c r="AJ192" s="3" t="str">
        <f>UPPER(TRIM(tbl_FinancialData[[#This Row],[Cost Center]]))</f>
        <v>CC-1003</v>
      </c>
    </row>
    <row r="193" spans="1:36" x14ac:dyDescent="0.25">
      <c r="A193" s="3" t="s">
        <v>392</v>
      </c>
      <c r="B193" s="2">
        <v>45788</v>
      </c>
      <c r="C193" t="s">
        <v>65</v>
      </c>
      <c r="D193" s="3" t="str">
        <f t="shared" si="11"/>
        <v>Q1</v>
      </c>
      <c r="E193" s="3" t="str">
        <f t="shared" si="12"/>
        <v>FY2026</v>
      </c>
      <c r="F193" s="8" t="s">
        <v>59</v>
      </c>
      <c r="G193" s="3" t="s">
        <v>35</v>
      </c>
      <c r="H193" t="s">
        <v>60</v>
      </c>
      <c r="I193" t="s">
        <v>108</v>
      </c>
      <c r="J193" s="3" t="s">
        <v>38</v>
      </c>
      <c r="K193" t="s">
        <v>50</v>
      </c>
      <c r="L193" s="3" t="s">
        <v>40</v>
      </c>
      <c r="M193" s="3" t="s">
        <v>73</v>
      </c>
      <c r="N193" t="s">
        <v>74</v>
      </c>
      <c r="O193" t="s">
        <v>43</v>
      </c>
      <c r="P193" t="s">
        <v>75</v>
      </c>
      <c r="Q193" s="3">
        <v>49747.95</v>
      </c>
      <c r="R193" s="3">
        <v>52190.48</v>
      </c>
      <c r="S193" s="3">
        <v>29259.99</v>
      </c>
      <c r="T193" s="3">
        <v>5162.07</v>
      </c>
      <c r="U193" s="3">
        <v>3130.7</v>
      </c>
      <c r="V193" s="3">
        <v>4082.34</v>
      </c>
      <c r="W193" s="3">
        <v>931.95</v>
      </c>
      <c r="X193" s="3">
        <v>42567.05</v>
      </c>
      <c r="Y193" s="3">
        <v>20487.96</v>
      </c>
      <c r="Z193" s="3">
        <f t="shared" si="13"/>
        <v>7180.8999999999942</v>
      </c>
      <c r="AA193" s="37">
        <f t="shared" si="14"/>
        <v>0.14434564640352004</v>
      </c>
      <c r="AB193" s="3">
        <v>-2442.52</v>
      </c>
      <c r="AC193" s="3">
        <v>0</v>
      </c>
      <c r="AD193" s="3">
        <v>2487.4</v>
      </c>
      <c r="AE193" s="3">
        <v>52235.35</v>
      </c>
      <c r="AF193" t="str">
        <f>IF(tbl_FinancialData[[#This Row],[City]]="","Unknown",PROPER(TRIM(tbl_FinancialData[[#This Row],[City]])))</f>
        <v>Agra</v>
      </c>
      <c r="AG193" t="str">
        <f>_xlfn.LET(_xlpm.city,LOWER(TRIM(tbl_FinancialData[[#This Row],[City]])),_xlpm.st,PROPER(TRIM(tbl_FinancialData[[#This Row],[State]])),IF(_xlpm.city="pune","Maharashtra",IF(_xlpm.city="jamshedpur","Jharkhand",IF(_xlpm.city="bhilai","Chhattisgarh",IF(_xlpm.city="mumbai","Maharashtra",_xlpm.st)))))</f>
        <v>Uttar Pradesh</v>
      </c>
      <c r="AH193" t="str">
        <f>_xlfn.LET(_xlpm.d,PROPER(TRIM(tbl_FinancialData[[#This Row],[Department]])),IF(_xlpm.d="It","IT",_xlpm.d))</f>
        <v>Sales</v>
      </c>
      <c r="AI193" t="str">
        <f>_xlfn.LET(_xlpm.pid,tbl_FinancialData[[#This Row],[Product ID]],_xlpm.n,PROPER(TRIM(tbl_FinancialData[[#This Row],[Product Name]])),IF(_xlpm.pid="P020","Document Scanner",IF(_xlpm.pid="P015","Network Router",SUBSTITUTE(SUBSTITUTE(_xlpm.n,"Crm","CRM"),"Ups","UPS"))))</f>
        <v>Monitor</v>
      </c>
      <c r="AJ193" s="3" t="str">
        <f>UPPER(TRIM(tbl_FinancialData[[#This Row],[Cost Center]]))</f>
        <v>CC-1002</v>
      </c>
    </row>
    <row r="194" spans="1:36" x14ac:dyDescent="0.25">
      <c r="A194" s="3" t="s">
        <v>393</v>
      </c>
      <c r="B194" s="2">
        <v>45830</v>
      </c>
      <c r="C194" t="s">
        <v>156</v>
      </c>
      <c r="D194" s="3" t="str">
        <f t="shared" ref="D194:D257" si="15">"Q"&amp;INT(MOD(MONTH(B194)-4,12)/3)+1</f>
        <v>Q1</v>
      </c>
      <c r="E194" s="3" t="str">
        <f t="shared" ref="E194:E257" si="16">"FY"&amp; (YEAR(B194)+(MONTH(B194)&gt;=4))</f>
        <v>FY2026</v>
      </c>
      <c r="F194" s="8" t="s">
        <v>59</v>
      </c>
      <c r="G194" s="3" t="s">
        <v>35</v>
      </c>
      <c r="H194" t="s">
        <v>230</v>
      </c>
      <c r="I194" t="s">
        <v>231</v>
      </c>
      <c r="J194" s="3" t="s">
        <v>70</v>
      </c>
      <c r="K194" t="s">
        <v>50</v>
      </c>
      <c r="L194" s="3" t="s">
        <v>51</v>
      </c>
      <c r="M194" s="3" t="s">
        <v>171</v>
      </c>
      <c r="N194" t="s">
        <v>172</v>
      </c>
      <c r="O194" t="s">
        <v>173</v>
      </c>
      <c r="P194" t="s">
        <v>174</v>
      </c>
      <c r="Q194" s="3">
        <v>8720.69</v>
      </c>
      <c r="R194" s="3">
        <v>9309.8700000000008</v>
      </c>
      <c r="S194" s="3">
        <v>4967.7700000000004</v>
      </c>
      <c r="T194" s="3">
        <v>471.26</v>
      </c>
      <c r="U194" s="3">
        <v>573.70000000000005</v>
      </c>
      <c r="V194" s="3">
        <v>617.85</v>
      </c>
      <c r="W194" s="3">
        <v>372.98</v>
      </c>
      <c r="X194" s="3">
        <v>7003.56</v>
      </c>
      <c r="Y194" s="3">
        <v>3752.92</v>
      </c>
      <c r="Z194" s="3">
        <f t="shared" si="13"/>
        <v>1717.13</v>
      </c>
      <c r="AA194" s="37">
        <f t="shared" si="14"/>
        <v>0.19690299735456712</v>
      </c>
      <c r="AB194" s="3">
        <v>-589.17999999999995</v>
      </c>
      <c r="AC194" s="3">
        <v>436.03</v>
      </c>
      <c r="AD194" s="3">
        <v>1491.24</v>
      </c>
      <c r="AE194" s="3">
        <v>9775.89</v>
      </c>
      <c r="AF194" t="str">
        <f>IF(tbl_FinancialData[[#This Row],[City]]="","Unknown",PROPER(TRIM(tbl_FinancialData[[#This Row],[City]])))</f>
        <v>Ludhiana</v>
      </c>
      <c r="AG194" t="str">
        <f>_xlfn.LET(_xlpm.city,LOWER(TRIM(tbl_FinancialData[[#This Row],[City]])),_xlpm.st,PROPER(TRIM(tbl_FinancialData[[#This Row],[State]])),IF(_xlpm.city="pune","Maharashtra",IF(_xlpm.city="jamshedpur","Jharkhand",IF(_xlpm.city="bhilai","Chhattisgarh",IF(_xlpm.city="mumbai","Maharashtra",_xlpm.st)))))</f>
        <v>Punjab</v>
      </c>
      <c r="AH194" t="str">
        <f>_xlfn.LET(_xlpm.d,PROPER(TRIM(tbl_FinancialData[[#This Row],[Department]])),IF(_xlpm.d="It","IT",_xlpm.d))</f>
        <v>Sales</v>
      </c>
      <c r="AI194" t="str">
        <f>_xlfn.LET(_xlpm.pid,tbl_FinancialData[[#This Row],[Product ID]],_xlpm.n,PROPER(TRIM(tbl_FinancialData[[#This Row],[Product Name]])),IF(_xlpm.pid="P020","Document Scanner",IF(_xlpm.pid="P015","Network Router",SUBSTITUTE(SUBSTITUTE(_xlpm.n,"Crm","CRM"),"Ups","UPS"))))</f>
        <v>Network Switch</v>
      </c>
      <c r="AJ194" s="3" t="str">
        <f>UPPER(TRIM(tbl_FinancialData[[#This Row],[Cost Center]]))</f>
        <v>CC-1003</v>
      </c>
    </row>
    <row r="195" spans="1:36" x14ac:dyDescent="0.25">
      <c r="A195" s="3" t="s">
        <v>394</v>
      </c>
      <c r="B195" s="2">
        <v>45885</v>
      </c>
      <c r="C195" t="s">
        <v>117</v>
      </c>
      <c r="D195" s="3" t="str">
        <f t="shared" si="15"/>
        <v>Q2</v>
      </c>
      <c r="E195" s="3" t="str">
        <f t="shared" si="16"/>
        <v>FY2026</v>
      </c>
      <c r="F195" s="8" t="s">
        <v>47</v>
      </c>
      <c r="G195" s="3" t="s">
        <v>35</v>
      </c>
      <c r="H195" t="s">
        <v>214</v>
      </c>
      <c r="I195" t="s">
        <v>220</v>
      </c>
      <c r="J195" s="3" t="s">
        <v>100</v>
      </c>
      <c r="K195" t="s">
        <v>71</v>
      </c>
      <c r="L195" s="3" t="s">
        <v>94</v>
      </c>
      <c r="M195" s="3" t="s">
        <v>52</v>
      </c>
      <c r="N195" t="s">
        <v>53</v>
      </c>
      <c r="O195" t="s">
        <v>54</v>
      </c>
      <c r="P195" t="s">
        <v>55</v>
      </c>
      <c r="Q195" s="3">
        <v>1277.73</v>
      </c>
      <c r="R195" s="3">
        <v>1159.9100000000001</v>
      </c>
      <c r="S195" s="3">
        <v>842.81</v>
      </c>
      <c r="T195" s="3">
        <v>157.37</v>
      </c>
      <c r="U195" s="3">
        <v>67.989999999999995</v>
      </c>
      <c r="V195" s="3">
        <v>77.55</v>
      </c>
      <c r="W195" s="3">
        <v>32.200000000000003</v>
      </c>
      <c r="X195" s="3">
        <v>1177.93</v>
      </c>
      <c r="Y195" s="3">
        <v>434.92</v>
      </c>
      <c r="Z195" s="3">
        <f t="shared" ref="Z195:Z258" si="17">Q195-X195</f>
        <v>99.799999999999955</v>
      </c>
      <c r="AA195" s="37">
        <f t="shared" ref="AA195:AA258" si="18">Z195/Q195</f>
        <v>7.81072683587299E-2</v>
      </c>
      <c r="AB195" s="3">
        <v>117.82</v>
      </c>
      <c r="AC195" s="3">
        <v>63.89</v>
      </c>
      <c r="AD195" s="3">
        <v>60.69</v>
      </c>
      <c r="AE195" s="3">
        <v>1274.54</v>
      </c>
      <c r="AF195" t="str">
        <f>IF(tbl_FinancialData[[#This Row],[City]]="","Unknown",PROPER(TRIM(tbl_FinancialData[[#This Row],[City]])))</f>
        <v>Mysuru</v>
      </c>
      <c r="AG195" t="str">
        <f>_xlfn.LET(_xlpm.city,LOWER(TRIM(tbl_FinancialData[[#This Row],[City]])),_xlpm.st,PROPER(TRIM(tbl_FinancialData[[#This Row],[State]])),IF(_xlpm.city="pune","Maharashtra",IF(_xlpm.city="jamshedpur","Jharkhand",IF(_xlpm.city="bhilai","Chhattisgarh",IF(_xlpm.city="mumbai","Maharashtra",_xlpm.st)))))</f>
        <v>Karnataka</v>
      </c>
      <c r="AH195" t="str">
        <f>_xlfn.LET(_xlpm.d,PROPER(TRIM(tbl_FinancialData[[#This Row],[Department]])),IF(_xlpm.d="It","IT",_xlpm.d))</f>
        <v>Marketing</v>
      </c>
      <c r="AI195" t="str">
        <f>_xlfn.LET(_xlpm.pid,tbl_FinancialData[[#This Row],[Product ID]],_xlpm.n,PROPER(TRIM(tbl_FinancialData[[#This Row],[Product Name]])),IF(_xlpm.pid="P020","Document Scanner",IF(_xlpm.pid="P015","Network Router",SUBSTITUTE(SUBSTITUTE(_xlpm.n,"Crm","CRM"),"Ups","UPS"))))</f>
        <v>Mouse</v>
      </c>
      <c r="AJ195" s="3" t="str">
        <f>UPPER(TRIM(tbl_FinancialData[[#This Row],[Cost Center]]))</f>
        <v>CC-1001</v>
      </c>
    </row>
    <row r="196" spans="1:36" x14ac:dyDescent="0.25">
      <c r="A196" s="3" t="s">
        <v>395</v>
      </c>
      <c r="B196" s="2">
        <v>45995</v>
      </c>
      <c r="C196" t="s">
        <v>107</v>
      </c>
      <c r="D196" s="3" t="str">
        <f t="shared" si="15"/>
        <v>Q3</v>
      </c>
      <c r="E196" s="3" t="str">
        <f t="shared" si="16"/>
        <v>FY2026</v>
      </c>
      <c r="F196" s="8" t="s">
        <v>47</v>
      </c>
      <c r="G196" s="3" t="s">
        <v>35</v>
      </c>
      <c r="H196" t="s">
        <v>206</v>
      </c>
      <c r="I196" t="s">
        <v>344</v>
      </c>
      <c r="J196" s="3" t="s">
        <v>80</v>
      </c>
      <c r="K196" t="s">
        <v>50</v>
      </c>
      <c r="L196" s="3" t="s">
        <v>72</v>
      </c>
      <c r="M196" s="3" t="s">
        <v>189</v>
      </c>
      <c r="N196" t="s">
        <v>190</v>
      </c>
      <c r="O196" t="s">
        <v>104</v>
      </c>
      <c r="P196" t="s">
        <v>105</v>
      </c>
      <c r="Q196" s="3">
        <v>6175.63</v>
      </c>
      <c r="R196" s="3">
        <v>7060.24</v>
      </c>
      <c r="S196" s="3">
        <v>4059.2</v>
      </c>
      <c r="T196" s="3">
        <v>315.57</v>
      </c>
      <c r="U196" s="3">
        <v>254.09</v>
      </c>
      <c r="V196" s="3">
        <v>352.95</v>
      </c>
      <c r="W196" s="3">
        <v>120.29</v>
      </c>
      <c r="X196" s="3">
        <v>5102.1099999999997</v>
      </c>
      <c r="Y196" s="3">
        <v>2116.4299999999998</v>
      </c>
      <c r="Z196" s="3">
        <f t="shared" si="17"/>
        <v>1073.5200000000004</v>
      </c>
      <c r="AA196" s="37">
        <f t="shared" si="18"/>
        <v>0.17383165766083791</v>
      </c>
      <c r="AB196" s="3">
        <v>-884.6</v>
      </c>
      <c r="AC196" s="3">
        <v>123.51</v>
      </c>
      <c r="AD196" s="3">
        <v>302.61</v>
      </c>
      <c r="AE196" s="3">
        <v>6354.73</v>
      </c>
      <c r="AF196" t="str">
        <f>IF(tbl_FinancialData[[#This Row],[City]]="","Unknown",PROPER(TRIM(tbl_FinancialData[[#This Row],[City]])))</f>
        <v>Hyderabad</v>
      </c>
      <c r="AG196" t="str">
        <f>_xlfn.LET(_xlpm.city,LOWER(TRIM(tbl_FinancialData[[#This Row],[City]])),_xlpm.st,PROPER(TRIM(tbl_FinancialData[[#This Row],[State]])),IF(_xlpm.city="pune","Maharashtra",IF(_xlpm.city="jamshedpur","Jharkhand",IF(_xlpm.city="bhilai","Chhattisgarh",IF(_xlpm.city="mumbai","Maharashtra",_xlpm.st)))))</f>
        <v>Telangana</v>
      </c>
      <c r="AH196" t="str">
        <f>_xlfn.LET(_xlpm.d,PROPER(TRIM(tbl_FinancialData[[#This Row],[Department]])),IF(_xlpm.d="It","IT",_xlpm.d))</f>
        <v>Sales</v>
      </c>
      <c r="AI196" t="str">
        <f>_xlfn.LET(_xlpm.pid,tbl_FinancialData[[#This Row],[Product ID]],_xlpm.n,PROPER(TRIM(tbl_FinancialData[[#This Row],[Product Name]])),IF(_xlpm.pid="P020","Document Scanner",IF(_xlpm.pid="P015","Network Router",SUBSTITUTE(SUBSTITUTE(_xlpm.n,"Crm","CRM"),"Ups","UPS"))))</f>
        <v>CRM Software</v>
      </c>
      <c r="AJ196" s="3" t="str">
        <f>UPPER(TRIM(tbl_FinancialData[[#This Row],[Cost Center]]))</f>
        <v>CC-1004</v>
      </c>
    </row>
    <row r="197" spans="1:36" x14ac:dyDescent="0.25">
      <c r="A197" s="3" t="s">
        <v>396</v>
      </c>
      <c r="B197" s="2">
        <v>45808</v>
      </c>
      <c r="C197" t="s">
        <v>65</v>
      </c>
      <c r="D197" s="3" t="str">
        <f t="shared" si="15"/>
        <v>Q1</v>
      </c>
      <c r="E197" s="3" t="str">
        <f t="shared" si="16"/>
        <v>FY2026</v>
      </c>
      <c r="F197" s="8" t="s">
        <v>67</v>
      </c>
      <c r="G197" s="3" t="s">
        <v>35</v>
      </c>
      <c r="H197" t="s">
        <v>68</v>
      </c>
      <c r="I197" t="s">
        <v>204</v>
      </c>
      <c r="J197" s="3" t="s">
        <v>80</v>
      </c>
      <c r="K197" t="s">
        <v>39</v>
      </c>
      <c r="L197" s="3" t="s">
        <v>40</v>
      </c>
      <c r="M197" s="3" t="s">
        <v>171</v>
      </c>
      <c r="N197" t="s">
        <v>172</v>
      </c>
      <c r="O197" t="s">
        <v>173</v>
      </c>
      <c r="P197" t="s">
        <v>174</v>
      </c>
      <c r="Q197" s="3">
        <v>20911.95</v>
      </c>
      <c r="R197" s="3">
        <v>20807.080000000002</v>
      </c>
      <c r="S197" s="3">
        <v>12514.55</v>
      </c>
      <c r="T197" s="3">
        <v>1519.55</v>
      </c>
      <c r="U197" s="3">
        <v>1592.24</v>
      </c>
      <c r="V197" s="3">
        <v>1501.39</v>
      </c>
      <c r="W197" s="3">
        <v>585.04</v>
      </c>
      <c r="X197" s="3">
        <v>17712.77</v>
      </c>
      <c r="Y197" s="3">
        <v>8397.4</v>
      </c>
      <c r="Z197" s="3">
        <f t="shared" si="17"/>
        <v>3199.1800000000003</v>
      </c>
      <c r="AA197" s="37">
        <f t="shared" si="18"/>
        <v>0.15298334206040087</v>
      </c>
      <c r="AB197" s="3">
        <v>104.87</v>
      </c>
      <c r="AC197" s="3">
        <v>418.24</v>
      </c>
      <c r="AD197" s="3">
        <v>3688.87</v>
      </c>
      <c r="AE197" s="3">
        <v>24182.57</v>
      </c>
      <c r="AF197" t="str">
        <f>IF(tbl_FinancialData[[#This Row],[City]]="","Unknown",PROPER(TRIM(tbl_FinancialData[[#This Row],[City]])))</f>
        <v>Cuttack</v>
      </c>
      <c r="AG197" t="str">
        <f>_xlfn.LET(_xlpm.city,LOWER(TRIM(tbl_FinancialData[[#This Row],[City]])),_xlpm.st,PROPER(TRIM(tbl_FinancialData[[#This Row],[State]])),IF(_xlpm.city="pune","Maharashtra",IF(_xlpm.city="jamshedpur","Jharkhand",IF(_xlpm.city="bhilai","Chhattisgarh",IF(_xlpm.city="mumbai","Maharashtra",_xlpm.st)))))</f>
        <v>Odisha</v>
      </c>
      <c r="AH197" t="str">
        <f>_xlfn.LET(_xlpm.d,PROPER(TRIM(tbl_FinancialData[[#This Row],[Department]])),IF(_xlpm.d="It","IT",_xlpm.d))</f>
        <v>Operations</v>
      </c>
      <c r="AI197" t="str">
        <f>_xlfn.LET(_xlpm.pid,tbl_FinancialData[[#This Row],[Product ID]],_xlpm.n,PROPER(TRIM(tbl_FinancialData[[#This Row],[Product Name]])),IF(_xlpm.pid="P020","Document Scanner",IF(_xlpm.pid="P015","Network Router",SUBSTITUTE(SUBSTITUTE(_xlpm.n,"Crm","CRM"),"Ups","UPS"))))</f>
        <v>Network Switch</v>
      </c>
      <c r="AJ197" s="3" t="str">
        <f>UPPER(TRIM(tbl_FinancialData[[#This Row],[Cost Center]]))</f>
        <v>CC-1002</v>
      </c>
    </row>
    <row r="198" spans="1:36" x14ac:dyDescent="0.25">
      <c r="A198" s="3" t="s">
        <v>397</v>
      </c>
      <c r="B198" s="2">
        <v>46011</v>
      </c>
      <c r="C198" t="s">
        <v>107</v>
      </c>
      <c r="D198" s="3" t="str">
        <f t="shared" si="15"/>
        <v>Q3</v>
      </c>
      <c r="E198" s="3" t="str">
        <f t="shared" si="16"/>
        <v>FY2026</v>
      </c>
      <c r="F198" s="8" t="s">
        <v>59</v>
      </c>
      <c r="G198" s="3" t="s">
        <v>35</v>
      </c>
      <c r="H198" t="s">
        <v>230</v>
      </c>
      <c r="I198" t="s">
        <v>231</v>
      </c>
      <c r="J198" s="3" t="s">
        <v>80</v>
      </c>
      <c r="K198" t="s">
        <v>50</v>
      </c>
      <c r="L198" s="3" t="s">
        <v>51</v>
      </c>
      <c r="M198" s="3" t="s">
        <v>161</v>
      </c>
      <c r="N198" t="s">
        <v>162</v>
      </c>
      <c r="O198" t="s">
        <v>43</v>
      </c>
      <c r="P198" t="s">
        <v>163</v>
      </c>
      <c r="Q198" s="3">
        <v>29749.79</v>
      </c>
      <c r="R198" s="3">
        <v>34170.730000000003</v>
      </c>
      <c r="S198" s="3">
        <v>19038.41</v>
      </c>
      <c r="T198" s="3">
        <v>3361.46</v>
      </c>
      <c r="U198" s="3">
        <v>1622.33</v>
      </c>
      <c r="V198" s="3">
        <v>2689.97</v>
      </c>
      <c r="W198" s="3">
        <v>556.13</v>
      </c>
      <c r="X198" s="3">
        <v>27268.3</v>
      </c>
      <c r="Y198" s="3">
        <v>10711.38</v>
      </c>
      <c r="Z198" s="3">
        <f t="shared" si="17"/>
        <v>2481.4900000000016</v>
      </c>
      <c r="AA198" s="37">
        <f t="shared" si="18"/>
        <v>8.3412017362139421E-2</v>
      </c>
      <c r="AB198" s="3">
        <v>-4420.93</v>
      </c>
      <c r="AC198" s="3">
        <v>1487.49</v>
      </c>
      <c r="AD198" s="3">
        <v>3391.48</v>
      </c>
      <c r="AE198" s="3">
        <v>31653.78</v>
      </c>
      <c r="AF198" t="str">
        <f>IF(tbl_FinancialData[[#This Row],[City]]="","Unknown",PROPER(TRIM(tbl_FinancialData[[#This Row],[City]])))</f>
        <v>Ludhiana</v>
      </c>
      <c r="AG198" t="str">
        <f>_xlfn.LET(_xlpm.city,LOWER(TRIM(tbl_FinancialData[[#This Row],[City]])),_xlpm.st,PROPER(TRIM(tbl_FinancialData[[#This Row],[State]])),IF(_xlpm.city="pune","Maharashtra",IF(_xlpm.city="jamshedpur","Jharkhand",IF(_xlpm.city="bhilai","Chhattisgarh",IF(_xlpm.city="mumbai","Maharashtra",_xlpm.st)))))</f>
        <v>Punjab</v>
      </c>
      <c r="AH198" t="str">
        <f>_xlfn.LET(_xlpm.d,PROPER(TRIM(tbl_FinancialData[[#This Row],[Department]])),IF(_xlpm.d="It","IT",_xlpm.d))</f>
        <v>Sales</v>
      </c>
      <c r="AI198" t="str">
        <f>_xlfn.LET(_xlpm.pid,tbl_FinancialData[[#This Row],[Product ID]],_xlpm.n,PROPER(TRIM(tbl_FinancialData[[#This Row],[Product Name]])),IF(_xlpm.pid="P020","Document Scanner",IF(_xlpm.pid="P015","Network Router",SUBSTITUTE(SUBSTITUTE(_xlpm.n,"Crm","CRM"),"Ups","UPS"))))</f>
        <v>Tablet</v>
      </c>
      <c r="AJ198" s="3" t="str">
        <f>UPPER(TRIM(tbl_FinancialData[[#This Row],[Cost Center]]))</f>
        <v>CC-1003</v>
      </c>
    </row>
    <row r="199" spans="1:36" x14ac:dyDescent="0.25">
      <c r="A199" s="3" t="s">
        <v>398</v>
      </c>
      <c r="B199" s="2">
        <v>45861</v>
      </c>
      <c r="C199" t="s">
        <v>32</v>
      </c>
      <c r="D199" s="3" t="str">
        <f t="shared" si="15"/>
        <v>Q2</v>
      </c>
      <c r="E199" s="3" t="str">
        <f t="shared" si="16"/>
        <v>FY2026</v>
      </c>
      <c r="F199" s="8" t="s">
        <v>34</v>
      </c>
      <c r="G199" s="3" t="s">
        <v>35</v>
      </c>
      <c r="H199" t="s">
        <v>98</v>
      </c>
      <c r="I199" t="s">
        <v>149</v>
      </c>
      <c r="J199" s="3" t="s">
        <v>38</v>
      </c>
      <c r="K199" t="s">
        <v>101</v>
      </c>
      <c r="L199" s="3" t="s">
        <v>51</v>
      </c>
      <c r="M199" s="3" t="s">
        <v>189</v>
      </c>
      <c r="N199" t="s">
        <v>190</v>
      </c>
      <c r="O199" t="s">
        <v>104</v>
      </c>
      <c r="P199" t="s">
        <v>105</v>
      </c>
      <c r="Q199" s="3">
        <v>12539.09</v>
      </c>
      <c r="R199" s="3">
        <v>11245.72</v>
      </c>
      <c r="S199" s="3">
        <v>7496.66</v>
      </c>
      <c r="T199" s="3">
        <v>1556.96</v>
      </c>
      <c r="U199" s="3">
        <v>399.38</v>
      </c>
      <c r="V199" s="3">
        <v>1268.3900000000001</v>
      </c>
      <c r="W199" s="3">
        <v>305.18</v>
      </c>
      <c r="X199" s="3">
        <v>11026.57</v>
      </c>
      <c r="Y199" s="3">
        <v>5042.43</v>
      </c>
      <c r="Z199" s="3">
        <f t="shared" si="17"/>
        <v>1512.5200000000004</v>
      </c>
      <c r="AA199" s="37">
        <f t="shared" si="18"/>
        <v>0.12062438342814354</v>
      </c>
      <c r="AB199" s="3">
        <v>1293.3699999999999</v>
      </c>
      <c r="AC199" s="3">
        <v>626.95000000000005</v>
      </c>
      <c r="AD199" s="3">
        <v>1429.46</v>
      </c>
      <c r="AE199" s="3">
        <v>13341.59</v>
      </c>
      <c r="AF199" t="str">
        <f>IF(tbl_FinancialData[[#This Row],[City]]="","Unknown",PROPER(TRIM(tbl_FinancialData[[#This Row],[City]])))</f>
        <v>Nagpur</v>
      </c>
      <c r="AG199" t="str">
        <f>_xlfn.LET(_xlpm.city,LOWER(TRIM(tbl_FinancialData[[#This Row],[City]])),_xlpm.st,PROPER(TRIM(tbl_FinancialData[[#This Row],[State]])),IF(_xlpm.city="pune","Maharashtra",IF(_xlpm.city="jamshedpur","Jharkhand",IF(_xlpm.city="bhilai","Chhattisgarh",IF(_xlpm.city="mumbai","Maharashtra",_xlpm.st)))))</f>
        <v>Maharashtra</v>
      </c>
      <c r="AH199" t="str">
        <f>_xlfn.LET(_xlpm.d,PROPER(TRIM(tbl_FinancialData[[#This Row],[Department]])),IF(_xlpm.d="It","IT",_xlpm.d))</f>
        <v>Finance</v>
      </c>
      <c r="AI199" t="str">
        <f>_xlfn.LET(_xlpm.pid,tbl_FinancialData[[#This Row],[Product ID]],_xlpm.n,PROPER(TRIM(tbl_FinancialData[[#This Row],[Product Name]])),IF(_xlpm.pid="P020","Document Scanner",IF(_xlpm.pid="P015","Network Router",SUBSTITUTE(SUBSTITUTE(_xlpm.n,"Crm","CRM"),"Ups","UPS"))))</f>
        <v>CRM Software</v>
      </c>
      <c r="AJ199" s="3" t="str">
        <f>UPPER(TRIM(tbl_FinancialData[[#This Row],[Cost Center]]))</f>
        <v>CC-1003</v>
      </c>
    </row>
    <row r="200" spans="1:36" x14ac:dyDescent="0.25">
      <c r="A200" s="3" t="s">
        <v>399</v>
      </c>
      <c r="B200" s="2">
        <v>45785</v>
      </c>
      <c r="C200" t="s">
        <v>65</v>
      </c>
      <c r="D200" s="3" t="str">
        <f t="shared" si="15"/>
        <v>Q1</v>
      </c>
      <c r="E200" s="3" t="str">
        <f t="shared" si="16"/>
        <v>FY2026</v>
      </c>
      <c r="F200" s="8" t="s">
        <v>59</v>
      </c>
      <c r="G200" s="3" t="s">
        <v>35</v>
      </c>
      <c r="H200" t="s">
        <v>254</v>
      </c>
      <c r="I200" t="s">
        <v>314</v>
      </c>
      <c r="J200" s="3" t="s">
        <v>80</v>
      </c>
      <c r="K200" t="s">
        <v>50</v>
      </c>
      <c r="L200" s="3" t="s">
        <v>81</v>
      </c>
      <c r="M200" s="3" t="s">
        <v>120</v>
      </c>
      <c r="N200" t="s">
        <v>121</v>
      </c>
      <c r="O200" t="s">
        <v>43</v>
      </c>
      <c r="P200" t="s">
        <v>122</v>
      </c>
      <c r="Q200" s="3">
        <v>73614.31</v>
      </c>
      <c r="R200" s="3">
        <v>79911.3</v>
      </c>
      <c r="S200" s="3">
        <v>37285.919999999998</v>
      </c>
      <c r="T200" s="3">
        <v>5383.78</v>
      </c>
      <c r="U200" s="3">
        <v>3322.76</v>
      </c>
      <c r="V200" s="3">
        <v>4416.6000000000004</v>
      </c>
      <c r="W200" s="3">
        <v>2063.06</v>
      </c>
      <c r="X200" s="3">
        <v>52472.12</v>
      </c>
      <c r="Y200" s="3">
        <v>36328.39</v>
      </c>
      <c r="Z200" s="3">
        <f t="shared" si="17"/>
        <v>21142.189999999995</v>
      </c>
      <c r="AA200" s="37">
        <f t="shared" si="18"/>
        <v>0.28720217577261808</v>
      </c>
      <c r="AB200" s="3">
        <v>-6296.99</v>
      </c>
      <c r="AC200" s="3">
        <v>3680.72</v>
      </c>
      <c r="AD200" s="3">
        <v>8392.0300000000007</v>
      </c>
      <c r="AE200" s="3">
        <v>78325.62</v>
      </c>
      <c r="AF200" t="str">
        <f>IF(tbl_FinancialData[[#This Row],[City]]="","Unknown",PROPER(TRIM(tbl_FinancialData[[#This Row],[City]])))</f>
        <v>New Delhi</v>
      </c>
      <c r="AG200" t="str">
        <f>_xlfn.LET(_xlpm.city,LOWER(TRIM(tbl_FinancialData[[#This Row],[City]])),_xlpm.st,PROPER(TRIM(tbl_FinancialData[[#This Row],[State]])),IF(_xlpm.city="pune","Maharashtra",IF(_xlpm.city="jamshedpur","Jharkhand",IF(_xlpm.city="bhilai","Chhattisgarh",IF(_xlpm.city="mumbai","Maharashtra",_xlpm.st)))))</f>
        <v>Delhi</v>
      </c>
      <c r="AH200" t="str">
        <f>_xlfn.LET(_xlpm.d,PROPER(TRIM(tbl_FinancialData[[#This Row],[Department]])),IF(_xlpm.d="It","IT",_xlpm.d))</f>
        <v>Sales</v>
      </c>
      <c r="AI200" t="str">
        <f>_xlfn.LET(_xlpm.pid,tbl_FinancialData[[#This Row],[Product ID]],_xlpm.n,PROPER(TRIM(tbl_FinancialData[[#This Row],[Product Name]])),IF(_xlpm.pid="P020","Document Scanner",IF(_xlpm.pid="P015","Network Router",SUBSTITUTE(SUBSTITUTE(_xlpm.n,"Crm","CRM"),"Ups","UPS"))))</f>
        <v>Projector</v>
      </c>
      <c r="AJ200" s="3" t="str">
        <f>UPPER(TRIM(tbl_FinancialData[[#This Row],[Cost Center]]))</f>
        <v>CC-1005</v>
      </c>
    </row>
    <row r="201" spans="1:36" x14ac:dyDescent="0.25">
      <c r="A201" s="3" t="s">
        <v>400</v>
      </c>
      <c r="B201" s="2">
        <v>46066</v>
      </c>
      <c r="C201" t="s">
        <v>57</v>
      </c>
      <c r="D201" s="3" t="str">
        <f t="shared" si="15"/>
        <v>Q4</v>
      </c>
      <c r="E201" s="3" t="str">
        <f t="shared" si="16"/>
        <v>FY2026</v>
      </c>
      <c r="F201" s="8" t="s">
        <v>59</v>
      </c>
      <c r="G201" s="3" t="s">
        <v>35</v>
      </c>
      <c r="H201" t="s">
        <v>60</v>
      </c>
      <c r="I201" t="s">
        <v>61</v>
      </c>
      <c r="J201" s="3" t="s">
        <v>80</v>
      </c>
      <c r="K201" t="s">
        <v>50</v>
      </c>
      <c r="L201" s="3" t="s">
        <v>81</v>
      </c>
      <c r="M201" s="3" t="s">
        <v>211</v>
      </c>
      <c r="N201" t="s">
        <v>212</v>
      </c>
      <c r="O201" t="s">
        <v>112</v>
      </c>
      <c r="P201" t="s">
        <v>113</v>
      </c>
      <c r="Q201" s="3">
        <v>21341.59</v>
      </c>
      <c r="R201" s="3">
        <v>20518.87</v>
      </c>
      <c r="S201" s="3">
        <v>11431.16</v>
      </c>
      <c r="T201" s="3">
        <v>1611.05</v>
      </c>
      <c r="U201" s="3">
        <v>1786.96</v>
      </c>
      <c r="V201" s="3">
        <v>986.22</v>
      </c>
      <c r="W201" s="3">
        <v>832.55</v>
      </c>
      <c r="X201" s="3">
        <v>16647.93</v>
      </c>
      <c r="Y201" s="3">
        <v>9910.44</v>
      </c>
      <c r="Z201" s="3">
        <f t="shared" si="17"/>
        <v>4693.66</v>
      </c>
      <c r="AA201" s="37">
        <f t="shared" si="18"/>
        <v>0.21993019264262878</v>
      </c>
      <c r="AB201" s="3">
        <v>822.73</v>
      </c>
      <c r="AC201" s="3">
        <v>640.25</v>
      </c>
      <c r="AD201" s="3">
        <v>2484.16</v>
      </c>
      <c r="AE201" s="3">
        <v>23185.51</v>
      </c>
      <c r="AF201" t="str">
        <f>IF(tbl_FinancialData[[#This Row],[City]]="","Unknown",PROPER(TRIM(tbl_FinancialData[[#This Row],[City]])))</f>
        <v>Lucknow</v>
      </c>
      <c r="AG201" t="str">
        <f>_xlfn.LET(_xlpm.city,LOWER(TRIM(tbl_FinancialData[[#This Row],[City]])),_xlpm.st,PROPER(TRIM(tbl_FinancialData[[#This Row],[State]])),IF(_xlpm.city="pune","Maharashtra",IF(_xlpm.city="jamshedpur","Jharkhand",IF(_xlpm.city="bhilai","Chhattisgarh",IF(_xlpm.city="mumbai","Maharashtra",_xlpm.st)))))</f>
        <v>Uttar Pradesh</v>
      </c>
      <c r="AH201" t="str">
        <f>_xlfn.LET(_xlpm.d,PROPER(TRIM(tbl_FinancialData[[#This Row],[Department]])),IF(_xlpm.d="It","IT",_xlpm.d))</f>
        <v>Sales</v>
      </c>
      <c r="AI201" t="str">
        <f>_xlfn.LET(_xlpm.pid,tbl_FinancialData[[#This Row],[Product ID]],_xlpm.n,PROPER(TRIM(tbl_FinancialData[[#This Row],[Product Name]])),IF(_xlpm.pid="P020","Document Scanner",IF(_xlpm.pid="P015","Network Router",SUBSTITUTE(SUBSTITUTE(_xlpm.n,"Crm","CRM"),"Ups","UPS"))))</f>
        <v>Office Chair</v>
      </c>
      <c r="AJ201" s="3" t="str">
        <f>UPPER(TRIM(tbl_FinancialData[[#This Row],[Cost Center]]))</f>
        <v>CC-1005</v>
      </c>
    </row>
    <row r="202" spans="1:36" x14ac:dyDescent="0.25">
      <c r="A202" s="3" t="s">
        <v>401</v>
      </c>
      <c r="B202" s="2">
        <v>46008</v>
      </c>
      <c r="C202" t="s">
        <v>107</v>
      </c>
      <c r="D202" s="3" t="str">
        <f t="shared" si="15"/>
        <v>Q3</v>
      </c>
      <c r="E202" s="3" t="str">
        <f t="shared" si="16"/>
        <v>FY2026</v>
      </c>
      <c r="F202" s="8" t="s">
        <v>34</v>
      </c>
      <c r="G202" s="3" t="s">
        <v>35</v>
      </c>
      <c r="H202" t="s">
        <v>98</v>
      </c>
      <c r="I202" t="s">
        <v>149</v>
      </c>
      <c r="J202" s="3" t="s">
        <v>38</v>
      </c>
      <c r="K202" t="s">
        <v>71</v>
      </c>
      <c r="L202" s="3" t="s">
        <v>94</v>
      </c>
      <c r="M202" s="3" t="s">
        <v>62</v>
      </c>
      <c r="N202" t="s">
        <v>63</v>
      </c>
      <c r="O202" t="s">
        <v>54</v>
      </c>
      <c r="P202" t="s">
        <v>55</v>
      </c>
      <c r="Q202" s="3">
        <v>2828.74</v>
      </c>
      <c r="R202" s="3">
        <v>2641.41</v>
      </c>
      <c r="S202" s="3">
        <v>1828.92</v>
      </c>
      <c r="T202" s="3">
        <v>193.39</v>
      </c>
      <c r="U202" s="3">
        <v>92.33</v>
      </c>
      <c r="V202" s="3">
        <v>150.55000000000001</v>
      </c>
      <c r="W202" s="3">
        <v>28.48</v>
      </c>
      <c r="X202" s="3">
        <v>2293.6799999999998</v>
      </c>
      <c r="Y202" s="3">
        <v>999.82</v>
      </c>
      <c r="Z202" s="3">
        <f t="shared" si="17"/>
        <v>535.05999999999995</v>
      </c>
      <c r="AA202" s="37">
        <f t="shared" si="18"/>
        <v>0.18915135360619922</v>
      </c>
      <c r="AB202" s="3">
        <v>187.33</v>
      </c>
      <c r="AC202" s="3">
        <v>141.44</v>
      </c>
      <c r="AD202" s="3">
        <v>483.71</v>
      </c>
      <c r="AE202" s="3">
        <v>3171.02</v>
      </c>
      <c r="AF202" t="str">
        <f>IF(tbl_FinancialData[[#This Row],[City]]="","Unknown",PROPER(TRIM(tbl_FinancialData[[#This Row],[City]])))</f>
        <v>Nagpur</v>
      </c>
      <c r="AG202" t="str">
        <f>_xlfn.LET(_xlpm.city,LOWER(TRIM(tbl_FinancialData[[#This Row],[City]])),_xlpm.st,PROPER(TRIM(tbl_FinancialData[[#This Row],[State]])),IF(_xlpm.city="pune","Maharashtra",IF(_xlpm.city="jamshedpur","Jharkhand",IF(_xlpm.city="bhilai","Chhattisgarh",IF(_xlpm.city="mumbai","Maharashtra",_xlpm.st)))))</f>
        <v>Maharashtra</v>
      </c>
      <c r="AH202" t="str">
        <f>_xlfn.LET(_xlpm.d,PROPER(TRIM(tbl_FinancialData[[#This Row],[Department]])),IF(_xlpm.d="It","IT",_xlpm.d))</f>
        <v>Marketing</v>
      </c>
      <c r="AI202" t="str">
        <f>_xlfn.LET(_xlpm.pid,tbl_FinancialData[[#This Row],[Product ID]],_xlpm.n,PROPER(TRIM(tbl_FinancialData[[#This Row],[Product Name]])),IF(_xlpm.pid="P020","Document Scanner",IF(_xlpm.pid="P015","Network Router",SUBSTITUTE(SUBSTITUTE(_xlpm.n,"Crm","CRM"),"Ups","UPS"))))</f>
        <v>Keyboard</v>
      </c>
      <c r="AJ202" s="3" t="str">
        <f>UPPER(TRIM(tbl_FinancialData[[#This Row],[Cost Center]]))</f>
        <v>CC-1001</v>
      </c>
    </row>
    <row r="203" spans="1:36" x14ac:dyDescent="0.25">
      <c r="A203" s="3" t="s">
        <v>402</v>
      </c>
      <c r="B203" s="2">
        <v>45765</v>
      </c>
      <c r="C203" t="s">
        <v>128</v>
      </c>
      <c r="D203" s="3" t="str">
        <f t="shared" si="15"/>
        <v>Q1</v>
      </c>
      <c r="E203" s="3" t="str">
        <f t="shared" si="16"/>
        <v>FY2026</v>
      </c>
      <c r="F203" s="8" t="s">
        <v>47</v>
      </c>
      <c r="G203" s="3" t="s">
        <v>35</v>
      </c>
      <c r="H203" t="s">
        <v>48</v>
      </c>
      <c r="I203" t="s">
        <v>49</v>
      </c>
      <c r="J203" s="3" t="s">
        <v>100</v>
      </c>
      <c r="K203" t="s">
        <v>50</v>
      </c>
      <c r="L203" s="3" t="s">
        <v>51</v>
      </c>
      <c r="M203" s="3" t="s">
        <v>52</v>
      </c>
      <c r="N203" t="s">
        <v>53</v>
      </c>
      <c r="O203" t="s">
        <v>54</v>
      </c>
      <c r="P203" t="s">
        <v>55</v>
      </c>
      <c r="Q203" s="3">
        <v>6646.51</v>
      </c>
      <c r="R203" s="3">
        <v>7114.37</v>
      </c>
      <c r="S203" s="3">
        <v>4118.9399999999996</v>
      </c>
      <c r="T203" s="3">
        <v>395.29</v>
      </c>
      <c r="U203" s="3">
        <v>257.70999999999998</v>
      </c>
      <c r="V203" s="3">
        <v>431.23</v>
      </c>
      <c r="W203" s="3">
        <v>105.3</v>
      </c>
      <c r="X203" s="3">
        <v>5308.46</v>
      </c>
      <c r="Y203" s="3">
        <v>2527.5700000000002</v>
      </c>
      <c r="Z203" s="3">
        <f t="shared" si="17"/>
        <v>1338.0500000000002</v>
      </c>
      <c r="AA203" s="37">
        <f t="shared" si="18"/>
        <v>0.2013161794686234</v>
      </c>
      <c r="AB203" s="3">
        <v>-467.86</v>
      </c>
      <c r="AC203" s="3">
        <v>132.93</v>
      </c>
      <c r="AD203" s="3">
        <v>781.63</v>
      </c>
      <c r="AE203" s="3">
        <v>7295.21</v>
      </c>
      <c r="AF203" t="str">
        <f>IF(tbl_FinancialData[[#This Row],[City]]="","Unknown",PROPER(TRIM(tbl_FinancialData[[#This Row],[City]])))</f>
        <v>Chennai</v>
      </c>
      <c r="AG203" t="str">
        <f>_xlfn.LET(_xlpm.city,LOWER(TRIM(tbl_FinancialData[[#This Row],[City]])),_xlpm.st,PROPER(TRIM(tbl_FinancialData[[#This Row],[State]])),IF(_xlpm.city="pune","Maharashtra",IF(_xlpm.city="jamshedpur","Jharkhand",IF(_xlpm.city="bhilai","Chhattisgarh",IF(_xlpm.city="mumbai","Maharashtra",_xlpm.st)))))</f>
        <v>Tamil Nadu</v>
      </c>
      <c r="AH203" t="str">
        <f>_xlfn.LET(_xlpm.d,PROPER(TRIM(tbl_FinancialData[[#This Row],[Department]])),IF(_xlpm.d="It","IT",_xlpm.d))</f>
        <v>Sales</v>
      </c>
      <c r="AI203" t="str">
        <f>_xlfn.LET(_xlpm.pid,tbl_FinancialData[[#This Row],[Product ID]],_xlpm.n,PROPER(TRIM(tbl_FinancialData[[#This Row],[Product Name]])),IF(_xlpm.pid="P020","Document Scanner",IF(_xlpm.pid="P015","Network Router",SUBSTITUTE(SUBSTITUTE(_xlpm.n,"Crm","CRM"),"Ups","UPS"))))</f>
        <v>Mouse</v>
      </c>
      <c r="AJ203" s="3" t="str">
        <f>UPPER(TRIM(tbl_FinancialData[[#This Row],[Cost Center]]))</f>
        <v>CC-1003</v>
      </c>
    </row>
    <row r="204" spans="1:36" x14ac:dyDescent="0.25">
      <c r="A204" s="3" t="s">
        <v>403</v>
      </c>
      <c r="B204" s="2">
        <v>45865</v>
      </c>
      <c r="C204" t="s">
        <v>32</v>
      </c>
      <c r="D204" s="3" t="str">
        <f t="shared" si="15"/>
        <v>Q2</v>
      </c>
      <c r="E204" s="3" t="str">
        <f t="shared" si="16"/>
        <v>FY2026</v>
      </c>
      <c r="F204" s="8" t="s">
        <v>47</v>
      </c>
      <c r="G204" s="3" t="s">
        <v>35</v>
      </c>
      <c r="H204" t="s">
        <v>78</v>
      </c>
      <c r="I204" t="s">
        <v>183</v>
      </c>
      <c r="J204" s="3" t="s">
        <v>80</v>
      </c>
      <c r="K204" t="s">
        <v>101</v>
      </c>
      <c r="L204" s="3" t="s">
        <v>94</v>
      </c>
      <c r="M204" s="3" t="s">
        <v>82</v>
      </c>
      <c r="N204" t="s">
        <v>83</v>
      </c>
      <c r="O204" t="s">
        <v>43</v>
      </c>
      <c r="P204" t="s">
        <v>75</v>
      </c>
      <c r="Q204" s="3">
        <v>50711.35</v>
      </c>
      <c r="R204" s="3">
        <v>55308.02</v>
      </c>
      <c r="S204" s="3">
        <v>26431.09</v>
      </c>
      <c r="T204" s="3">
        <v>4564.4799999999996</v>
      </c>
      <c r="U204" s="3">
        <v>2625.7</v>
      </c>
      <c r="V204" s="3">
        <v>5560.1</v>
      </c>
      <c r="W204" s="3">
        <v>1627.82</v>
      </c>
      <c r="X204" s="3">
        <v>40809.18</v>
      </c>
      <c r="Y204" s="3">
        <v>24280.26</v>
      </c>
      <c r="Z204" s="3">
        <f t="shared" si="17"/>
        <v>9902.1699999999983</v>
      </c>
      <c r="AA204" s="37">
        <f t="shared" si="18"/>
        <v>0.19526535972716164</v>
      </c>
      <c r="AB204" s="3">
        <v>-4596.67</v>
      </c>
      <c r="AC204" s="3">
        <v>2535.5700000000002</v>
      </c>
      <c r="AD204" s="3">
        <v>2408.79</v>
      </c>
      <c r="AE204" s="3">
        <v>50584.57</v>
      </c>
      <c r="AF204" t="str">
        <f>IF(tbl_FinancialData[[#This Row],[City]]="","Unknown",PROPER(TRIM(tbl_FinancialData[[#This Row],[City]])))</f>
        <v>Kozhikode</v>
      </c>
      <c r="AG204" t="str">
        <f>_xlfn.LET(_xlpm.city,LOWER(TRIM(tbl_FinancialData[[#This Row],[City]])),_xlpm.st,PROPER(TRIM(tbl_FinancialData[[#This Row],[State]])),IF(_xlpm.city="pune","Maharashtra",IF(_xlpm.city="jamshedpur","Jharkhand",IF(_xlpm.city="bhilai","Chhattisgarh",IF(_xlpm.city="mumbai","Maharashtra",_xlpm.st)))))</f>
        <v>Kerala</v>
      </c>
      <c r="AH204" t="str">
        <f>_xlfn.LET(_xlpm.d,PROPER(TRIM(tbl_FinancialData[[#This Row],[Department]])),IF(_xlpm.d="It","IT",_xlpm.d))</f>
        <v>Finance</v>
      </c>
      <c r="AI204" t="str">
        <f>_xlfn.LET(_xlpm.pid,tbl_FinancialData[[#This Row],[Product ID]],_xlpm.n,PROPER(TRIM(tbl_FinancialData[[#This Row],[Product Name]])),IF(_xlpm.pid="P020","Document Scanner",IF(_xlpm.pid="P015","Network Router",SUBSTITUTE(SUBSTITUTE(_xlpm.n,"Crm","CRM"),"Ups","UPS"))))</f>
        <v>Business Laptop</v>
      </c>
      <c r="AJ204" s="3" t="str">
        <f>UPPER(TRIM(tbl_FinancialData[[#This Row],[Cost Center]]))</f>
        <v>CC-1001</v>
      </c>
    </row>
    <row r="205" spans="1:36" x14ac:dyDescent="0.25">
      <c r="A205" s="3" t="s">
        <v>404</v>
      </c>
      <c r="B205" s="2">
        <v>45992</v>
      </c>
      <c r="C205" t="s">
        <v>107</v>
      </c>
      <c r="D205" s="3" t="str">
        <f t="shared" si="15"/>
        <v>Q3</v>
      </c>
      <c r="E205" s="3" t="str">
        <f t="shared" si="16"/>
        <v>FY2026</v>
      </c>
      <c r="F205" s="8" t="s">
        <v>59</v>
      </c>
      <c r="G205" s="3" t="s">
        <v>35</v>
      </c>
      <c r="H205" t="s">
        <v>254</v>
      </c>
      <c r="I205" t="s">
        <v>255</v>
      </c>
      <c r="J205" s="3" t="s">
        <v>38</v>
      </c>
      <c r="K205" t="s">
        <v>160</v>
      </c>
      <c r="L205" s="3" t="s">
        <v>94</v>
      </c>
      <c r="M205" s="3" t="s">
        <v>161</v>
      </c>
      <c r="N205" t="s">
        <v>162</v>
      </c>
      <c r="O205" t="s">
        <v>43</v>
      </c>
      <c r="P205" t="s">
        <v>163</v>
      </c>
      <c r="Q205" s="3">
        <v>28253.27</v>
      </c>
      <c r="R205" s="3">
        <v>30617.200000000001</v>
      </c>
      <c r="S205" s="3">
        <v>18803.03</v>
      </c>
      <c r="T205" s="3">
        <v>3563.17</v>
      </c>
      <c r="U205" s="3">
        <v>2132.33</v>
      </c>
      <c r="V205" s="3">
        <v>2511.91</v>
      </c>
      <c r="W205" s="3">
        <v>1130.29</v>
      </c>
      <c r="X205" s="3">
        <v>28140.73</v>
      </c>
      <c r="Y205" s="3">
        <v>9450.24</v>
      </c>
      <c r="Z205" s="3">
        <f t="shared" si="17"/>
        <v>112.54000000000087</v>
      </c>
      <c r="AA205" s="37">
        <f t="shared" si="18"/>
        <v>3.983255743494501E-3</v>
      </c>
      <c r="AB205" s="3">
        <v>-2363.9299999999998</v>
      </c>
      <c r="AC205" s="3">
        <v>1412.66</v>
      </c>
      <c r="AD205" s="3">
        <v>3220.87</v>
      </c>
      <c r="AE205" s="3">
        <v>30061.48</v>
      </c>
      <c r="AF205" t="str">
        <f>IF(tbl_FinancialData[[#This Row],[City]]="","Unknown",PROPER(TRIM(tbl_FinancialData[[#This Row],[City]])))</f>
        <v>Noida</v>
      </c>
      <c r="AG205" t="str">
        <f>_xlfn.LET(_xlpm.city,LOWER(TRIM(tbl_FinancialData[[#This Row],[City]])),_xlpm.st,PROPER(TRIM(tbl_FinancialData[[#This Row],[State]])),IF(_xlpm.city="pune","Maharashtra",IF(_xlpm.city="jamshedpur","Jharkhand",IF(_xlpm.city="bhilai","Chhattisgarh",IF(_xlpm.city="mumbai","Maharashtra",_xlpm.st)))))</f>
        <v>Delhi</v>
      </c>
      <c r="AH205" t="str">
        <f>_xlfn.LET(_xlpm.d,PROPER(TRIM(tbl_FinancialData[[#This Row],[Department]])),IF(_xlpm.d="It","IT",_xlpm.d))</f>
        <v>IT</v>
      </c>
      <c r="AI205" t="str">
        <f>_xlfn.LET(_xlpm.pid,tbl_FinancialData[[#This Row],[Product ID]],_xlpm.n,PROPER(TRIM(tbl_FinancialData[[#This Row],[Product Name]])),IF(_xlpm.pid="P020","Document Scanner",IF(_xlpm.pid="P015","Network Router",SUBSTITUTE(SUBSTITUTE(_xlpm.n,"Crm","CRM"),"Ups","UPS"))))</f>
        <v>Tablet</v>
      </c>
      <c r="AJ205" s="3" t="str">
        <f>UPPER(TRIM(tbl_FinancialData[[#This Row],[Cost Center]]))</f>
        <v>CC-1001</v>
      </c>
    </row>
    <row r="206" spans="1:36" x14ac:dyDescent="0.25">
      <c r="A206" s="3" t="s">
        <v>405</v>
      </c>
      <c r="B206" s="2">
        <v>45776</v>
      </c>
      <c r="C206" t="s">
        <v>128</v>
      </c>
      <c r="D206" s="3" t="str">
        <f t="shared" si="15"/>
        <v>Q1</v>
      </c>
      <c r="E206" s="3" t="str">
        <f t="shared" si="16"/>
        <v>FY2026</v>
      </c>
      <c r="F206" s="8" t="s">
        <v>34</v>
      </c>
      <c r="G206" s="3" t="s">
        <v>35</v>
      </c>
      <c r="H206" t="s">
        <v>134</v>
      </c>
      <c r="I206" t="s">
        <v>135</v>
      </c>
      <c r="J206" s="3" t="s">
        <v>38</v>
      </c>
      <c r="K206" t="s">
        <v>160</v>
      </c>
      <c r="L206" s="3" t="s">
        <v>72</v>
      </c>
      <c r="M206" s="3" t="s">
        <v>62</v>
      </c>
      <c r="N206" t="s">
        <v>63</v>
      </c>
      <c r="O206" t="s">
        <v>54</v>
      </c>
      <c r="P206" t="s">
        <v>55</v>
      </c>
      <c r="Q206" s="3">
        <v>6731.64</v>
      </c>
      <c r="R206" s="3">
        <v>7582.63</v>
      </c>
      <c r="S206" s="3">
        <v>4593.66</v>
      </c>
      <c r="T206" s="3">
        <v>597.82000000000005</v>
      </c>
      <c r="U206" s="3">
        <v>314.27</v>
      </c>
      <c r="V206" s="3">
        <v>695.54</v>
      </c>
      <c r="W206" s="3">
        <v>173.64</v>
      </c>
      <c r="X206" s="3">
        <v>6374.94</v>
      </c>
      <c r="Y206" s="3">
        <v>2137.98</v>
      </c>
      <c r="Z206" s="3">
        <f t="shared" si="17"/>
        <v>356.70000000000073</v>
      </c>
      <c r="AA206" s="37">
        <f t="shared" si="18"/>
        <v>5.2988573363994616E-2</v>
      </c>
      <c r="AB206" s="3">
        <v>-850.99</v>
      </c>
      <c r="AC206" s="3">
        <v>134.63</v>
      </c>
      <c r="AD206" s="3">
        <v>1187.46</v>
      </c>
      <c r="AE206" s="3">
        <v>7784.46</v>
      </c>
      <c r="AF206" t="str">
        <f>IF(tbl_FinancialData[[#This Row],[City]]="","Unknown",PROPER(TRIM(tbl_FinancialData[[#This Row],[City]])))</f>
        <v>Jodhpur</v>
      </c>
      <c r="AG206" t="str">
        <f>_xlfn.LET(_xlpm.city,LOWER(TRIM(tbl_FinancialData[[#This Row],[City]])),_xlpm.st,PROPER(TRIM(tbl_FinancialData[[#This Row],[State]])),IF(_xlpm.city="pune","Maharashtra",IF(_xlpm.city="jamshedpur","Jharkhand",IF(_xlpm.city="bhilai","Chhattisgarh",IF(_xlpm.city="mumbai","Maharashtra",_xlpm.st)))))</f>
        <v>Rajasthan</v>
      </c>
      <c r="AH206" t="str">
        <f>_xlfn.LET(_xlpm.d,PROPER(TRIM(tbl_FinancialData[[#This Row],[Department]])),IF(_xlpm.d="It","IT",_xlpm.d))</f>
        <v>IT</v>
      </c>
      <c r="AI206" t="str">
        <f>_xlfn.LET(_xlpm.pid,tbl_FinancialData[[#This Row],[Product ID]],_xlpm.n,PROPER(TRIM(tbl_FinancialData[[#This Row],[Product Name]])),IF(_xlpm.pid="P020","Document Scanner",IF(_xlpm.pid="P015","Network Router",SUBSTITUTE(SUBSTITUTE(_xlpm.n,"Crm","CRM"),"Ups","UPS"))))</f>
        <v>Keyboard</v>
      </c>
      <c r="AJ206" s="3" t="str">
        <f>UPPER(TRIM(tbl_FinancialData[[#This Row],[Cost Center]]))</f>
        <v>CC-1004</v>
      </c>
    </row>
    <row r="207" spans="1:36" x14ac:dyDescent="0.25">
      <c r="A207" s="3" t="s">
        <v>406</v>
      </c>
      <c r="B207" s="2">
        <v>46018</v>
      </c>
      <c r="C207" t="s">
        <v>107</v>
      </c>
      <c r="D207" s="3" t="str">
        <f t="shared" si="15"/>
        <v>Q3</v>
      </c>
      <c r="E207" s="3" t="str">
        <f t="shared" si="16"/>
        <v>FY2026</v>
      </c>
      <c r="F207" s="8" t="s">
        <v>67</v>
      </c>
      <c r="G207" s="3" t="s">
        <v>35</v>
      </c>
      <c r="H207" t="s">
        <v>168</v>
      </c>
      <c r="J207" s="3" t="s">
        <v>100</v>
      </c>
      <c r="K207" t="s">
        <v>39</v>
      </c>
      <c r="L207" s="3" t="s">
        <v>40</v>
      </c>
      <c r="M207" s="3" t="s">
        <v>41</v>
      </c>
      <c r="N207" t="s">
        <v>42</v>
      </c>
      <c r="O207" t="s">
        <v>43</v>
      </c>
      <c r="P207" t="s">
        <v>44</v>
      </c>
      <c r="Q207" s="3">
        <v>27294.21</v>
      </c>
      <c r="R207" s="3">
        <v>24362.7</v>
      </c>
      <c r="S207" s="3">
        <v>16240.67</v>
      </c>
      <c r="T207" s="3">
        <v>1761.51</v>
      </c>
      <c r="U207" s="3">
        <v>2000.67</v>
      </c>
      <c r="V207" s="3">
        <v>2943.25</v>
      </c>
      <c r="W207" s="3">
        <v>794.14</v>
      </c>
      <c r="X207" s="3">
        <v>23740.240000000002</v>
      </c>
      <c r="Y207" s="3">
        <v>11053.54</v>
      </c>
      <c r="Z207" s="3">
        <f t="shared" si="17"/>
        <v>3553.9699999999975</v>
      </c>
      <c r="AA207" s="37">
        <f t="shared" si="18"/>
        <v>0.13020966717849675</v>
      </c>
      <c r="AB207" s="3">
        <v>2931.52</v>
      </c>
      <c r="AC207" s="3">
        <v>2729.42</v>
      </c>
      <c r="AD207" s="3">
        <v>2947.78</v>
      </c>
      <c r="AE207" s="3">
        <v>27512.57</v>
      </c>
      <c r="AF207" t="str">
        <f>IF(tbl_FinancialData[[#This Row],[City]]="","Unknown",PROPER(TRIM(tbl_FinancialData[[#This Row],[City]])))</f>
        <v>Unknown</v>
      </c>
      <c r="AG207" t="str">
        <f>_xlfn.LET(_xlpm.city,LOWER(TRIM(tbl_FinancialData[[#This Row],[City]])),_xlpm.st,PROPER(TRIM(tbl_FinancialData[[#This Row],[State]])),IF(_xlpm.city="pune","Maharashtra",IF(_xlpm.city="jamshedpur","Jharkhand",IF(_xlpm.city="bhilai","Chhattisgarh",IF(_xlpm.city="mumbai","Maharashtra",_xlpm.st)))))</f>
        <v>West Bengal</v>
      </c>
      <c r="AH207" t="str">
        <f>_xlfn.LET(_xlpm.d,PROPER(TRIM(tbl_FinancialData[[#This Row],[Department]])),IF(_xlpm.d="It","IT",_xlpm.d))</f>
        <v>Operations</v>
      </c>
      <c r="AI207" t="str">
        <f>_xlfn.LET(_xlpm.pid,tbl_FinancialData[[#This Row],[Product ID]],_xlpm.n,PROPER(TRIM(tbl_FinancialData[[#This Row],[Product Name]])),IF(_xlpm.pid="P020","Document Scanner",IF(_xlpm.pid="P015","Network Router",SUBSTITUTE(SUBSTITUTE(_xlpm.n,"Crm","CRM"),"Ups","UPS"))))</f>
        <v>Conference Camera</v>
      </c>
      <c r="AJ207" s="3" t="str">
        <f>UPPER(TRIM(tbl_FinancialData[[#This Row],[Cost Center]]))</f>
        <v>CC-1002</v>
      </c>
    </row>
    <row r="208" spans="1:36" x14ac:dyDescent="0.25">
      <c r="A208" s="3" t="s">
        <v>407</v>
      </c>
      <c r="B208" s="2">
        <v>46080</v>
      </c>
      <c r="C208" t="s">
        <v>57</v>
      </c>
      <c r="D208" s="3" t="str">
        <f t="shared" si="15"/>
        <v>Q4</v>
      </c>
      <c r="E208" s="3" t="str">
        <f t="shared" si="16"/>
        <v>FY2026</v>
      </c>
      <c r="F208" s="8" t="s">
        <v>34</v>
      </c>
      <c r="G208" s="3" t="s">
        <v>35</v>
      </c>
      <c r="H208" t="s">
        <v>36</v>
      </c>
      <c r="I208" t="s">
        <v>145</v>
      </c>
      <c r="J208" s="3" t="s">
        <v>70</v>
      </c>
      <c r="K208" t="s">
        <v>50</v>
      </c>
      <c r="L208" s="3" t="s">
        <v>51</v>
      </c>
      <c r="M208" s="3" t="s">
        <v>41</v>
      </c>
      <c r="N208" t="s">
        <v>42</v>
      </c>
      <c r="O208" t="s">
        <v>43</v>
      </c>
      <c r="P208" t="s">
        <v>44</v>
      </c>
      <c r="Q208" s="3">
        <v>25282.94</v>
      </c>
      <c r="R208" s="3">
        <v>26863.7</v>
      </c>
      <c r="S208" s="3">
        <v>16423.599999999999</v>
      </c>
      <c r="T208" s="3">
        <v>2021.58</v>
      </c>
      <c r="U208" s="3">
        <v>1239.28</v>
      </c>
      <c r="V208" s="3">
        <v>1102.98</v>
      </c>
      <c r="W208" s="3">
        <v>562.5</v>
      </c>
      <c r="X208" s="3">
        <v>21349.94</v>
      </c>
      <c r="Y208" s="3">
        <v>8859.34</v>
      </c>
      <c r="Z208" s="3">
        <f t="shared" si="17"/>
        <v>3933</v>
      </c>
      <c r="AA208" s="37">
        <f t="shared" si="18"/>
        <v>0.15555944047646358</v>
      </c>
      <c r="AB208" s="3">
        <v>-1580.76</v>
      </c>
      <c r="AC208" s="3">
        <v>2022.64</v>
      </c>
      <c r="AD208" s="3">
        <v>2791.24</v>
      </c>
      <c r="AE208" s="3">
        <v>26051.54</v>
      </c>
      <c r="AF208" t="str">
        <f>IF(tbl_FinancialData[[#This Row],[City]]="","Unknown",PROPER(TRIM(tbl_FinancialData[[#This Row],[City]])))</f>
        <v>Panaji</v>
      </c>
      <c r="AG208" t="str">
        <f>_xlfn.LET(_xlpm.city,LOWER(TRIM(tbl_FinancialData[[#This Row],[City]])),_xlpm.st,PROPER(TRIM(tbl_FinancialData[[#This Row],[State]])),IF(_xlpm.city="pune","Maharashtra",IF(_xlpm.city="jamshedpur","Jharkhand",IF(_xlpm.city="bhilai","Chhattisgarh",IF(_xlpm.city="mumbai","Maharashtra",_xlpm.st)))))</f>
        <v>Goa</v>
      </c>
      <c r="AH208" t="str">
        <f>_xlfn.LET(_xlpm.d,PROPER(TRIM(tbl_FinancialData[[#This Row],[Department]])),IF(_xlpm.d="It","IT",_xlpm.d))</f>
        <v>Sales</v>
      </c>
      <c r="AI208" t="str">
        <f>_xlfn.LET(_xlpm.pid,tbl_FinancialData[[#This Row],[Product ID]],_xlpm.n,PROPER(TRIM(tbl_FinancialData[[#This Row],[Product Name]])),IF(_xlpm.pid="P020","Document Scanner",IF(_xlpm.pid="P015","Network Router",SUBSTITUTE(SUBSTITUTE(_xlpm.n,"Crm","CRM"),"Ups","UPS"))))</f>
        <v>Conference Camera</v>
      </c>
      <c r="AJ208" s="3" t="str">
        <f>UPPER(TRIM(tbl_FinancialData[[#This Row],[Cost Center]]))</f>
        <v>CC-1003</v>
      </c>
    </row>
    <row r="209" spans="1:36" x14ac:dyDescent="0.25">
      <c r="A209" s="3" t="s">
        <v>408</v>
      </c>
      <c r="B209" s="2">
        <v>45809</v>
      </c>
      <c r="C209" t="s">
        <v>156</v>
      </c>
      <c r="D209" s="3" t="str">
        <f t="shared" si="15"/>
        <v>Q1</v>
      </c>
      <c r="E209" s="3" t="str">
        <f t="shared" si="16"/>
        <v>FY2026</v>
      </c>
      <c r="F209" s="8" t="s">
        <v>34</v>
      </c>
      <c r="G209" s="3" t="s">
        <v>35</v>
      </c>
      <c r="H209" t="s">
        <v>98</v>
      </c>
      <c r="I209" t="s">
        <v>149</v>
      </c>
      <c r="J209" s="3" t="s">
        <v>38</v>
      </c>
      <c r="K209" t="s">
        <v>50</v>
      </c>
      <c r="L209" s="3" t="s">
        <v>94</v>
      </c>
      <c r="M209" s="3" t="s">
        <v>211</v>
      </c>
      <c r="N209" t="s">
        <v>212</v>
      </c>
      <c r="O209" t="s">
        <v>112</v>
      </c>
      <c r="P209" t="s">
        <v>113</v>
      </c>
      <c r="Q209" s="3">
        <v>27355.34</v>
      </c>
      <c r="R209" s="3">
        <v>30489.93</v>
      </c>
      <c r="S209" s="3">
        <v>18065.990000000002</v>
      </c>
      <c r="T209" s="3">
        <v>3125.08</v>
      </c>
      <c r="U209" s="3">
        <v>1604.95</v>
      </c>
      <c r="V209" s="3">
        <v>1401.3</v>
      </c>
      <c r="W209" s="3">
        <v>916.14</v>
      </c>
      <c r="X209" s="3">
        <v>25113.47</v>
      </c>
      <c r="Y209" s="3">
        <v>9289.35</v>
      </c>
      <c r="Z209" s="3">
        <f t="shared" si="17"/>
        <v>2241.869999999999</v>
      </c>
      <c r="AA209" s="37">
        <f t="shared" si="18"/>
        <v>8.1953651462566321E-2</v>
      </c>
      <c r="AB209" s="3">
        <v>-3134.59</v>
      </c>
      <c r="AC209" s="3">
        <v>1367.77</v>
      </c>
      <c r="AD209" s="3">
        <v>4677.76</v>
      </c>
      <c r="AE209" s="3">
        <v>30665.33</v>
      </c>
      <c r="AF209" t="str">
        <f>IF(tbl_FinancialData[[#This Row],[City]]="","Unknown",PROPER(TRIM(tbl_FinancialData[[#This Row],[City]])))</f>
        <v>Nagpur</v>
      </c>
      <c r="AG209" t="str">
        <f>_xlfn.LET(_xlpm.city,LOWER(TRIM(tbl_FinancialData[[#This Row],[City]])),_xlpm.st,PROPER(TRIM(tbl_FinancialData[[#This Row],[State]])),IF(_xlpm.city="pune","Maharashtra",IF(_xlpm.city="jamshedpur","Jharkhand",IF(_xlpm.city="bhilai","Chhattisgarh",IF(_xlpm.city="mumbai","Maharashtra",_xlpm.st)))))</f>
        <v>Maharashtra</v>
      </c>
      <c r="AH209" t="str">
        <f>_xlfn.LET(_xlpm.d,PROPER(TRIM(tbl_FinancialData[[#This Row],[Department]])),IF(_xlpm.d="It","IT",_xlpm.d))</f>
        <v>Sales</v>
      </c>
      <c r="AI209" t="str">
        <f>_xlfn.LET(_xlpm.pid,tbl_FinancialData[[#This Row],[Product ID]],_xlpm.n,PROPER(TRIM(tbl_FinancialData[[#This Row],[Product Name]])),IF(_xlpm.pid="P020","Document Scanner",IF(_xlpm.pid="P015","Network Router",SUBSTITUTE(SUBSTITUTE(_xlpm.n,"Crm","CRM"),"Ups","UPS"))))</f>
        <v>Office Chair</v>
      </c>
      <c r="AJ209" s="3" t="str">
        <f>UPPER(TRIM(tbl_FinancialData[[#This Row],[Cost Center]]))</f>
        <v>CC-1001</v>
      </c>
    </row>
    <row r="210" spans="1:36" x14ac:dyDescent="0.25">
      <c r="A210" s="3" t="s">
        <v>409</v>
      </c>
      <c r="B210" s="2">
        <v>45818</v>
      </c>
      <c r="C210" t="s">
        <v>156</v>
      </c>
      <c r="D210" s="3" t="str">
        <f t="shared" si="15"/>
        <v>Q1</v>
      </c>
      <c r="E210" s="3" t="str">
        <f t="shared" si="16"/>
        <v>FY2026</v>
      </c>
      <c r="F210" s="8" t="s">
        <v>34</v>
      </c>
      <c r="G210" s="3" t="s">
        <v>35</v>
      </c>
      <c r="H210" t="s">
        <v>36</v>
      </c>
      <c r="I210" t="s">
        <v>245</v>
      </c>
      <c r="J210" s="3" t="s">
        <v>80</v>
      </c>
      <c r="K210" t="s">
        <v>50</v>
      </c>
      <c r="L210" s="3" t="s">
        <v>51</v>
      </c>
      <c r="M210" s="3" t="s">
        <v>211</v>
      </c>
      <c r="N210" t="s">
        <v>212</v>
      </c>
      <c r="O210" t="s">
        <v>112</v>
      </c>
      <c r="P210" t="s">
        <v>113</v>
      </c>
      <c r="Q210" s="3">
        <v>28763.31</v>
      </c>
      <c r="R210" s="3">
        <v>31854.79</v>
      </c>
      <c r="S210" s="3">
        <v>15925.01</v>
      </c>
      <c r="T210" s="3">
        <v>2393.04</v>
      </c>
      <c r="U210" s="3">
        <v>2051.6999999999998</v>
      </c>
      <c r="V210" s="3">
        <v>2039.23</v>
      </c>
      <c r="W210" s="3">
        <v>880.09</v>
      </c>
      <c r="X210" s="3">
        <v>23289.08</v>
      </c>
      <c r="Y210" s="3">
        <v>12838.3</v>
      </c>
      <c r="Z210" s="3">
        <f t="shared" si="17"/>
        <v>5474.23</v>
      </c>
      <c r="AA210" s="37">
        <f t="shared" si="18"/>
        <v>0.19031989016563111</v>
      </c>
      <c r="AB210" s="3">
        <v>-3091.49</v>
      </c>
      <c r="AC210" s="3">
        <v>575.27</v>
      </c>
      <c r="AD210" s="3">
        <v>3382.57</v>
      </c>
      <c r="AE210" s="3">
        <v>31570.61</v>
      </c>
      <c r="AF210" t="str">
        <f>IF(tbl_FinancialData[[#This Row],[City]]="","Unknown",PROPER(TRIM(tbl_FinancialData[[#This Row],[City]])))</f>
        <v>Margao</v>
      </c>
      <c r="AG210" t="str">
        <f>_xlfn.LET(_xlpm.city,LOWER(TRIM(tbl_FinancialData[[#This Row],[City]])),_xlpm.st,PROPER(TRIM(tbl_FinancialData[[#This Row],[State]])),IF(_xlpm.city="pune","Maharashtra",IF(_xlpm.city="jamshedpur","Jharkhand",IF(_xlpm.city="bhilai","Chhattisgarh",IF(_xlpm.city="mumbai","Maharashtra",_xlpm.st)))))</f>
        <v>Goa</v>
      </c>
      <c r="AH210" t="str">
        <f>_xlfn.LET(_xlpm.d,PROPER(TRIM(tbl_FinancialData[[#This Row],[Department]])),IF(_xlpm.d="It","IT",_xlpm.d))</f>
        <v>Sales</v>
      </c>
      <c r="AI210" t="str">
        <f>_xlfn.LET(_xlpm.pid,tbl_FinancialData[[#This Row],[Product ID]],_xlpm.n,PROPER(TRIM(tbl_FinancialData[[#This Row],[Product Name]])),IF(_xlpm.pid="P020","Document Scanner",IF(_xlpm.pid="P015","Network Router",SUBSTITUTE(SUBSTITUTE(_xlpm.n,"Crm","CRM"),"Ups","UPS"))))</f>
        <v>Office Chair</v>
      </c>
      <c r="AJ210" s="3" t="str">
        <f>UPPER(TRIM(tbl_FinancialData[[#This Row],[Cost Center]]))</f>
        <v>CC-1003</v>
      </c>
    </row>
    <row r="211" spans="1:36" x14ac:dyDescent="0.25">
      <c r="A211" s="3" t="s">
        <v>410</v>
      </c>
      <c r="B211" s="2">
        <v>45841</v>
      </c>
      <c r="C211" t="s">
        <v>32</v>
      </c>
      <c r="D211" s="3" t="str">
        <f t="shared" si="15"/>
        <v>Q2</v>
      </c>
      <c r="E211" s="3" t="str">
        <f t="shared" si="16"/>
        <v>FY2026</v>
      </c>
      <c r="F211" s="8" t="s">
        <v>85</v>
      </c>
      <c r="G211" s="3" t="s">
        <v>35</v>
      </c>
      <c r="H211" t="s">
        <v>178</v>
      </c>
      <c r="I211" t="s">
        <v>179</v>
      </c>
      <c r="J211" s="3" t="s">
        <v>70</v>
      </c>
      <c r="K211" t="s">
        <v>39</v>
      </c>
      <c r="L211" s="3" t="s">
        <v>40</v>
      </c>
      <c r="M211" s="3" t="s">
        <v>73</v>
      </c>
      <c r="N211" t="s">
        <v>74</v>
      </c>
      <c r="O211" t="s">
        <v>43</v>
      </c>
      <c r="P211" t="s">
        <v>75</v>
      </c>
      <c r="Q211" s="3">
        <v>24677.74</v>
      </c>
      <c r="R211" s="3">
        <v>25053.66</v>
      </c>
      <c r="S211" s="3">
        <v>17522.169999999998</v>
      </c>
      <c r="T211" s="3">
        <v>2084.9499999999998</v>
      </c>
      <c r="U211" s="3">
        <v>1498.12</v>
      </c>
      <c r="V211" s="3">
        <v>2039.87</v>
      </c>
      <c r="W211" s="3">
        <v>796.76</v>
      </c>
      <c r="X211" s="3">
        <v>23941.87</v>
      </c>
      <c r="Y211" s="3">
        <v>7155.57</v>
      </c>
      <c r="Z211" s="3">
        <f t="shared" si="17"/>
        <v>735.87000000000262</v>
      </c>
      <c r="AA211" s="37">
        <f t="shared" si="18"/>
        <v>2.9819181172992443E-2</v>
      </c>
      <c r="AB211" s="3">
        <v>-375.91</v>
      </c>
      <c r="AC211" s="3">
        <v>1233.8900000000001</v>
      </c>
      <c r="AD211" s="3">
        <v>1172.19</v>
      </c>
      <c r="AE211" s="3">
        <v>24616.05</v>
      </c>
      <c r="AF211" t="str">
        <f>IF(tbl_FinancialData[[#This Row],[City]]="","Unknown",PROPER(TRIM(tbl_FinancialData[[#This Row],[City]])))</f>
        <v>Bilaspur</v>
      </c>
      <c r="AG211" t="str">
        <f>_xlfn.LET(_xlpm.city,LOWER(TRIM(tbl_FinancialData[[#This Row],[City]])),_xlpm.st,PROPER(TRIM(tbl_FinancialData[[#This Row],[State]])),IF(_xlpm.city="pune","Maharashtra",IF(_xlpm.city="jamshedpur","Jharkhand",IF(_xlpm.city="bhilai","Chhattisgarh",IF(_xlpm.city="mumbai","Maharashtra",_xlpm.st)))))</f>
        <v>Chhattisgarh</v>
      </c>
      <c r="AH211" t="str">
        <f>_xlfn.LET(_xlpm.d,PROPER(TRIM(tbl_FinancialData[[#This Row],[Department]])),IF(_xlpm.d="It","IT",_xlpm.d))</f>
        <v>Operations</v>
      </c>
      <c r="AI211" t="str">
        <f>_xlfn.LET(_xlpm.pid,tbl_FinancialData[[#This Row],[Product ID]],_xlpm.n,PROPER(TRIM(tbl_FinancialData[[#This Row],[Product Name]])),IF(_xlpm.pid="P020","Document Scanner",IF(_xlpm.pid="P015","Network Router",SUBSTITUTE(SUBSTITUTE(_xlpm.n,"Crm","CRM"),"Ups","UPS"))))</f>
        <v>Monitor</v>
      </c>
      <c r="AJ211" s="3" t="str">
        <f>UPPER(TRIM(tbl_FinancialData[[#This Row],[Cost Center]]))</f>
        <v>CC-1002</v>
      </c>
    </row>
    <row r="212" spans="1:36" x14ac:dyDescent="0.25">
      <c r="A212" s="3" t="s">
        <v>411</v>
      </c>
      <c r="B212" s="2">
        <v>45920</v>
      </c>
      <c r="C212" t="s">
        <v>46</v>
      </c>
      <c r="D212" s="3" t="str">
        <f t="shared" si="15"/>
        <v>Q2</v>
      </c>
      <c r="E212" s="3" t="str">
        <f t="shared" si="16"/>
        <v>FY2026</v>
      </c>
      <c r="F212" s="8" t="s">
        <v>34</v>
      </c>
      <c r="G212" s="3" t="s">
        <v>35</v>
      </c>
      <c r="H212" t="s">
        <v>98</v>
      </c>
      <c r="I212" t="s">
        <v>304</v>
      </c>
      <c r="J212" s="3" t="s">
        <v>100</v>
      </c>
      <c r="K212" t="s">
        <v>50</v>
      </c>
      <c r="L212" s="3" t="s">
        <v>72</v>
      </c>
      <c r="M212" s="3" t="s">
        <v>161</v>
      </c>
      <c r="N212" t="s">
        <v>162</v>
      </c>
      <c r="O212" t="s">
        <v>43</v>
      </c>
      <c r="P212" t="s">
        <v>163</v>
      </c>
      <c r="Q212" s="3">
        <v>34917.730000000003</v>
      </c>
      <c r="R212" s="3">
        <v>39264.36</v>
      </c>
      <c r="S212" s="3">
        <v>23280.560000000001</v>
      </c>
      <c r="T212" s="3">
        <v>3871.26</v>
      </c>
      <c r="U212" s="3">
        <v>1299.01</v>
      </c>
      <c r="V212" s="3">
        <v>1643.61</v>
      </c>
      <c r="W212" s="3">
        <v>1203.3800000000001</v>
      </c>
      <c r="X212" s="3">
        <v>31297.81</v>
      </c>
      <c r="Y212" s="3">
        <v>11637.17</v>
      </c>
      <c r="Z212" s="3">
        <f t="shared" si="17"/>
        <v>3619.9200000000019</v>
      </c>
      <c r="AA212" s="37">
        <f t="shared" si="18"/>
        <v>0.10366996938231671</v>
      </c>
      <c r="AB212" s="3">
        <v>-4346.63</v>
      </c>
      <c r="AC212" s="3">
        <v>1047.53</v>
      </c>
      <c r="AD212" s="3">
        <v>4064.42</v>
      </c>
      <c r="AE212" s="3">
        <v>37934.620000000003</v>
      </c>
      <c r="AF212" t="str">
        <f>IF(tbl_FinancialData[[#This Row],[City]]="","Unknown",PROPER(TRIM(tbl_FinancialData[[#This Row],[City]])))</f>
        <v>Pune</v>
      </c>
      <c r="AG212" t="str">
        <f>_xlfn.LET(_xlpm.city,LOWER(TRIM(tbl_FinancialData[[#This Row],[City]])),_xlpm.st,PROPER(TRIM(tbl_FinancialData[[#This Row],[State]])),IF(_xlpm.city="pune","Maharashtra",IF(_xlpm.city="jamshedpur","Jharkhand",IF(_xlpm.city="bhilai","Chhattisgarh",IF(_xlpm.city="mumbai","Maharashtra",_xlpm.st)))))</f>
        <v>Maharashtra</v>
      </c>
      <c r="AH212" t="str">
        <f>_xlfn.LET(_xlpm.d,PROPER(TRIM(tbl_FinancialData[[#This Row],[Department]])),IF(_xlpm.d="It","IT",_xlpm.d))</f>
        <v>Sales</v>
      </c>
      <c r="AI212" t="str">
        <f>_xlfn.LET(_xlpm.pid,tbl_FinancialData[[#This Row],[Product ID]],_xlpm.n,PROPER(TRIM(tbl_FinancialData[[#This Row],[Product Name]])),IF(_xlpm.pid="P020","Document Scanner",IF(_xlpm.pid="P015","Network Router",SUBSTITUTE(SUBSTITUTE(_xlpm.n,"Crm","CRM"),"Ups","UPS"))))</f>
        <v>Tablet</v>
      </c>
      <c r="AJ212" s="3" t="str">
        <f>UPPER(TRIM(tbl_FinancialData[[#This Row],[Cost Center]]))</f>
        <v>CC-1004</v>
      </c>
    </row>
    <row r="213" spans="1:36" x14ac:dyDescent="0.25">
      <c r="A213" s="3" t="s">
        <v>412</v>
      </c>
      <c r="B213" s="2">
        <v>46004</v>
      </c>
      <c r="C213" t="s">
        <v>107</v>
      </c>
      <c r="D213" s="3" t="str">
        <f t="shared" si="15"/>
        <v>Q3</v>
      </c>
      <c r="E213" s="3" t="str">
        <f t="shared" si="16"/>
        <v>FY2026</v>
      </c>
      <c r="F213" s="8" t="s">
        <v>67</v>
      </c>
      <c r="G213" s="3" t="s">
        <v>35</v>
      </c>
      <c r="H213" t="s">
        <v>68</v>
      </c>
      <c r="I213" t="s">
        <v>204</v>
      </c>
      <c r="J213" s="3" t="s">
        <v>80</v>
      </c>
      <c r="K213" t="s">
        <v>71</v>
      </c>
      <c r="L213" s="3" t="s">
        <v>51</v>
      </c>
      <c r="M213" s="3" t="s">
        <v>186</v>
      </c>
      <c r="N213" t="s">
        <v>187</v>
      </c>
      <c r="O213" t="s">
        <v>173</v>
      </c>
      <c r="P213" t="s">
        <v>174</v>
      </c>
      <c r="Q213" s="3">
        <v>17482.77</v>
      </c>
      <c r="R213" s="3">
        <v>18882.34</v>
      </c>
      <c r="S213" s="3">
        <v>9747.11</v>
      </c>
      <c r="T213" s="3">
        <v>2129.9899999999998</v>
      </c>
      <c r="U213" s="3">
        <v>1446.31</v>
      </c>
      <c r="V213" s="3">
        <v>1154.27</v>
      </c>
      <c r="W213" s="3">
        <v>726.12</v>
      </c>
      <c r="X213" s="3">
        <v>15203.8</v>
      </c>
      <c r="Y213" s="3">
        <v>7735.66</v>
      </c>
      <c r="Z213" s="3">
        <f t="shared" si="17"/>
        <v>2278.9700000000012</v>
      </c>
      <c r="AA213" s="37">
        <f t="shared" si="18"/>
        <v>0.13035520114947466</v>
      </c>
      <c r="AB213" s="3">
        <v>-1399.57</v>
      </c>
      <c r="AC213" s="3">
        <v>1748.28</v>
      </c>
      <c r="AD213" s="3">
        <v>2832.21</v>
      </c>
      <c r="AE213" s="3">
        <v>18566.7</v>
      </c>
      <c r="AF213" t="str">
        <f>IF(tbl_FinancialData[[#This Row],[City]]="","Unknown",PROPER(TRIM(tbl_FinancialData[[#This Row],[City]])))</f>
        <v>Cuttack</v>
      </c>
      <c r="AG213" t="str">
        <f>_xlfn.LET(_xlpm.city,LOWER(TRIM(tbl_FinancialData[[#This Row],[City]])),_xlpm.st,PROPER(TRIM(tbl_FinancialData[[#This Row],[State]])),IF(_xlpm.city="pune","Maharashtra",IF(_xlpm.city="jamshedpur","Jharkhand",IF(_xlpm.city="bhilai","Chhattisgarh",IF(_xlpm.city="mumbai","Maharashtra",_xlpm.st)))))</f>
        <v>Odisha</v>
      </c>
      <c r="AH213" t="str">
        <f>_xlfn.LET(_xlpm.d,PROPER(TRIM(tbl_FinancialData[[#This Row],[Department]])),IF(_xlpm.d="It","IT",_xlpm.d))</f>
        <v>Marketing</v>
      </c>
      <c r="AI213" t="str">
        <f>_xlfn.LET(_xlpm.pid,tbl_FinancialData[[#This Row],[Product ID]],_xlpm.n,PROPER(TRIM(tbl_FinancialData[[#This Row],[Product Name]])),IF(_xlpm.pid="P020","Document Scanner",IF(_xlpm.pid="P015","Network Router",SUBSTITUTE(SUBSTITUTE(_xlpm.n,"Crm","CRM"),"Ups","UPS"))))</f>
        <v>Network Router</v>
      </c>
      <c r="AJ213" s="3" t="str">
        <f>UPPER(TRIM(tbl_FinancialData[[#This Row],[Cost Center]]))</f>
        <v>CC-1003</v>
      </c>
    </row>
    <row r="214" spans="1:36" x14ac:dyDescent="0.25">
      <c r="A214" s="3" t="s">
        <v>413</v>
      </c>
      <c r="B214" s="2">
        <v>46005</v>
      </c>
      <c r="C214" t="s">
        <v>107</v>
      </c>
      <c r="D214" s="3" t="str">
        <f t="shared" si="15"/>
        <v>Q3</v>
      </c>
      <c r="E214" s="3" t="str">
        <f t="shared" si="16"/>
        <v>FY2026</v>
      </c>
      <c r="F214" s="8" t="s">
        <v>34</v>
      </c>
      <c r="G214" s="3" t="s">
        <v>35</v>
      </c>
      <c r="H214" t="s">
        <v>98</v>
      </c>
      <c r="I214" t="s">
        <v>304</v>
      </c>
      <c r="J214" s="3" t="s">
        <v>80</v>
      </c>
      <c r="K214" t="s">
        <v>50</v>
      </c>
      <c r="L214" s="3" t="s">
        <v>51</v>
      </c>
      <c r="M214" s="3" t="s">
        <v>95</v>
      </c>
      <c r="N214" t="s">
        <v>96</v>
      </c>
      <c r="O214" t="s">
        <v>43</v>
      </c>
      <c r="P214" t="s">
        <v>90</v>
      </c>
      <c r="Q214" s="3">
        <v>79192.100000000006</v>
      </c>
      <c r="R214" s="3">
        <v>88727.18</v>
      </c>
      <c r="S214" s="3">
        <v>50827.24</v>
      </c>
      <c r="T214" s="3">
        <v>3995.83</v>
      </c>
      <c r="U214" s="3">
        <v>4377.63</v>
      </c>
      <c r="V214" s="3">
        <v>6786.21</v>
      </c>
      <c r="W214" s="3">
        <v>1634.61</v>
      </c>
      <c r="X214" s="3">
        <v>67621.53</v>
      </c>
      <c r="Y214" s="3">
        <v>28364.86</v>
      </c>
      <c r="Z214" s="3">
        <f t="shared" si="17"/>
        <v>11570.570000000007</v>
      </c>
      <c r="AA214" s="37">
        <f t="shared" si="18"/>
        <v>0.14610762942263189</v>
      </c>
      <c r="AB214" s="3">
        <v>-9535.08</v>
      </c>
      <c r="AC214" s="3">
        <v>1583.84</v>
      </c>
      <c r="AD214" s="3">
        <v>13969.49</v>
      </c>
      <c r="AE214" s="3">
        <v>91577.75</v>
      </c>
      <c r="AF214" t="str">
        <f>IF(tbl_FinancialData[[#This Row],[City]]="","Unknown",PROPER(TRIM(tbl_FinancialData[[#This Row],[City]])))</f>
        <v>Pune</v>
      </c>
      <c r="AG214" t="str">
        <f>_xlfn.LET(_xlpm.city,LOWER(TRIM(tbl_FinancialData[[#This Row],[City]])),_xlpm.st,PROPER(TRIM(tbl_FinancialData[[#This Row],[State]])),IF(_xlpm.city="pune","Maharashtra",IF(_xlpm.city="jamshedpur","Jharkhand",IF(_xlpm.city="bhilai","Chhattisgarh",IF(_xlpm.city="mumbai","Maharashtra",_xlpm.st)))))</f>
        <v>Maharashtra</v>
      </c>
      <c r="AH214" t="str">
        <f>_xlfn.LET(_xlpm.d,PROPER(TRIM(tbl_FinancialData[[#This Row],[Department]])),IF(_xlpm.d="It","IT",_xlpm.d))</f>
        <v>Sales</v>
      </c>
      <c r="AI214" t="str">
        <f>_xlfn.LET(_xlpm.pid,tbl_FinancialData[[#This Row],[Product ID]],_xlpm.n,PROPER(TRIM(tbl_FinancialData[[#This Row],[Product Name]])),IF(_xlpm.pid="P020","Document Scanner",IF(_xlpm.pid="P015","Network Router",SUBSTITUTE(SUBSTITUTE(_xlpm.n,"Crm","CRM"),"Ups","UPS"))))</f>
        <v>Document Scanner</v>
      </c>
      <c r="AJ214" s="3" t="str">
        <f>UPPER(TRIM(tbl_FinancialData[[#This Row],[Cost Center]]))</f>
        <v>CC-1003</v>
      </c>
    </row>
    <row r="215" spans="1:36" x14ac:dyDescent="0.25">
      <c r="A215" s="3" t="s">
        <v>414</v>
      </c>
      <c r="B215" s="2">
        <v>45934</v>
      </c>
      <c r="C215" t="s">
        <v>92</v>
      </c>
      <c r="D215" s="3" t="str">
        <f t="shared" si="15"/>
        <v>Q3</v>
      </c>
      <c r="E215" s="3" t="str">
        <f t="shared" si="16"/>
        <v>FY2026</v>
      </c>
      <c r="F215" s="8" t="s">
        <v>34</v>
      </c>
      <c r="G215" s="3" t="s">
        <v>35</v>
      </c>
      <c r="H215" t="s">
        <v>157</v>
      </c>
      <c r="I215" t="s">
        <v>166</v>
      </c>
      <c r="J215" s="3" t="s">
        <v>100</v>
      </c>
      <c r="K215" t="s">
        <v>50</v>
      </c>
      <c r="L215" s="3" t="s">
        <v>81</v>
      </c>
      <c r="M215" s="3" t="s">
        <v>88</v>
      </c>
      <c r="N215" t="s">
        <v>89</v>
      </c>
      <c r="O215" t="s">
        <v>43</v>
      </c>
      <c r="P215" t="s">
        <v>90</v>
      </c>
      <c r="Q215" s="3">
        <v>14247.77</v>
      </c>
      <c r="R215" s="3">
        <v>16455.900000000001</v>
      </c>
      <c r="S215" s="3">
        <v>9253.61</v>
      </c>
      <c r="T215" s="3">
        <v>1064.54</v>
      </c>
      <c r="U215" s="3">
        <v>479.04</v>
      </c>
      <c r="V215" s="3">
        <v>1153.08</v>
      </c>
      <c r="W215" s="3">
        <v>145.13999999999999</v>
      </c>
      <c r="X215" s="3">
        <v>12095.42</v>
      </c>
      <c r="Y215" s="3">
        <v>4994.16</v>
      </c>
      <c r="Z215" s="3">
        <f t="shared" si="17"/>
        <v>2152.3500000000004</v>
      </c>
      <c r="AA215" s="37">
        <f t="shared" si="18"/>
        <v>0.15106574572722611</v>
      </c>
      <c r="AB215" s="3">
        <v>-2208.13</v>
      </c>
      <c r="AC215" s="3">
        <v>1424.78</v>
      </c>
      <c r="AD215" s="3">
        <v>1538.76</v>
      </c>
      <c r="AE215" s="3">
        <v>14361.75</v>
      </c>
      <c r="AF215" t="str">
        <f>IF(tbl_FinancialData[[#This Row],[City]]="","Unknown",PROPER(TRIM(tbl_FinancialData[[#This Row],[City]])))</f>
        <v>Vadodara</v>
      </c>
      <c r="AG215" t="str">
        <f>_xlfn.LET(_xlpm.city,LOWER(TRIM(tbl_FinancialData[[#This Row],[City]])),_xlpm.st,PROPER(TRIM(tbl_FinancialData[[#This Row],[State]])),IF(_xlpm.city="pune","Maharashtra",IF(_xlpm.city="jamshedpur","Jharkhand",IF(_xlpm.city="bhilai","Chhattisgarh",IF(_xlpm.city="mumbai","Maharashtra",_xlpm.st)))))</f>
        <v>Gujarat</v>
      </c>
      <c r="AH215" t="str">
        <f>_xlfn.LET(_xlpm.d,PROPER(TRIM(tbl_FinancialData[[#This Row],[Department]])),IF(_xlpm.d="It","IT",_xlpm.d))</f>
        <v>Sales</v>
      </c>
      <c r="AI215" t="str">
        <f>_xlfn.LET(_xlpm.pid,tbl_FinancialData[[#This Row],[Product ID]],_xlpm.n,PROPER(TRIM(tbl_FinancialData[[#This Row],[Product Name]])),IF(_xlpm.pid="P020","Document Scanner",IF(_xlpm.pid="P015","Network Router",SUBSTITUTE(SUBSTITUTE(_xlpm.n,"Crm","CRM"),"Ups","UPS"))))</f>
        <v>Printer</v>
      </c>
      <c r="AJ215" s="3" t="str">
        <f>UPPER(TRIM(tbl_FinancialData[[#This Row],[Cost Center]]))</f>
        <v>CC-1005</v>
      </c>
    </row>
    <row r="216" spans="1:36" x14ac:dyDescent="0.25">
      <c r="A216" s="3" t="s">
        <v>415</v>
      </c>
      <c r="B216" s="2">
        <v>45872</v>
      </c>
      <c r="C216" t="s">
        <v>117</v>
      </c>
      <c r="D216" s="3" t="str">
        <f t="shared" si="15"/>
        <v>Q2</v>
      </c>
      <c r="E216" s="3" t="str">
        <f t="shared" si="16"/>
        <v>FY2026</v>
      </c>
      <c r="F216" s="8" t="s">
        <v>34</v>
      </c>
      <c r="G216" s="3" t="s">
        <v>35</v>
      </c>
      <c r="H216" t="s">
        <v>98</v>
      </c>
      <c r="I216" t="s">
        <v>99</v>
      </c>
      <c r="J216" s="3" t="s">
        <v>80</v>
      </c>
      <c r="K216" t="s">
        <v>71</v>
      </c>
      <c r="L216" s="3" t="s">
        <v>51</v>
      </c>
      <c r="M216" s="3" t="s">
        <v>73</v>
      </c>
      <c r="N216" t="s">
        <v>74</v>
      </c>
      <c r="O216" t="s">
        <v>43</v>
      </c>
      <c r="P216" t="s">
        <v>75</v>
      </c>
      <c r="Q216" s="3">
        <v>50404.03</v>
      </c>
      <c r="R216" s="3">
        <v>47816.42</v>
      </c>
      <c r="S216" s="3">
        <v>31414.03</v>
      </c>
      <c r="T216" s="3">
        <v>6262.93</v>
      </c>
      <c r="U216" s="3">
        <v>4304.21</v>
      </c>
      <c r="V216" s="3">
        <v>3394.83</v>
      </c>
      <c r="W216" s="3">
        <v>1434.94</v>
      </c>
      <c r="X216" s="3">
        <v>46810.94</v>
      </c>
      <c r="Y216" s="3">
        <v>18990</v>
      </c>
      <c r="Z216" s="3">
        <f t="shared" si="17"/>
        <v>3593.0899999999965</v>
      </c>
      <c r="AA216" s="37">
        <f t="shared" si="18"/>
        <v>7.1285768221310802E-2</v>
      </c>
      <c r="AB216" s="3">
        <v>2587.61</v>
      </c>
      <c r="AC216" s="3">
        <v>1008.08</v>
      </c>
      <c r="AD216" s="3">
        <v>8891.27</v>
      </c>
      <c r="AE216" s="3">
        <v>58287.23</v>
      </c>
      <c r="AF216" t="str">
        <f>IF(tbl_FinancialData[[#This Row],[City]]="","Unknown",PROPER(TRIM(tbl_FinancialData[[#This Row],[City]])))</f>
        <v>Mumbai</v>
      </c>
      <c r="AG216" t="str">
        <f>_xlfn.LET(_xlpm.city,LOWER(TRIM(tbl_FinancialData[[#This Row],[City]])),_xlpm.st,PROPER(TRIM(tbl_FinancialData[[#This Row],[State]])),IF(_xlpm.city="pune","Maharashtra",IF(_xlpm.city="jamshedpur","Jharkhand",IF(_xlpm.city="bhilai","Chhattisgarh",IF(_xlpm.city="mumbai","Maharashtra",_xlpm.st)))))</f>
        <v>Maharashtra</v>
      </c>
      <c r="AH216" t="str">
        <f>_xlfn.LET(_xlpm.d,PROPER(TRIM(tbl_FinancialData[[#This Row],[Department]])),IF(_xlpm.d="It","IT",_xlpm.d))</f>
        <v>Marketing</v>
      </c>
      <c r="AI216" t="str">
        <f>_xlfn.LET(_xlpm.pid,tbl_FinancialData[[#This Row],[Product ID]],_xlpm.n,PROPER(TRIM(tbl_FinancialData[[#This Row],[Product Name]])),IF(_xlpm.pid="P020","Document Scanner",IF(_xlpm.pid="P015","Network Router",SUBSTITUTE(SUBSTITUTE(_xlpm.n,"Crm","CRM"),"Ups","UPS"))))</f>
        <v>Monitor</v>
      </c>
      <c r="AJ216" s="3" t="str">
        <f>UPPER(TRIM(tbl_FinancialData[[#This Row],[Cost Center]]))</f>
        <v>CC-1003</v>
      </c>
    </row>
    <row r="217" spans="1:36" x14ac:dyDescent="0.25">
      <c r="A217" s="3" t="s">
        <v>416</v>
      </c>
      <c r="B217" s="2">
        <v>46015</v>
      </c>
      <c r="C217" t="s">
        <v>107</v>
      </c>
      <c r="D217" s="3" t="str">
        <f t="shared" si="15"/>
        <v>Q3</v>
      </c>
      <c r="E217" s="3" t="str">
        <f t="shared" si="16"/>
        <v>FY2026</v>
      </c>
      <c r="F217" s="8" t="s">
        <v>67</v>
      </c>
      <c r="G217" s="3" t="s">
        <v>35</v>
      </c>
      <c r="H217" t="s">
        <v>68</v>
      </c>
      <c r="I217" t="s">
        <v>69</v>
      </c>
      <c r="J217" s="3" t="s">
        <v>100</v>
      </c>
      <c r="K217" t="s">
        <v>71</v>
      </c>
      <c r="L217" s="3" t="s">
        <v>94</v>
      </c>
      <c r="M217" s="3" t="s">
        <v>235</v>
      </c>
      <c r="N217" t="s">
        <v>236</v>
      </c>
      <c r="O217" t="s">
        <v>104</v>
      </c>
      <c r="P217" t="s">
        <v>237</v>
      </c>
      <c r="Q217" s="3">
        <v>6369.34</v>
      </c>
      <c r="R217" s="3">
        <v>6894.41</v>
      </c>
      <c r="S217" s="3">
        <v>4092.99</v>
      </c>
      <c r="T217" s="3">
        <v>508.59</v>
      </c>
      <c r="U217" s="3">
        <v>549.1</v>
      </c>
      <c r="V217" s="3">
        <v>340.05</v>
      </c>
      <c r="W217" s="3">
        <v>175.24</v>
      </c>
      <c r="X217" s="3">
        <v>5665.97</v>
      </c>
      <c r="Y217" s="3">
        <v>2276.36</v>
      </c>
      <c r="Z217" s="3">
        <f t="shared" si="17"/>
        <v>703.36999999999989</v>
      </c>
      <c r="AA217" s="37">
        <f t="shared" si="18"/>
        <v>0.11043059406469115</v>
      </c>
      <c r="AB217" s="3">
        <v>-525.05999999999995</v>
      </c>
      <c r="AC217" s="3">
        <v>318.47000000000003</v>
      </c>
      <c r="AD217" s="3">
        <v>1089.1600000000001</v>
      </c>
      <c r="AE217" s="3">
        <v>7140.04</v>
      </c>
      <c r="AF217" t="str">
        <f>IF(tbl_FinancialData[[#This Row],[City]]="","Unknown",PROPER(TRIM(tbl_FinancialData[[#This Row],[City]])))</f>
        <v>Bhubaneswar</v>
      </c>
      <c r="AG217" t="str">
        <f>_xlfn.LET(_xlpm.city,LOWER(TRIM(tbl_FinancialData[[#This Row],[City]])),_xlpm.st,PROPER(TRIM(tbl_FinancialData[[#This Row],[State]])),IF(_xlpm.city="pune","Maharashtra",IF(_xlpm.city="jamshedpur","Jharkhand",IF(_xlpm.city="bhilai","Chhattisgarh",IF(_xlpm.city="mumbai","Maharashtra",_xlpm.st)))))</f>
        <v>Odisha</v>
      </c>
      <c r="AH217" t="str">
        <f>_xlfn.LET(_xlpm.d,PROPER(TRIM(tbl_FinancialData[[#This Row],[Department]])),IF(_xlpm.d="It","IT",_xlpm.d))</f>
        <v>Marketing</v>
      </c>
      <c r="AI217" t="str">
        <f>_xlfn.LET(_xlpm.pid,tbl_FinancialData[[#This Row],[Product ID]],_xlpm.n,PROPER(TRIM(tbl_FinancialData[[#This Row],[Product Name]])),IF(_xlpm.pid="P020","Document Scanner",IF(_xlpm.pid="P015","Network Router",SUBSTITUTE(SUBSTITUTE(_xlpm.n,"Crm","CRM"),"Ups","UPS"))))</f>
        <v>Data Storage</v>
      </c>
      <c r="AJ217" s="3" t="str">
        <f>UPPER(TRIM(tbl_FinancialData[[#This Row],[Cost Center]]))</f>
        <v>CC-1001</v>
      </c>
    </row>
    <row r="218" spans="1:36" x14ac:dyDescent="0.25">
      <c r="A218" s="3" t="s">
        <v>417</v>
      </c>
      <c r="B218" s="2">
        <v>45929</v>
      </c>
      <c r="C218" t="s">
        <v>46</v>
      </c>
      <c r="D218" s="3" t="str">
        <f t="shared" si="15"/>
        <v>Q2</v>
      </c>
      <c r="E218" s="3" t="str">
        <f t="shared" si="16"/>
        <v>FY2026</v>
      </c>
      <c r="F218" s="8" t="s">
        <v>47</v>
      </c>
      <c r="G218" s="3" t="s">
        <v>35</v>
      </c>
      <c r="H218" t="s">
        <v>206</v>
      </c>
      <c r="I218" t="s">
        <v>344</v>
      </c>
      <c r="J218" s="3" t="s">
        <v>38</v>
      </c>
      <c r="K218" t="s">
        <v>71</v>
      </c>
      <c r="L218" s="3" t="s">
        <v>94</v>
      </c>
      <c r="M218" s="3" t="s">
        <v>186</v>
      </c>
      <c r="N218" t="s">
        <v>187</v>
      </c>
      <c r="O218" t="s">
        <v>173</v>
      </c>
      <c r="P218" t="s">
        <v>174</v>
      </c>
      <c r="Q218" s="3">
        <v>9860.57</v>
      </c>
      <c r="R218" s="3">
        <v>10392.23</v>
      </c>
      <c r="S218" s="3">
        <v>5804.9</v>
      </c>
      <c r="T218" s="3">
        <v>1241.44</v>
      </c>
      <c r="U218" s="3">
        <v>285.36</v>
      </c>
      <c r="V218" s="3">
        <v>935.09</v>
      </c>
      <c r="W218" s="3">
        <v>107.22</v>
      </c>
      <c r="X218" s="3">
        <v>8374.02</v>
      </c>
      <c r="Y218" s="3">
        <v>4055.67</v>
      </c>
      <c r="Z218" s="3">
        <f t="shared" si="17"/>
        <v>1486.5499999999993</v>
      </c>
      <c r="AA218" s="37">
        <f t="shared" si="18"/>
        <v>0.15075700491959382</v>
      </c>
      <c r="AB218" s="3">
        <v>-531.66</v>
      </c>
      <c r="AC218" s="3">
        <v>0</v>
      </c>
      <c r="AD218" s="3">
        <v>1183.27</v>
      </c>
      <c r="AE218" s="3">
        <v>11043.84</v>
      </c>
      <c r="AF218" t="str">
        <f>IF(tbl_FinancialData[[#This Row],[City]]="","Unknown",PROPER(TRIM(tbl_FinancialData[[#This Row],[City]])))</f>
        <v>Hyderabad</v>
      </c>
      <c r="AG218" t="str">
        <f>_xlfn.LET(_xlpm.city,LOWER(TRIM(tbl_FinancialData[[#This Row],[City]])),_xlpm.st,PROPER(TRIM(tbl_FinancialData[[#This Row],[State]])),IF(_xlpm.city="pune","Maharashtra",IF(_xlpm.city="jamshedpur","Jharkhand",IF(_xlpm.city="bhilai","Chhattisgarh",IF(_xlpm.city="mumbai","Maharashtra",_xlpm.st)))))</f>
        <v>Telangana</v>
      </c>
      <c r="AH218" t="str">
        <f>_xlfn.LET(_xlpm.d,PROPER(TRIM(tbl_FinancialData[[#This Row],[Department]])),IF(_xlpm.d="It","IT",_xlpm.d))</f>
        <v>Marketing</v>
      </c>
      <c r="AI218" t="str">
        <f>_xlfn.LET(_xlpm.pid,tbl_FinancialData[[#This Row],[Product ID]],_xlpm.n,PROPER(TRIM(tbl_FinancialData[[#This Row],[Product Name]])),IF(_xlpm.pid="P020","Document Scanner",IF(_xlpm.pid="P015","Network Router",SUBSTITUTE(SUBSTITUTE(_xlpm.n,"Crm","CRM"),"Ups","UPS"))))</f>
        <v>Network Router</v>
      </c>
      <c r="AJ218" s="3" t="str">
        <f>UPPER(TRIM(tbl_FinancialData[[#This Row],[Cost Center]]))</f>
        <v>CC-1001</v>
      </c>
    </row>
    <row r="219" spans="1:36" x14ac:dyDescent="0.25">
      <c r="A219" s="3" t="s">
        <v>418</v>
      </c>
      <c r="B219" s="2">
        <v>46043</v>
      </c>
      <c r="C219" t="s">
        <v>77</v>
      </c>
      <c r="D219" s="3" t="str">
        <f t="shared" si="15"/>
        <v>Q4</v>
      </c>
      <c r="E219" s="3" t="str">
        <f t="shared" si="16"/>
        <v>FY2026</v>
      </c>
      <c r="F219" s="8" t="s">
        <v>34</v>
      </c>
      <c r="G219" s="3" t="s">
        <v>35</v>
      </c>
      <c r="H219" t="s">
        <v>157</v>
      </c>
      <c r="I219" t="s">
        <v>194</v>
      </c>
      <c r="J219" s="3" t="s">
        <v>70</v>
      </c>
      <c r="K219" t="s">
        <v>39</v>
      </c>
      <c r="L219" s="3" t="s">
        <v>40</v>
      </c>
      <c r="M219" s="3" t="s">
        <v>189</v>
      </c>
      <c r="N219" t="s">
        <v>190</v>
      </c>
      <c r="O219" t="s">
        <v>104</v>
      </c>
      <c r="P219" t="s">
        <v>105</v>
      </c>
      <c r="Q219" s="3">
        <v>9333.4599999999991</v>
      </c>
      <c r="R219" s="3">
        <v>8989.09</v>
      </c>
      <c r="S219" s="3">
        <v>6543.81</v>
      </c>
      <c r="T219" s="3">
        <v>902.13</v>
      </c>
      <c r="U219" s="3">
        <v>593</v>
      </c>
      <c r="V219" s="3">
        <v>638.35</v>
      </c>
      <c r="W219" s="3">
        <v>110.32</v>
      </c>
      <c r="X219" s="3">
        <v>8787.61</v>
      </c>
      <c r="Y219" s="3">
        <v>2789.64</v>
      </c>
      <c r="Z219" s="3">
        <f t="shared" si="17"/>
        <v>545.84999999999854</v>
      </c>
      <c r="AA219" s="37">
        <f t="shared" si="18"/>
        <v>5.8483134871740873E-2</v>
      </c>
      <c r="AB219" s="3">
        <v>344.37</v>
      </c>
      <c r="AC219" s="3">
        <v>0</v>
      </c>
      <c r="AD219" s="3">
        <v>1120.01</v>
      </c>
      <c r="AE219" s="3">
        <v>10453.469999999999</v>
      </c>
      <c r="AF219" t="str">
        <f>IF(tbl_FinancialData[[#This Row],[City]]="","Unknown",PROPER(TRIM(tbl_FinancialData[[#This Row],[City]])))</f>
        <v>Surat</v>
      </c>
      <c r="AG219" t="str">
        <f>_xlfn.LET(_xlpm.city,LOWER(TRIM(tbl_FinancialData[[#This Row],[City]])),_xlpm.st,PROPER(TRIM(tbl_FinancialData[[#This Row],[State]])),IF(_xlpm.city="pune","Maharashtra",IF(_xlpm.city="jamshedpur","Jharkhand",IF(_xlpm.city="bhilai","Chhattisgarh",IF(_xlpm.city="mumbai","Maharashtra",_xlpm.st)))))</f>
        <v>Gujarat</v>
      </c>
      <c r="AH219" t="str">
        <f>_xlfn.LET(_xlpm.d,PROPER(TRIM(tbl_FinancialData[[#This Row],[Department]])),IF(_xlpm.d="It","IT",_xlpm.d))</f>
        <v>Operations</v>
      </c>
      <c r="AI219" t="str">
        <f>_xlfn.LET(_xlpm.pid,tbl_FinancialData[[#This Row],[Product ID]],_xlpm.n,PROPER(TRIM(tbl_FinancialData[[#This Row],[Product Name]])),IF(_xlpm.pid="P020","Document Scanner",IF(_xlpm.pid="P015","Network Router",SUBSTITUTE(SUBSTITUTE(_xlpm.n,"Crm","CRM"),"Ups","UPS"))))</f>
        <v>CRM Software</v>
      </c>
      <c r="AJ219" s="3" t="str">
        <f>UPPER(TRIM(tbl_FinancialData[[#This Row],[Cost Center]]))</f>
        <v>CC-1002</v>
      </c>
    </row>
    <row r="220" spans="1:36" x14ac:dyDescent="0.25">
      <c r="A220" s="3" t="s">
        <v>419</v>
      </c>
      <c r="B220" s="2">
        <v>45956</v>
      </c>
      <c r="C220" t="s">
        <v>92</v>
      </c>
      <c r="D220" s="3" t="str">
        <f t="shared" si="15"/>
        <v>Q3</v>
      </c>
      <c r="E220" s="3" t="str">
        <f t="shared" si="16"/>
        <v>FY2026</v>
      </c>
      <c r="F220" s="8" t="s">
        <v>34</v>
      </c>
      <c r="G220" s="3" t="s">
        <v>35</v>
      </c>
      <c r="H220" t="s">
        <v>134</v>
      </c>
      <c r="I220" t="s">
        <v>154</v>
      </c>
      <c r="J220" s="3" t="s">
        <v>38</v>
      </c>
      <c r="K220" t="s">
        <v>39</v>
      </c>
      <c r="L220" s="3" t="s">
        <v>51</v>
      </c>
      <c r="M220" s="3" t="s">
        <v>161</v>
      </c>
      <c r="N220" t="s">
        <v>162</v>
      </c>
      <c r="O220" t="s">
        <v>43</v>
      </c>
      <c r="P220" t="s">
        <v>163</v>
      </c>
      <c r="Q220" s="3">
        <v>55530.98</v>
      </c>
      <c r="R220" s="3">
        <v>60253.120000000003</v>
      </c>
      <c r="S220" s="3">
        <v>31658.54</v>
      </c>
      <c r="T220" s="3">
        <v>6330.86</v>
      </c>
      <c r="U220" s="3">
        <v>4581.1899999999996</v>
      </c>
      <c r="V220" s="3">
        <v>2777.53</v>
      </c>
      <c r="W220" s="3">
        <v>945.1</v>
      </c>
      <c r="X220" s="3">
        <v>46293.21</v>
      </c>
      <c r="Y220" s="3">
        <v>23872.44</v>
      </c>
      <c r="Z220" s="3">
        <f t="shared" si="17"/>
        <v>9237.7700000000041</v>
      </c>
      <c r="AA220" s="37">
        <f t="shared" si="18"/>
        <v>0.16635344811130659</v>
      </c>
      <c r="AB220" s="3">
        <v>-4722.1400000000003</v>
      </c>
      <c r="AC220" s="3">
        <v>1110.6199999999999</v>
      </c>
      <c r="AD220" s="3">
        <v>9795.66</v>
      </c>
      <c r="AE220" s="3">
        <v>64216.02</v>
      </c>
      <c r="AF220" t="str">
        <f>IF(tbl_FinancialData[[#This Row],[City]]="","Unknown",PROPER(TRIM(tbl_FinancialData[[#This Row],[City]])))</f>
        <v>Udaipur</v>
      </c>
      <c r="AG220" t="str">
        <f>_xlfn.LET(_xlpm.city,LOWER(TRIM(tbl_FinancialData[[#This Row],[City]])),_xlpm.st,PROPER(TRIM(tbl_FinancialData[[#This Row],[State]])),IF(_xlpm.city="pune","Maharashtra",IF(_xlpm.city="jamshedpur","Jharkhand",IF(_xlpm.city="bhilai","Chhattisgarh",IF(_xlpm.city="mumbai","Maharashtra",_xlpm.st)))))</f>
        <v>Rajasthan</v>
      </c>
      <c r="AH220" t="str">
        <f>_xlfn.LET(_xlpm.d,PROPER(TRIM(tbl_FinancialData[[#This Row],[Department]])),IF(_xlpm.d="It","IT",_xlpm.d))</f>
        <v>Operations</v>
      </c>
      <c r="AI220" t="str">
        <f>_xlfn.LET(_xlpm.pid,tbl_FinancialData[[#This Row],[Product ID]],_xlpm.n,PROPER(TRIM(tbl_FinancialData[[#This Row],[Product Name]])),IF(_xlpm.pid="P020","Document Scanner",IF(_xlpm.pid="P015","Network Router",SUBSTITUTE(SUBSTITUTE(_xlpm.n,"Crm","CRM"),"Ups","UPS"))))</f>
        <v>Tablet</v>
      </c>
      <c r="AJ220" s="3" t="str">
        <f>UPPER(TRIM(tbl_FinancialData[[#This Row],[Cost Center]]))</f>
        <v>CC-1003</v>
      </c>
    </row>
    <row r="221" spans="1:36" x14ac:dyDescent="0.25">
      <c r="A221" s="3" t="s">
        <v>420</v>
      </c>
      <c r="B221" s="2">
        <v>45970</v>
      </c>
      <c r="C221" t="s">
        <v>147</v>
      </c>
      <c r="D221" s="3" t="str">
        <f t="shared" si="15"/>
        <v>Q3</v>
      </c>
      <c r="E221" s="3" t="str">
        <f t="shared" si="16"/>
        <v>FY2026</v>
      </c>
      <c r="F221" s="8" t="s">
        <v>85</v>
      </c>
      <c r="G221" s="3" t="s">
        <v>35</v>
      </c>
      <c r="H221" t="s">
        <v>60</v>
      </c>
      <c r="I221" t="s">
        <v>108</v>
      </c>
      <c r="J221" s="3" t="s">
        <v>80</v>
      </c>
      <c r="K221" t="s">
        <v>50</v>
      </c>
      <c r="L221" s="3" t="s">
        <v>72</v>
      </c>
      <c r="M221" s="3" t="s">
        <v>161</v>
      </c>
      <c r="N221" t="s">
        <v>162</v>
      </c>
      <c r="O221" t="s">
        <v>43</v>
      </c>
      <c r="P221" t="s">
        <v>163</v>
      </c>
      <c r="Q221" s="3">
        <v>37985.67</v>
      </c>
      <c r="R221" s="3">
        <v>41054.629999999997</v>
      </c>
      <c r="S221" s="3">
        <v>26364.12</v>
      </c>
      <c r="T221" s="3">
        <v>2829.33</v>
      </c>
      <c r="U221" s="3">
        <v>2312.2600000000002</v>
      </c>
      <c r="V221" s="3">
        <v>3918.33</v>
      </c>
      <c r="W221" s="3">
        <v>933.22</v>
      </c>
      <c r="X221" s="3">
        <v>36357.25</v>
      </c>
      <c r="Y221" s="3">
        <v>11621.55</v>
      </c>
      <c r="Z221" s="3">
        <f t="shared" si="17"/>
        <v>1628.4199999999983</v>
      </c>
      <c r="AA221" s="37">
        <f t="shared" si="18"/>
        <v>4.2869324142498957E-2</v>
      </c>
      <c r="AB221" s="3">
        <v>-3068.96</v>
      </c>
      <c r="AC221" s="3">
        <v>0</v>
      </c>
      <c r="AD221" s="3">
        <v>4558.28</v>
      </c>
      <c r="AE221" s="3">
        <v>42543.95</v>
      </c>
      <c r="AF221" t="str">
        <f>IF(tbl_FinancialData[[#This Row],[City]]="","Unknown",PROPER(TRIM(tbl_FinancialData[[#This Row],[City]])))</f>
        <v>Agra</v>
      </c>
      <c r="AG221" t="str">
        <f>_xlfn.LET(_xlpm.city,LOWER(TRIM(tbl_FinancialData[[#This Row],[City]])),_xlpm.st,PROPER(TRIM(tbl_FinancialData[[#This Row],[State]])),IF(_xlpm.city="pune","Maharashtra",IF(_xlpm.city="jamshedpur","Jharkhand",IF(_xlpm.city="bhilai","Chhattisgarh",IF(_xlpm.city="mumbai","Maharashtra",_xlpm.st)))))</f>
        <v>Uttar Pradesh</v>
      </c>
      <c r="AH221" t="str">
        <f>_xlfn.LET(_xlpm.d,PROPER(TRIM(tbl_FinancialData[[#This Row],[Department]])),IF(_xlpm.d="It","IT",_xlpm.d))</f>
        <v>Sales</v>
      </c>
      <c r="AI221" t="str">
        <f>_xlfn.LET(_xlpm.pid,tbl_FinancialData[[#This Row],[Product ID]],_xlpm.n,PROPER(TRIM(tbl_FinancialData[[#This Row],[Product Name]])),IF(_xlpm.pid="P020","Document Scanner",IF(_xlpm.pid="P015","Network Router",SUBSTITUTE(SUBSTITUTE(_xlpm.n,"Crm","CRM"),"Ups","UPS"))))</f>
        <v>Tablet</v>
      </c>
      <c r="AJ221" s="3" t="str">
        <f>UPPER(TRIM(tbl_FinancialData[[#This Row],[Cost Center]]))</f>
        <v>CC-1004</v>
      </c>
    </row>
    <row r="222" spans="1:36" x14ac:dyDescent="0.25">
      <c r="A222" s="3" t="s">
        <v>421</v>
      </c>
      <c r="B222" s="2">
        <v>45797</v>
      </c>
      <c r="C222" t="s">
        <v>65</v>
      </c>
      <c r="D222" s="3" t="str">
        <f t="shared" si="15"/>
        <v>Q1</v>
      </c>
      <c r="E222" s="3" t="str">
        <f t="shared" si="16"/>
        <v>FY2026</v>
      </c>
      <c r="F222" s="8" t="s">
        <v>47</v>
      </c>
      <c r="G222" s="3" t="s">
        <v>35</v>
      </c>
      <c r="H222" t="s">
        <v>48</v>
      </c>
      <c r="I222" t="s">
        <v>265</v>
      </c>
      <c r="J222" s="3" t="s">
        <v>80</v>
      </c>
      <c r="K222" t="s">
        <v>39</v>
      </c>
      <c r="L222" s="3" t="s">
        <v>81</v>
      </c>
      <c r="M222" s="3" t="s">
        <v>141</v>
      </c>
      <c r="N222" t="s">
        <v>142</v>
      </c>
      <c r="O222" t="s">
        <v>54</v>
      </c>
      <c r="P222" t="s">
        <v>143</v>
      </c>
      <c r="Q222" s="3">
        <v>1580.36</v>
      </c>
      <c r="R222" s="3">
        <v>1464.47</v>
      </c>
      <c r="S222" s="3">
        <v>837.19</v>
      </c>
      <c r="T222" s="3">
        <v>158.74</v>
      </c>
      <c r="U222" s="3">
        <v>62.08</v>
      </c>
      <c r="V222" s="3">
        <v>65.81</v>
      </c>
      <c r="W222" s="3">
        <v>61.53</v>
      </c>
      <c r="X222" s="3">
        <v>1185.3399999999999</v>
      </c>
      <c r="Y222" s="3">
        <v>743.17</v>
      </c>
      <c r="Z222" s="3">
        <f t="shared" si="17"/>
        <v>395.02</v>
      </c>
      <c r="AA222" s="37">
        <f t="shared" si="18"/>
        <v>0.24995570629476829</v>
      </c>
      <c r="AB222" s="3">
        <v>115.89</v>
      </c>
      <c r="AC222" s="3">
        <v>47.41</v>
      </c>
      <c r="AD222" s="3">
        <v>183.95</v>
      </c>
      <c r="AE222" s="3">
        <v>1716.9</v>
      </c>
      <c r="AF222" t="str">
        <f>IF(tbl_FinancialData[[#This Row],[City]]="","Unknown",PROPER(TRIM(tbl_FinancialData[[#This Row],[City]])))</f>
        <v>Madurai</v>
      </c>
      <c r="AG222" t="str">
        <f>_xlfn.LET(_xlpm.city,LOWER(TRIM(tbl_FinancialData[[#This Row],[City]])),_xlpm.st,PROPER(TRIM(tbl_FinancialData[[#This Row],[State]])),IF(_xlpm.city="pune","Maharashtra",IF(_xlpm.city="jamshedpur","Jharkhand",IF(_xlpm.city="bhilai","Chhattisgarh",IF(_xlpm.city="mumbai","Maharashtra",_xlpm.st)))))</f>
        <v>Tamil Nadu</v>
      </c>
      <c r="AH222" t="str">
        <f>_xlfn.LET(_xlpm.d,PROPER(TRIM(tbl_FinancialData[[#This Row],[Department]])),IF(_xlpm.d="It","IT",_xlpm.d))</f>
        <v>Operations</v>
      </c>
      <c r="AI222" t="str">
        <f>_xlfn.LET(_xlpm.pid,tbl_FinancialData[[#This Row],[Product ID]],_xlpm.n,PROPER(TRIM(tbl_FinancialData[[#This Row],[Product Name]])),IF(_xlpm.pid="P020","Document Scanner",IF(_xlpm.pid="P015","Network Router",SUBSTITUTE(SUBSTITUTE(_xlpm.n,"Crm","CRM"),"Ups","UPS"))))</f>
        <v>Headset</v>
      </c>
      <c r="AJ222" s="3" t="str">
        <f>UPPER(TRIM(tbl_FinancialData[[#This Row],[Cost Center]]))</f>
        <v>CC-1005</v>
      </c>
    </row>
    <row r="223" spans="1:36" x14ac:dyDescent="0.25">
      <c r="A223" s="3" t="s">
        <v>422</v>
      </c>
      <c r="B223" s="2">
        <v>45760</v>
      </c>
      <c r="C223" t="s">
        <v>128</v>
      </c>
      <c r="D223" s="3" t="str">
        <f t="shared" si="15"/>
        <v>Q1</v>
      </c>
      <c r="E223" s="3" t="str">
        <f t="shared" si="16"/>
        <v>FY2026</v>
      </c>
      <c r="F223" s="8" t="s">
        <v>59</v>
      </c>
      <c r="G223" s="3" t="s">
        <v>35</v>
      </c>
      <c r="H223" t="s">
        <v>254</v>
      </c>
      <c r="I223" t="s">
        <v>200</v>
      </c>
      <c r="J223" s="3" t="s">
        <v>100</v>
      </c>
      <c r="K223" t="s">
        <v>160</v>
      </c>
      <c r="L223" s="3" t="s">
        <v>40</v>
      </c>
      <c r="M223" s="3" t="s">
        <v>197</v>
      </c>
      <c r="N223" t="s">
        <v>198</v>
      </c>
      <c r="O223" t="s">
        <v>43</v>
      </c>
      <c r="P223" t="s">
        <v>163</v>
      </c>
      <c r="Q223" s="3">
        <v>49430.02</v>
      </c>
      <c r="R223" s="3">
        <v>44725.33</v>
      </c>
      <c r="S223" s="3">
        <v>29474.59</v>
      </c>
      <c r="T223" s="3">
        <v>3667.39</v>
      </c>
      <c r="U223" s="3">
        <v>3045.95</v>
      </c>
      <c r="V223" s="3">
        <v>5155.7700000000004</v>
      </c>
      <c r="W223" s="3">
        <v>731.57</v>
      </c>
      <c r="X223" s="3">
        <v>42075.27</v>
      </c>
      <c r="Y223" s="3">
        <v>19955.439999999999</v>
      </c>
      <c r="Z223" s="3">
        <f t="shared" si="17"/>
        <v>7354.75</v>
      </c>
      <c r="AA223" s="37">
        <f t="shared" si="18"/>
        <v>0.14879115970416359</v>
      </c>
      <c r="AB223" s="3">
        <v>4704.7</v>
      </c>
      <c r="AC223" s="3">
        <v>2471.5</v>
      </c>
      <c r="AD223" s="3">
        <v>5635.02</v>
      </c>
      <c r="AE223" s="3">
        <v>52593.54</v>
      </c>
      <c r="AF223" t="str">
        <f>IF(tbl_FinancialData[[#This Row],[City]]="","Unknown",PROPER(TRIM(tbl_FinancialData[[#This Row],[City]])))</f>
        <v>Gurugram</v>
      </c>
      <c r="AG223" t="str">
        <f>_xlfn.LET(_xlpm.city,LOWER(TRIM(tbl_FinancialData[[#This Row],[City]])),_xlpm.st,PROPER(TRIM(tbl_FinancialData[[#This Row],[State]])),IF(_xlpm.city="pune","Maharashtra",IF(_xlpm.city="jamshedpur","Jharkhand",IF(_xlpm.city="bhilai","Chhattisgarh",IF(_xlpm.city="mumbai","Maharashtra",_xlpm.st)))))</f>
        <v>Delhi</v>
      </c>
      <c r="AH223" t="str">
        <f>_xlfn.LET(_xlpm.d,PROPER(TRIM(tbl_FinancialData[[#This Row],[Department]])),IF(_xlpm.d="It","IT",_xlpm.d))</f>
        <v>IT</v>
      </c>
      <c r="AI223" t="str">
        <f>_xlfn.LET(_xlpm.pid,tbl_FinancialData[[#This Row],[Product ID]],_xlpm.n,PROPER(TRIM(tbl_FinancialData[[#This Row],[Product Name]])),IF(_xlpm.pid="P020","Document Scanner",IF(_xlpm.pid="P015","Network Router",SUBSTITUTE(SUBSTITUTE(_xlpm.n,"Crm","CRM"),"Ups","UPS"))))</f>
        <v>Smartphone</v>
      </c>
      <c r="AJ223" s="3" t="str">
        <f>UPPER(TRIM(tbl_FinancialData[[#This Row],[Cost Center]]))</f>
        <v>CC-1002</v>
      </c>
    </row>
    <row r="224" spans="1:36" x14ac:dyDescent="0.25">
      <c r="A224" s="3" t="s">
        <v>423</v>
      </c>
      <c r="B224" s="2">
        <v>45985</v>
      </c>
      <c r="C224" t="s">
        <v>147</v>
      </c>
      <c r="D224" s="3" t="str">
        <f t="shared" si="15"/>
        <v>Q3</v>
      </c>
      <c r="E224" s="3" t="str">
        <f t="shared" si="16"/>
        <v>FY2026</v>
      </c>
      <c r="F224" s="8" t="s">
        <v>47</v>
      </c>
      <c r="G224" s="3" t="s">
        <v>35</v>
      </c>
      <c r="H224" t="s">
        <v>78</v>
      </c>
      <c r="I224" t="s">
        <v>115</v>
      </c>
      <c r="J224" s="3" t="s">
        <v>70</v>
      </c>
      <c r="K224" t="s">
        <v>50</v>
      </c>
      <c r="L224" s="3" t="s">
        <v>40</v>
      </c>
      <c r="M224" s="3" t="s">
        <v>52</v>
      </c>
      <c r="N224" t="s">
        <v>53</v>
      </c>
      <c r="O224" t="s">
        <v>54</v>
      </c>
      <c r="P224" t="s">
        <v>55</v>
      </c>
      <c r="Q224" s="3">
        <v>3291.17</v>
      </c>
      <c r="R224" s="3">
        <v>3084.55</v>
      </c>
      <c r="S224" s="3">
        <v>1853.9</v>
      </c>
      <c r="T224" s="3">
        <v>308.64</v>
      </c>
      <c r="U224" s="3">
        <v>294.45</v>
      </c>
      <c r="V224" s="3">
        <v>306.52999999999997</v>
      </c>
      <c r="W224" s="3">
        <v>55.86</v>
      </c>
      <c r="X224" s="3">
        <v>2819.38</v>
      </c>
      <c r="Y224" s="3">
        <v>1437.27</v>
      </c>
      <c r="Z224" s="3">
        <f t="shared" si="17"/>
        <v>471.78999999999996</v>
      </c>
      <c r="AA224" s="37">
        <f t="shared" si="18"/>
        <v>0.14335023714970663</v>
      </c>
      <c r="AB224" s="3">
        <v>206.63</v>
      </c>
      <c r="AC224" s="3">
        <v>0</v>
      </c>
      <c r="AD224" s="3">
        <v>164.56</v>
      </c>
      <c r="AE224" s="3">
        <v>3455.73</v>
      </c>
      <c r="AF224" t="str">
        <f>IF(tbl_FinancialData[[#This Row],[City]]="","Unknown",PROPER(TRIM(tbl_FinancialData[[#This Row],[City]])))</f>
        <v>Thiruvananthapuram</v>
      </c>
      <c r="AG224" t="str">
        <f>_xlfn.LET(_xlpm.city,LOWER(TRIM(tbl_FinancialData[[#This Row],[City]])),_xlpm.st,PROPER(TRIM(tbl_FinancialData[[#This Row],[State]])),IF(_xlpm.city="pune","Maharashtra",IF(_xlpm.city="jamshedpur","Jharkhand",IF(_xlpm.city="bhilai","Chhattisgarh",IF(_xlpm.city="mumbai","Maharashtra",_xlpm.st)))))</f>
        <v>Kerala</v>
      </c>
      <c r="AH224" t="str">
        <f>_xlfn.LET(_xlpm.d,PROPER(TRIM(tbl_FinancialData[[#This Row],[Department]])),IF(_xlpm.d="It","IT",_xlpm.d))</f>
        <v>Sales</v>
      </c>
      <c r="AI224" t="str">
        <f>_xlfn.LET(_xlpm.pid,tbl_FinancialData[[#This Row],[Product ID]],_xlpm.n,PROPER(TRIM(tbl_FinancialData[[#This Row],[Product Name]])),IF(_xlpm.pid="P020","Document Scanner",IF(_xlpm.pid="P015","Network Router",SUBSTITUTE(SUBSTITUTE(_xlpm.n,"Crm","CRM"),"Ups","UPS"))))</f>
        <v>Mouse</v>
      </c>
      <c r="AJ224" s="3" t="str">
        <f>UPPER(TRIM(tbl_FinancialData[[#This Row],[Cost Center]]))</f>
        <v>CC-1002</v>
      </c>
    </row>
    <row r="225" spans="1:36" x14ac:dyDescent="0.25">
      <c r="A225" s="3" t="s">
        <v>424</v>
      </c>
      <c r="B225" s="2">
        <v>45760</v>
      </c>
      <c r="C225" t="s">
        <v>128</v>
      </c>
      <c r="D225" s="3" t="str">
        <f t="shared" si="15"/>
        <v>Q1</v>
      </c>
      <c r="E225" s="3" t="str">
        <f t="shared" si="16"/>
        <v>FY2026</v>
      </c>
      <c r="F225" s="8" t="s">
        <v>85</v>
      </c>
      <c r="G225" s="3" t="s">
        <v>35</v>
      </c>
      <c r="H225" t="s">
        <v>86</v>
      </c>
      <c r="I225" t="s">
        <v>87</v>
      </c>
      <c r="J225" s="3" t="s">
        <v>70</v>
      </c>
      <c r="K225" t="s">
        <v>39</v>
      </c>
      <c r="L225" s="3" t="s">
        <v>81</v>
      </c>
      <c r="M225" s="3" t="s">
        <v>171</v>
      </c>
      <c r="N225" t="s">
        <v>172</v>
      </c>
      <c r="O225" t="s">
        <v>173</v>
      </c>
      <c r="P225" t="s">
        <v>174</v>
      </c>
      <c r="Q225" s="3">
        <v>27544.91</v>
      </c>
      <c r="R225" s="3">
        <v>29916.85</v>
      </c>
      <c r="S225" s="3">
        <v>17572</v>
      </c>
      <c r="T225" s="3">
        <v>1635.09</v>
      </c>
      <c r="U225" s="3">
        <v>2120.4499999999998</v>
      </c>
      <c r="V225" s="3">
        <v>1373.35</v>
      </c>
      <c r="W225" s="3">
        <v>948.88</v>
      </c>
      <c r="X225" s="3">
        <v>23649.77</v>
      </c>
      <c r="Y225" s="3">
        <v>9972.92</v>
      </c>
      <c r="Z225" s="3">
        <f t="shared" si="17"/>
        <v>3895.1399999999994</v>
      </c>
      <c r="AA225" s="37">
        <f t="shared" si="18"/>
        <v>0.14141051831354684</v>
      </c>
      <c r="AB225" s="3">
        <v>-2371.94</v>
      </c>
      <c r="AC225" s="3">
        <v>826.35</v>
      </c>
      <c r="AD225" s="3">
        <v>3206.23</v>
      </c>
      <c r="AE225" s="3">
        <v>29924.79</v>
      </c>
      <c r="AF225" t="str">
        <f>IF(tbl_FinancialData[[#This Row],[City]]="","Unknown",PROPER(TRIM(tbl_FinancialData[[#This Row],[City]])))</f>
        <v>Indore</v>
      </c>
      <c r="AG225" t="str">
        <f>_xlfn.LET(_xlpm.city,LOWER(TRIM(tbl_FinancialData[[#This Row],[City]])),_xlpm.st,PROPER(TRIM(tbl_FinancialData[[#This Row],[State]])),IF(_xlpm.city="pune","Maharashtra",IF(_xlpm.city="jamshedpur","Jharkhand",IF(_xlpm.city="bhilai","Chhattisgarh",IF(_xlpm.city="mumbai","Maharashtra",_xlpm.st)))))</f>
        <v>Madhya Pradesh</v>
      </c>
      <c r="AH225" t="str">
        <f>_xlfn.LET(_xlpm.d,PROPER(TRIM(tbl_FinancialData[[#This Row],[Department]])),IF(_xlpm.d="It","IT",_xlpm.d))</f>
        <v>Operations</v>
      </c>
      <c r="AI225" t="str">
        <f>_xlfn.LET(_xlpm.pid,tbl_FinancialData[[#This Row],[Product ID]],_xlpm.n,PROPER(TRIM(tbl_FinancialData[[#This Row],[Product Name]])),IF(_xlpm.pid="P020","Document Scanner",IF(_xlpm.pid="P015","Network Router",SUBSTITUTE(SUBSTITUTE(_xlpm.n,"Crm","CRM"),"Ups","UPS"))))</f>
        <v>Network Switch</v>
      </c>
      <c r="AJ225" s="3" t="str">
        <f>UPPER(TRIM(tbl_FinancialData[[#This Row],[Cost Center]]))</f>
        <v>CC-1005</v>
      </c>
    </row>
    <row r="226" spans="1:36" x14ac:dyDescent="0.25">
      <c r="A226" s="3" t="s">
        <v>425</v>
      </c>
      <c r="B226" s="2">
        <v>46112</v>
      </c>
      <c r="C226" t="s">
        <v>125</v>
      </c>
      <c r="D226" s="3" t="str">
        <f t="shared" si="15"/>
        <v>Q4</v>
      </c>
      <c r="E226" s="3" t="str">
        <f t="shared" si="16"/>
        <v>FY2026</v>
      </c>
      <c r="F226" s="8" t="s">
        <v>85</v>
      </c>
      <c r="G226" s="3" t="s">
        <v>35</v>
      </c>
      <c r="H226" t="s">
        <v>86</v>
      </c>
      <c r="I226" t="s">
        <v>87</v>
      </c>
      <c r="J226" s="3" t="s">
        <v>70</v>
      </c>
      <c r="K226" t="s">
        <v>71</v>
      </c>
      <c r="L226" s="3" t="s">
        <v>72</v>
      </c>
      <c r="M226" s="3" t="s">
        <v>235</v>
      </c>
      <c r="N226" t="s">
        <v>236</v>
      </c>
      <c r="O226" t="s">
        <v>104</v>
      </c>
      <c r="P226" t="s">
        <v>237</v>
      </c>
      <c r="Q226" s="3">
        <v>17606.22</v>
      </c>
      <c r="R226" s="3">
        <v>18412.560000000001</v>
      </c>
      <c r="S226" s="3">
        <v>10023.6</v>
      </c>
      <c r="T226" s="3">
        <v>1812.27</v>
      </c>
      <c r="U226" s="3">
        <v>601.77</v>
      </c>
      <c r="V226" s="3">
        <v>1508.33</v>
      </c>
      <c r="W226" s="3">
        <v>290.23</v>
      </c>
      <c r="X226" s="3">
        <v>14236.19</v>
      </c>
      <c r="Y226" s="3">
        <v>7582.62</v>
      </c>
      <c r="Z226" s="3">
        <f t="shared" si="17"/>
        <v>3370.0300000000007</v>
      </c>
      <c r="AA226" s="37">
        <f t="shared" si="18"/>
        <v>0.19141133076833075</v>
      </c>
      <c r="AB226" s="3">
        <v>-806.34</v>
      </c>
      <c r="AC226" s="3">
        <v>352.12</v>
      </c>
      <c r="AD226" s="3">
        <v>862.7</v>
      </c>
      <c r="AE226" s="3">
        <v>18116.8</v>
      </c>
      <c r="AF226" t="str">
        <f>IF(tbl_FinancialData[[#This Row],[City]]="","Unknown",PROPER(TRIM(tbl_FinancialData[[#This Row],[City]])))</f>
        <v>Indore</v>
      </c>
      <c r="AG226" t="str">
        <f>_xlfn.LET(_xlpm.city,LOWER(TRIM(tbl_FinancialData[[#This Row],[City]])),_xlpm.st,PROPER(TRIM(tbl_FinancialData[[#This Row],[State]])),IF(_xlpm.city="pune","Maharashtra",IF(_xlpm.city="jamshedpur","Jharkhand",IF(_xlpm.city="bhilai","Chhattisgarh",IF(_xlpm.city="mumbai","Maharashtra",_xlpm.st)))))</f>
        <v>Madhya Pradesh</v>
      </c>
      <c r="AH226" t="str">
        <f>_xlfn.LET(_xlpm.d,PROPER(TRIM(tbl_FinancialData[[#This Row],[Department]])),IF(_xlpm.d="It","IT",_xlpm.d))</f>
        <v>Marketing</v>
      </c>
      <c r="AI226" t="str">
        <f>_xlfn.LET(_xlpm.pid,tbl_FinancialData[[#This Row],[Product ID]],_xlpm.n,PROPER(TRIM(tbl_FinancialData[[#This Row],[Product Name]])),IF(_xlpm.pid="P020","Document Scanner",IF(_xlpm.pid="P015","Network Router",SUBSTITUTE(SUBSTITUTE(_xlpm.n,"Crm","CRM"),"Ups","UPS"))))</f>
        <v>Data Storage</v>
      </c>
      <c r="AJ226" s="3" t="str">
        <f>UPPER(TRIM(tbl_FinancialData[[#This Row],[Cost Center]]))</f>
        <v>CC-1004</v>
      </c>
    </row>
    <row r="227" spans="1:36" x14ac:dyDescent="0.25">
      <c r="A227" s="3" t="s">
        <v>426</v>
      </c>
      <c r="B227" s="2">
        <v>45984</v>
      </c>
      <c r="C227" t="s">
        <v>147</v>
      </c>
      <c r="D227" s="3" t="str">
        <f t="shared" si="15"/>
        <v>Q3</v>
      </c>
      <c r="E227" s="3" t="str">
        <f t="shared" si="16"/>
        <v>FY2026</v>
      </c>
      <c r="F227" s="8" t="s">
        <v>67</v>
      </c>
      <c r="G227" s="3" t="s">
        <v>35</v>
      </c>
      <c r="H227" t="s">
        <v>118</v>
      </c>
      <c r="I227" t="s">
        <v>209</v>
      </c>
      <c r="J227" s="3" t="s">
        <v>38</v>
      </c>
      <c r="K227" t="s">
        <v>160</v>
      </c>
      <c r="L227" s="3" t="s">
        <v>94</v>
      </c>
      <c r="M227" s="3" t="s">
        <v>197</v>
      </c>
      <c r="N227" t="s">
        <v>198</v>
      </c>
      <c r="O227" t="s">
        <v>43</v>
      </c>
      <c r="P227" t="s">
        <v>163</v>
      </c>
      <c r="Q227" s="3">
        <v>43744.19</v>
      </c>
      <c r="R227" s="3">
        <v>43316.25</v>
      </c>
      <c r="S227" s="3">
        <v>21910.77</v>
      </c>
      <c r="T227" s="3">
        <v>4135.7</v>
      </c>
      <c r="U227" s="3">
        <v>3496.6</v>
      </c>
      <c r="V227" s="3">
        <v>4535.1400000000003</v>
      </c>
      <c r="W227" s="3">
        <v>705.56</v>
      </c>
      <c r="X227" s="3">
        <v>34783.769999999997</v>
      </c>
      <c r="Y227" s="3">
        <v>21833.42</v>
      </c>
      <c r="Z227" s="3">
        <f t="shared" si="17"/>
        <v>8960.4200000000055</v>
      </c>
      <c r="AA227" s="37">
        <f t="shared" si="18"/>
        <v>0.20483680232734919</v>
      </c>
      <c r="AB227" s="3">
        <v>427.94</v>
      </c>
      <c r="AC227" s="3">
        <v>2187.21</v>
      </c>
      <c r="AD227" s="3">
        <v>2077.85</v>
      </c>
      <c r="AE227" s="3">
        <v>43634.83</v>
      </c>
      <c r="AF227" t="str">
        <f>IF(tbl_FinancialData[[#This Row],[City]]="","Unknown",PROPER(TRIM(tbl_FinancialData[[#This Row],[City]])))</f>
        <v>Jamshedpur</v>
      </c>
      <c r="AG227" t="str">
        <f>_xlfn.LET(_xlpm.city,LOWER(TRIM(tbl_FinancialData[[#This Row],[City]])),_xlpm.st,PROPER(TRIM(tbl_FinancialData[[#This Row],[State]])),IF(_xlpm.city="pune","Maharashtra",IF(_xlpm.city="jamshedpur","Jharkhand",IF(_xlpm.city="bhilai","Chhattisgarh",IF(_xlpm.city="mumbai","Maharashtra",_xlpm.st)))))</f>
        <v>Jharkhand</v>
      </c>
      <c r="AH227" t="str">
        <f>_xlfn.LET(_xlpm.d,PROPER(TRIM(tbl_FinancialData[[#This Row],[Department]])),IF(_xlpm.d="It","IT",_xlpm.d))</f>
        <v>IT</v>
      </c>
      <c r="AI227" t="str">
        <f>_xlfn.LET(_xlpm.pid,tbl_FinancialData[[#This Row],[Product ID]],_xlpm.n,PROPER(TRIM(tbl_FinancialData[[#This Row],[Product Name]])),IF(_xlpm.pid="P020","Document Scanner",IF(_xlpm.pid="P015","Network Router",SUBSTITUTE(SUBSTITUTE(_xlpm.n,"Crm","CRM"),"Ups","UPS"))))</f>
        <v>Smartphone</v>
      </c>
      <c r="AJ227" s="3" t="str">
        <f>UPPER(TRIM(tbl_FinancialData[[#This Row],[Cost Center]]))</f>
        <v>CC-1001</v>
      </c>
    </row>
    <row r="228" spans="1:36" x14ac:dyDescent="0.25">
      <c r="A228" s="3" t="s">
        <v>427</v>
      </c>
      <c r="B228" s="2">
        <v>46001</v>
      </c>
      <c r="C228" t="s">
        <v>107</v>
      </c>
      <c r="D228" s="3" t="str">
        <f t="shared" si="15"/>
        <v>Q3</v>
      </c>
      <c r="E228" s="3" t="str">
        <f t="shared" si="16"/>
        <v>FY2026</v>
      </c>
      <c r="F228" s="8" t="s">
        <v>67</v>
      </c>
      <c r="G228" s="3" t="s">
        <v>35</v>
      </c>
      <c r="H228" t="s">
        <v>118</v>
      </c>
      <c r="I228" t="s">
        <v>227</v>
      </c>
      <c r="J228" s="3" t="s">
        <v>70</v>
      </c>
      <c r="K228" t="s">
        <v>50</v>
      </c>
      <c r="L228" s="3" t="s">
        <v>81</v>
      </c>
      <c r="M228" s="3" t="s">
        <v>189</v>
      </c>
      <c r="N228" t="s">
        <v>190</v>
      </c>
      <c r="O228" t="s">
        <v>104</v>
      </c>
      <c r="P228" t="s">
        <v>105</v>
      </c>
      <c r="Q228" s="3">
        <v>30670.04</v>
      </c>
      <c r="R228" s="3">
        <v>32761.69</v>
      </c>
      <c r="S228" s="3">
        <v>20244.18</v>
      </c>
      <c r="T228" s="3">
        <v>1906.57</v>
      </c>
      <c r="U228" s="3">
        <v>1680.44</v>
      </c>
      <c r="V228" s="3">
        <v>2088.5500000000002</v>
      </c>
      <c r="W228" s="3">
        <v>407.36</v>
      </c>
      <c r="X228" s="3">
        <v>26327.11</v>
      </c>
      <c r="Y228" s="3">
        <v>10425.86</v>
      </c>
      <c r="Z228" s="3">
        <f t="shared" si="17"/>
        <v>4342.93</v>
      </c>
      <c r="AA228" s="37">
        <f t="shared" si="18"/>
        <v>0.14160170642098935</v>
      </c>
      <c r="AB228" s="3">
        <v>-2091.66</v>
      </c>
      <c r="AC228" s="3">
        <v>920.1</v>
      </c>
      <c r="AD228" s="3">
        <v>5354.99</v>
      </c>
      <c r="AE228" s="3">
        <v>35104.92</v>
      </c>
      <c r="AF228" t="str">
        <f>IF(tbl_FinancialData[[#This Row],[City]]="","Unknown",PROPER(TRIM(tbl_FinancialData[[#This Row],[City]])))</f>
        <v>Dhanbad</v>
      </c>
      <c r="AG228" t="str">
        <f>_xlfn.LET(_xlpm.city,LOWER(TRIM(tbl_FinancialData[[#This Row],[City]])),_xlpm.st,PROPER(TRIM(tbl_FinancialData[[#This Row],[State]])),IF(_xlpm.city="pune","Maharashtra",IF(_xlpm.city="jamshedpur","Jharkhand",IF(_xlpm.city="bhilai","Chhattisgarh",IF(_xlpm.city="mumbai","Maharashtra",_xlpm.st)))))</f>
        <v>Jharkhand</v>
      </c>
      <c r="AH228" t="str">
        <f>_xlfn.LET(_xlpm.d,PROPER(TRIM(tbl_FinancialData[[#This Row],[Department]])),IF(_xlpm.d="It","IT",_xlpm.d))</f>
        <v>Sales</v>
      </c>
      <c r="AI228" t="str">
        <f>_xlfn.LET(_xlpm.pid,tbl_FinancialData[[#This Row],[Product ID]],_xlpm.n,PROPER(TRIM(tbl_FinancialData[[#This Row],[Product Name]])),IF(_xlpm.pid="P020","Document Scanner",IF(_xlpm.pid="P015","Network Router",SUBSTITUTE(SUBSTITUTE(_xlpm.n,"Crm","CRM"),"Ups","UPS"))))</f>
        <v>CRM Software</v>
      </c>
      <c r="AJ228" s="3" t="str">
        <f>UPPER(TRIM(tbl_FinancialData[[#This Row],[Cost Center]]))</f>
        <v>CC-1005</v>
      </c>
    </row>
    <row r="229" spans="1:36" x14ac:dyDescent="0.25">
      <c r="A229" s="3" t="s">
        <v>428</v>
      </c>
      <c r="B229" s="2">
        <v>45856</v>
      </c>
      <c r="C229" t="s">
        <v>32</v>
      </c>
      <c r="D229" s="3" t="str">
        <f t="shared" si="15"/>
        <v>Q2</v>
      </c>
      <c r="E229" s="3" t="str">
        <f t="shared" si="16"/>
        <v>FY2026</v>
      </c>
      <c r="F229" s="8" t="s">
        <v>85</v>
      </c>
      <c r="G229" s="3" t="s">
        <v>35</v>
      </c>
      <c r="H229" t="s">
        <v>60</v>
      </c>
      <c r="I229" t="s">
        <v>185</v>
      </c>
      <c r="J229" s="3" t="s">
        <v>70</v>
      </c>
      <c r="K229" t="s">
        <v>160</v>
      </c>
      <c r="L229" s="3" t="s">
        <v>81</v>
      </c>
      <c r="M229" s="3" t="s">
        <v>130</v>
      </c>
      <c r="N229" t="s">
        <v>131</v>
      </c>
      <c r="O229" t="s">
        <v>43</v>
      </c>
      <c r="P229" t="s">
        <v>132</v>
      </c>
      <c r="Q229" s="3">
        <v>63621.75</v>
      </c>
      <c r="R229" s="3">
        <v>67730.2</v>
      </c>
      <c r="S229" s="3">
        <v>42149.53</v>
      </c>
      <c r="T229" s="3">
        <v>5791.73</v>
      </c>
      <c r="U229" s="3">
        <v>4502.22</v>
      </c>
      <c r="V229" s="3">
        <v>7304.65</v>
      </c>
      <c r="W229" s="3">
        <v>1473.05</v>
      </c>
      <c r="X229" s="3">
        <v>61221.17</v>
      </c>
      <c r="Y229" s="3">
        <v>21472.22</v>
      </c>
      <c r="Z229" s="3">
        <f t="shared" si="17"/>
        <v>2400.5800000000017</v>
      </c>
      <c r="AA229" s="37">
        <f t="shared" si="18"/>
        <v>3.7732064899189378E-2</v>
      </c>
      <c r="AB229" s="3">
        <v>-4108.4399999999996</v>
      </c>
      <c r="AC229" s="3">
        <v>3181.09</v>
      </c>
      <c r="AD229" s="3">
        <v>7252.88</v>
      </c>
      <c r="AE229" s="3">
        <v>67693.55</v>
      </c>
      <c r="AF229" t="str">
        <f>IF(tbl_FinancialData[[#This Row],[City]]="","Unknown",PROPER(TRIM(tbl_FinancialData[[#This Row],[City]])))</f>
        <v>Kanpur</v>
      </c>
      <c r="AG229" t="str">
        <f>_xlfn.LET(_xlpm.city,LOWER(TRIM(tbl_FinancialData[[#This Row],[City]])),_xlpm.st,PROPER(TRIM(tbl_FinancialData[[#This Row],[State]])),IF(_xlpm.city="pune","Maharashtra",IF(_xlpm.city="jamshedpur","Jharkhand",IF(_xlpm.city="bhilai","Chhattisgarh",IF(_xlpm.city="mumbai","Maharashtra",_xlpm.st)))))</f>
        <v>Uttar Pradesh</v>
      </c>
      <c r="AH229" t="str">
        <f>_xlfn.LET(_xlpm.d,PROPER(TRIM(tbl_FinancialData[[#This Row],[Department]])),IF(_xlpm.d="It","IT",_xlpm.d))</f>
        <v>IT</v>
      </c>
      <c r="AI229" t="str">
        <f>_xlfn.LET(_xlpm.pid,tbl_FinancialData[[#This Row],[Product ID]],_xlpm.n,PROPER(TRIM(tbl_FinancialData[[#This Row],[Product Name]])),IF(_xlpm.pid="P020","Document Scanner",IF(_xlpm.pid="P015","Network Router",SUBSTITUTE(SUBSTITUTE(_xlpm.n,"Crm","CRM"),"Ups","UPS"))))</f>
        <v>UPS System</v>
      </c>
      <c r="AJ229" s="3" t="str">
        <f>UPPER(TRIM(tbl_FinancialData[[#This Row],[Cost Center]]))</f>
        <v>CC-1005</v>
      </c>
    </row>
    <row r="230" spans="1:36" x14ac:dyDescent="0.25">
      <c r="A230" s="3" t="s">
        <v>429</v>
      </c>
      <c r="B230" s="2">
        <v>45918</v>
      </c>
      <c r="C230" t="s">
        <v>46</v>
      </c>
      <c r="D230" s="3" t="str">
        <f t="shared" si="15"/>
        <v>Q2</v>
      </c>
      <c r="E230" s="3" t="str">
        <f t="shared" si="16"/>
        <v>FY2026</v>
      </c>
      <c r="F230" s="8" t="s">
        <v>59</v>
      </c>
      <c r="G230" s="3" t="s">
        <v>35</v>
      </c>
      <c r="H230" t="s">
        <v>254</v>
      </c>
      <c r="I230" t="s">
        <v>255</v>
      </c>
      <c r="J230" s="3" t="s">
        <v>80</v>
      </c>
      <c r="K230" t="s">
        <v>39</v>
      </c>
      <c r="L230" s="3" t="s">
        <v>72</v>
      </c>
      <c r="M230" s="3" t="s">
        <v>186</v>
      </c>
      <c r="N230" t="s">
        <v>187</v>
      </c>
      <c r="O230" t="s">
        <v>173</v>
      </c>
      <c r="P230" t="s">
        <v>174</v>
      </c>
      <c r="Q230" s="3">
        <v>34313.94</v>
      </c>
      <c r="R230" s="3">
        <v>35356.49</v>
      </c>
      <c r="S230" s="3">
        <v>16884.46</v>
      </c>
      <c r="T230" s="3">
        <v>1811.53</v>
      </c>
      <c r="U230" s="3">
        <v>2087.16</v>
      </c>
      <c r="V230" s="3">
        <v>2575.41</v>
      </c>
      <c r="W230" s="3">
        <v>1350.99</v>
      </c>
      <c r="X230" s="3">
        <v>24709.55</v>
      </c>
      <c r="Y230" s="3">
        <v>17429.48</v>
      </c>
      <c r="Z230" s="3">
        <f t="shared" si="17"/>
        <v>9604.3900000000031</v>
      </c>
      <c r="AA230" s="37">
        <f t="shared" si="18"/>
        <v>0.27989761595433232</v>
      </c>
      <c r="AB230" s="3">
        <v>-1042.55</v>
      </c>
      <c r="AC230" s="3">
        <v>0</v>
      </c>
      <c r="AD230" s="3">
        <v>1715.7</v>
      </c>
      <c r="AE230" s="3">
        <v>36029.64</v>
      </c>
      <c r="AF230" t="str">
        <f>IF(tbl_FinancialData[[#This Row],[City]]="","Unknown",PROPER(TRIM(tbl_FinancialData[[#This Row],[City]])))</f>
        <v>Noida</v>
      </c>
      <c r="AG230" t="str">
        <f>_xlfn.LET(_xlpm.city,LOWER(TRIM(tbl_FinancialData[[#This Row],[City]])),_xlpm.st,PROPER(TRIM(tbl_FinancialData[[#This Row],[State]])),IF(_xlpm.city="pune","Maharashtra",IF(_xlpm.city="jamshedpur","Jharkhand",IF(_xlpm.city="bhilai","Chhattisgarh",IF(_xlpm.city="mumbai","Maharashtra",_xlpm.st)))))</f>
        <v>Delhi</v>
      </c>
      <c r="AH230" t="str">
        <f>_xlfn.LET(_xlpm.d,PROPER(TRIM(tbl_FinancialData[[#This Row],[Department]])),IF(_xlpm.d="It","IT",_xlpm.d))</f>
        <v>Operations</v>
      </c>
      <c r="AI230" t="str">
        <f>_xlfn.LET(_xlpm.pid,tbl_FinancialData[[#This Row],[Product ID]],_xlpm.n,PROPER(TRIM(tbl_FinancialData[[#This Row],[Product Name]])),IF(_xlpm.pid="P020","Document Scanner",IF(_xlpm.pid="P015","Network Router",SUBSTITUTE(SUBSTITUTE(_xlpm.n,"Crm","CRM"),"Ups","UPS"))))</f>
        <v>Network Router</v>
      </c>
      <c r="AJ230" s="3" t="str">
        <f>UPPER(TRIM(tbl_FinancialData[[#This Row],[Cost Center]]))</f>
        <v>CC-1004</v>
      </c>
    </row>
    <row r="231" spans="1:36" x14ac:dyDescent="0.25">
      <c r="A231" s="3" t="s">
        <v>430</v>
      </c>
      <c r="B231" s="2">
        <v>45845</v>
      </c>
      <c r="C231" t="s">
        <v>32</v>
      </c>
      <c r="D231" s="3" t="str">
        <f t="shared" si="15"/>
        <v>Q2</v>
      </c>
      <c r="E231" s="3" t="str">
        <f t="shared" si="16"/>
        <v>FY2026</v>
      </c>
      <c r="F231" s="8" t="s">
        <v>47</v>
      </c>
      <c r="G231" s="3" t="s">
        <v>35</v>
      </c>
      <c r="H231" t="s">
        <v>78</v>
      </c>
      <c r="I231" t="s">
        <v>183</v>
      </c>
      <c r="J231" s="3" t="s">
        <v>38</v>
      </c>
      <c r="K231" t="s">
        <v>71</v>
      </c>
      <c r="L231" s="3" t="s">
        <v>94</v>
      </c>
      <c r="M231" s="3" t="s">
        <v>141</v>
      </c>
      <c r="N231" t="s">
        <v>142</v>
      </c>
      <c r="O231" t="s">
        <v>54</v>
      </c>
      <c r="P231" t="s">
        <v>143</v>
      </c>
      <c r="Q231" s="3">
        <v>2897.26</v>
      </c>
      <c r="R231" s="3">
        <v>2879.66</v>
      </c>
      <c r="S231" s="3">
        <v>1947.96</v>
      </c>
      <c r="T231" s="3">
        <v>235.74</v>
      </c>
      <c r="U231" s="3">
        <v>213.82</v>
      </c>
      <c r="V231" s="3">
        <v>144.97999999999999</v>
      </c>
      <c r="W231" s="3">
        <v>107.33</v>
      </c>
      <c r="X231" s="3">
        <v>2649.83</v>
      </c>
      <c r="Y231" s="3">
        <v>949.3</v>
      </c>
      <c r="Z231" s="3">
        <f t="shared" si="17"/>
        <v>247.43000000000029</v>
      </c>
      <c r="AA231" s="37">
        <f t="shared" si="18"/>
        <v>8.5401379234173069E-2</v>
      </c>
      <c r="AB231" s="3">
        <v>17.600000000000001</v>
      </c>
      <c r="AC231" s="3">
        <v>57.95</v>
      </c>
      <c r="AD231" s="3">
        <v>511.08</v>
      </c>
      <c r="AE231" s="3">
        <v>3350.39</v>
      </c>
      <c r="AF231" t="str">
        <f>IF(tbl_FinancialData[[#This Row],[City]]="","Unknown",PROPER(TRIM(tbl_FinancialData[[#This Row],[City]])))</f>
        <v>Kozhikode</v>
      </c>
      <c r="AG231" t="str">
        <f>_xlfn.LET(_xlpm.city,LOWER(TRIM(tbl_FinancialData[[#This Row],[City]])),_xlpm.st,PROPER(TRIM(tbl_FinancialData[[#This Row],[State]])),IF(_xlpm.city="pune","Maharashtra",IF(_xlpm.city="jamshedpur","Jharkhand",IF(_xlpm.city="bhilai","Chhattisgarh",IF(_xlpm.city="mumbai","Maharashtra",_xlpm.st)))))</f>
        <v>Kerala</v>
      </c>
      <c r="AH231" t="str">
        <f>_xlfn.LET(_xlpm.d,PROPER(TRIM(tbl_FinancialData[[#This Row],[Department]])),IF(_xlpm.d="It","IT",_xlpm.d))</f>
        <v>Marketing</v>
      </c>
      <c r="AI231" t="str">
        <f>_xlfn.LET(_xlpm.pid,tbl_FinancialData[[#This Row],[Product ID]],_xlpm.n,PROPER(TRIM(tbl_FinancialData[[#This Row],[Product Name]])),IF(_xlpm.pid="P020","Document Scanner",IF(_xlpm.pid="P015","Network Router",SUBSTITUTE(SUBSTITUTE(_xlpm.n,"Crm","CRM"),"Ups","UPS"))))</f>
        <v>Headset</v>
      </c>
      <c r="AJ231" s="3" t="str">
        <f>UPPER(TRIM(tbl_FinancialData[[#This Row],[Cost Center]]))</f>
        <v>CC-1001</v>
      </c>
    </row>
    <row r="232" spans="1:36" x14ac:dyDescent="0.25">
      <c r="A232" s="3" t="s">
        <v>431</v>
      </c>
      <c r="B232" s="2">
        <v>46088</v>
      </c>
      <c r="C232" t="s">
        <v>125</v>
      </c>
      <c r="D232" s="3" t="str">
        <f t="shared" si="15"/>
        <v>Q4</v>
      </c>
      <c r="E232" s="3" t="str">
        <f t="shared" si="16"/>
        <v>FY2026</v>
      </c>
      <c r="F232" s="8" t="s">
        <v>34</v>
      </c>
      <c r="G232" s="3" t="s">
        <v>35</v>
      </c>
      <c r="H232" t="s">
        <v>134</v>
      </c>
      <c r="I232" t="s">
        <v>135</v>
      </c>
      <c r="J232" s="3" t="s">
        <v>100</v>
      </c>
      <c r="K232" t="s">
        <v>50</v>
      </c>
      <c r="L232" s="3" t="s">
        <v>81</v>
      </c>
      <c r="M232" s="3" t="s">
        <v>189</v>
      </c>
      <c r="N232" t="s">
        <v>190</v>
      </c>
      <c r="O232" t="s">
        <v>104</v>
      </c>
      <c r="P232" t="s">
        <v>105</v>
      </c>
      <c r="Q232" s="3">
        <v>25575.09</v>
      </c>
      <c r="R232" s="3">
        <v>28454.16</v>
      </c>
      <c r="S232" s="3">
        <v>13714.95</v>
      </c>
      <c r="T232" s="3">
        <v>1984.8</v>
      </c>
      <c r="U232" s="3">
        <v>689.42</v>
      </c>
      <c r="V232" s="3">
        <v>2990.22</v>
      </c>
      <c r="W232" s="3">
        <v>853.58</v>
      </c>
      <c r="X232" s="3">
        <v>20232.98</v>
      </c>
      <c r="Y232" s="3">
        <v>11860.14</v>
      </c>
      <c r="Z232" s="3">
        <f t="shared" si="17"/>
        <v>5342.1100000000006</v>
      </c>
      <c r="AA232" s="37">
        <f t="shared" si="18"/>
        <v>0.20887942134318982</v>
      </c>
      <c r="AB232" s="3">
        <v>-2879.07</v>
      </c>
      <c r="AC232" s="3">
        <v>2557.5100000000002</v>
      </c>
      <c r="AD232" s="3">
        <v>2762.11</v>
      </c>
      <c r="AE232" s="3">
        <v>25779.69</v>
      </c>
      <c r="AF232" t="str">
        <f>IF(tbl_FinancialData[[#This Row],[City]]="","Unknown",PROPER(TRIM(tbl_FinancialData[[#This Row],[City]])))</f>
        <v>Jodhpur</v>
      </c>
      <c r="AG232" t="str">
        <f>_xlfn.LET(_xlpm.city,LOWER(TRIM(tbl_FinancialData[[#This Row],[City]])),_xlpm.st,PROPER(TRIM(tbl_FinancialData[[#This Row],[State]])),IF(_xlpm.city="pune","Maharashtra",IF(_xlpm.city="jamshedpur","Jharkhand",IF(_xlpm.city="bhilai","Chhattisgarh",IF(_xlpm.city="mumbai","Maharashtra",_xlpm.st)))))</f>
        <v>Rajasthan</v>
      </c>
      <c r="AH232" t="str">
        <f>_xlfn.LET(_xlpm.d,PROPER(TRIM(tbl_FinancialData[[#This Row],[Department]])),IF(_xlpm.d="It","IT",_xlpm.d))</f>
        <v>Sales</v>
      </c>
      <c r="AI232" t="str">
        <f>_xlfn.LET(_xlpm.pid,tbl_FinancialData[[#This Row],[Product ID]],_xlpm.n,PROPER(TRIM(tbl_FinancialData[[#This Row],[Product Name]])),IF(_xlpm.pid="P020","Document Scanner",IF(_xlpm.pid="P015","Network Router",SUBSTITUTE(SUBSTITUTE(_xlpm.n,"Crm","CRM"),"Ups","UPS"))))</f>
        <v>CRM Software</v>
      </c>
      <c r="AJ232" s="3" t="str">
        <f>UPPER(TRIM(tbl_FinancialData[[#This Row],[Cost Center]]))</f>
        <v>CC-1005</v>
      </c>
    </row>
    <row r="233" spans="1:36" x14ac:dyDescent="0.25">
      <c r="A233" s="3" t="s">
        <v>432</v>
      </c>
      <c r="B233" s="2">
        <v>46020</v>
      </c>
      <c r="C233" t="s">
        <v>107</v>
      </c>
      <c r="D233" s="3" t="str">
        <f t="shared" si="15"/>
        <v>Q3</v>
      </c>
      <c r="E233" s="3" t="str">
        <f t="shared" si="16"/>
        <v>FY2026</v>
      </c>
      <c r="F233" s="8" t="s">
        <v>34</v>
      </c>
      <c r="G233" s="3" t="s">
        <v>35</v>
      </c>
      <c r="H233" t="s">
        <v>134</v>
      </c>
      <c r="I233" t="s">
        <v>135</v>
      </c>
      <c r="J233" s="3" t="s">
        <v>38</v>
      </c>
      <c r="K233" t="s">
        <v>71</v>
      </c>
      <c r="L233" s="3" t="s">
        <v>81</v>
      </c>
      <c r="M233" s="3" t="s">
        <v>41</v>
      </c>
      <c r="N233" t="s">
        <v>42</v>
      </c>
      <c r="O233" t="s">
        <v>43</v>
      </c>
      <c r="P233" t="s">
        <v>44</v>
      </c>
      <c r="Q233" s="3">
        <v>40135.99</v>
      </c>
      <c r="R233" s="3">
        <v>46312.08</v>
      </c>
      <c r="S233" s="3">
        <v>22538.16</v>
      </c>
      <c r="T233" s="3">
        <v>3469.74</v>
      </c>
      <c r="U233" s="3">
        <v>2772.49</v>
      </c>
      <c r="V233" s="3">
        <v>3349.02</v>
      </c>
      <c r="W233" s="3">
        <v>888.65</v>
      </c>
      <c r="X233" s="3">
        <v>33018.050000000003</v>
      </c>
      <c r="Y233" s="3">
        <v>17597.830000000002</v>
      </c>
      <c r="Z233" s="3">
        <f t="shared" si="17"/>
        <v>7117.9399999999951</v>
      </c>
      <c r="AA233" s="37">
        <f t="shared" si="18"/>
        <v>0.17734556940043078</v>
      </c>
      <c r="AB233" s="3">
        <v>-6176.1</v>
      </c>
      <c r="AC233" s="3">
        <v>1204.08</v>
      </c>
      <c r="AD233" s="3">
        <v>7007.74</v>
      </c>
      <c r="AE233" s="3">
        <v>45939.65</v>
      </c>
      <c r="AF233" t="str">
        <f>IF(tbl_FinancialData[[#This Row],[City]]="","Unknown",PROPER(TRIM(tbl_FinancialData[[#This Row],[City]])))</f>
        <v>Jodhpur</v>
      </c>
      <c r="AG233" t="str">
        <f>_xlfn.LET(_xlpm.city,LOWER(TRIM(tbl_FinancialData[[#This Row],[City]])),_xlpm.st,PROPER(TRIM(tbl_FinancialData[[#This Row],[State]])),IF(_xlpm.city="pune","Maharashtra",IF(_xlpm.city="jamshedpur","Jharkhand",IF(_xlpm.city="bhilai","Chhattisgarh",IF(_xlpm.city="mumbai","Maharashtra",_xlpm.st)))))</f>
        <v>Rajasthan</v>
      </c>
      <c r="AH233" t="str">
        <f>_xlfn.LET(_xlpm.d,PROPER(TRIM(tbl_FinancialData[[#This Row],[Department]])),IF(_xlpm.d="It","IT",_xlpm.d))</f>
        <v>Marketing</v>
      </c>
      <c r="AI233" t="str">
        <f>_xlfn.LET(_xlpm.pid,tbl_FinancialData[[#This Row],[Product ID]],_xlpm.n,PROPER(TRIM(tbl_FinancialData[[#This Row],[Product Name]])),IF(_xlpm.pid="P020","Document Scanner",IF(_xlpm.pid="P015","Network Router",SUBSTITUTE(SUBSTITUTE(_xlpm.n,"Crm","CRM"),"Ups","UPS"))))</f>
        <v>Conference Camera</v>
      </c>
      <c r="AJ233" s="3" t="str">
        <f>UPPER(TRIM(tbl_FinancialData[[#This Row],[Cost Center]]))</f>
        <v>CC-1005</v>
      </c>
    </row>
    <row r="234" spans="1:36" x14ac:dyDescent="0.25">
      <c r="A234" s="3" t="s">
        <v>433</v>
      </c>
      <c r="B234" s="2">
        <v>45999</v>
      </c>
      <c r="C234" t="s">
        <v>107</v>
      </c>
      <c r="D234" s="3" t="str">
        <f t="shared" si="15"/>
        <v>Q3</v>
      </c>
      <c r="E234" s="3" t="str">
        <f t="shared" si="16"/>
        <v>FY2026</v>
      </c>
      <c r="F234" s="8" t="s">
        <v>47</v>
      </c>
      <c r="G234" s="3" t="s">
        <v>35</v>
      </c>
      <c r="H234" t="s">
        <v>78</v>
      </c>
      <c r="I234" t="s">
        <v>183</v>
      </c>
      <c r="J234" s="3" t="s">
        <v>38</v>
      </c>
      <c r="K234" t="s">
        <v>50</v>
      </c>
      <c r="L234" s="3" t="s">
        <v>40</v>
      </c>
      <c r="M234" s="3" t="s">
        <v>171</v>
      </c>
      <c r="N234" t="s">
        <v>172</v>
      </c>
      <c r="O234" t="s">
        <v>173</v>
      </c>
      <c r="P234" t="s">
        <v>174</v>
      </c>
      <c r="Q234" s="3">
        <v>39821.29</v>
      </c>
      <c r="R234" s="3">
        <v>37261.57</v>
      </c>
      <c r="S234" s="3">
        <v>22674.33</v>
      </c>
      <c r="T234" s="3">
        <v>4949.41</v>
      </c>
      <c r="U234" s="3">
        <v>1155.52</v>
      </c>
      <c r="V234" s="3">
        <v>1887.08</v>
      </c>
      <c r="W234" s="3">
        <v>625.1</v>
      </c>
      <c r="X234" s="3">
        <v>31291.439999999999</v>
      </c>
      <c r="Y234" s="3">
        <v>17146.96</v>
      </c>
      <c r="Z234" s="3">
        <f t="shared" si="17"/>
        <v>8529.8500000000022</v>
      </c>
      <c r="AA234" s="37">
        <f t="shared" si="18"/>
        <v>0.21420325659967324</v>
      </c>
      <c r="AB234" s="3">
        <v>2559.7199999999998</v>
      </c>
      <c r="AC234" s="3">
        <v>1991.06</v>
      </c>
      <c r="AD234" s="3">
        <v>1891.51</v>
      </c>
      <c r="AE234" s="3">
        <v>39721.74</v>
      </c>
      <c r="AF234" t="str">
        <f>IF(tbl_FinancialData[[#This Row],[City]]="","Unknown",PROPER(TRIM(tbl_FinancialData[[#This Row],[City]])))</f>
        <v>Kozhikode</v>
      </c>
      <c r="AG234" t="str">
        <f>_xlfn.LET(_xlpm.city,LOWER(TRIM(tbl_FinancialData[[#This Row],[City]])),_xlpm.st,PROPER(TRIM(tbl_FinancialData[[#This Row],[State]])),IF(_xlpm.city="pune","Maharashtra",IF(_xlpm.city="jamshedpur","Jharkhand",IF(_xlpm.city="bhilai","Chhattisgarh",IF(_xlpm.city="mumbai","Maharashtra",_xlpm.st)))))</f>
        <v>Kerala</v>
      </c>
      <c r="AH234" t="str">
        <f>_xlfn.LET(_xlpm.d,PROPER(TRIM(tbl_FinancialData[[#This Row],[Department]])),IF(_xlpm.d="It","IT",_xlpm.d))</f>
        <v>Sales</v>
      </c>
      <c r="AI234" t="str">
        <f>_xlfn.LET(_xlpm.pid,tbl_FinancialData[[#This Row],[Product ID]],_xlpm.n,PROPER(TRIM(tbl_FinancialData[[#This Row],[Product Name]])),IF(_xlpm.pid="P020","Document Scanner",IF(_xlpm.pid="P015","Network Router",SUBSTITUTE(SUBSTITUTE(_xlpm.n,"Crm","CRM"),"Ups","UPS"))))</f>
        <v>Network Switch</v>
      </c>
      <c r="AJ234" s="3" t="str">
        <f>UPPER(TRIM(tbl_FinancialData[[#This Row],[Cost Center]]))</f>
        <v>CC-1002</v>
      </c>
    </row>
    <row r="235" spans="1:36" x14ac:dyDescent="0.25">
      <c r="A235" s="3" t="s">
        <v>434</v>
      </c>
      <c r="B235" s="2">
        <v>45889</v>
      </c>
      <c r="C235" t="s">
        <v>117</v>
      </c>
      <c r="D235" s="3" t="str">
        <f t="shared" si="15"/>
        <v>Q2</v>
      </c>
      <c r="E235" s="3" t="str">
        <f t="shared" si="16"/>
        <v>FY2026</v>
      </c>
      <c r="F235" s="8" t="s">
        <v>67</v>
      </c>
      <c r="G235" s="3" t="s">
        <v>35</v>
      </c>
      <c r="H235" t="s">
        <v>217</v>
      </c>
      <c r="I235" t="s">
        <v>218</v>
      </c>
      <c r="J235" s="3" t="s">
        <v>70</v>
      </c>
      <c r="K235" t="s">
        <v>50</v>
      </c>
      <c r="L235" s="3" t="s">
        <v>40</v>
      </c>
      <c r="M235" s="3" t="s">
        <v>62</v>
      </c>
      <c r="N235" t="s">
        <v>63</v>
      </c>
      <c r="O235" t="s">
        <v>54</v>
      </c>
      <c r="P235" t="s">
        <v>55</v>
      </c>
      <c r="Q235" s="3">
        <v>8487.4</v>
      </c>
      <c r="R235" s="3">
        <v>8940.35</v>
      </c>
      <c r="S235" s="3">
        <v>5916.11</v>
      </c>
      <c r="T235" s="3">
        <v>979.38</v>
      </c>
      <c r="U235" s="3">
        <v>629.83000000000004</v>
      </c>
      <c r="V235" s="3">
        <v>377.25</v>
      </c>
      <c r="W235" s="3">
        <v>86.92</v>
      </c>
      <c r="X235" s="3">
        <v>7989.5</v>
      </c>
      <c r="Y235" s="3">
        <v>2571.29</v>
      </c>
      <c r="Z235" s="3">
        <f t="shared" si="17"/>
        <v>497.89999999999964</v>
      </c>
      <c r="AA235" s="37">
        <f t="shared" si="18"/>
        <v>5.8663430496971938E-2</v>
      </c>
      <c r="AB235" s="3">
        <v>-452.95</v>
      </c>
      <c r="AC235" s="3">
        <v>169.75</v>
      </c>
      <c r="AD235" s="3">
        <v>1497.18</v>
      </c>
      <c r="AE235" s="3">
        <v>9814.83</v>
      </c>
      <c r="AF235" t="str">
        <f>IF(tbl_FinancialData[[#This Row],[City]]="","Unknown",PROPER(TRIM(tbl_FinancialData[[#This Row],[City]])))</f>
        <v>Gaya</v>
      </c>
      <c r="AG235" t="str">
        <f>_xlfn.LET(_xlpm.city,LOWER(TRIM(tbl_FinancialData[[#This Row],[City]])),_xlpm.st,PROPER(TRIM(tbl_FinancialData[[#This Row],[State]])),IF(_xlpm.city="pune","Maharashtra",IF(_xlpm.city="jamshedpur","Jharkhand",IF(_xlpm.city="bhilai","Chhattisgarh",IF(_xlpm.city="mumbai","Maharashtra",_xlpm.st)))))</f>
        <v>Bihar</v>
      </c>
      <c r="AH235" t="str">
        <f>_xlfn.LET(_xlpm.d,PROPER(TRIM(tbl_FinancialData[[#This Row],[Department]])),IF(_xlpm.d="It","IT",_xlpm.d))</f>
        <v>Sales</v>
      </c>
      <c r="AI235" t="str">
        <f>_xlfn.LET(_xlpm.pid,tbl_FinancialData[[#This Row],[Product ID]],_xlpm.n,PROPER(TRIM(tbl_FinancialData[[#This Row],[Product Name]])),IF(_xlpm.pid="P020","Document Scanner",IF(_xlpm.pid="P015","Network Router",SUBSTITUTE(SUBSTITUTE(_xlpm.n,"Crm","CRM"),"Ups","UPS"))))</f>
        <v>Keyboard</v>
      </c>
      <c r="AJ235" s="3" t="str">
        <f>UPPER(TRIM(tbl_FinancialData[[#This Row],[Cost Center]]))</f>
        <v>CC-1002</v>
      </c>
    </row>
    <row r="236" spans="1:36" x14ac:dyDescent="0.25">
      <c r="A236" s="3" t="s">
        <v>435</v>
      </c>
      <c r="B236" s="2">
        <v>46029</v>
      </c>
      <c r="C236" t="s">
        <v>77</v>
      </c>
      <c r="D236" s="3" t="str">
        <f t="shared" si="15"/>
        <v>Q4</v>
      </c>
      <c r="E236" s="3" t="str">
        <f t="shared" si="16"/>
        <v>FY2026</v>
      </c>
      <c r="F236" s="8" t="s">
        <v>34</v>
      </c>
      <c r="G236" s="3" t="s">
        <v>35</v>
      </c>
      <c r="H236" t="s">
        <v>36</v>
      </c>
      <c r="I236" t="s">
        <v>37</v>
      </c>
      <c r="J236" s="3" t="s">
        <v>100</v>
      </c>
      <c r="K236" t="s">
        <v>160</v>
      </c>
      <c r="L236" s="3" t="s">
        <v>72</v>
      </c>
      <c r="M236" s="3" t="s">
        <v>171</v>
      </c>
      <c r="N236" t="s">
        <v>172</v>
      </c>
      <c r="O236" t="s">
        <v>173</v>
      </c>
      <c r="P236" t="s">
        <v>174</v>
      </c>
      <c r="Q236" s="3">
        <v>24056.62</v>
      </c>
      <c r="R236" s="3">
        <v>22545.46</v>
      </c>
      <c r="S236" s="3">
        <v>12613.17</v>
      </c>
      <c r="T236" s="3">
        <v>1861.23</v>
      </c>
      <c r="U236" s="3">
        <v>1273.73</v>
      </c>
      <c r="V236" s="3">
        <v>2561.4499999999998</v>
      </c>
      <c r="W236" s="3">
        <v>341.51</v>
      </c>
      <c r="X236" s="3">
        <v>18651.09</v>
      </c>
      <c r="Y236" s="3">
        <v>11443.45</v>
      </c>
      <c r="Z236" s="3">
        <f t="shared" si="17"/>
        <v>5405.5299999999988</v>
      </c>
      <c r="AA236" s="37">
        <f t="shared" si="18"/>
        <v>0.22470031118253517</v>
      </c>
      <c r="AB236" s="3">
        <v>1511.17</v>
      </c>
      <c r="AC236" s="3">
        <v>1202.83</v>
      </c>
      <c r="AD236" s="3">
        <v>2742.45</v>
      </c>
      <c r="AE236" s="3">
        <v>25596.25</v>
      </c>
      <c r="AF236" t="str">
        <f>IF(tbl_FinancialData[[#This Row],[City]]="","Unknown",PROPER(TRIM(tbl_FinancialData[[#This Row],[City]])))</f>
        <v>Vasco Da Gama</v>
      </c>
      <c r="AG236" t="str">
        <f>_xlfn.LET(_xlpm.city,LOWER(TRIM(tbl_FinancialData[[#This Row],[City]])),_xlpm.st,PROPER(TRIM(tbl_FinancialData[[#This Row],[State]])),IF(_xlpm.city="pune","Maharashtra",IF(_xlpm.city="jamshedpur","Jharkhand",IF(_xlpm.city="bhilai","Chhattisgarh",IF(_xlpm.city="mumbai","Maharashtra",_xlpm.st)))))</f>
        <v>Goa</v>
      </c>
      <c r="AH236" t="str">
        <f>_xlfn.LET(_xlpm.d,PROPER(TRIM(tbl_FinancialData[[#This Row],[Department]])),IF(_xlpm.d="It","IT",_xlpm.d))</f>
        <v>IT</v>
      </c>
      <c r="AI236" t="str">
        <f>_xlfn.LET(_xlpm.pid,tbl_FinancialData[[#This Row],[Product ID]],_xlpm.n,PROPER(TRIM(tbl_FinancialData[[#This Row],[Product Name]])),IF(_xlpm.pid="P020","Document Scanner",IF(_xlpm.pid="P015","Network Router",SUBSTITUTE(SUBSTITUTE(_xlpm.n,"Crm","CRM"),"Ups","UPS"))))</f>
        <v>Network Switch</v>
      </c>
      <c r="AJ236" s="3" t="str">
        <f>UPPER(TRIM(tbl_FinancialData[[#This Row],[Cost Center]]))</f>
        <v>CC-1004</v>
      </c>
    </row>
    <row r="237" spans="1:36" x14ac:dyDescent="0.25">
      <c r="A237" s="3" t="s">
        <v>436</v>
      </c>
      <c r="B237" s="2">
        <v>46041</v>
      </c>
      <c r="C237" t="s">
        <v>77</v>
      </c>
      <c r="D237" s="3" t="str">
        <f t="shared" si="15"/>
        <v>Q4</v>
      </c>
      <c r="E237" s="3" t="str">
        <f t="shared" si="16"/>
        <v>FY2026</v>
      </c>
      <c r="F237" s="8" t="s">
        <v>34</v>
      </c>
      <c r="G237" s="3" t="s">
        <v>35</v>
      </c>
      <c r="H237" t="s">
        <v>157</v>
      </c>
      <c r="I237" t="s">
        <v>194</v>
      </c>
      <c r="J237" s="3" t="s">
        <v>100</v>
      </c>
      <c r="K237" t="s">
        <v>39</v>
      </c>
      <c r="L237" s="3" t="s">
        <v>94</v>
      </c>
      <c r="M237" s="3" t="s">
        <v>110</v>
      </c>
      <c r="N237" t="s">
        <v>111</v>
      </c>
      <c r="O237" t="s">
        <v>112</v>
      </c>
      <c r="P237" t="s">
        <v>113</v>
      </c>
      <c r="Q237" s="3">
        <v>12288.98</v>
      </c>
      <c r="R237" s="3">
        <v>11617.67</v>
      </c>
      <c r="S237" s="3">
        <v>5943.47</v>
      </c>
      <c r="T237" s="3">
        <v>1186.05</v>
      </c>
      <c r="U237" s="3">
        <v>391.78</v>
      </c>
      <c r="V237" s="3">
        <v>1349.84</v>
      </c>
      <c r="W237" s="3">
        <v>347.9</v>
      </c>
      <c r="X237" s="3">
        <v>9219.0499999999993</v>
      </c>
      <c r="Y237" s="3">
        <v>6345.51</v>
      </c>
      <c r="Z237" s="3">
        <f t="shared" si="17"/>
        <v>3069.9300000000003</v>
      </c>
      <c r="AA237" s="37">
        <f t="shared" si="18"/>
        <v>0.24981161984151659</v>
      </c>
      <c r="AB237" s="3">
        <v>671.32</v>
      </c>
      <c r="AC237" s="3">
        <v>614.45000000000005</v>
      </c>
      <c r="AD237" s="3">
        <v>1400.94</v>
      </c>
      <c r="AE237" s="3">
        <v>13075.48</v>
      </c>
      <c r="AF237" t="str">
        <f>IF(tbl_FinancialData[[#This Row],[City]]="","Unknown",PROPER(TRIM(tbl_FinancialData[[#This Row],[City]])))</f>
        <v>Surat</v>
      </c>
      <c r="AG237" t="str">
        <f>_xlfn.LET(_xlpm.city,LOWER(TRIM(tbl_FinancialData[[#This Row],[City]])),_xlpm.st,PROPER(TRIM(tbl_FinancialData[[#This Row],[State]])),IF(_xlpm.city="pune","Maharashtra",IF(_xlpm.city="jamshedpur","Jharkhand",IF(_xlpm.city="bhilai","Chhattisgarh",IF(_xlpm.city="mumbai","Maharashtra",_xlpm.st)))))</f>
        <v>Gujarat</v>
      </c>
      <c r="AH237" t="str">
        <f>_xlfn.LET(_xlpm.d,PROPER(TRIM(tbl_FinancialData[[#This Row],[Department]])),IF(_xlpm.d="It","IT",_xlpm.d))</f>
        <v>Operations</v>
      </c>
      <c r="AI237" t="str">
        <f>_xlfn.LET(_xlpm.pid,tbl_FinancialData[[#This Row],[Product ID]],_xlpm.n,PROPER(TRIM(tbl_FinancialData[[#This Row],[Product Name]])),IF(_xlpm.pid="P020","Document Scanner",IF(_xlpm.pid="P015","Network Router",SUBSTITUTE(SUBSTITUTE(_xlpm.n,"Crm","CRM"),"Ups","UPS"))))</f>
        <v>Office Desk</v>
      </c>
      <c r="AJ237" s="3" t="str">
        <f>UPPER(TRIM(tbl_FinancialData[[#This Row],[Cost Center]]))</f>
        <v>CC-1001</v>
      </c>
    </row>
    <row r="238" spans="1:36" x14ac:dyDescent="0.25">
      <c r="A238" s="3" t="s">
        <v>437</v>
      </c>
      <c r="B238" s="2">
        <v>45885</v>
      </c>
      <c r="C238" t="s">
        <v>117</v>
      </c>
      <c r="D238" s="3" t="str">
        <f t="shared" si="15"/>
        <v>Q2</v>
      </c>
      <c r="E238" s="3" t="str">
        <f t="shared" si="16"/>
        <v>FY2026</v>
      </c>
      <c r="F238" s="8" t="s">
        <v>47</v>
      </c>
      <c r="G238" s="3" t="s">
        <v>35</v>
      </c>
      <c r="H238" t="s">
        <v>214</v>
      </c>
      <c r="I238" t="s">
        <v>215</v>
      </c>
      <c r="J238" s="3" t="s">
        <v>70</v>
      </c>
      <c r="K238" t="s">
        <v>71</v>
      </c>
      <c r="L238" s="3" t="s">
        <v>81</v>
      </c>
      <c r="M238" s="3" t="s">
        <v>189</v>
      </c>
      <c r="N238" t="s">
        <v>190</v>
      </c>
      <c r="O238" t="s">
        <v>104</v>
      </c>
      <c r="P238" t="s">
        <v>105</v>
      </c>
      <c r="Q238" s="3">
        <v>6517.27</v>
      </c>
      <c r="R238" s="3">
        <v>5915.4</v>
      </c>
      <c r="S238" s="3">
        <v>4043.44</v>
      </c>
      <c r="T238" s="3">
        <v>443.84</v>
      </c>
      <c r="U238" s="3">
        <v>542.37</v>
      </c>
      <c r="V238" s="3">
        <v>669.19</v>
      </c>
      <c r="W238" s="3">
        <v>224.78</v>
      </c>
      <c r="X238" s="3">
        <v>5923.62</v>
      </c>
      <c r="Y238" s="3">
        <v>2473.83</v>
      </c>
      <c r="Z238" s="3">
        <f t="shared" si="17"/>
        <v>593.65000000000055</v>
      </c>
      <c r="AA238" s="37">
        <f t="shared" si="18"/>
        <v>9.1088753419760193E-2</v>
      </c>
      <c r="AB238" s="3">
        <v>601.87</v>
      </c>
      <c r="AC238" s="3">
        <v>325.86</v>
      </c>
      <c r="AD238" s="3">
        <v>1114.45</v>
      </c>
      <c r="AE238" s="3">
        <v>7305.86</v>
      </c>
      <c r="AF238" t="str">
        <f>IF(tbl_FinancialData[[#This Row],[City]]="","Unknown",PROPER(TRIM(tbl_FinancialData[[#This Row],[City]])))</f>
        <v>Mangaluru</v>
      </c>
      <c r="AG238" t="str">
        <f>_xlfn.LET(_xlpm.city,LOWER(TRIM(tbl_FinancialData[[#This Row],[City]])),_xlpm.st,PROPER(TRIM(tbl_FinancialData[[#This Row],[State]])),IF(_xlpm.city="pune","Maharashtra",IF(_xlpm.city="jamshedpur","Jharkhand",IF(_xlpm.city="bhilai","Chhattisgarh",IF(_xlpm.city="mumbai","Maharashtra",_xlpm.st)))))</f>
        <v>Karnataka</v>
      </c>
      <c r="AH238" t="str">
        <f>_xlfn.LET(_xlpm.d,PROPER(TRIM(tbl_FinancialData[[#This Row],[Department]])),IF(_xlpm.d="It","IT",_xlpm.d))</f>
        <v>Marketing</v>
      </c>
      <c r="AI238" t="str">
        <f>_xlfn.LET(_xlpm.pid,tbl_FinancialData[[#This Row],[Product ID]],_xlpm.n,PROPER(TRIM(tbl_FinancialData[[#This Row],[Product Name]])),IF(_xlpm.pid="P020","Document Scanner",IF(_xlpm.pid="P015","Network Router",SUBSTITUTE(SUBSTITUTE(_xlpm.n,"Crm","CRM"),"Ups","UPS"))))</f>
        <v>CRM Software</v>
      </c>
      <c r="AJ238" s="3" t="str">
        <f>UPPER(TRIM(tbl_FinancialData[[#This Row],[Cost Center]]))</f>
        <v>CC-1005</v>
      </c>
    </row>
    <row r="239" spans="1:36" x14ac:dyDescent="0.25">
      <c r="A239" s="3" t="s">
        <v>438</v>
      </c>
      <c r="B239" s="2">
        <v>45855</v>
      </c>
      <c r="C239" t="s">
        <v>32</v>
      </c>
      <c r="D239" s="3" t="str">
        <f t="shared" si="15"/>
        <v>Q2</v>
      </c>
      <c r="E239" s="3" t="str">
        <f t="shared" si="16"/>
        <v>FY2026</v>
      </c>
      <c r="F239" s="8" t="s">
        <v>59</v>
      </c>
      <c r="G239" s="3" t="s">
        <v>35</v>
      </c>
      <c r="H239" t="s">
        <v>230</v>
      </c>
      <c r="I239" t="s">
        <v>231</v>
      </c>
      <c r="J239" s="3" t="s">
        <v>70</v>
      </c>
      <c r="K239" t="s">
        <v>71</v>
      </c>
      <c r="L239" s="3" t="s">
        <v>81</v>
      </c>
      <c r="M239" s="3" t="s">
        <v>62</v>
      </c>
      <c r="N239" t="s">
        <v>63</v>
      </c>
      <c r="O239" t="s">
        <v>54</v>
      </c>
      <c r="P239" t="s">
        <v>55</v>
      </c>
      <c r="Q239" s="3">
        <v>1765.29</v>
      </c>
      <c r="R239" s="3">
        <v>1680.59</v>
      </c>
      <c r="S239" s="3">
        <v>908.48</v>
      </c>
      <c r="T239" s="3">
        <v>104.6</v>
      </c>
      <c r="U239" s="3">
        <v>47.26</v>
      </c>
      <c r="V239" s="3">
        <v>144.55000000000001</v>
      </c>
      <c r="W239" s="3">
        <v>31.14</v>
      </c>
      <c r="X239" s="3">
        <v>1236.03</v>
      </c>
      <c r="Y239" s="3">
        <v>856.81</v>
      </c>
      <c r="Z239" s="3">
        <f t="shared" si="17"/>
        <v>529.26</v>
      </c>
      <c r="AA239" s="37">
        <f t="shared" si="18"/>
        <v>0.29981476131400508</v>
      </c>
      <c r="AB239" s="3">
        <v>84.7</v>
      </c>
      <c r="AC239" s="3">
        <v>176.53</v>
      </c>
      <c r="AD239" s="3">
        <v>190.65</v>
      </c>
      <c r="AE239" s="3">
        <v>1779.41</v>
      </c>
      <c r="AF239" t="str">
        <f>IF(tbl_FinancialData[[#This Row],[City]]="","Unknown",PROPER(TRIM(tbl_FinancialData[[#This Row],[City]])))</f>
        <v>Ludhiana</v>
      </c>
      <c r="AG239" t="str">
        <f>_xlfn.LET(_xlpm.city,LOWER(TRIM(tbl_FinancialData[[#This Row],[City]])),_xlpm.st,PROPER(TRIM(tbl_FinancialData[[#This Row],[State]])),IF(_xlpm.city="pune","Maharashtra",IF(_xlpm.city="jamshedpur","Jharkhand",IF(_xlpm.city="bhilai","Chhattisgarh",IF(_xlpm.city="mumbai","Maharashtra",_xlpm.st)))))</f>
        <v>Punjab</v>
      </c>
      <c r="AH239" t="str">
        <f>_xlfn.LET(_xlpm.d,PROPER(TRIM(tbl_FinancialData[[#This Row],[Department]])),IF(_xlpm.d="It","IT",_xlpm.d))</f>
        <v>Marketing</v>
      </c>
      <c r="AI239" t="str">
        <f>_xlfn.LET(_xlpm.pid,tbl_FinancialData[[#This Row],[Product ID]],_xlpm.n,PROPER(TRIM(tbl_FinancialData[[#This Row],[Product Name]])),IF(_xlpm.pid="P020","Document Scanner",IF(_xlpm.pid="P015","Network Router",SUBSTITUTE(SUBSTITUTE(_xlpm.n,"Crm","CRM"),"Ups","UPS"))))</f>
        <v>Keyboard</v>
      </c>
      <c r="AJ239" s="3" t="str">
        <f>UPPER(TRIM(tbl_FinancialData[[#This Row],[Cost Center]]))</f>
        <v>CC-1005</v>
      </c>
    </row>
    <row r="240" spans="1:36" x14ac:dyDescent="0.25">
      <c r="A240" s="3" t="s">
        <v>439</v>
      </c>
      <c r="B240" s="2">
        <v>45996</v>
      </c>
      <c r="C240" t="s">
        <v>107</v>
      </c>
      <c r="D240" s="3" t="str">
        <f t="shared" si="15"/>
        <v>Q3</v>
      </c>
      <c r="E240" s="3" t="str">
        <f t="shared" si="16"/>
        <v>FY2026</v>
      </c>
      <c r="F240" s="8" t="s">
        <v>34</v>
      </c>
      <c r="G240" s="3" t="s">
        <v>35</v>
      </c>
      <c r="H240" t="s">
        <v>157</v>
      </c>
      <c r="I240" t="s">
        <v>194</v>
      </c>
      <c r="J240" s="3" t="s">
        <v>80</v>
      </c>
      <c r="K240" t="s">
        <v>71</v>
      </c>
      <c r="L240" s="3" t="s">
        <v>51</v>
      </c>
      <c r="M240" s="3" t="s">
        <v>189</v>
      </c>
      <c r="N240" t="s">
        <v>190</v>
      </c>
      <c r="O240" t="s">
        <v>104</v>
      </c>
      <c r="P240" t="s">
        <v>105</v>
      </c>
      <c r="Q240" s="3">
        <v>19654.61</v>
      </c>
      <c r="R240" s="3">
        <v>17601.400000000001</v>
      </c>
      <c r="S240" s="3">
        <v>12063.1</v>
      </c>
      <c r="T240" s="3">
        <v>1228.08</v>
      </c>
      <c r="U240" s="3">
        <v>1557.6</v>
      </c>
      <c r="V240" s="3">
        <v>1349.62</v>
      </c>
      <c r="W240" s="3">
        <v>824.54</v>
      </c>
      <c r="X240" s="3">
        <v>17022.93</v>
      </c>
      <c r="Y240" s="3">
        <v>7591.5</v>
      </c>
      <c r="Z240" s="3">
        <f t="shared" si="17"/>
        <v>2631.6800000000003</v>
      </c>
      <c r="AA240" s="37">
        <f t="shared" si="18"/>
        <v>0.13389632254214151</v>
      </c>
      <c r="AB240" s="3">
        <v>2053.1999999999998</v>
      </c>
      <c r="AC240" s="3">
        <v>982.73</v>
      </c>
      <c r="AD240" s="3">
        <v>933.59</v>
      </c>
      <c r="AE240" s="3">
        <v>19605.47</v>
      </c>
      <c r="AF240" t="str">
        <f>IF(tbl_FinancialData[[#This Row],[City]]="","Unknown",PROPER(TRIM(tbl_FinancialData[[#This Row],[City]])))</f>
        <v>Surat</v>
      </c>
      <c r="AG240" t="str">
        <f>_xlfn.LET(_xlpm.city,LOWER(TRIM(tbl_FinancialData[[#This Row],[City]])),_xlpm.st,PROPER(TRIM(tbl_FinancialData[[#This Row],[State]])),IF(_xlpm.city="pune","Maharashtra",IF(_xlpm.city="jamshedpur","Jharkhand",IF(_xlpm.city="bhilai","Chhattisgarh",IF(_xlpm.city="mumbai","Maharashtra",_xlpm.st)))))</f>
        <v>Gujarat</v>
      </c>
      <c r="AH240" t="str">
        <f>_xlfn.LET(_xlpm.d,PROPER(TRIM(tbl_FinancialData[[#This Row],[Department]])),IF(_xlpm.d="It","IT",_xlpm.d))</f>
        <v>Marketing</v>
      </c>
      <c r="AI240" t="str">
        <f>_xlfn.LET(_xlpm.pid,tbl_FinancialData[[#This Row],[Product ID]],_xlpm.n,PROPER(TRIM(tbl_FinancialData[[#This Row],[Product Name]])),IF(_xlpm.pid="P020","Document Scanner",IF(_xlpm.pid="P015","Network Router",SUBSTITUTE(SUBSTITUTE(_xlpm.n,"Crm","CRM"),"Ups","UPS"))))</f>
        <v>CRM Software</v>
      </c>
      <c r="AJ240" s="3" t="str">
        <f>UPPER(TRIM(tbl_FinancialData[[#This Row],[Cost Center]]))</f>
        <v>CC-1003</v>
      </c>
    </row>
    <row r="241" spans="1:36" x14ac:dyDescent="0.25">
      <c r="A241" s="3" t="s">
        <v>440</v>
      </c>
      <c r="B241" s="2">
        <v>45819</v>
      </c>
      <c r="C241" t="s">
        <v>156</v>
      </c>
      <c r="D241" s="3" t="str">
        <f t="shared" si="15"/>
        <v>Q1</v>
      </c>
      <c r="E241" s="3" t="str">
        <f t="shared" si="16"/>
        <v>FY2026</v>
      </c>
      <c r="F241" s="8" t="s">
        <v>34</v>
      </c>
      <c r="G241" s="3" t="s">
        <v>35</v>
      </c>
      <c r="H241" t="s">
        <v>157</v>
      </c>
      <c r="I241" t="s">
        <v>158</v>
      </c>
      <c r="J241" s="3" t="s">
        <v>70</v>
      </c>
      <c r="K241" t="s">
        <v>71</v>
      </c>
      <c r="L241" s="3" t="s">
        <v>81</v>
      </c>
      <c r="M241" s="3" t="s">
        <v>88</v>
      </c>
      <c r="N241" t="s">
        <v>89</v>
      </c>
      <c r="O241" t="s">
        <v>43</v>
      </c>
      <c r="P241" t="s">
        <v>90</v>
      </c>
      <c r="Q241" s="3">
        <v>21746.95</v>
      </c>
      <c r="R241" s="3">
        <v>19636.849999999999</v>
      </c>
      <c r="S241" s="3">
        <v>12634.6</v>
      </c>
      <c r="T241" s="3">
        <v>2134.13</v>
      </c>
      <c r="U241" s="3">
        <v>1868.33</v>
      </c>
      <c r="V241" s="3">
        <v>1412.34</v>
      </c>
      <c r="W241" s="3">
        <v>407.58</v>
      </c>
      <c r="X241" s="3">
        <v>18456.98</v>
      </c>
      <c r="Y241" s="3">
        <v>9112.35</v>
      </c>
      <c r="Z241" s="3">
        <f t="shared" si="17"/>
        <v>3289.9700000000012</v>
      </c>
      <c r="AA241" s="37">
        <f t="shared" si="18"/>
        <v>0.15128420307215498</v>
      </c>
      <c r="AB241" s="3">
        <v>2110.1</v>
      </c>
      <c r="AC241" s="3">
        <v>1087.3499999999999</v>
      </c>
      <c r="AD241" s="3">
        <v>3718.73</v>
      </c>
      <c r="AE241" s="3">
        <v>24378.33</v>
      </c>
      <c r="AF241" t="str">
        <f>IF(tbl_FinancialData[[#This Row],[City]]="","Unknown",PROPER(TRIM(tbl_FinancialData[[#This Row],[City]])))</f>
        <v>Ahmedabad</v>
      </c>
      <c r="AG241" t="str">
        <f>_xlfn.LET(_xlpm.city,LOWER(TRIM(tbl_FinancialData[[#This Row],[City]])),_xlpm.st,PROPER(TRIM(tbl_FinancialData[[#This Row],[State]])),IF(_xlpm.city="pune","Maharashtra",IF(_xlpm.city="jamshedpur","Jharkhand",IF(_xlpm.city="bhilai","Chhattisgarh",IF(_xlpm.city="mumbai","Maharashtra",_xlpm.st)))))</f>
        <v>Gujarat</v>
      </c>
      <c r="AH241" t="str">
        <f>_xlfn.LET(_xlpm.d,PROPER(TRIM(tbl_FinancialData[[#This Row],[Department]])),IF(_xlpm.d="It","IT",_xlpm.d))</f>
        <v>Marketing</v>
      </c>
      <c r="AI241" t="str">
        <f>_xlfn.LET(_xlpm.pid,tbl_FinancialData[[#This Row],[Product ID]],_xlpm.n,PROPER(TRIM(tbl_FinancialData[[#This Row],[Product Name]])),IF(_xlpm.pid="P020","Document Scanner",IF(_xlpm.pid="P015","Network Router",SUBSTITUTE(SUBSTITUTE(_xlpm.n,"Crm","CRM"),"Ups","UPS"))))</f>
        <v>Printer</v>
      </c>
      <c r="AJ241" s="3" t="str">
        <f>UPPER(TRIM(tbl_FinancialData[[#This Row],[Cost Center]]))</f>
        <v>CC-1005</v>
      </c>
    </row>
    <row r="242" spans="1:36" x14ac:dyDescent="0.25">
      <c r="A242" s="3" t="s">
        <v>441</v>
      </c>
      <c r="B242" s="2">
        <v>46020</v>
      </c>
      <c r="C242" t="s">
        <v>107</v>
      </c>
      <c r="D242" s="3" t="str">
        <f t="shared" si="15"/>
        <v>Q3</v>
      </c>
      <c r="E242" s="3" t="str">
        <f t="shared" si="16"/>
        <v>FY2026</v>
      </c>
      <c r="F242" s="8" t="s">
        <v>85</v>
      </c>
      <c r="G242" s="3" t="s">
        <v>35</v>
      </c>
      <c r="H242" t="s">
        <v>178</v>
      </c>
      <c r="I242" t="s">
        <v>329</v>
      </c>
      <c r="J242" s="3" t="s">
        <v>70</v>
      </c>
      <c r="K242" t="s">
        <v>101</v>
      </c>
      <c r="L242" s="3" t="s">
        <v>51</v>
      </c>
      <c r="M242" s="3" t="s">
        <v>221</v>
      </c>
      <c r="N242" t="s">
        <v>222</v>
      </c>
      <c r="O242" t="s">
        <v>104</v>
      </c>
      <c r="P242" t="s">
        <v>223</v>
      </c>
      <c r="Q242" s="3">
        <v>7011.08</v>
      </c>
      <c r="R242" s="3">
        <v>7533.2</v>
      </c>
      <c r="S242" s="3">
        <v>3754.82</v>
      </c>
      <c r="T242" s="3">
        <v>732.72</v>
      </c>
      <c r="U242" s="3">
        <v>603.74</v>
      </c>
      <c r="V242" s="3">
        <v>306.68</v>
      </c>
      <c r="W242" s="3">
        <v>148.55000000000001</v>
      </c>
      <c r="X242" s="3">
        <v>5546.51</v>
      </c>
      <c r="Y242" s="3">
        <v>3256.26</v>
      </c>
      <c r="Z242" s="3">
        <f t="shared" si="17"/>
        <v>1464.5699999999997</v>
      </c>
      <c r="AA242" s="37">
        <f t="shared" si="18"/>
        <v>0.20889363692897525</v>
      </c>
      <c r="AB242" s="3">
        <v>-522.12</v>
      </c>
      <c r="AC242" s="3">
        <v>210.33</v>
      </c>
      <c r="AD242" s="3">
        <v>1224.1300000000001</v>
      </c>
      <c r="AE242" s="3">
        <v>8024.88</v>
      </c>
      <c r="AF242" t="str">
        <f>IF(tbl_FinancialData[[#This Row],[City]]="","Unknown",PROPER(TRIM(tbl_FinancialData[[#This Row],[City]])))</f>
        <v>Raipur</v>
      </c>
      <c r="AG242" t="str">
        <f>_xlfn.LET(_xlpm.city,LOWER(TRIM(tbl_FinancialData[[#This Row],[City]])),_xlpm.st,PROPER(TRIM(tbl_FinancialData[[#This Row],[State]])),IF(_xlpm.city="pune","Maharashtra",IF(_xlpm.city="jamshedpur","Jharkhand",IF(_xlpm.city="bhilai","Chhattisgarh",IF(_xlpm.city="mumbai","Maharashtra",_xlpm.st)))))</f>
        <v>Chhattisgarh</v>
      </c>
      <c r="AH242" t="str">
        <f>_xlfn.LET(_xlpm.d,PROPER(TRIM(tbl_FinancialData[[#This Row],[Department]])),IF(_xlpm.d="It","IT",_xlpm.d))</f>
        <v>Finance</v>
      </c>
      <c r="AI242" t="str">
        <f>_xlfn.LET(_xlpm.pid,tbl_FinancialData[[#This Row],[Product ID]],_xlpm.n,PROPER(TRIM(tbl_FinancialData[[#This Row],[Product Name]])),IF(_xlpm.pid="P020","Document Scanner",IF(_xlpm.pid="P015","Network Router",SUBSTITUTE(SUBSTITUTE(_xlpm.n,"Crm","CRM"),"Ups","UPS"))))</f>
        <v>Cloud Software</v>
      </c>
      <c r="AJ242" s="3" t="str">
        <f>UPPER(TRIM(tbl_FinancialData[[#This Row],[Cost Center]]))</f>
        <v>CC-1003</v>
      </c>
    </row>
    <row r="243" spans="1:36" x14ac:dyDescent="0.25">
      <c r="A243" s="3" t="s">
        <v>442</v>
      </c>
      <c r="B243" s="2">
        <v>45797</v>
      </c>
      <c r="C243" t="s">
        <v>65</v>
      </c>
      <c r="D243" s="3" t="str">
        <f t="shared" si="15"/>
        <v>Q1</v>
      </c>
      <c r="E243" s="3" t="str">
        <f t="shared" si="16"/>
        <v>FY2026</v>
      </c>
      <c r="F243" s="8" t="s">
        <v>59</v>
      </c>
      <c r="G243" s="3" t="s">
        <v>35</v>
      </c>
      <c r="H243" t="s">
        <v>60</v>
      </c>
      <c r="I243" t="s">
        <v>61</v>
      </c>
      <c r="J243" s="3" t="s">
        <v>100</v>
      </c>
      <c r="K243" t="s">
        <v>39</v>
      </c>
      <c r="L243" s="3" t="s">
        <v>81</v>
      </c>
      <c r="M243" s="3" t="s">
        <v>171</v>
      </c>
      <c r="N243" t="s">
        <v>172</v>
      </c>
      <c r="O243" t="s">
        <v>173</v>
      </c>
      <c r="P243" t="s">
        <v>174</v>
      </c>
      <c r="Q243" s="3">
        <v>12065.44</v>
      </c>
      <c r="R243" s="3">
        <v>12631.29</v>
      </c>
      <c r="S243" s="3">
        <v>5875.84</v>
      </c>
      <c r="T243" s="3">
        <v>1478.98</v>
      </c>
      <c r="U243" s="3">
        <v>424.2</v>
      </c>
      <c r="V243" s="3">
        <v>695.06</v>
      </c>
      <c r="W243" s="3">
        <v>339.52</v>
      </c>
      <c r="X243" s="3">
        <v>8813.59</v>
      </c>
      <c r="Y243" s="3">
        <v>6189.61</v>
      </c>
      <c r="Z243" s="3">
        <f t="shared" si="17"/>
        <v>3251.8500000000004</v>
      </c>
      <c r="AA243" s="37">
        <f t="shared" si="18"/>
        <v>0.26951772997918022</v>
      </c>
      <c r="AB243" s="3">
        <v>-565.85</v>
      </c>
      <c r="AC243" s="3">
        <v>603.27</v>
      </c>
      <c r="AD243" s="3">
        <v>573.11</v>
      </c>
      <c r="AE243" s="3">
        <v>12035.28</v>
      </c>
      <c r="AF243" t="str">
        <f>IF(tbl_FinancialData[[#This Row],[City]]="","Unknown",PROPER(TRIM(tbl_FinancialData[[#This Row],[City]])))</f>
        <v>Lucknow</v>
      </c>
      <c r="AG243" t="str">
        <f>_xlfn.LET(_xlpm.city,LOWER(TRIM(tbl_FinancialData[[#This Row],[City]])),_xlpm.st,PROPER(TRIM(tbl_FinancialData[[#This Row],[State]])),IF(_xlpm.city="pune","Maharashtra",IF(_xlpm.city="jamshedpur","Jharkhand",IF(_xlpm.city="bhilai","Chhattisgarh",IF(_xlpm.city="mumbai","Maharashtra",_xlpm.st)))))</f>
        <v>Uttar Pradesh</v>
      </c>
      <c r="AH243" t="str">
        <f>_xlfn.LET(_xlpm.d,PROPER(TRIM(tbl_FinancialData[[#This Row],[Department]])),IF(_xlpm.d="It","IT",_xlpm.d))</f>
        <v>Operations</v>
      </c>
      <c r="AI243" t="str">
        <f>_xlfn.LET(_xlpm.pid,tbl_FinancialData[[#This Row],[Product ID]],_xlpm.n,PROPER(TRIM(tbl_FinancialData[[#This Row],[Product Name]])),IF(_xlpm.pid="P020","Document Scanner",IF(_xlpm.pid="P015","Network Router",SUBSTITUTE(SUBSTITUTE(_xlpm.n,"Crm","CRM"),"Ups","UPS"))))</f>
        <v>Network Switch</v>
      </c>
      <c r="AJ243" s="3" t="str">
        <f>UPPER(TRIM(tbl_FinancialData[[#This Row],[Cost Center]]))</f>
        <v>CC-1005</v>
      </c>
    </row>
    <row r="244" spans="1:36" x14ac:dyDescent="0.25">
      <c r="A244" s="3" t="s">
        <v>443</v>
      </c>
      <c r="B244" s="2">
        <v>45883</v>
      </c>
      <c r="C244" t="s">
        <v>117</v>
      </c>
      <c r="D244" s="3" t="str">
        <f t="shared" si="15"/>
        <v>Q2</v>
      </c>
      <c r="E244" s="3" t="str">
        <f t="shared" si="16"/>
        <v>FY2026</v>
      </c>
      <c r="F244" s="8" t="s">
        <v>67</v>
      </c>
      <c r="G244" s="3" t="s">
        <v>35</v>
      </c>
      <c r="H244" t="s">
        <v>217</v>
      </c>
      <c r="I244" t="s">
        <v>241</v>
      </c>
      <c r="J244" s="3" t="s">
        <v>80</v>
      </c>
      <c r="K244" t="s">
        <v>50</v>
      </c>
      <c r="L244" s="3" t="s">
        <v>40</v>
      </c>
      <c r="M244" s="3" t="s">
        <v>141</v>
      </c>
      <c r="N244" t="s">
        <v>142</v>
      </c>
      <c r="O244" t="s">
        <v>54</v>
      </c>
      <c r="P244" t="s">
        <v>143</v>
      </c>
      <c r="Q244" s="3">
        <v>1637.46</v>
      </c>
      <c r="R244" s="3">
        <v>1627.45</v>
      </c>
      <c r="S244" s="3">
        <v>910.4</v>
      </c>
      <c r="T244" s="3">
        <v>119.3</v>
      </c>
      <c r="U244" s="3">
        <v>50.66</v>
      </c>
      <c r="V244" s="3">
        <v>106.74</v>
      </c>
      <c r="W244" s="3">
        <v>18.84</v>
      </c>
      <c r="X244" s="3">
        <v>1205.94</v>
      </c>
      <c r="Y244" s="3">
        <v>727.06</v>
      </c>
      <c r="Z244" s="3">
        <f t="shared" si="17"/>
        <v>431.52</v>
      </c>
      <c r="AA244" s="37">
        <f t="shared" si="18"/>
        <v>0.26353010149866257</v>
      </c>
      <c r="AB244" s="3">
        <v>10.01</v>
      </c>
      <c r="AC244" s="3">
        <v>131</v>
      </c>
      <c r="AD244" s="3">
        <v>180.78</v>
      </c>
      <c r="AE244" s="3">
        <v>1687.24</v>
      </c>
      <c r="AF244" t="str">
        <f>IF(tbl_FinancialData[[#This Row],[City]]="","Unknown",PROPER(TRIM(tbl_FinancialData[[#This Row],[City]])))</f>
        <v>Muzaffarpur</v>
      </c>
      <c r="AG244" t="str">
        <f>_xlfn.LET(_xlpm.city,LOWER(TRIM(tbl_FinancialData[[#This Row],[City]])),_xlpm.st,PROPER(TRIM(tbl_FinancialData[[#This Row],[State]])),IF(_xlpm.city="pune","Maharashtra",IF(_xlpm.city="jamshedpur","Jharkhand",IF(_xlpm.city="bhilai","Chhattisgarh",IF(_xlpm.city="mumbai","Maharashtra",_xlpm.st)))))</f>
        <v>Bihar</v>
      </c>
      <c r="AH244" t="str">
        <f>_xlfn.LET(_xlpm.d,PROPER(TRIM(tbl_FinancialData[[#This Row],[Department]])),IF(_xlpm.d="It","IT",_xlpm.d))</f>
        <v>Sales</v>
      </c>
      <c r="AI244" t="str">
        <f>_xlfn.LET(_xlpm.pid,tbl_FinancialData[[#This Row],[Product ID]],_xlpm.n,PROPER(TRIM(tbl_FinancialData[[#This Row],[Product Name]])),IF(_xlpm.pid="P020","Document Scanner",IF(_xlpm.pid="P015","Network Router",SUBSTITUTE(SUBSTITUTE(_xlpm.n,"Crm","CRM"),"Ups","UPS"))))</f>
        <v>Headset</v>
      </c>
      <c r="AJ244" s="3" t="str">
        <f>UPPER(TRIM(tbl_FinancialData[[#This Row],[Cost Center]]))</f>
        <v>CC-1002</v>
      </c>
    </row>
    <row r="245" spans="1:36" x14ac:dyDescent="0.25">
      <c r="A245" s="3" t="s">
        <v>444</v>
      </c>
      <c r="B245" s="2">
        <v>45845</v>
      </c>
      <c r="C245" t="s">
        <v>32</v>
      </c>
      <c r="D245" s="3" t="str">
        <f t="shared" si="15"/>
        <v>Q2</v>
      </c>
      <c r="E245" s="3" t="str">
        <f t="shared" si="16"/>
        <v>FY2026</v>
      </c>
      <c r="F245" s="8" t="s">
        <v>34</v>
      </c>
      <c r="G245" s="3" t="s">
        <v>35</v>
      </c>
      <c r="H245" t="s">
        <v>98</v>
      </c>
      <c r="I245" t="s">
        <v>149</v>
      </c>
      <c r="J245" s="3" t="s">
        <v>80</v>
      </c>
      <c r="K245" t="s">
        <v>50</v>
      </c>
      <c r="L245" s="3" t="s">
        <v>40</v>
      </c>
      <c r="M245" s="3" t="s">
        <v>235</v>
      </c>
      <c r="N245" t="s">
        <v>236</v>
      </c>
      <c r="O245" t="s">
        <v>104</v>
      </c>
      <c r="P245" t="s">
        <v>237</v>
      </c>
      <c r="Q245" s="3">
        <v>9051.4599999999991</v>
      </c>
      <c r="R245" s="3">
        <v>9324.2999999999993</v>
      </c>
      <c r="S245" s="3">
        <v>5287</v>
      </c>
      <c r="T245" s="3">
        <v>633.24</v>
      </c>
      <c r="U245" s="3">
        <v>548.39</v>
      </c>
      <c r="V245" s="3">
        <v>560.74</v>
      </c>
      <c r="W245" s="3">
        <v>376.14</v>
      </c>
      <c r="X245" s="3">
        <v>7405.51</v>
      </c>
      <c r="Y245" s="3">
        <v>3764.46</v>
      </c>
      <c r="Z245" s="3">
        <f t="shared" si="17"/>
        <v>1645.9499999999989</v>
      </c>
      <c r="AA245" s="37">
        <f t="shared" si="18"/>
        <v>0.18184359208348699</v>
      </c>
      <c r="AB245" s="3">
        <v>-272.83999999999997</v>
      </c>
      <c r="AC245" s="3">
        <v>181.03</v>
      </c>
      <c r="AD245" s="3">
        <v>1596.68</v>
      </c>
      <c r="AE245" s="3">
        <v>10467.11</v>
      </c>
      <c r="AF245" t="str">
        <f>IF(tbl_FinancialData[[#This Row],[City]]="","Unknown",PROPER(TRIM(tbl_FinancialData[[#This Row],[City]])))</f>
        <v>Nagpur</v>
      </c>
      <c r="AG245" t="str">
        <f>_xlfn.LET(_xlpm.city,LOWER(TRIM(tbl_FinancialData[[#This Row],[City]])),_xlpm.st,PROPER(TRIM(tbl_FinancialData[[#This Row],[State]])),IF(_xlpm.city="pune","Maharashtra",IF(_xlpm.city="jamshedpur","Jharkhand",IF(_xlpm.city="bhilai","Chhattisgarh",IF(_xlpm.city="mumbai","Maharashtra",_xlpm.st)))))</f>
        <v>Maharashtra</v>
      </c>
      <c r="AH245" t="str">
        <f>_xlfn.LET(_xlpm.d,PROPER(TRIM(tbl_FinancialData[[#This Row],[Department]])),IF(_xlpm.d="It","IT",_xlpm.d))</f>
        <v>Sales</v>
      </c>
      <c r="AI245" t="str">
        <f>_xlfn.LET(_xlpm.pid,tbl_FinancialData[[#This Row],[Product ID]],_xlpm.n,PROPER(TRIM(tbl_FinancialData[[#This Row],[Product Name]])),IF(_xlpm.pid="P020","Document Scanner",IF(_xlpm.pid="P015","Network Router",SUBSTITUTE(SUBSTITUTE(_xlpm.n,"Crm","CRM"),"Ups","UPS"))))</f>
        <v>Data Storage</v>
      </c>
      <c r="AJ245" s="3" t="str">
        <f>UPPER(TRIM(tbl_FinancialData[[#This Row],[Cost Center]]))</f>
        <v>CC-1002</v>
      </c>
    </row>
    <row r="246" spans="1:36" x14ac:dyDescent="0.25">
      <c r="A246" s="3" t="s">
        <v>445</v>
      </c>
      <c r="B246" s="2">
        <v>46070</v>
      </c>
      <c r="C246" t="s">
        <v>57</v>
      </c>
      <c r="D246" s="3" t="str">
        <f t="shared" si="15"/>
        <v>Q4</v>
      </c>
      <c r="E246" s="3" t="str">
        <f t="shared" si="16"/>
        <v>FY2026</v>
      </c>
      <c r="F246" s="8" t="s">
        <v>34</v>
      </c>
      <c r="G246" s="3" t="s">
        <v>35</v>
      </c>
      <c r="H246" t="s">
        <v>36</v>
      </c>
      <c r="I246" t="s">
        <v>145</v>
      </c>
      <c r="J246" s="3" t="s">
        <v>38</v>
      </c>
      <c r="K246" t="s">
        <v>160</v>
      </c>
      <c r="L246" s="3" t="s">
        <v>72</v>
      </c>
      <c r="M246" s="3" t="s">
        <v>130</v>
      </c>
      <c r="N246" t="s">
        <v>131</v>
      </c>
      <c r="O246" t="s">
        <v>43</v>
      </c>
      <c r="P246" t="s">
        <v>132</v>
      </c>
      <c r="Q246" s="3">
        <v>50012.66</v>
      </c>
      <c r="R246" s="3">
        <v>54080.08</v>
      </c>
      <c r="S246" s="3">
        <v>33673.68</v>
      </c>
      <c r="T246" s="3">
        <v>6288.62</v>
      </c>
      <c r="U246" s="3">
        <v>2551.34</v>
      </c>
      <c r="V246" s="3">
        <v>5134.49</v>
      </c>
      <c r="W246" s="3">
        <v>965.62</v>
      </c>
      <c r="X246" s="3">
        <v>48613.74</v>
      </c>
      <c r="Y246" s="3">
        <v>16338.97</v>
      </c>
      <c r="Z246" s="3">
        <f t="shared" si="17"/>
        <v>1398.9200000000055</v>
      </c>
      <c r="AA246" s="37">
        <f t="shared" si="18"/>
        <v>2.7971317662367996E-2</v>
      </c>
      <c r="AB246" s="3">
        <v>-4067.43</v>
      </c>
      <c r="AC246" s="3">
        <v>5001.2700000000004</v>
      </c>
      <c r="AD246" s="3">
        <v>2250.5700000000002</v>
      </c>
      <c r="AE246" s="3">
        <v>47261.96</v>
      </c>
      <c r="AF246" t="str">
        <f>IF(tbl_FinancialData[[#This Row],[City]]="","Unknown",PROPER(TRIM(tbl_FinancialData[[#This Row],[City]])))</f>
        <v>Panaji</v>
      </c>
      <c r="AG246" t="str">
        <f>_xlfn.LET(_xlpm.city,LOWER(TRIM(tbl_FinancialData[[#This Row],[City]])),_xlpm.st,PROPER(TRIM(tbl_FinancialData[[#This Row],[State]])),IF(_xlpm.city="pune","Maharashtra",IF(_xlpm.city="jamshedpur","Jharkhand",IF(_xlpm.city="bhilai","Chhattisgarh",IF(_xlpm.city="mumbai","Maharashtra",_xlpm.st)))))</f>
        <v>Goa</v>
      </c>
      <c r="AH246" t="str">
        <f>_xlfn.LET(_xlpm.d,PROPER(TRIM(tbl_FinancialData[[#This Row],[Department]])),IF(_xlpm.d="It","IT",_xlpm.d))</f>
        <v>IT</v>
      </c>
      <c r="AI246" t="str">
        <f>_xlfn.LET(_xlpm.pid,tbl_FinancialData[[#This Row],[Product ID]],_xlpm.n,PROPER(TRIM(tbl_FinancialData[[#This Row],[Product Name]])),IF(_xlpm.pid="P020","Document Scanner",IF(_xlpm.pid="P015","Network Router",SUBSTITUTE(SUBSTITUTE(_xlpm.n,"Crm","CRM"),"Ups","UPS"))))</f>
        <v>UPS System</v>
      </c>
      <c r="AJ246" s="3" t="str">
        <f>UPPER(TRIM(tbl_FinancialData[[#This Row],[Cost Center]]))</f>
        <v>CC-1004</v>
      </c>
    </row>
    <row r="247" spans="1:36" x14ac:dyDescent="0.25">
      <c r="A247" s="3" t="s">
        <v>446</v>
      </c>
      <c r="B247" s="2">
        <v>46063</v>
      </c>
      <c r="C247" t="s">
        <v>57</v>
      </c>
      <c r="D247" s="3" t="str">
        <f t="shared" si="15"/>
        <v>Q4</v>
      </c>
      <c r="E247" s="3" t="str">
        <f t="shared" si="16"/>
        <v>FY2026</v>
      </c>
      <c r="F247" s="8" t="s">
        <v>59</v>
      </c>
      <c r="G247" s="3" t="s">
        <v>35</v>
      </c>
      <c r="H247" t="s">
        <v>230</v>
      </c>
      <c r="I247" t="s">
        <v>231</v>
      </c>
      <c r="J247" s="3" t="s">
        <v>100</v>
      </c>
      <c r="K247" t="s">
        <v>50</v>
      </c>
      <c r="L247" s="3" t="s">
        <v>94</v>
      </c>
      <c r="M247" s="3" t="s">
        <v>62</v>
      </c>
      <c r="N247" t="s">
        <v>63</v>
      </c>
      <c r="O247" t="s">
        <v>54</v>
      </c>
      <c r="P247" t="s">
        <v>55</v>
      </c>
      <c r="Q247" s="3">
        <v>2936.36</v>
      </c>
      <c r="R247" s="3">
        <v>2780.15</v>
      </c>
      <c r="S247" s="3">
        <v>1625.96</v>
      </c>
      <c r="T247" s="3">
        <v>275.19</v>
      </c>
      <c r="U247" s="3">
        <v>153.04</v>
      </c>
      <c r="V247" s="3">
        <v>155.09</v>
      </c>
      <c r="W247" s="3">
        <v>46.93</v>
      </c>
      <c r="X247" s="3">
        <v>2256.1999999999998</v>
      </c>
      <c r="Y247" s="3">
        <v>1310.4000000000001</v>
      </c>
      <c r="Z247" s="3">
        <f t="shared" si="17"/>
        <v>680.16000000000031</v>
      </c>
      <c r="AA247" s="37">
        <f t="shared" si="18"/>
        <v>0.23163372338541605</v>
      </c>
      <c r="AB247" s="3">
        <v>156.21</v>
      </c>
      <c r="AC247" s="3">
        <v>88.09</v>
      </c>
      <c r="AD247" s="3">
        <v>512.69000000000005</v>
      </c>
      <c r="AE247" s="3">
        <v>3360.96</v>
      </c>
      <c r="AF247" t="str">
        <f>IF(tbl_FinancialData[[#This Row],[City]]="","Unknown",PROPER(TRIM(tbl_FinancialData[[#This Row],[City]])))</f>
        <v>Ludhiana</v>
      </c>
      <c r="AG247" t="str">
        <f>_xlfn.LET(_xlpm.city,LOWER(TRIM(tbl_FinancialData[[#This Row],[City]])),_xlpm.st,PROPER(TRIM(tbl_FinancialData[[#This Row],[State]])),IF(_xlpm.city="pune","Maharashtra",IF(_xlpm.city="jamshedpur","Jharkhand",IF(_xlpm.city="bhilai","Chhattisgarh",IF(_xlpm.city="mumbai","Maharashtra",_xlpm.st)))))</f>
        <v>Punjab</v>
      </c>
      <c r="AH247" t="str">
        <f>_xlfn.LET(_xlpm.d,PROPER(TRIM(tbl_FinancialData[[#This Row],[Department]])),IF(_xlpm.d="It","IT",_xlpm.d))</f>
        <v>Sales</v>
      </c>
      <c r="AI247" t="str">
        <f>_xlfn.LET(_xlpm.pid,tbl_FinancialData[[#This Row],[Product ID]],_xlpm.n,PROPER(TRIM(tbl_FinancialData[[#This Row],[Product Name]])),IF(_xlpm.pid="P020","Document Scanner",IF(_xlpm.pid="P015","Network Router",SUBSTITUTE(SUBSTITUTE(_xlpm.n,"Crm","CRM"),"Ups","UPS"))))</f>
        <v>Keyboard</v>
      </c>
      <c r="AJ247" s="3" t="str">
        <f>UPPER(TRIM(tbl_FinancialData[[#This Row],[Cost Center]]))</f>
        <v>CC-1001</v>
      </c>
    </row>
    <row r="248" spans="1:36" x14ac:dyDescent="0.25">
      <c r="A248" s="3" t="s">
        <v>447</v>
      </c>
      <c r="B248" s="2">
        <v>45953</v>
      </c>
      <c r="C248" t="s">
        <v>92</v>
      </c>
      <c r="D248" s="3" t="str">
        <f t="shared" si="15"/>
        <v>Q3</v>
      </c>
      <c r="E248" s="3" t="str">
        <f t="shared" si="16"/>
        <v>FY2026</v>
      </c>
      <c r="F248" s="8" t="s">
        <v>34</v>
      </c>
      <c r="G248" s="3" t="s">
        <v>35</v>
      </c>
      <c r="H248" t="s">
        <v>157</v>
      </c>
      <c r="I248" t="s">
        <v>194</v>
      </c>
      <c r="J248" s="3" t="s">
        <v>100</v>
      </c>
      <c r="K248" t="s">
        <v>50</v>
      </c>
      <c r="L248" s="3" t="s">
        <v>94</v>
      </c>
      <c r="M248" s="3" t="s">
        <v>235</v>
      </c>
      <c r="N248" t="s">
        <v>236</v>
      </c>
      <c r="O248" t="s">
        <v>104</v>
      </c>
      <c r="P248" t="s">
        <v>237</v>
      </c>
      <c r="Q248" s="3">
        <v>8249.7199999999993</v>
      </c>
      <c r="R248" s="3">
        <v>7449.84</v>
      </c>
      <c r="S248" s="3">
        <v>4425.1400000000003</v>
      </c>
      <c r="T248" s="3">
        <v>960.37</v>
      </c>
      <c r="U248" s="3">
        <v>714.73</v>
      </c>
      <c r="V248" s="3">
        <v>531.02</v>
      </c>
      <c r="W248" s="3">
        <v>158.87</v>
      </c>
      <c r="X248" s="3">
        <v>6790.12</v>
      </c>
      <c r="Y248" s="3">
        <v>3824.58</v>
      </c>
      <c r="Z248" s="3">
        <f t="shared" si="17"/>
        <v>1459.5999999999995</v>
      </c>
      <c r="AA248" s="37">
        <f t="shared" si="18"/>
        <v>0.17692721692372584</v>
      </c>
      <c r="AB248" s="3">
        <v>799.87</v>
      </c>
      <c r="AC248" s="3">
        <v>164.99</v>
      </c>
      <c r="AD248" s="3">
        <v>970.17</v>
      </c>
      <c r="AE248" s="3">
        <v>9054.89</v>
      </c>
      <c r="AF248" t="str">
        <f>IF(tbl_FinancialData[[#This Row],[City]]="","Unknown",PROPER(TRIM(tbl_FinancialData[[#This Row],[City]])))</f>
        <v>Surat</v>
      </c>
      <c r="AG248" t="str">
        <f>_xlfn.LET(_xlpm.city,LOWER(TRIM(tbl_FinancialData[[#This Row],[City]])),_xlpm.st,PROPER(TRIM(tbl_FinancialData[[#This Row],[State]])),IF(_xlpm.city="pune","Maharashtra",IF(_xlpm.city="jamshedpur","Jharkhand",IF(_xlpm.city="bhilai","Chhattisgarh",IF(_xlpm.city="mumbai","Maharashtra",_xlpm.st)))))</f>
        <v>Gujarat</v>
      </c>
      <c r="AH248" t="str">
        <f>_xlfn.LET(_xlpm.d,PROPER(TRIM(tbl_FinancialData[[#This Row],[Department]])),IF(_xlpm.d="It","IT",_xlpm.d))</f>
        <v>Sales</v>
      </c>
      <c r="AI248" t="str">
        <f>_xlfn.LET(_xlpm.pid,tbl_FinancialData[[#This Row],[Product ID]],_xlpm.n,PROPER(TRIM(tbl_FinancialData[[#This Row],[Product Name]])),IF(_xlpm.pid="P020","Document Scanner",IF(_xlpm.pid="P015","Network Router",SUBSTITUTE(SUBSTITUTE(_xlpm.n,"Crm","CRM"),"Ups","UPS"))))</f>
        <v>Data Storage</v>
      </c>
      <c r="AJ248" s="3" t="str">
        <f>UPPER(TRIM(tbl_FinancialData[[#This Row],[Cost Center]]))</f>
        <v>CC-1001</v>
      </c>
    </row>
    <row r="249" spans="1:36" x14ac:dyDescent="0.25">
      <c r="A249" s="3" t="s">
        <v>448</v>
      </c>
      <c r="B249" s="2">
        <v>45868</v>
      </c>
      <c r="C249" t="s">
        <v>32</v>
      </c>
      <c r="D249" s="3" t="str">
        <f t="shared" si="15"/>
        <v>Q2</v>
      </c>
      <c r="E249" s="3" t="str">
        <f t="shared" si="16"/>
        <v>FY2026</v>
      </c>
      <c r="F249" s="8" t="s">
        <v>67</v>
      </c>
      <c r="G249" s="3" t="s">
        <v>35</v>
      </c>
      <c r="H249" t="s">
        <v>68</v>
      </c>
      <c r="I249" t="s">
        <v>260</v>
      </c>
      <c r="J249" s="3" t="s">
        <v>70</v>
      </c>
      <c r="K249" t="s">
        <v>101</v>
      </c>
      <c r="L249" s="3" t="s">
        <v>51</v>
      </c>
      <c r="M249" s="3" t="s">
        <v>120</v>
      </c>
      <c r="N249" t="s">
        <v>121</v>
      </c>
      <c r="O249" t="s">
        <v>43</v>
      </c>
      <c r="P249" t="s">
        <v>122</v>
      </c>
      <c r="Q249" s="3">
        <v>69329.279999999999</v>
      </c>
      <c r="R249" s="3">
        <v>80701.14</v>
      </c>
      <c r="S249" s="3">
        <v>46283.38</v>
      </c>
      <c r="T249" s="3">
        <v>5206.3900000000003</v>
      </c>
      <c r="U249" s="3">
        <v>2850.25</v>
      </c>
      <c r="V249" s="3">
        <v>6642.94</v>
      </c>
      <c r="W249" s="3">
        <v>1576.82</v>
      </c>
      <c r="X249" s="3">
        <v>62559.78</v>
      </c>
      <c r="Y249" s="3">
        <v>23045.9</v>
      </c>
      <c r="Z249" s="3">
        <f t="shared" si="17"/>
        <v>6769.5</v>
      </c>
      <c r="AA249" s="37">
        <f t="shared" si="18"/>
        <v>9.7642727574842839E-2</v>
      </c>
      <c r="AB249" s="3">
        <v>-11371.86</v>
      </c>
      <c r="AC249" s="3">
        <v>3466.46</v>
      </c>
      <c r="AD249" s="3">
        <v>3293.14</v>
      </c>
      <c r="AE249" s="3">
        <v>69155.960000000006</v>
      </c>
      <c r="AF249" t="str">
        <f>IF(tbl_FinancialData[[#This Row],[City]]="","Unknown",PROPER(TRIM(tbl_FinancialData[[#This Row],[City]])))</f>
        <v>Rourkela</v>
      </c>
      <c r="AG249" t="str">
        <f>_xlfn.LET(_xlpm.city,LOWER(TRIM(tbl_FinancialData[[#This Row],[City]])),_xlpm.st,PROPER(TRIM(tbl_FinancialData[[#This Row],[State]])),IF(_xlpm.city="pune","Maharashtra",IF(_xlpm.city="jamshedpur","Jharkhand",IF(_xlpm.city="bhilai","Chhattisgarh",IF(_xlpm.city="mumbai","Maharashtra",_xlpm.st)))))</f>
        <v>Odisha</v>
      </c>
      <c r="AH249" t="str">
        <f>_xlfn.LET(_xlpm.d,PROPER(TRIM(tbl_FinancialData[[#This Row],[Department]])),IF(_xlpm.d="It","IT",_xlpm.d))</f>
        <v>Finance</v>
      </c>
      <c r="AI249" t="str">
        <f>_xlfn.LET(_xlpm.pid,tbl_FinancialData[[#This Row],[Product ID]],_xlpm.n,PROPER(TRIM(tbl_FinancialData[[#This Row],[Product Name]])),IF(_xlpm.pid="P020","Document Scanner",IF(_xlpm.pid="P015","Network Router",SUBSTITUTE(SUBSTITUTE(_xlpm.n,"Crm","CRM"),"Ups","UPS"))))</f>
        <v>Projector</v>
      </c>
      <c r="AJ249" s="3" t="str">
        <f>UPPER(TRIM(tbl_FinancialData[[#This Row],[Cost Center]]))</f>
        <v>CC-1003</v>
      </c>
    </row>
    <row r="250" spans="1:36" x14ac:dyDescent="0.25">
      <c r="A250" s="3" t="s">
        <v>449</v>
      </c>
      <c r="B250" s="2">
        <v>46062</v>
      </c>
      <c r="C250" t="s">
        <v>57</v>
      </c>
      <c r="D250" s="3" t="str">
        <f t="shared" si="15"/>
        <v>Q4</v>
      </c>
      <c r="E250" s="3" t="str">
        <f t="shared" si="16"/>
        <v>FY2026</v>
      </c>
      <c r="F250" s="8" t="s">
        <v>67</v>
      </c>
      <c r="G250" s="3" t="s">
        <v>35</v>
      </c>
      <c r="H250" t="s">
        <v>217</v>
      </c>
      <c r="I250" t="s">
        <v>241</v>
      </c>
      <c r="J250" s="3" t="s">
        <v>38</v>
      </c>
      <c r="K250" t="s">
        <v>160</v>
      </c>
      <c r="L250" s="3" t="s">
        <v>72</v>
      </c>
      <c r="M250" s="3" t="s">
        <v>102</v>
      </c>
      <c r="N250" t="s">
        <v>103</v>
      </c>
      <c r="O250" t="s">
        <v>104</v>
      </c>
      <c r="P250" t="s">
        <v>105</v>
      </c>
      <c r="Q250" s="3">
        <v>12246.34</v>
      </c>
      <c r="R250" s="3">
        <v>11591.58</v>
      </c>
      <c r="S250" s="3">
        <v>6811.57</v>
      </c>
      <c r="T250" s="3">
        <v>866.44</v>
      </c>
      <c r="U250" s="3">
        <v>375.88</v>
      </c>
      <c r="V250" s="3">
        <v>577.95000000000005</v>
      </c>
      <c r="W250" s="3">
        <v>205.29</v>
      </c>
      <c r="X250" s="3">
        <v>8837.14</v>
      </c>
      <c r="Y250" s="3">
        <v>5434.76</v>
      </c>
      <c r="Z250" s="3">
        <f t="shared" si="17"/>
        <v>3409.2000000000007</v>
      </c>
      <c r="AA250" s="37">
        <f t="shared" si="18"/>
        <v>0.27838521550112122</v>
      </c>
      <c r="AB250" s="3">
        <v>654.76</v>
      </c>
      <c r="AC250" s="3">
        <v>0</v>
      </c>
      <c r="AD250" s="3">
        <v>2204.34</v>
      </c>
      <c r="AE250" s="3">
        <v>14450.68</v>
      </c>
      <c r="AF250" t="str">
        <f>IF(tbl_FinancialData[[#This Row],[City]]="","Unknown",PROPER(TRIM(tbl_FinancialData[[#This Row],[City]])))</f>
        <v>Muzaffarpur</v>
      </c>
      <c r="AG250" t="str">
        <f>_xlfn.LET(_xlpm.city,LOWER(TRIM(tbl_FinancialData[[#This Row],[City]])),_xlpm.st,PROPER(TRIM(tbl_FinancialData[[#This Row],[State]])),IF(_xlpm.city="pune","Maharashtra",IF(_xlpm.city="jamshedpur","Jharkhand",IF(_xlpm.city="bhilai","Chhattisgarh",IF(_xlpm.city="mumbai","Maharashtra",_xlpm.st)))))</f>
        <v>Bihar</v>
      </c>
      <c r="AH250" t="str">
        <f>_xlfn.LET(_xlpm.d,PROPER(TRIM(tbl_FinancialData[[#This Row],[Department]])),IF(_xlpm.d="It","IT",_xlpm.d))</f>
        <v>IT</v>
      </c>
      <c r="AI250" t="str">
        <f>_xlfn.LET(_xlpm.pid,tbl_FinancialData[[#This Row],[Product ID]],_xlpm.n,PROPER(TRIM(tbl_FinancialData[[#This Row],[Product Name]])),IF(_xlpm.pid="P020","Document Scanner",IF(_xlpm.pid="P015","Network Router",SUBSTITUTE(SUBSTITUTE(_xlpm.n,"Crm","CRM"),"Ups","UPS"))))</f>
        <v>Accounting Software</v>
      </c>
      <c r="AJ250" s="3" t="str">
        <f>UPPER(TRIM(tbl_FinancialData[[#This Row],[Cost Center]]))</f>
        <v>CC-1004</v>
      </c>
    </row>
    <row r="251" spans="1:36" x14ac:dyDescent="0.25">
      <c r="A251" s="3" t="s">
        <v>450</v>
      </c>
      <c r="B251" s="2">
        <v>45848</v>
      </c>
      <c r="C251" t="s">
        <v>32</v>
      </c>
      <c r="D251" s="3" t="str">
        <f t="shared" si="15"/>
        <v>Q2</v>
      </c>
      <c r="E251" s="3" t="str">
        <f t="shared" si="16"/>
        <v>FY2026</v>
      </c>
      <c r="F251" s="8" t="s">
        <v>59</v>
      </c>
      <c r="G251" s="3" t="s">
        <v>35</v>
      </c>
      <c r="H251" t="s">
        <v>60</v>
      </c>
      <c r="I251" t="s">
        <v>185</v>
      </c>
      <c r="J251" s="3" t="s">
        <v>100</v>
      </c>
      <c r="K251" t="s">
        <v>39</v>
      </c>
      <c r="L251" s="3" t="s">
        <v>72</v>
      </c>
      <c r="M251" s="3" t="s">
        <v>110</v>
      </c>
      <c r="N251" t="s">
        <v>111</v>
      </c>
      <c r="O251" t="s">
        <v>112</v>
      </c>
      <c r="P251" t="s">
        <v>113</v>
      </c>
      <c r="Q251" s="3">
        <v>24981.11</v>
      </c>
      <c r="R251" s="3">
        <v>27182.98</v>
      </c>
      <c r="S251" s="3">
        <v>15305</v>
      </c>
      <c r="T251" s="3">
        <v>1681.23</v>
      </c>
      <c r="U251" s="3">
        <v>963.23</v>
      </c>
      <c r="V251" s="3">
        <v>1591.58</v>
      </c>
      <c r="W251" s="3">
        <v>1046.1600000000001</v>
      </c>
      <c r="X251" s="3">
        <v>20587.2</v>
      </c>
      <c r="Y251" s="3">
        <v>9676.11</v>
      </c>
      <c r="Z251" s="3">
        <f t="shared" si="17"/>
        <v>4393.91</v>
      </c>
      <c r="AA251" s="37">
        <f t="shared" si="18"/>
        <v>0.17588930195655836</v>
      </c>
      <c r="AB251" s="3">
        <v>-2201.88</v>
      </c>
      <c r="AC251" s="3">
        <v>1249.06</v>
      </c>
      <c r="AD251" s="3">
        <v>4271.7700000000004</v>
      </c>
      <c r="AE251" s="3">
        <v>28003.82</v>
      </c>
      <c r="AF251" t="str">
        <f>IF(tbl_FinancialData[[#This Row],[City]]="","Unknown",PROPER(TRIM(tbl_FinancialData[[#This Row],[City]])))</f>
        <v>Kanpur</v>
      </c>
      <c r="AG251" t="str">
        <f>_xlfn.LET(_xlpm.city,LOWER(TRIM(tbl_FinancialData[[#This Row],[City]])),_xlpm.st,PROPER(TRIM(tbl_FinancialData[[#This Row],[State]])),IF(_xlpm.city="pune","Maharashtra",IF(_xlpm.city="jamshedpur","Jharkhand",IF(_xlpm.city="bhilai","Chhattisgarh",IF(_xlpm.city="mumbai","Maharashtra",_xlpm.st)))))</f>
        <v>Uttar Pradesh</v>
      </c>
      <c r="AH251" t="str">
        <f>_xlfn.LET(_xlpm.d,PROPER(TRIM(tbl_FinancialData[[#This Row],[Department]])),IF(_xlpm.d="It","IT",_xlpm.d))</f>
        <v>Operations</v>
      </c>
      <c r="AI251" t="str">
        <f>_xlfn.LET(_xlpm.pid,tbl_FinancialData[[#This Row],[Product ID]],_xlpm.n,PROPER(TRIM(tbl_FinancialData[[#This Row],[Product Name]])),IF(_xlpm.pid="P020","Document Scanner",IF(_xlpm.pid="P015","Network Router",SUBSTITUTE(SUBSTITUTE(_xlpm.n,"Crm","CRM"),"Ups","UPS"))))</f>
        <v>Office Desk</v>
      </c>
      <c r="AJ251" s="3" t="str">
        <f>UPPER(TRIM(tbl_FinancialData[[#This Row],[Cost Center]]))</f>
        <v>CC-1004</v>
      </c>
    </row>
    <row r="252" spans="1:36" x14ac:dyDescent="0.25">
      <c r="A252" s="3" t="s">
        <v>451</v>
      </c>
      <c r="B252" s="2">
        <v>46066</v>
      </c>
      <c r="C252" t="s">
        <v>57</v>
      </c>
      <c r="D252" s="3" t="str">
        <f t="shared" si="15"/>
        <v>Q4</v>
      </c>
      <c r="E252" s="3" t="str">
        <f t="shared" si="16"/>
        <v>FY2026</v>
      </c>
      <c r="F252" s="8" t="s">
        <v>47</v>
      </c>
      <c r="G252" s="3" t="s">
        <v>35</v>
      </c>
      <c r="H252" t="s">
        <v>48</v>
      </c>
      <c r="I252" t="s">
        <v>126</v>
      </c>
      <c r="J252" s="3" t="s">
        <v>80</v>
      </c>
      <c r="K252" t="s">
        <v>71</v>
      </c>
      <c r="L252" s="3" t="s">
        <v>81</v>
      </c>
      <c r="M252" s="3" t="s">
        <v>41</v>
      </c>
      <c r="N252" t="s">
        <v>42</v>
      </c>
      <c r="O252" t="s">
        <v>43</v>
      </c>
      <c r="P252" t="s">
        <v>44</v>
      </c>
      <c r="Q252" s="3">
        <v>43967.06</v>
      </c>
      <c r="R252" s="3">
        <v>47152.54</v>
      </c>
      <c r="S252" s="3">
        <v>23845.919999999998</v>
      </c>
      <c r="T252" s="3">
        <v>5315.04</v>
      </c>
      <c r="U252" s="3">
        <v>3658.93</v>
      </c>
      <c r="V252" s="3">
        <v>2804.35</v>
      </c>
      <c r="W252" s="3">
        <v>793.6</v>
      </c>
      <c r="X252" s="3">
        <v>36417.839999999997</v>
      </c>
      <c r="Y252" s="3">
        <v>20121.14</v>
      </c>
      <c r="Z252" s="3">
        <f t="shared" si="17"/>
        <v>7549.2200000000012</v>
      </c>
      <c r="AA252" s="37">
        <f t="shared" si="18"/>
        <v>0.17170172397244668</v>
      </c>
      <c r="AB252" s="3">
        <v>-3185.47</v>
      </c>
      <c r="AC252" s="3">
        <v>1319.01</v>
      </c>
      <c r="AD252" s="3">
        <v>2132.4</v>
      </c>
      <c r="AE252" s="3">
        <v>44780.45</v>
      </c>
      <c r="AF252" t="str">
        <f>IF(tbl_FinancialData[[#This Row],[City]]="","Unknown",PROPER(TRIM(tbl_FinancialData[[#This Row],[City]])))</f>
        <v>Coimbatore</v>
      </c>
      <c r="AG252" t="str">
        <f>_xlfn.LET(_xlpm.city,LOWER(TRIM(tbl_FinancialData[[#This Row],[City]])),_xlpm.st,PROPER(TRIM(tbl_FinancialData[[#This Row],[State]])),IF(_xlpm.city="pune","Maharashtra",IF(_xlpm.city="jamshedpur","Jharkhand",IF(_xlpm.city="bhilai","Chhattisgarh",IF(_xlpm.city="mumbai","Maharashtra",_xlpm.st)))))</f>
        <v>Tamil Nadu</v>
      </c>
      <c r="AH252" t="str">
        <f>_xlfn.LET(_xlpm.d,PROPER(TRIM(tbl_FinancialData[[#This Row],[Department]])),IF(_xlpm.d="It","IT",_xlpm.d))</f>
        <v>Marketing</v>
      </c>
      <c r="AI252" t="str">
        <f>_xlfn.LET(_xlpm.pid,tbl_FinancialData[[#This Row],[Product ID]],_xlpm.n,PROPER(TRIM(tbl_FinancialData[[#This Row],[Product Name]])),IF(_xlpm.pid="P020","Document Scanner",IF(_xlpm.pid="P015","Network Router",SUBSTITUTE(SUBSTITUTE(_xlpm.n,"Crm","CRM"),"Ups","UPS"))))</f>
        <v>Conference Camera</v>
      </c>
      <c r="AJ252" s="3" t="str">
        <f>UPPER(TRIM(tbl_FinancialData[[#This Row],[Cost Center]]))</f>
        <v>CC-1005</v>
      </c>
    </row>
    <row r="253" spans="1:36" x14ac:dyDescent="0.25">
      <c r="A253" s="3" t="s">
        <v>452</v>
      </c>
      <c r="B253" s="2">
        <v>45986</v>
      </c>
      <c r="C253" t="s">
        <v>147</v>
      </c>
      <c r="D253" s="3" t="str">
        <f t="shared" si="15"/>
        <v>Q3</v>
      </c>
      <c r="E253" s="3" t="str">
        <f t="shared" si="16"/>
        <v>FY2026</v>
      </c>
      <c r="F253" s="8" t="s">
        <v>34</v>
      </c>
      <c r="G253" s="3" t="s">
        <v>35</v>
      </c>
      <c r="H253" t="s">
        <v>134</v>
      </c>
      <c r="I253" t="s">
        <v>176</v>
      </c>
      <c r="J253" s="3" t="s">
        <v>38</v>
      </c>
      <c r="K253" t="s">
        <v>71</v>
      </c>
      <c r="L253" s="3" t="s">
        <v>40</v>
      </c>
      <c r="M253" s="3" t="s">
        <v>110</v>
      </c>
      <c r="N253" t="s">
        <v>111</v>
      </c>
      <c r="O253" t="s">
        <v>112</v>
      </c>
      <c r="P253" t="s">
        <v>113</v>
      </c>
      <c r="Q253" s="3">
        <v>13644.07</v>
      </c>
      <c r="R253" s="3">
        <v>13482.28</v>
      </c>
      <c r="S253" s="3">
        <v>8747.2800000000007</v>
      </c>
      <c r="T253" s="3">
        <v>977.62</v>
      </c>
      <c r="U253" s="3">
        <v>413.14</v>
      </c>
      <c r="V253" s="3">
        <v>1629.19</v>
      </c>
      <c r="W253" s="3">
        <v>211.03</v>
      </c>
      <c r="X253" s="3">
        <v>11978.27</v>
      </c>
      <c r="Y253" s="3">
        <v>4896.79</v>
      </c>
      <c r="Z253" s="3">
        <f t="shared" si="17"/>
        <v>1665.7999999999993</v>
      </c>
      <c r="AA253" s="37">
        <f t="shared" si="18"/>
        <v>0.12208966972464956</v>
      </c>
      <c r="AB253" s="3">
        <v>161.79</v>
      </c>
      <c r="AC253" s="3">
        <v>1364.41</v>
      </c>
      <c r="AD253" s="3">
        <v>2210.34</v>
      </c>
      <c r="AE253" s="3">
        <v>14490</v>
      </c>
      <c r="AF253" t="str">
        <f>IF(tbl_FinancialData[[#This Row],[City]]="","Unknown",PROPER(TRIM(tbl_FinancialData[[#This Row],[City]])))</f>
        <v>Jaipur</v>
      </c>
      <c r="AG253" t="str">
        <f>_xlfn.LET(_xlpm.city,LOWER(TRIM(tbl_FinancialData[[#This Row],[City]])),_xlpm.st,PROPER(TRIM(tbl_FinancialData[[#This Row],[State]])),IF(_xlpm.city="pune","Maharashtra",IF(_xlpm.city="jamshedpur","Jharkhand",IF(_xlpm.city="bhilai","Chhattisgarh",IF(_xlpm.city="mumbai","Maharashtra",_xlpm.st)))))</f>
        <v>Rajasthan</v>
      </c>
      <c r="AH253" t="str">
        <f>_xlfn.LET(_xlpm.d,PROPER(TRIM(tbl_FinancialData[[#This Row],[Department]])),IF(_xlpm.d="It","IT",_xlpm.d))</f>
        <v>Marketing</v>
      </c>
      <c r="AI253" t="str">
        <f>_xlfn.LET(_xlpm.pid,tbl_FinancialData[[#This Row],[Product ID]],_xlpm.n,PROPER(TRIM(tbl_FinancialData[[#This Row],[Product Name]])),IF(_xlpm.pid="P020","Document Scanner",IF(_xlpm.pid="P015","Network Router",SUBSTITUTE(SUBSTITUTE(_xlpm.n,"Crm","CRM"),"Ups","UPS"))))</f>
        <v>Office Desk</v>
      </c>
      <c r="AJ253" s="3" t="str">
        <f>UPPER(TRIM(tbl_FinancialData[[#This Row],[Cost Center]]))</f>
        <v>CC-1002</v>
      </c>
    </row>
    <row r="254" spans="1:36" x14ac:dyDescent="0.25">
      <c r="A254" s="3" t="s">
        <v>453</v>
      </c>
      <c r="B254" s="2">
        <v>45906</v>
      </c>
      <c r="C254" t="s">
        <v>46</v>
      </c>
      <c r="D254" s="3" t="str">
        <f t="shared" si="15"/>
        <v>Q2</v>
      </c>
      <c r="E254" s="3" t="str">
        <f t="shared" si="16"/>
        <v>FY2026</v>
      </c>
      <c r="F254" s="8" t="s">
        <v>34</v>
      </c>
      <c r="G254" s="3" t="s">
        <v>35</v>
      </c>
      <c r="H254" t="s">
        <v>98</v>
      </c>
      <c r="I254" t="s">
        <v>99</v>
      </c>
      <c r="J254" s="3" t="s">
        <v>80</v>
      </c>
      <c r="K254" t="s">
        <v>39</v>
      </c>
      <c r="L254" s="3" t="s">
        <v>81</v>
      </c>
      <c r="M254" s="3" t="s">
        <v>73</v>
      </c>
      <c r="N254" t="s">
        <v>74</v>
      </c>
      <c r="O254" t="s">
        <v>43</v>
      </c>
      <c r="P254" t="s">
        <v>75</v>
      </c>
      <c r="Q254" s="3">
        <v>39101.279999999999</v>
      </c>
      <c r="R254" s="3">
        <v>41667.56</v>
      </c>
      <c r="S254" s="3">
        <v>25012.61</v>
      </c>
      <c r="T254" s="3">
        <v>3521.34</v>
      </c>
      <c r="U254" s="3">
        <v>2616.5</v>
      </c>
      <c r="V254" s="3">
        <v>1637.66</v>
      </c>
      <c r="W254" s="3">
        <v>978.97</v>
      </c>
      <c r="X254" s="3">
        <v>33767.08</v>
      </c>
      <c r="Y254" s="3">
        <v>14088.67</v>
      </c>
      <c r="Z254" s="3">
        <f t="shared" si="17"/>
        <v>5334.1999999999971</v>
      </c>
      <c r="AA254" s="37">
        <f t="shared" si="18"/>
        <v>0.13642008650356197</v>
      </c>
      <c r="AB254" s="3">
        <v>-2566.2800000000002</v>
      </c>
      <c r="AC254" s="3">
        <v>782.03</v>
      </c>
      <c r="AD254" s="3">
        <v>1915.96</v>
      </c>
      <c r="AE254" s="3">
        <v>40235.22</v>
      </c>
      <c r="AF254" t="str">
        <f>IF(tbl_FinancialData[[#This Row],[City]]="","Unknown",PROPER(TRIM(tbl_FinancialData[[#This Row],[City]])))</f>
        <v>Mumbai</v>
      </c>
      <c r="AG254" t="str">
        <f>_xlfn.LET(_xlpm.city,LOWER(TRIM(tbl_FinancialData[[#This Row],[City]])),_xlpm.st,PROPER(TRIM(tbl_FinancialData[[#This Row],[State]])),IF(_xlpm.city="pune","Maharashtra",IF(_xlpm.city="jamshedpur","Jharkhand",IF(_xlpm.city="bhilai","Chhattisgarh",IF(_xlpm.city="mumbai","Maharashtra",_xlpm.st)))))</f>
        <v>Maharashtra</v>
      </c>
      <c r="AH254" t="str">
        <f>_xlfn.LET(_xlpm.d,PROPER(TRIM(tbl_FinancialData[[#This Row],[Department]])),IF(_xlpm.d="It","IT",_xlpm.d))</f>
        <v>Operations</v>
      </c>
      <c r="AI254" t="str">
        <f>_xlfn.LET(_xlpm.pid,tbl_FinancialData[[#This Row],[Product ID]],_xlpm.n,PROPER(TRIM(tbl_FinancialData[[#This Row],[Product Name]])),IF(_xlpm.pid="P020","Document Scanner",IF(_xlpm.pid="P015","Network Router",SUBSTITUTE(SUBSTITUTE(_xlpm.n,"Crm","CRM"),"Ups","UPS"))))</f>
        <v>Monitor</v>
      </c>
      <c r="AJ254" s="3" t="str">
        <f>UPPER(TRIM(tbl_FinancialData[[#This Row],[Cost Center]]))</f>
        <v>CC-1005</v>
      </c>
    </row>
    <row r="255" spans="1:36" x14ac:dyDescent="0.25">
      <c r="A255" s="3" t="s">
        <v>454</v>
      </c>
      <c r="B255" s="2">
        <v>46088</v>
      </c>
      <c r="C255" t="s">
        <v>125</v>
      </c>
      <c r="D255" s="3" t="str">
        <f t="shared" si="15"/>
        <v>Q4</v>
      </c>
      <c r="E255" s="3" t="str">
        <f t="shared" si="16"/>
        <v>FY2026</v>
      </c>
      <c r="F255" s="8" t="s">
        <v>34</v>
      </c>
      <c r="G255" s="3" t="s">
        <v>35</v>
      </c>
      <c r="H255" t="s">
        <v>157</v>
      </c>
      <c r="I255" t="s">
        <v>166</v>
      </c>
      <c r="J255" s="3" t="s">
        <v>100</v>
      </c>
      <c r="K255" t="s">
        <v>50</v>
      </c>
      <c r="L255" s="3" t="s">
        <v>94</v>
      </c>
      <c r="M255" s="3" t="s">
        <v>82</v>
      </c>
      <c r="N255" t="s">
        <v>83</v>
      </c>
      <c r="O255" t="s">
        <v>43</v>
      </c>
      <c r="P255" t="s">
        <v>75</v>
      </c>
      <c r="Q255" s="3">
        <v>35664.199999999997</v>
      </c>
      <c r="R255" s="3">
        <v>38361.410000000003</v>
      </c>
      <c r="S255" s="3">
        <v>23803.02</v>
      </c>
      <c r="T255" s="3">
        <v>4041.36</v>
      </c>
      <c r="U255" s="3">
        <v>2288.23</v>
      </c>
      <c r="V255" s="3">
        <v>2886.34</v>
      </c>
      <c r="W255" s="3">
        <v>432.79</v>
      </c>
      <c r="X255" s="3">
        <v>33451.75</v>
      </c>
      <c r="Y255" s="3">
        <v>11861.18</v>
      </c>
      <c r="Z255" s="3">
        <f t="shared" si="17"/>
        <v>2212.4499999999971</v>
      </c>
      <c r="AA255" s="37">
        <f t="shared" si="18"/>
        <v>6.2035598723649971E-2</v>
      </c>
      <c r="AB255" s="3">
        <v>-2697.21</v>
      </c>
      <c r="AC255" s="3">
        <v>713.28</v>
      </c>
      <c r="AD255" s="3">
        <v>1747.55</v>
      </c>
      <c r="AE255" s="3">
        <v>36698.46</v>
      </c>
      <c r="AF255" t="str">
        <f>IF(tbl_FinancialData[[#This Row],[City]]="","Unknown",PROPER(TRIM(tbl_FinancialData[[#This Row],[City]])))</f>
        <v>Vadodara</v>
      </c>
      <c r="AG255" t="str">
        <f>_xlfn.LET(_xlpm.city,LOWER(TRIM(tbl_FinancialData[[#This Row],[City]])),_xlpm.st,PROPER(TRIM(tbl_FinancialData[[#This Row],[State]])),IF(_xlpm.city="pune","Maharashtra",IF(_xlpm.city="jamshedpur","Jharkhand",IF(_xlpm.city="bhilai","Chhattisgarh",IF(_xlpm.city="mumbai","Maharashtra",_xlpm.st)))))</f>
        <v>Gujarat</v>
      </c>
      <c r="AH255" t="str">
        <f>_xlfn.LET(_xlpm.d,PROPER(TRIM(tbl_FinancialData[[#This Row],[Department]])),IF(_xlpm.d="It","IT",_xlpm.d))</f>
        <v>Sales</v>
      </c>
      <c r="AI255" t="str">
        <f>_xlfn.LET(_xlpm.pid,tbl_FinancialData[[#This Row],[Product ID]],_xlpm.n,PROPER(TRIM(tbl_FinancialData[[#This Row],[Product Name]])),IF(_xlpm.pid="P020","Document Scanner",IF(_xlpm.pid="P015","Network Router",SUBSTITUTE(SUBSTITUTE(_xlpm.n,"Crm","CRM"),"Ups","UPS"))))</f>
        <v>Business Laptop</v>
      </c>
      <c r="AJ255" s="3" t="str">
        <f>UPPER(TRIM(tbl_FinancialData[[#This Row],[Cost Center]]))</f>
        <v>CC-1001</v>
      </c>
    </row>
    <row r="256" spans="1:36" x14ac:dyDescent="0.25">
      <c r="A256" s="3" t="s">
        <v>455</v>
      </c>
      <c r="B256" s="2">
        <v>46078</v>
      </c>
      <c r="C256" t="s">
        <v>57</v>
      </c>
      <c r="D256" s="3" t="str">
        <f t="shared" si="15"/>
        <v>Q4</v>
      </c>
      <c r="E256" s="3" t="str">
        <f t="shared" si="16"/>
        <v>FY2026</v>
      </c>
      <c r="F256" s="8" t="s">
        <v>34</v>
      </c>
      <c r="G256" s="3" t="s">
        <v>35</v>
      </c>
      <c r="H256" t="s">
        <v>134</v>
      </c>
      <c r="I256" t="s">
        <v>154</v>
      </c>
      <c r="J256" s="3" t="s">
        <v>100</v>
      </c>
      <c r="K256" t="s">
        <v>160</v>
      </c>
      <c r="L256" s="3" t="s">
        <v>40</v>
      </c>
      <c r="M256" s="3" t="s">
        <v>130</v>
      </c>
      <c r="N256" t="s">
        <v>131</v>
      </c>
      <c r="O256" t="s">
        <v>43</v>
      </c>
      <c r="P256" t="s">
        <v>132</v>
      </c>
      <c r="Q256" s="3">
        <v>54847.33</v>
      </c>
      <c r="R256" s="3">
        <v>55325.52</v>
      </c>
      <c r="S256" s="3">
        <v>29958.79</v>
      </c>
      <c r="T256" s="3">
        <v>6114.74</v>
      </c>
      <c r="U256" s="3">
        <v>2177.86</v>
      </c>
      <c r="V256" s="3">
        <v>5231.8</v>
      </c>
      <c r="W256" s="3">
        <v>996.39</v>
      </c>
      <c r="X256" s="3">
        <v>44479.57</v>
      </c>
      <c r="Y256" s="3">
        <v>24888.54</v>
      </c>
      <c r="Z256" s="3">
        <f t="shared" si="17"/>
        <v>10367.760000000002</v>
      </c>
      <c r="AA256" s="37">
        <f t="shared" si="18"/>
        <v>0.18902943862536248</v>
      </c>
      <c r="AB256" s="3">
        <v>-478.2</v>
      </c>
      <c r="AC256" s="3">
        <v>2742.37</v>
      </c>
      <c r="AD256" s="3">
        <v>9378.89</v>
      </c>
      <c r="AE256" s="3">
        <v>61483.85</v>
      </c>
      <c r="AF256" t="str">
        <f>IF(tbl_FinancialData[[#This Row],[City]]="","Unknown",PROPER(TRIM(tbl_FinancialData[[#This Row],[City]])))</f>
        <v>Udaipur</v>
      </c>
      <c r="AG256" t="str">
        <f>_xlfn.LET(_xlpm.city,LOWER(TRIM(tbl_FinancialData[[#This Row],[City]])),_xlpm.st,PROPER(TRIM(tbl_FinancialData[[#This Row],[State]])),IF(_xlpm.city="pune","Maharashtra",IF(_xlpm.city="jamshedpur","Jharkhand",IF(_xlpm.city="bhilai","Chhattisgarh",IF(_xlpm.city="mumbai","Maharashtra",_xlpm.st)))))</f>
        <v>Rajasthan</v>
      </c>
      <c r="AH256" t="str">
        <f>_xlfn.LET(_xlpm.d,PROPER(TRIM(tbl_FinancialData[[#This Row],[Department]])),IF(_xlpm.d="It","IT",_xlpm.d))</f>
        <v>IT</v>
      </c>
      <c r="AI256" t="str">
        <f>_xlfn.LET(_xlpm.pid,tbl_FinancialData[[#This Row],[Product ID]],_xlpm.n,PROPER(TRIM(tbl_FinancialData[[#This Row],[Product Name]])),IF(_xlpm.pid="P020","Document Scanner",IF(_xlpm.pid="P015","Network Router",SUBSTITUTE(SUBSTITUTE(_xlpm.n,"Crm","CRM"),"Ups","UPS"))))</f>
        <v>UPS System</v>
      </c>
      <c r="AJ256" s="3" t="str">
        <f>UPPER(TRIM(tbl_FinancialData[[#This Row],[Cost Center]]))</f>
        <v>CC-1002</v>
      </c>
    </row>
    <row r="257" spans="1:36" x14ac:dyDescent="0.25">
      <c r="A257" s="3" t="s">
        <v>456</v>
      </c>
      <c r="B257" s="2">
        <v>45789</v>
      </c>
      <c r="C257" t="s">
        <v>65</v>
      </c>
      <c r="D257" s="3" t="str">
        <f t="shared" si="15"/>
        <v>Q1</v>
      </c>
      <c r="E257" s="3" t="str">
        <f t="shared" si="16"/>
        <v>FY2026</v>
      </c>
      <c r="F257" s="8" t="s">
        <v>47</v>
      </c>
      <c r="G257" s="3" t="s">
        <v>35</v>
      </c>
      <c r="H257" t="s">
        <v>48</v>
      </c>
      <c r="I257" t="s">
        <v>49</v>
      </c>
      <c r="J257" s="3" t="s">
        <v>100</v>
      </c>
      <c r="K257" t="s">
        <v>50</v>
      </c>
      <c r="L257" s="3" t="s">
        <v>40</v>
      </c>
      <c r="M257" s="3" t="s">
        <v>221</v>
      </c>
      <c r="N257" t="s">
        <v>222</v>
      </c>
      <c r="O257" t="s">
        <v>104</v>
      </c>
      <c r="P257" t="s">
        <v>223</v>
      </c>
      <c r="Q257" s="3">
        <v>10258.23</v>
      </c>
      <c r="R257" s="3">
        <v>9591.81</v>
      </c>
      <c r="S257" s="3">
        <v>6386.71</v>
      </c>
      <c r="T257" s="3">
        <v>850.51</v>
      </c>
      <c r="U257" s="3">
        <v>340.73</v>
      </c>
      <c r="V257" s="3">
        <v>433.18</v>
      </c>
      <c r="W257" s="3">
        <v>326.17</v>
      </c>
      <c r="X257" s="3">
        <v>8337.2900000000009</v>
      </c>
      <c r="Y257" s="3">
        <v>3871.52</v>
      </c>
      <c r="Z257" s="3">
        <f t="shared" si="17"/>
        <v>1920.9399999999987</v>
      </c>
      <c r="AA257" s="37">
        <f t="shared" si="18"/>
        <v>0.1872584256738247</v>
      </c>
      <c r="AB257" s="3">
        <v>666.42</v>
      </c>
      <c r="AC257" s="3">
        <v>820.66</v>
      </c>
      <c r="AD257" s="3">
        <v>1698.76</v>
      </c>
      <c r="AE257" s="3">
        <v>11136.33</v>
      </c>
      <c r="AF257" t="str">
        <f>IF(tbl_FinancialData[[#This Row],[City]]="","Unknown",PROPER(TRIM(tbl_FinancialData[[#This Row],[City]])))</f>
        <v>Chennai</v>
      </c>
      <c r="AG257" t="str">
        <f>_xlfn.LET(_xlpm.city,LOWER(TRIM(tbl_FinancialData[[#This Row],[City]])),_xlpm.st,PROPER(TRIM(tbl_FinancialData[[#This Row],[State]])),IF(_xlpm.city="pune","Maharashtra",IF(_xlpm.city="jamshedpur","Jharkhand",IF(_xlpm.city="bhilai","Chhattisgarh",IF(_xlpm.city="mumbai","Maharashtra",_xlpm.st)))))</f>
        <v>Tamil Nadu</v>
      </c>
      <c r="AH257" t="str">
        <f>_xlfn.LET(_xlpm.d,PROPER(TRIM(tbl_FinancialData[[#This Row],[Department]])),IF(_xlpm.d="It","IT",_xlpm.d))</f>
        <v>Sales</v>
      </c>
      <c r="AI257" t="str">
        <f>_xlfn.LET(_xlpm.pid,tbl_FinancialData[[#This Row],[Product ID]],_xlpm.n,PROPER(TRIM(tbl_FinancialData[[#This Row],[Product Name]])),IF(_xlpm.pid="P020","Document Scanner",IF(_xlpm.pid="P015","Network Router",SUBSTITUTE(SUBSTITUTE(_xlpm.n,"Crm","CRM"),"Ups","UPS"))))</f>
        <v>Cloud Software</v>
      </c>
      <c r="AJ257" s="3" t="str">
        <f>UPPER(TRIM(tbl_FinancialData[[#This Row],[Cost Center]]))</f>
        <v>CC-1002</v>
      </c>
    </row>
    <row r="258" spans="1:36" x14ac:dyDescent="0.25">
      <c r="A258" s="3" t="s">
        <v>457</v>
      </c>
      <c r="B258" s="2">
        <v>45786</v>
      </c>
      <c r="C258" t="s">
        <v>65</v>
      </c>
      <c r="D258" s="3" t="str">
        <f t="shared" ref="D258:D321" si="19">"Q"&amp;INT(MOD(MONTH(B258)-4,12)/3)+1</f>
        <v>Q1</v>
      </c>
      <c r="E258" s="3" t="str">
        <f t="shared" ref="E258:E321" si="20">"FY"&amp; (YEAR(B258)+(MONTH(B258)&gt;=4))</f>
        <v>FY2026</v>
      </c>
      <c r="F258" s="8" t="s">
        <v>34</v>
      </c>
      <c r="G258" s="3" t="s">
        <v>35</v>
      </c>
      <c r="H258" t="s">
        <v>98</v>
      </c>
      <c r="I258" t="s">
        <v>149</v>
      </c>
      <c r="J258" s="3" t="s">
        <v>38</v>
      </c>
      <c r="K258" t="s">
        <v>71</v>
      </c>
      <c r="L258" s="3" t="s">
        <v>51</v>
      </c>
      <c r="M258" s="3" t="s">
        <v>73</v>
      </c>
      <c r="N258" t="s">
        <v>74</v>
      </c>
      <c r="O258" t="s">
        <v>43</v>
      </c>
      <c r="P258" t="s">
        <v>75</v>
      </c>
      <c r="Q258" s="3">
        <v>65395.4</v>
      </c>
      <c r="R258" s="3">
        <v>58537.06</v>
      </c>
      <c r="S258" s="3">
        <v>45364.28</v>
      </c>
      <c r="T258" s="3">
        <v>6287.8</v>
      </c>
      <c r="U258" s="3">
        <v>4031.94</v>
      </c>
      <c r="V258" s="3">
        <v>5233.09</v>
      </c>
      <c r="W258" s="3">
        <v>812.79</v>
      </c>
      <c r="X258" s="3">
        <v>61729.9</v>
      </c>
      <c r="Y258" s="3">
        <v>20031.12</v>
      </c>
      <c r="Z258" s="3">
        <f t="shared" si="17"/>
        <v>3665.5</v>
      </c>
      <c r="AA258" s="37">
        <f t="shared" si="18"/>
        <v>5.6051343060826909E-2</v>
      </c>
      <c r="AB258" s="3">
        <v>6858.34</v>
      </c>
      <c r="AC258" s="3">
        <v>0</v>
      </c>
      <c r="AD258" s="3">
        <v>11771.17</v>
      </c>
      <c r="AE258" s="3">
        <v>77166.58</v>
      </c>
      <c r="AF258" t="str">
        <f>IF(tbl_FinancialData[[#This Row],[City]]="","Unknown",PROPER(TRIM(tbl_FinancialData[[#This Row],[City]])))</f>
        <v>Nagpur</v>
      </c>
      <c r="AG258" t="str">
        <f>_xlfn.LET(_xlpm.city,LOWER(TRIM(tbl_FinancialData[[#This Row],[City]])),_xlpm.st,PROPER(TRIM(tbl_FinancialData[[#This Row],[State]])),IF(_xlpm.city="pune","Maharashtra",IF(_xlpm.city="jamshedpur","Jharkhand",IF(_xlpm.city="bhilai","Chhattisgarh",IF(_xlpm.city="mumbai","Maharashtra",_xlpm.st)))))</f>
        <v>Maharashtra</v>
      </c>
      <c r="AH258" t="str">
        <f>_xlfn.LET(_xlpm.d,PROPER(TRIM(tbl_FinancialData[[#This Row],[Department]])),IF(_xlpm.d="It","IT",_xlpm.d))</f>
        <v>Marketing</v>
      </c>
      <c r="AI258" t="str">
        <f>_xlfn.LET(_xlpm.pid,tbl_FinancialData[[#This Row],[Product ID]],_xlpm.n,PROPER(TRIM(tbl_FinancialData[[#This Row],[Product Name]])),IF(_xlpm.pid="P020","Document Scanner",IF(_xlpm.pid="P015","Network Router",SUBSTITUTE(SUBSTITUTE(_xlpm.n,"Crm","CRM"),"Ups","UPS"))))</f>
        <v>Monitor</v>
      </c>
      <c r="AJ258" s="3" t="str">
        <f>UPPER(TRIM(tbl_FinancialData[[#This Row],[Cost Center]]))</f>
        <v>CC-1003</v>
      </c>
    </row>
    <row r="259" spans="1:36" x14ac:dyDescent="0.25">
      <c r="A259" s="3" t="s">
        <v>458</v>
      </c>
      <c r="B259" s="2">
        <v>45909</v>
      </c>
      <c r="C259" t="s">
        <v>46</v>
      </c>
      <c r="D259" s="3" t="str">
        <f t="shared" si="19"/>
        <v>Q2</v>
      </c>
      <c r="E259" s="3" t="str">
        <f t="shared" si="20"/>
        <v>FY2026</v>
      </c>
      <c r="F259" s="8" t="s">
        <v>85</v>
      </c>
      <c r="G259" s="3" t="s">
        <v>35</v>
      </c>
      <c r="H259" t="s">
        <v>178</v>
      </c>
      <c r="I259" t="s">
        <v>249</v>
      </c>
      <c r="J259" s="3" t="s">
        <v>38</v>
      </c>
      <c r="K259" t="s">
        <v>160</v>
      </c>
      <c r="L259" s="3" t="s">
        <v>81</v>
      </c>
      <c r="M259" s="3" t="s">
        <v>211</v>
      </c>
      <c r="N259" t="s">
        <v>212</v>
      </c>
      <c r="O259" t="s">
        <v>112</v>
      </c>
      <c r="P259" t="s">
        <v>113</v>
      </c>
      <c r="Q259" s="3">
        <v>19929.03</v>
      </c>
      <c r="R259" s="3">
        <v>22544.9</v>
      </c>
      <c r="S259" s="3">
        <v>12505</v>
      </c>
      <c r="T259" s="3">
        <v>1923.06</v>
      </c>
      <c r="U259" s="3">
        <v>826.78</v>
      </c>
      <c r="V259" s="3">
        <v>2003</v>
      </c>
      <c r="W259" s="3">
        <v>256.25</v>
      </c>
      <c r="X259" s="3">
        <v>17514.099999999999</v>
      </c>
      <c r="Y259" s="3">
        <v>7424.03</v>
      </c>
      <c r="Z259" s="3">
        <f t="shared" ref="Z259:Z322" si="21">Q259-X259</f>
        <v>2414.9300000000003</v>
      </c>
      <c r="AA259" s="37">
        <f t="shared" ref="AA259:AA322" si="22">Z259/Q259</f>
        <v>0.12117649479176862</v>
      </c>
      <c r="AB259" s="3">
        <v>-2615.87</v>
      </c>
      <c r="AC259" s="3">
        <v>1594.32</v>
      </c>
      <c r="AD259" s="3">
        <v>2200.17</v>
      </c>
      <c r="AE259" s="3">
        <v>20534.87</v>
      </c>
      <c r="AF259" t="str">
        <f>IF(tbl_FinancialData[[#This Row],[City]]="","Unknown",PROPER(TRIM(tbl_FinancialData[[#This Row],[City]])))</f>
        <v>Bhilai</v>
      </c>
      <c r="AG259" t="str">
        <f>_xlfn.LET(_xlpm.city,LOWER(TRIM(tbl_FinancialData[[#This Row],[City]])),_xlpm.st,PROPER(TRIM(tbl_FinancialData[[#This Row],[State]])),IF(_xlpm.city="pune","Maharashtra",IF(_xlpm.city="jamshedpur","Jharkhand",IF(_xlpm.city="bhilai","Chhattisgarh",IF(_xlpm.city="mumbai","Maharashtra",_xlpm.st)))))</f>
        <v>Chhattisgarh</v>
      </c>
      <c r="AH259" t="str">
        <f>_xlfn.LET(_xlpm.d,PROPER(TRIM(tbl_FinancialData[[#This Row],[Department]])),IF(_xlpm.d="It","IT",_xlpm.d))</f>
        <v>IT</v>
      </c>
      <c r="AI259" t="str">
        <f>_xlfn.LET(_xlpm.pid,tbl_FinancialData[[#This Row],[Product ID]],_xlpm.n,PROPER(TRIM(tbl_FinancialData[[#This Row],[Product Name]])),IF(_xlpm.pid="P020","Document Scanner",IF(_xlpm.pid="P015","Network Router",SUBSTITUTE(SUBSTITUTE(_xlpm.n,"Crm","CRM"),"Ups","UPS"))))</f>
        <v>Office Chair</v>
      </c>
      <c r="AJ259" s="3" t="str">
        <f>UPPER(TRIM(tbl_FinancialData[[#This Row],[Cost Center]]))</f>
        <v>CC-1005</v>
      </c>
    </row>
    <row r="260" spans="1:36" x14ac:dyDescent="0.25">
      <c r="A260" s="3" t="s">
        <v>459</v>
      </c>
      <c r="B260" s="2">
        <v>45990</v>
      </c>
      <c r="C260" t="s">
        <v>147</v>
      </c>
      <c r="D260" s="3" t="str">
        <f t="shared" si="19"/>
        <v>Q3</v>
      </c>
      <c r="E260" s="3" t="str">
        <f t="shared" si="20"/>
        <v>FY2026</v>
      </c>
      <c r="F260" s="8" t="s">
        <v>34</v>
      </c>
      <c r="G260" s="3" t="s">
        <v>35</v>
      </c>
      <c r="H260" t="s">
        <v>36</v>
      </c>
      <c r="I260" t="s">
        <v>245</v>
      </c>
      <c r="J260" s="3" t="s">
        <v>100</v>
      </c>
      <c r="K260" t="s">
        <v>39</v>
      </c>
      <c r="L260" s="3" t="s">
        <v>94</v>
      </c>
      <c r="M260" s="3" t="s">
        <v>189</v>
      </c>
      <c r="N260" t="s">
        <v>190</v>
      </c>
      <c r="O260" t="s">
        <v>104</v>
      </c>
      <c r="P260" t="s">
        <v>105</v>
      </c>
      <c r="Q260" s="3">
        <v>20046.55</v>
      </c>
      <c r="R260" s="3">
        <v>18400.36</v>
      </c>
      <c r="S260" s="3">
        <v>13535.92</v>
      </c>
      <c r="T260" s="3">
        <v>2484.58</v>
      </c>
      <c r="U260" s="3">
        <v>1101.43</v>
      </c>
      <c r="V260" s="3">
        <v>1602.07</v>
      </c>
      <c r="W260" s="3">
        <v>423.77</v>
      </c>
      <c r="X260" s="3">
        <v>19147.759999999998</v>
      </c>
      <c r="Y260" s="3">
        <v>6510.63</v>
      </c>
      <c r="Z260" s="3">
        <f t="shared" si="21"/>
        <v>898.79000000000087</v>
      </c>
      <c r="AA260" s="37">
        <f t="shared" si="22"/>
        <v>4.4835146197225999E-2</v>
      </c>
      <c r="AB260" s="3">
        <v>1646.2</v>
      </c>
      <c r="AC260" s="3">
        <v>1603.72</v>
      </c>
      <c r="AD260" s="3">
        <v>3319.71</v>
      </c>
      <c r="AE260" s="3">
        <v>21762.54</v>
      </c>
      <c r="AF260" t="str">
        <f>IF(tbl_FinancialData[[#This Row],[City]]="","Unknown",PROPER(TRIM(tbl_FinancialData[[#This Row],[City]])))</f>
        <v>Margao</v>
      </c>
      <c r="AG260" t="str">
        <f>_xlfn.LET(_xlpm.city,LOWER(TRIM(tbl_FinancialData[[#This Row],[City]])),_xlpm.st,PROPER(TRIM(tbl_FinancialData[[#This Row],[State]])),IF(_xlpm.city="pune","Maharashtra",IF(_xlpm.city="jamshedpur","Jharkhand",IF(_xlpm.city="bhilai","Chhattisgarh",IF(_xlpm.city="mumbai","Maharashtra",_xlpm.st)))))</f>
        <v>Goa</v>
      </c>
      <c r="AH260" t="str">
        <f>_xlfn.LET(_xlpm.d,PROPER(TRIM(tbl_FinancialData[[#This Row],[Department]])),IF(_xlpm.d="It","IT",_xlpm.d))</f>
        <v>Operations</v>
      </c>
      <c r="AI260" t="str">
        <f>_xlfn.LET(_xlpm.pid,tbl_FinancialData[[#This Row],[Product ID]],_xlpm.n,PROPER(TRIM(tbl_FinancialData[[#This Row],[Product Name]])),IF(_xlpm.pid="P020","Document Scanner",IF(_xlpm.pid="P015","Network Router",SUBSTITUTE(SUBSTITUTE(_xlpm.n,"Crm","CRM"),"Ups","UPS"))))</f>
        <v>CRM Software</v>
      </c>
      <c r="AJ260" s="3" t="str">
        <f>UPPER(TRIM(tbl_FinancialData[[#This Row],[Cost Center]]))</f>
        <v>CC-1001</v>
      </c>
    </row>
    <row r="261" spans="1:36" x14ac:dyDescent="0.25">
      <c r="A261" s="3" t="s">
        <v>460</v>
      </c>
      <c r="B261" s="2">
        <v>46003</v>
      </c>
      <c r="C261" t="s">
        <v>107</v>
      </c>
      <c r="D261" s="3" t="str">
        <f t="shared" si="19"/>
        <v>Q3</v>
      </c>
      <c r="E261" s="3" t="str">
        <f t="shared" si="20"/>
        <v>FY2026</v>
      </c>
      <c r="F261" s="8" t="s">
        <v>34</v>
      </c>
      <c r="G261" s="3" t="s">
        <v>35</v>
      </c>
      <c r="H261" t="s">
        <v>36</v>
      </c>
      <c r="I261" t="s">
        <v>37</v>
      </c>
      <c r="J261" s="3" t="s">
        <v>80</v>
      </c>
      <c r="K261" t="s">
        <v>50</v>
      </c>
      <c r="L261" s="3" t="s">
        <v>51</v>
      </c>
      <c r="M261" s="3" t="s">
        <v>130</v>
      </c>
      <c r="N261" t="s">
        <v>131</v>
      </c>
      <c r="O261" t="s">
        <v>43</v>
      </c>
      <c r="P261" t="s">
        <v>132</v>
      </c>
      <c r="Q261" s="3">
        <v>36958.879999999997</v>
      </c>
      <c r="R261" s="3">
        <v>33544.980000000003</v>
      </c>
      <c r="S261" s="3">
        <v>24971.87</v>
      </c>
      <c r="T261" s="3">
        <v>4492.4399999999996</v>
      </c>
      <c r="U261" s="3">
        <v>2902.54</v>
      </c>
      <c r="V261" s="3">
        <v>4135.8100000000004</v>
      </c>
      <c r="W261" s="3">
        <v>1085.07</v>
      </c>
      <c r="X261" s="3">
        <v>37587.74</v>
      </c>
      <c r="Y261" s="3">
        <v>11987.01</v>
      </c>
      <c r="Z261" s="3">
        <f t="shared" si="21"/>
        <v>-628.86000000000058</v>
      </c>
      <c r="AA261" s="37">
        <f t="shared" si="22"/>
        <v>-1.7015125999489178E-2</v>
      </c>
      <c r="AB261" s="3">
        <v>3413.91</v>
      </c>
      <c r="AC261" s="3">
        <v>2956.71</v>
      </c>
      <c r="AD261" s="3">
        <v>4080.26</v>
      </c>
      <c r="AE261" s="3">
        <v>38082.43</v>
      </c>
      <c r="AF261" t="str">
        <f>IF(tbl_FinancialData[[#This Row],[City]]="","Unknown",PROPER(TRIM(tbl_FinancialData[[#This Row],[City]])))</f>
        <v>Vasco Da Gama</v>
      </c>
      <c r="AG261" t="str">
        <f>_xlfn.LET(_xlpm.city,LOWER(TRIM(tbl_FinancialData[[#This Row],[City]])),_xlpm.st,PROPER(TRIM(tbl_FinancialData[[#This Row],[State]])),IF(_xlpm.city="pune","Maharashtra",IF(_xlpm.city="jamshedpur","Jharkhand",IF(_xlpm.city="bhilai","Chhattisgarh",IF(_xlpm.city="mumbai","Maharashtra",_xlpm.st)))))</f>
        <v>Goa</v>
      </c>
      <c r="AH261" t="str">
        <f>_xlfn.LET(_xlpm.d,PROPER(TRIM(tbl_FinancialData[[#This Row],[Department]])),IF(_xlpm.d="It","IT",_xlpm.d))</f>
        <v>Sales</v>
      </c>
      <c r="AI261" t="str">
        <f>_xlfn.LET(_xlpm.pid,tbl_FinancialData[[#This Row],[Product ID]],_xlpm.n,PROPER(TRIM(tbl_FinancialData[[#This Row],[Product Name]])),IF(_xlpm.pid="P020","Document Scanner",IF(_xlpm.pid="P015","Network Router",SUBSTITUTE(SUBSTITUTE(_xlpm.n,"Crm","CRM"),"Ups","UPS"))))</f>
        <v>UPS System</v>
      </c>
      <c r="AJ261" s="3" t="str">
        <f>UPPER(TRIM(tbl_FinancialData[[#This Row],[Cost Center]]))</f>
        <v>CC-1003</v>
      </c>
    </row>
    <row r="262" spans="1:36" x14ac:dyDescent="0.25">
      <c r="A262" s="3" t="s">
        <v>461</v>
      </c>
      <c r="B262" s="2">
        <v>46072</v>
      </c>
      <c r="C262" t="s">
        <v>57</v>
      </c>
      <c r="D262" s="3" t="str">
        <f t="shared" si="19"/>
        <v>Q4</v>
      </c>
      <c r="E262" s="3" t="str">
        <f t="shared" si="20"/>
        <v>FY2026</v>
      </c>
      <c r="F262" s="8" t="s">
        <v>47</v>
      </c>
      <c r="G262" s="3" t="s">
        <v>35</v>
      </c>
      <c r="H262" t="s">
        <v>214</v>
      </c>
      <c r="I262" t="s">
        <v>215</v>
      </c>
      <c r="J262" s="3" t="s">
        <v>80</v>
      </c>
      <c r="K262" t="s">
        <v>50</v>
      </c>
      <c r="L262" s="3" t="s">
        <v>51</v>
      </c>
      <c r="M262" s="3" t="s">
        <v>161</v>
      </c>
      <c r="N262" t="s">
        <v>162</v>
      </c>
      <c r="O262" t="s">
        <v>43</v>
      </c>
      <c r="P262" t="s">
        <v>163</v>
      </c>
      <c r="Q262" s="3">
        <v>65465.04</v>
      </c>
      <c r="R262" s="3">
        <v>68054.94</v>
      </c>
      <c r="S262" s="3">
        <v>45149.17</v>
      </c>
      <c r="T262" s="3">
        <v>8487.25</v>
      </c>
      <c r="U262" s="3">
        <v>4116.21</v>
      </c>
      <c r="V262" s="3">
        <v>6873.69</v>
      </c>
      <c r="W262" s="3">
        <v>1403.76</v>
      </c>
      <c r="X262" s="3">
        <v>66030.080000000002</v>
      </c>
      <c r="Y262" s="3">
        <v>20315.87</v>
      </c>
      <c r="Z262" s="3">
        <f t="shared" si="21"/>
        <v>-565.04000000000087</v>
      </c>
      <c r="AA262" s="37">
        <f t="shared" si="22"/>
        <v>-8.6311716910277732E-3</v>
      </c>
      <c r="AB262" s="3">
        <v>-2589.9</v>
      </c>
      <c r="AC262" s="3">
        <v>1309.3</v>
      </c>
      <c r="AD262" s="3">
        <v>7698.69</v>
      </c>
      <c r="AE262" s="3">
        <v>71854.429999999993</v>
      </c>
      <c r="AF262" t="str">
        <f>IF(tbl_FinancialData[[#This Row],[City]]="","Unknown",PROPER(TRIM(tbl_FinancialData[[#This Row],[City]])))</f>
        <v>Mangaluru</v>
      </c>
      <c r="AG262" t="str">
        <f>_xlfn.LET(_xlpm.city,LOWER(TRIM(tbl_FinancialData[[#This Row],[City]])),_xlpm.st,PROPER(TRIM(tbl_FinancialData[[#This Row],[State]])),IF(_xlpm.city="pune","Maharashtra",IF(_xlpm.city="jamshedpur","Jharkhand",IF(_xlpm.city="bhilai","Chhattisgarh",IF(_xlpm.city="mumbai","Maharashtra",_xlpm.st)))))</f>
        <v>Karnataka</v>
      </c>
      <c r="AH262" t="str">
        <f>_xlfn.LET(_xlpm.d,PROPER(TRIM(tbl_FinancialData[[#This Row],[Department]])),IF(_xlpm.d="It","IT",_xlpm.d))</f>
        <v>Sales</v>
      </c>
      <c r="AI262" t="str">
        <f>_xlfn.LET(_xlpm.pid,tbl_FinancialData[[#This Row],[Product ID]],_xlpm.n,PROPER(TRIM(tbl_FinancialData[[#This Row],[Product Name]])),IF(_xlpm.pid="P020","Document Scanner",IF(_xlpm.pid="P015","Network Router",SUBSTITUTE(SUBSTITUTE(_xlpm.n,"Crm","CRM"),"Ups","UPS"))))</f>
        <v>Tablet</v>
      </c>
      <c r="AJ262" s="3" t="str">
        <f>UPPER(TRIM(tbl_FinancialData[[#This Row],[Cost Center]]))</f>
        <v>CC-1003</v>
      </c>
    </row>
    <row r="263" spans="1:36" x14ac:dyDescent="0.25">
      <c r="A263" s="3" t="s">
        <v>462</v>
      </c>
      <c r="B263" s="2">
        <v>46087</v>
      </c>
      <c r="C263" t="s">
        <v>125</v>
      </c>
      <c r="D263" s="3" t="str">
        <f t="shared" si="19"/>
        <v>Q4</v>
      </c>
      <c r="E263" s="3" t="str">
        <f t="shared" si="20"/>
        <v>FY2026</v>
      </c>
      <c r="F263" s="8" t="s">
        <v>34</v>
      </c>
      <c r="G263" s="3" t="s">
        <v>35</v>
      </c>
      <c r="H263" t="s">
        <v>98</v>
      </c>
      <c r="I263" t="s">
        <v>149</v>
      </c>
      <c r="J263" s="3" t="s">
        <v>80</v>
      </c>
      <c r="K263" t="s">
        <v>39</v>
      </c>
      <c r="L263" s="3" t="s">
        <v>51</v>
      </c>
      <c r="M263" s="3" t="s">
        <v>110</v>
      </c>
      <c r="N263" t="s">
        <v>111</v>
      </c>
      <c r="O263" t="s">
        <v>112</v>
      </c>
      <c r="P263" t="s">
        <v>113</v>
      </c>
      <c r="Q263" s="3">
        <v>24168.59</v>
      </c>
      <c r="R263" s="3">
        <v>26348.2</v>
      </c>
      <c r="S263" s="3">
        <v>15971.41</v>
      </c>
      <c r="T263" s="3">
        <v>2896.09</v>
      </c>
      <c r="U263" s="3">
        <v>1389.63</v>
      </c>
      <c r="V263" s="3">
        <v>2378.67</v>
      </c>
      <c r="W263" s="3">
        <v>765.44</v>
      </c>
      <c r="X263" s="3">
        <v>23401.25</v>
      </c>
      <c r="Y263" s="3">
        <v>8197.18</v>
      </c>
      <c r="Z263" s="3">
        <f t="shared" si="21"/>
        <v>767.34000000000015</v>
      </c>
      <c r="AA263" s="37">
        <f t="shared" si="22"/>
        <v>3.1749473179858656E-2</v>
      </c>
      <c r="AB263" s="3">
        <v>-2179.61</v>
      </c>
      <c r="AC263" s="3">
        <v>483.37</v>
      </c>
      <c r="AD263" s="3">
        <v>1184.26</v>
      </c>
      <c r="AE263" s="3">
        <v>24869.48</v>
      </c>
      <c r="AF263" t="str">
        <f>IF(tbl_FinancialData[[#This Row],[City]]="","Unknown",PROPER(TRIM(tbl_FinancialData[[#This Row],[City]])))</f>
        <v>Nagpur</v>
      </c>
      <c r="AG263" t="str">
        <f>_xlfn.LET(_xlpm.city,LOWER(TRIM(tbl_FinancialData[[#This Row],[City]])),_xlpm.st,PROPER(TRIM(tbl_FinancialData[[#This Row],[State]])),IF(_xlpm.city="pune","Maharashtra",IF(_xlpm.city="jamshedpur","Jharkhand",IF(_xlpm.city="bhilai","Chhattisgarh",IF(_xlpm.city="mumbai","Maharashtra",_xlpm.st)))))</f>
        <v>Maharashtra</v>
      </c>
      <c r="AH263" t="str">
        <f>_xlfn.LET(_xlpm.d,PROPER(TRIM(tbl_FinancialData[[#This Row],[Department]])),IF(_xlpm.d="It","IT",_xlpm.d))</f>
        <v>Operations</v>
      </c>
      <c r="AI263" t="str">
        <f>_xlfn.LET(_xlpm.pid,tbl_FinancialData[[#This Row],[Product ID]],_xlpm.n,PROPER(TRIM(tbl_FinancialData[[#This Row],[Product Name]])),IF(_xlpm.pid="P020","Document Scanner",IF(_xlpm.pid="P015","Network Router",SUBSTITUTE(SUBSTITUTE(_xlpm.n,"Crm","CRM"),"Ups","UPS"))))</f>
        <v>Office Desk</v>
      </c>
      <c r="AJ263" s="3" t="str">
        <f>UPPER(TRIM(tbl_FinancialData[[#This Row],[Cost Center]]))</f>
        <v>CC-1003</v>
      </c>
    </row>
    <row r="264" spans="1:36" x14ac:dyDescent="0.25">
      <c r="A264" s="3" t="s">
        <v>463</v>
      </c>
      <c r="B264" s="2">
        <v>45833</v>
      </c>
      <c r="C264" t="s">
        <v>156</v>
      </c>
      <c r="D264" s="3" t="str">
        <f t="shared" si="19"/>
        <v>Q1</v>
      </c>
      <c r="E264" s="3" t="str">
        <f t="shared" si="20"/>
        <v>FY2026</v>
      </c>
      <c r="F264" s="8" t="s">
        <v>47</v>
      </c>
      <c r="G264" s="3" t="s">
        <v>35</v>
      </c>
      <c r="H264" t="s">
        <v>206</v>
      </c>
      <c r="I264" t="s">
        <v>344</v>
      </c>
      <c r="J264" s="3" t="s">
        <v>80</v>
      </c>
      <c r="K264" t="s">
        <v>71</v>
      </c>
      <c r="L264" s="3" t="s">
        <v>51</v>
      </c>
      <c r="M264" s="3" t="s">
        <v>141</v>
      </c>
      <c r="N264" t="s">
        <v>142</v>
      </c>
      <c r="O264" t="s">
        <v>54</v>
      </c>
      <c r="P264" t="s">
        <v>143</v>
      </c>
      <c r="Q264" s="3">
        <v>2894.29</v>
      </c>
      <c r="R264" s="3">
        <v>2640.79</v>
      </c>
      <c r="S264" s="3">
        <v>1721.63</v>
      </c>
      <c r="T264" s="3">
        <v>280.3</v>
      </c>
      <c r="U264" s="3">
        <v>174.21</v>
      </c>
      <c r="V264" s="3">
        <v>135.69</v>
      </c>
      <c r="W264" s="3">
        <v>34.72</v>
      </c>
      <c r="X264" s="3">
        <v>2346.5500000000002</v>
      </c>
      <c r="Y264" s="3">
        <v>1172.6600000000001</v>
      </c>
      <c r="Z264" s="3">
        <f t="shared" si="21"/>
        <v>547.73999999999978</v>
      </c>
      <c r="AA264" s="37">
        <f t="shared" si="22"/>
        <v>0.18924848581171885</v>
      </c>
      <c r="AB264" s="3">
        <v>253.5</v>
      </c>
      <c r="AC264" s="3">
        <v>0</v>
      </c>
      <c r="AD264" s="3">
        <v>347.31</v>
      </c>
      <c r="AE264" s="3">
        <v>3241.6</v>
      </c>
      <c r="AF264" t="str">
        <f>IF(tbl_FinancialData[[#This Row],[City]]="","Unknown",PROPER(TRIM(tbl_FinancialData[[#This Row],[City]])))</f>
        <v>Hyderabad</v>
      </c>
      <c r="AG264" t="str">
        <f>_xlfn.LET(_xlpm.city,LOWER(TRIM(tbl_FinancialData[[#This Row],[City]])),_xlpm.st,PROPER(TRIM(tbl_FinancialData[[#This Row],[State]])),IF(_xlpm.city="pune","Maharashtra",IF(_xlpm.city="jamshedpur","Jharkhand",IF(_xlpm.city="bhilai","Chhattisgarh",IF(_xlpm.city="mumbai","Maharashtra",_xlpm.st)))))</f>
        <v>Telangana</v>
      </c>
      <c r="AH264" t="str">
        <f>_xlfn.LET(_xlpm.d,PROPER(TRIM(tbl_FinancialData[[#This Row],[Department]])),IF(_xlpm.d="It","IT",_xlpm.d))</f>
        <v>Marketing</v>
      </c>
      <c r="AI264" t="str">
        <f>_xlfn.LET(_xlpm.pid,tbl_FinancialData[[#This Row],[Product ID]],_xlpm.n,PROPER(TRIM(tbl_FinancialData[[#This Row],[Product Name]])),IF(_xlpm.pid="P020","Document Scanner",IF(_xlpm.pid="P015","Network Router",SUBSTITUTE(SUBSTITUTE(_xlpm.n,"Crm","CRM"),"Ups","UPS"))))</f>
        <v>Headset</v>
      </c>
      <c r="AJ264" s="3" t="str">
        <f>UPPER(TRIM(tbl_FinancialData[[#This Row],[Cost Center]]))</f>
        <v>CC-1003</v>
      </c>
    </row>
    <row r="265" spans="1:36" x14ac:dyDescent="0.25">
      <c r="A265" s="3" t="s">
        <v>464</v>
      </c>
      <c r="B265" s="2">
        <v>46014</v>
      </c>
      <c r="C265" t="s">
        <v>107</v>
      </c>
      <c r="D265" s="3" t="str">
        <f t="shared" si="19"/>
        <v>Q3</v>
      </c>
      <c r="E265" s="3" t="str">
        <f t="shared" si="20"/>
        <v>FY2026</v>
      </c>
      <c r="F265" s="8" t="s">
        <v>34</v>
      </c>
      <c r="G265" s="3" t="s">
        <v>35</v>
      </c>
      <c r="H265" t="s">
        <v>36</v>
      </c>
      <c r="I265" t="s">
        <v>37</v>
      </c>
      <c r="J265" s="3" t="s">
        <v>100</v>
      </c>
      <c r="K265" t="s">
        <v>39</v>
      </c>
      <c r="L265" s="3" t="s">
        <v>51</v>
      </c>
      <c r="M265" s="3" t="s">
        <v>197</v>
      </c>
      <c r="N265" t="s">
        <v>198</v>
      </c>
      <c r="O265" t="s">
        <v>43</v>
      </c>
      <c r="P265" t="s">
        <v>163</v>
      </c>
      <c r="Q265" s="3">
        <v>27907.77</v>
      </c>
      <c r="R265" s="3">
        <v>29696.42</v>
      </c>
      <c r="S265" s="3">
        <v>19409.98</v>
      </c>
      <c r="T265" s="3">
        <v>3203.64</v>
      </c>
      <c r="U265" s="3">
        <v>1755.5</v>
      </c>
      <c r="V265" s="3">
        <v>2746.62</v>
      </c>
      <c r="W265" s="3">
        <v>635.42999999999995</v>
      </c>
      <c r="X265" s="3">
        <v>27751.16</v>
      </c>
      <c r="Y265" s="3">
        <v>8497.7900000000009</v>
      </c>
      <c r="Z265" s="3">
        <f t="shared" si="21"/>
        <v>156.61000000000058</v>
      </c>
      <c r="AA265" s="37">
        <f t="shared" si="22"/>
        <v>5.6116988207943726E-3</v>
      </c>
      <c r="AB265" s="3">
        <v>-1788.65</v>
      </c>
      <c r="AC265" s="3">
        <v>1395.39</v>
      </c>
      <c r="AD265" s="3">
        <v>3181.49</v>
      </c>
      <c r="AE265" s="3">
        <v>29693.87</v>
      </c>
      <c r="AF265" t="str">
        <f>IF(tbl_FinancialData[[#This Row],[City]]="","Unknown",PROPER(TRIM(tbl_FinancialData[[#This Row],[City]])))</f>
        <v>Vasco Da Gama</v>
      </c>
      <c r="AG265" t="str">
        <f>_xlfn.LET(_xlpm.city,LOWER(TRIM(tbl_FinancialData[[#This Row],[City]])),_xlpm.st,PROPER(TRIM(tbl_FinancialData[[#This Row],[State]])),IF(_xlpm.city="pune","Maharashtra",IF(_xlpm.city="jamshedpur","Jharkhand",IF(_xlpm.city="bhilai","Chhattisgarh",IF(_xlpm.city="mumbai","Maharashtra",_xlpm.st)))))</f>
        <v>Goa</v>
      </c>
      <c r="AH265" t="str">
        <f>_xlfn.LET(_xlpm.d,PROPER(TRIM(tbl_FinancialData[[#This Row],[Department]])),IF(_xlpm.d="It","IT",_xlpm.d))</f>
        <v>Operations</v>
      </c>
      <c r="AI265" t="str">
        <f>_xlfn.LET(_xlpm.pid,tbl_FinancialData[[#This Row],[Product ID]],_xlpm.n,PROPER(TRIM(tbl_FinancialData[[#This Row],[Product Name]])),IF(_xlpm.pid="P020","Document Scanner",IF(_xlpm.pid="P015","Network Router",SUBSTITUTE(SUBSTITUTE(_xlpm.n,"Crm","CRM"),"Ups","UPS"))))</f>
        <v>Smartphone</v>
      </c>
      <c r="AJ265" s="3" t="str">
        <f>UPPER(TRIM(tbl_FinancialData[[#This Row],[Cost Center]]))</f>
        <v>CC-1003</v>
      </c>
    </row>
    <row r="266" spans="1:36" x14ac:dyDescent="0.25">
      <c r="A266" s="3" t="s">
        <v>465</v>
      </c>
      <c r="B266" s="2">
        <v>45901</v>
      </c>
      <c r="C266" t="s">
        <v>46</v>
      </c>
      <c r="D266" s="3" t="str">
        <f t="shared" si="19"/>
        <v>Q2</v>
      </c>
      <c r="E266" s="3" t="str">
        <f t="shared" si="20"/>
        <v>FY2026</v>
      </c>
      <c r="F266" s="8" t="s">
        <v>34</v>
      </c>
      <c r="G266" s="3" t="s">
        <v>35</v>
      </c>
      <c r="H266" t="s">
        <v>134</v>
      </c>
      <c r="I266" t="s">
        <v>154</v>
      </c>
      <c r="J266" s="3" t="s">
        <v>70</v>
      </c>
      <c r="K266" t="s">
        <v>160</v>
      </c>
      <c r="L266" s="3" t="s">
        <v>81</v>
      </c>
      <c r="M266" s="3" t="s">
        <v>171</v>
      </c>
      <c r="N266" t="s">
        <v>172</v>
      </c>
      <c r="O266" t="s">
        <v>173</v>
      </c>
      <c r="P266" t="s">
        <v>174</v>
      </c>
      <c r="Q266" s="3">
        <v>10396.42</v>
      </c>
      <c r="R266" s="3">
        <v>11338.67</v>
      </c>
      <c r="S266" s="3">
        <v>5817.05</v>
      </c>
      <c r="T266" s="3">
        <v>1081.78</v>
      </c>
      <c r="U266" s="3">
        <v>527.47</v>
      </c>
      <c r="V266" s="3">
        <v>1044.8399999999999</v>
      </c>
      <c r="W266" s="3">
        <v>269.23</v>
      </c>
      <c r="X266" s="3">
        <v>8740.3799999999992</v>
      </c>
      <c r="Y266" s="3">
        <v>4579.37</v>
      </c>
      <c r="Z266" s="3">
        <f t="shared" si="21"/>
        <v>1656.0400000000009</v>
      </c>
      <c r="AA266" s="37">
        <f t="shared" si="22"/>
        <v>0.1592894477137323</v>
      </c>
      <c r="AB266" s="3">
        <v>-942.25</v>
      </c>
      <c r="AC266" s="3">
        <v>311.89</v>
      </c>
      <c r="AD266" s="3">
        <v>1815.22</v>
      </c>
      <c r="AE266" s="3">
        <v>11899.75</v>
      </c>
      <c r="AF266" t="str">
        <f>IF(tbl_FinancialData[[#This Row],[City]]="","Unknown",PROPER(TRIM(tbl_FinancialData[[#This Row],[City]])))</f>
        <v>Udaipur</v>
      </c>
      <c r="AG266" t="str">
        <f>_xlfn.LET(_xlpm.city,LOWER(TRIM(tbl_FinancialData[[#This Row],[City]])),_xlpm.st,PROPER(TRIM(tbl_FinancialData[[#This Row],[State]])),IF(_xlpm.city="pune","Maharashtra",IF(_xlpm.city="jamshedpur","Jharkhand",IF(_xlpm.city="bhilai","Chhattisgarh",IF(_xlpm.city="mumbai","Maharashtra",_xlpm.st)))))</f>
        <v>Rajasthan</v>
      </c>
      <c r="AH266" t="str">
        <f>_xlfn.LET(_xlpm.d,PROPER(TRIM(tbl_FinancialData[[#This Row],[Department]])),IF(_xlpm.d="It","IT",_xlpm.d))</f>
        <v>IT</v>
      </c>
      <c r="AI266" t="str">
        <f>_xlfn.LET(_xlpm.pid,tbl_FinancialData[[#This Row],[Product ID]],_xlpm.n,PROPER(TRIM(tbl_FinancialData[[#This Row],[Product Name]])),IF(_xlpm.pid="P020","Document Scanner",IF(_xlpm.pid="P015","Network Router",SUBSTITUTE(SUBSTITUTE(_xlpm.n,"Crm","CRM"),"Ups","UPS"))))</f>
        <v>Network Switch</v>
      </c>
      <c r="AJ266" s="3" t="str">
        <f>UPPER(TRIM(tbl_FinancialData[[#This Row],[Cost Center]]))</f>
        <v>CC-1005</v>
      </c>
    </row>
    <row r="267" spans="1:36" x14ac:dyDescent="0.25">
      <c r="A267" s="3" t="s">
        <v>466</v>
      </c>
      <c r="B267" s="2">
        <v>45962</v>
      </c>
      <c r="C267" t="s">
        <v>147</v>
      </c>
      <c r="D267" s="3" t="str">
        <f t="shared" si="19"/>
        <v>Q3</v>
      </c>
      <c r="E267" s="3" t="str">
        <f t="shared" si="20"/>
        <v>FY2026</v>
      </c>
      <c r="F267" s="8" t="s">
        <v>34</v>
      </c>
      <c r="G267" s="3" t="s">
        <v>35</v>
      </c>
      <c r="H267" t="s">
        <v>157</v>
      </c>
      <c r="I267" t="s">
        <v>166</v>
      </c>
      <c r="J267" s="3" t="s">
        <v>70</v>
      </c>
      <c r="K267" t="s">
        <v>50</v>
      </c>
      <c r="L267" s="3" t="s">
        <v>94</v>
      </c>
      <c r="M267" s="3" t="s">
        <v>41</v>
      </c>
      <c r="N267" t="s">
        <v>42</v>
      </c>
      <c r="O267" t="s">
        <v>43</v>
      </c>
      <c r="P267" t="s">
        <v>44</v>
      </c>
      <c r="Q267" s="3">
        <v>18357.12</v>
      </c>
      <c r="R267" s="3">
        <v>16490.77</v>
      </c>
      <c r="S267" s="3">
        <v>11011.2</v>
      </c>
      <c r="T267" s="3">
        <v>1074.02</v>
      </c>
      <c r="U267" s="3">
        <v>595.12</v>
      </c>
      <c r="V267" s="3">
        <v>2116.2800000000002</v>
      </c>
      <c r="W267" s="3">
        <v>744.25</v>
      </c>
      <c r="X267" s="3">
        <v>15540.87</v>
      </c>
      <c r="Y267" s="3">
        <v>7345.92</v>
      </c>
      <c r="Z267" s="3">
        <f t="shared" si="21"/>
        <v>2816.2499999999982</v>
      </c>
      <c r="AA267" s="37">
        <f t="shared" si="22"/>
        <v>0.15341458790921442</v>
      </c>
      <c r="AB267" s="3">
        <v>1866.34</v>
      </c>
      <c r="AC267" s="3">
        <v>550.71</v>
      </c>
      <c r="AD267" s="3">
        <v>3205.15</v>
      </c>
      <c r="AE267" s="3">
        <v>21011.55</v>
      </c>
      <c r="AF267" t="str">
        <f>IF(tbl_FinancialData[[#This Row],[City]]="","Unknown",PROPER(TRIM(tbl_FinancialData[[#This Row],[City]])))</f>
        <v>Vadodara</v>
      </c>
      <c r="AG267" t="str">
        <f>_xlfn.LET(_xlpm.city,LOWER(TRIM(tbl_FinancialData[[#This Row],[City]])),_xlpm.st,PROPER(TRIM(tbl_FinancialData[[#This Row],[State]])),IF(_xlpm.city="pune","Maharashtra",IF(_xlpm.city="jamshedpur","Jharkhand",IF(_xlpm.city="bhilai","Chhattisgarh",IF(_xlpm.city="mumbai","Maharashtra",_xlpm.st)))))</f>
        <v>Gujarat</v>
      </c>
      <c r="AH267" t="str">
        <f>_xlfn.LET(_xlpm.d,PROPER(TRIM(tbl_FinancialData[[#This Row],[Department]])),IF(_xlpm.d="It","IT",_xlpm.d))</f>
        <v>Sales</v>
      </c>
      <c r="AI267" t="str">
        <f>_xlfn.LET(_xlpm.pid,tbl_FinancialData[[#This Row],[Product ID]],_xlpm.n,PROPER(TRIM(tbl_FinancialData[[#This Row],[Product Name]])),IF(_xlpm.pid="P020","Document Scanner",IF(_xlpm.pid="P015","Network Router",SUBSTITUTE(SUBSTITUTE(_xlpm.n,"Crm","CRM"),"Ups","UPS"))))</f>
        <v>Conference Camera</v>
      </c>
      <c r="AJ267" s="3" t="str">
        <f>UPPER(TRIM(tbl_FinancialData[[#This Row],[Cost Center]]))</f>
        <v>CC-1001</v>
      </c>
    </row>
    <row r="268" spans="1:36" x14ac:dyDescent="0.25">
      <c r="A268" s="3" t="s">
        <v>467</v>
      </c>
      <c r="B268" s="2">
        <v>46105</v>
      </c>
      <c r="C268" t="s">
        <v>125</v>
      </c>
      <c r="D268" s="3" t="str">
        <f t="shared" si="19"/>
        <v>Q4</v>
      </c>
      <c r="E268" s="3" t="str">
        <f t="shared" si="20"/>
        <v>FY2026</v>
      </c>
      <c r="F268" s="8" t="s">
        <v>47</v>
      </c>
      <c r="G268" s="3" t="s">
        <v>35</v>
      </c>
      <c r="H268" t="s">
        <v>206</v>
      </c>
      <c r="I268" t="s">
        <v>344</v>
      </c>
      <c r="J268" s="3" t="s">
        <v>38</v>
      </c>
      <c r="K268" t="s">
        <v>101</v>
      </c>
      <c r="L268" s="3" t="s">
        <v>40</v>
      </c>
      <c r="M268" s="3" t="s">
        <v>197</v>
      </c>
      <c r="N268" t="s">
        <v>198</v>
      </c>
      <c r="O268" t="s">
        <v>43</v>
      </c>
      <c r="P268" t="s">
        <v>163</v>
      </c>
      <c r="Q268" s="3">
        <v>39362.67</v>
      </c>
      <c r="R268" s="3">
        <v>43265.39</v>
      </c>
      <c r="S268" s="3">
        <v>20172.79</v>
      </c>
      <c r="T268" s="3">
        <v>2590.5</v>
      </c>
      <c r="U268" s="3">
        <v>1445.94</v>
      </c>
      <c r="V268" s="3">
        <v>2401.0300000000002</v>
      </c>
      <c r="W268" s="3">
        <v>1117.27</v>
      </c>
      <c r="X268" s="3">
        <v>27727.53</v>
      </c>
      <c r="Y268" s="3">
        <v>19189.88</v>
      </c>
      <c r="Z268" s="3">
        <f t="shared" si="21"/>
        <v>11635.14</v>
      </c>
      <c r="AA268" s="37">
        <f t="shared" si="22"/>
        <v>0.29558818037495932</v>
      </c>
      <c r="AB268" s="3">
        <v>-3902.72</v>
      </c>
      <c r="AC268" s="3">
        <v>0</v>
      </c>
      <c r="AD268" s="3">
        <v>7085.28</v>
      </c>
      <c r="AE268" s="3">
        <v>46447.95</v>
      </c>
      <c r="AF268" t="str">
        <f>IF(tbl_FinancialData[[#This Row],[City]]="","Unknown",PROPER(TRIM(tbl_FinancialData[[#This Row],[City]])))</f>
        <v>Hyderabad</v>
      </c>
      <c r="AG268" t="str">
        <f>_xlfn.LET(_xlpm.city,LOWER(TRIM(tbl_FinancialData[[#This Row],[City]])),_xlpm.st,PROPER(TRIM(tbl_FinancialData[[#This Row],[State]])),IF(_xlpm.city="pune","Maharashtra",IF(_xlpm.city="jamshedpur","Jharkhand",IF(_xlpm.city="bhilai","Chhattisgarh",IF(_xlpm.city="mumbai","Maharashtra",_xlpm.st)))))</f>
        <v>Telangana</v>
      </c>
      <c r="AH268" t="str">
        <f>_xlfn.LET(_xlpm.d,PROPER(TRIM(tbl_FinancialData[[#This Row],[Department]])),IF(_xlpm.d="It","IT",_xlpm.d))</f>
        <v>Finance</v>
      </c>
      <c r="AI268" t="str">
        <f>_xlfn.LET(_xlpm.pid,tbl_FinancialData[[#This Row],[Product ID]],_xlpm.n,PROPER(TRIM(tbl_FinancialData[[#This Row],[Product Name]])),IF(_xlpm.pid="P020","Document Scanner",IF(_xlpm.pid="P015","Network Router",SUBSTITUTE(SUBSTITUTE(_xlpm.n,"Crm","CRM"),"Ups","UPS"))))</f>
        <v>Smartphone</v>
      </c>
      <c r="AJ268" s="3" t="str">
        <f>UPPER(TRIM(tbl_FinancialData[[#This Row],[Cost Center]]))</f>
        <v>CC-1002</v>
      </c>
    </row>
    <row r="269" spans="1:36" x14ac:dyDescent="0.25">
      <c r="A269" s="3" t="s">
        <v>468</v>
      </c>
      <c r="B269" s="2">
        <v>45908</v>
      </c>
      <c r="C269" t="s">
        <v>46</v>
      </c>
      <c r="D269" s="3" t="str">
        <f t="shared" si="19"/>
        <v>Q2</v>
      </c>
      <c r="E269" s="3" t="str">
        <f t="shared" si="20"/>
        <v>FY2026</v>
      </c>
      <c r="F269" s="8" t="s">
        <v>59</v>
      </c>
      <c r="G269" s="3" t="s">
        <v>35</v>
      </c>
      <c r="H269" t="s">
        <v>254</v>
      </c>
      <c r="I269" t="s">
        <v>200</v>
      </c>
      <c r="J269" s="3" t="s">
        <v>38</v>
      </c>
      <c r="K269" t="s">
        <v>71</v>
      </c>
      <c r="L269" s="3" t="s">
        <v>51</v>
      </c>
      <c r="M269" s="3" t="s">
        <v>211</v>
      </c>
      <c r="N269" t="s">
        <v>212</v>
      </c>
      <c r="O269" t="s">
        <v>112</v>
      </c>
      <c r="P269" t="s">
        <v>113</v>
      </c>
      <c r="Q269" s="3">
        <v>22311.1</v>
      </c>
      <c r="R269" s="3">
        <v>25469.77</v>
      </c>
      <c r="S269" s="3">
        <v>13798.87</v>
      </c>
      <c r="T269" s="3">
        <v>1732.2</v>
      </c>
      <c r="U269" s="3">
        <v>1722.32</v>
      </c>
      <c r="V269" s="3">
        <v>1856.78</v>
      </c>
      <c r="W269" s="3">
        <v>285.02</v>
      </c>
      <c r="X269" s="3">
        <v>19395.2</v>
      </c>
      <c r="Y269" s="3">
        <v>8512.23</v>
      </c>
      <c r="Z269" s="3">
        <f t="shared" si="21"/>
        <v>2915.8999999999978</v>
      </c>
      <c r="AA269" s="37">
        <f t="shared" si="22"/>
        <v>0.13069279416971813</v>
      </c>
      <c r="AB269" s="3">
        <v>-3158.67</v>
      </c>
      <c r="AC269" s="3">
        <v>1115.56</v>
      </c>
      <c r="AD269" s="3">
        <v>3815.2</v>
      </c>
      <c r="AE269" s="3">
        <v>25010.75</v>
      </c>
      <c r="AF269" t="str">
        <f>IF(tbl_FinancialData[[#This Row],[City]]="","Unknown",PROPER(TRIM(tbl_FinancialData[[#This Row],[City]])))</f>
        <v>Gurugram</v>
      </c>
      <c r="AG269" t="str">
        <f>_xlfn.LET(_xlpm.city,LOWER(TRIM(tbl_FinancialData[[#This Row],[City]])),_xlpm.st,PROPER(TRIM(tbl_FinancialData[[#This Row],[State]])),IF(_xlpm.city="pune","Maharashtra",IF(_xlpm.city="jamshedpur","Jharkhand",IF(_xlpm.city="bhilai","Chhattisgarh",IF(_xlpm.city="mumbai","Maharashtra",_xlpm.st)))))</f>
        <v>Delhi</v>
      </c>
      <c r="AH269" t="str">
        <f>_xlfn.LET(_xlpm.d,PROPER(TRIM(tbl_FinancialData[[#This Row],[Department]])),IF(_xlpm.d="It","IT",_xlpm.d))</f>
        <v>Marketing</v>
      </c>
      <c r="AI269" t="str">
        <f>_xlfn.LET(_xlpm.pid,tbl_FinancialData[[#This Row],[Product ID]],_xlpm.n,PROPER(TRIM(tbl_FinancialData[[#This Row],[Product Name]])),IF(_xlpm.pid="P020","Document Scanner",IF(_xlpm.pid="P015","Network Router",SUBSTITUTE(SUBSTITUTE(_xlpm.n,"Crm","CRM"),"Ups","UPS"))))</f>
        <v>Office Chair</v>
      </c>
      <c r="AJ269" s="3" t="str">
        <f>UPPER(TRIM(tbl_FinancialData[[#This Row],[Cost Center]]))</f>
        <v>CC-1003</v>
      </c>
    </row>
    <row r="270" spans="1:36" x14ac:dyDescent="0.25">
      <c r="A270" s="3" t="s">
        <v>469</v>
      </c>
      <c r="B270" s="2">
        <v>45893</v>
      </c>
      <c r="C270" t="s">
        <v>117</v>
      </c>
      <c r="D270" s="3" t="str">
        <f t="shared" si="19"/>
        <v>Q2</v>
      </c>
      <c r="E270" s="3" t="str">
        <f t="shared" si="20"/>
        <v>FY2026</v>
      </c>
      <c r="F270" s="8" t="s">
        <v>59</v>
      </c>
      <c r="G270" s="3" t="s">
        <v>35</v>
      </c>
      <c r="H270" t="s">
        <v>254</v>
      </c>
      <c r="I270" t="s">
        <v>255</v>
      </c>
      <c r="J270" s="3" t="s">
        <v>70</v>
      </c>
      <c r="K270" t="s">
        <v>71</v>
      </c>
      <c r="L270" s="3" t="s">
        <v>72</v>
      </c>
      <c r="M270" s="3" t="s">
        <v>110</v>
      </c>
      <c r="N270" t="s">
        <v>111</v>
      </c>
      <c r="O270" t="s">
        <v>112</v>
      </c>
      <c r="P270" t="s">
        <v>113</v>
      </c>
      <c r="Q270" s="3">
        <v>12839.9</v>
      </c>
      <c r="R270" s="3">
        <v>14207.86</v>
      </c>
      <c r="S270" s="3">
        <v>7970.88</v>
      </c>
      <c r="T270" s="3">
        <v>1492.96</v>
      </c>
      <c r="U270" s="3">
        <v>387.92</v>
      </c>
      <c r="V270" s="3">
        <v>1003.4</v>
      </c>
      <c r="W270" s="3">
        <v>411.56</v>
      </c>
      <c r="X270" s="3">
        <v>11266.72</v>
      </c>
      <c r="Y270" s="3">
        <v>4869.0200000000004</v>
      </c>
      <c r="Z270" s="3">
        <f t="shared" si="21"/>
        <v>1573.1800000000003</v>
      </c>
      <c r="AA270" s="37">
        <f t="shared" si="22"/>
        <v>0.12252276108069381</v>
      </c>
      <c r="AB270" s="3">
        <v>-1367.96</v>
      </c>
      <c r="AC270" s="3">
        <v>1027.19</v>
      </c>
      <c r="AD270" s="3">
        <v>2126.29</v>
      </c>
      <c r="AE270" s="3">
        <v>13939</v>
      </c>
      <c r="AF270" t="str">
        <f>IF(tbl_FinancialData[[#This Row],[City]]="","Unknown",PROPER(TRIM(tbl_FinancialData[[#This Row],[City]])))</f>
        <v>Noida</v>
      </c>
      <c r="AG270" t="str">
        <f>_xlfn.LET(_xlpm.city,LOWER(TRIM(tbl_FinancialData[[#This Row],[City]])),_xlpm.st,PROPER(TRIM(tbl_FinancialData[[#This Row],[State]])),IF(_xlpm.city="pune","Maharashtra",IF(_xlpm.city="jamshedpur","Jharkhand",IF(_xlpm.city="bhilai","Chhattisgarh",IF(_xlpm.city="mumbai","Maharashtra",_xlpm.st)))))</f>
        <v>Delhi</v>
      </c>
      <c r="AH270" t="str">
        <f>_xlfn.LET(_xlpm.d,PROPER(TRIM(tbl_FinancialData[[#This Row],[Department]])),IF(_xlpm.d="It","IT",_xlpm.d))</f>
        <v>Marketing</v>
      </c>
      <c r="AI270" t="str">
        <f>_xlfn.LET(_xlpm.pid,tbl_FinancialData[[#This Row],[Product ID]],_xlpm.n,PROPER(TRIM(tbl_FinancialData[[#This Row],[Product Name]])),IF(_xlpm.pid="P020","Document Scanner",IF(_xlpm.pid="P015","Network Router",SUBSTITUTE(SUBSTITUTE(_xlpm.n,"Crm","CRM"),"Ups","UPS"))))</f>
        <v>Office Desk</v>
      </c>
      <c r="AJ270" s="3" t="str">
        <f>UPPER(TRIM(tbl_FinancialData[[#This Row],[Cost Center]]))</f>
        <v>CC-1004</v>
      </c>
    </row>
    <row r="271" spans="1:36" x14ac:dyDescent="0.25">
      <c r="A271" s="3" t="s">
        <v>470</v>
      </c>
      <c r="B271" s="2">
        <v>45928</v>
      </c>
      <c r="C271" t="s">
        <v>46</v>
      </c>
      <c r="D271" s="3" t="str">
        <f t="shared" si="19"/>
        <v>Q2</v>
      </c>
      <c r="E271" s="3" t="str">
        <f t="shared" si="20"/>
        <v>FY2026</v>
      </c>
      <c r="F271" s="8" t="s">
        <v>59</v>
      </c>
      <c r="G271" s="3" t="s">
        <v>35</v>
      </c>
      <c r="H271" t="s">
        <v>254</v>
      </c>
      <c r="I271" t="s">
        <v>314</v>
      </c>
      <c r="J271" s="3" t="s">
        <v>70</v>
      </c>
      <c r="K271" t="s">
        <v>71</v>
      </c>
      <c r="L271" s="3" t="s">
        <v>40</v>
      </c>
      <c r="M271" s="3" t="s">
        <v>189</v>
      </c>
      <c r="N271" t="s">
        <v>190</v>
      </c>
      <c r="O271" t="s">
        <v>104</v>
      </c>
      <c r="P271" t="s">
        <v>105</v>
      </c>
      <c r="Q271" s="3">
        <v>15640.43</v>
      </c>
      <c r="R271" s="3">
        <v>17525.189999999999</v>
      </c>
      <c r="S271" s="3">
        <v>9269.84</v>
      </c>
      <c r="T271" s="3">
        <v>1310.86</v>
      </c>
      <c r="U271" s="3">
        <v>1403.2</v>
      </c>
      <c r="V271" s="3">
        <v>638.75</v>
      </c>
      <c r="W271" s="3">
        <v>646.38</v>
      </c>
      <c r="X271" s="3">
        <v>13269.03</v>
      </c>
      <c r="Y271" s="3">
        <v>6370.59</v>
      </c>
      <c r="Z271" s="3">
        <f t="shared" si="21"/>
        <v>2371.3999999999996</v>
      </c>
      <c r="AA271" s="37">
        <f t="shared" si="22"/>
        <v>0.15161987234366317</v>
      </c>
      <c r="AB271" s="3">
        <v>-1884.75</v>
      </c>
      <c r="AC271" s="3">
        <v>0</v>
      </c>
      <c r="AD271" s="3">
        <v>2815.28</v>
      </c>
      <c r="AE271" s="3">
        <v>18455.71</v>
      </c>
      <c r="AF271" t="str">
        <f>IF(tbl_FinancialData[[#This Row],[City]]="","Unknown",PROPER(TRIM(tbl_FinancialData[[#This Row],[City]])))</f>
        <v>New Delhi</v>
      </c>
      <c r="AG271" t="str">
        <f>_xlfn.LET(_xlpm.city,LOWER(TRIM(tbl_FinancialData[[#This Row],[City]])),_xlpm.st,PROPER(TRIM(tbl_FinancialData[[#This Row],[State]])),IF(_xlpm.city="pune","Maharashtra",IF(_xlpm.city="jamshedpur","Jharkhand",IF(_xlpm.city="bhilai","Chhattisgarh",IF(_xlpm.city="mumbai","Maharashtra",_xlpm.st)))))</f>
        <v>Delhi</v>
      </c>
      <c r="AH271" t="str">
        <f>_xlfn.LET(_xlpm.d,PROPER(TRIM(tbl_FinancialData[[#This Row],[Department]])),IF(_xlpm.d="It","IT",_xlpm.d))</f>
        <v>Marketing</v>
      </c>
      <c r="AI271" t="str">
        <f>_xlfn.LET(_xlpm.pid,tbl_FinancialData[[#This Row],[Product ID]],_xlpm.n,PROPER(TRIM(tbl_FinancialData[[#This Row],[Product Name]])),IF(_xlpm.pid="P020","Document Scanner",IF(_xlpm.pid="P015","Network Router",SUBSTITUTE(SUBSTITUTE(_xlpm.n,"Crm","CRM"),"Ups","UPS"))))</f>
        <v>CRM Software</v>
      </c>
      <c r="AJ271" s="3" t="str">
        <f>UPPER(TRIM(tbl_FinancialData[[#This Row],[Cost Center]]))</f>
        <v>CC-1002</v>
      </c>
    </row>
    <row r="272" spans="1:36" x14ac:dyDescent="0.25">
      <c r="A272" s="3" t="s">
        <v>471</v>
      </c>
      <c r="B272" s="2">
        <v>46097</v>
      </c>
      <c r="C272" t="s">
        <v>125</v>
      </c>
      <c r="D272" s="3" t="str">
        <f t="shared" si="19"/>
        <v>Q4</v>
      </c>
      <c r="E272" s="3" t="str">
        <f t="shared" si="20"/>
        <v>FY2026</v>
      </c>
      <c r="F272" s="8" t="s">
        <v>59</v>
      </c>
      <c r="G272" s="3" t="s">
        <v>35</v>
      </c>
      <c r="H272" t="s">
        <v>254</v>
      </c>
      <c r="I272" t="s">
        <v>200</v>
      </c>
      <c r="J272" s="3" t="s">
        <v>80</v>
      </c>
      <c r="K272" t="s">
        <v>50</v>
      </c>
      <c r="L272" s="3" t="s">
        <v>81</v>
      </c>
      <c r="M272" s="3" t="s">
        <v>82</v>
      </c>
      <c r="N272" t="s">
        <v>83</v>
      </c>
      <c r="O272" t="s">
        <v>43</v>
      </c>
      <c r="P272" t="s">
        <v>75</v>
      </c>
      <c r="Q272" s="3">
        <v>42899.51</v>
      </c>
      <c r="R272" s="3">
        <v>45607.040000000001</v>
      </c>
      <c r="S272" s="3">
        <v>20840</v>
      </c>
      <c r="T272" s="3">
        <v>2544.66</v>
      </c>
      <c r="U272" s="3">
        <v>1426.89</v>
      </c>
      <c r="V272" s="3">
        <v>2365.59</v>
      </c>
      <c r="W272" s="3">
        <v>1118.67</v>
      </c>
      <c r="X272" s="3">
        <v>28295.82</v>
      </c>
      <c r="Y272" s="3">
        <v>22059.51</v>
      </c>
      <c r="Z272" s="3">
        <f t="shared" si="21"/>
        <v>14603.690000000002</v>
      </c>
      <c r="AA272" s="37">
        <f t="shared" si="22"/>
        <v>0.34041624251652297</v>
      </c>
      <c r="AB272" s="3">
        <v>-2707.53</v>
      </c>
      <c r="AC272" s="3">
        <v>2144.98</v>
      </c>
      <c r="AD272" s="3">
        <v>7335.82</v>
      </c>
      <c r="AE272" s="3">
        <v>48090.36</v>
      </c>
      <c r="AF272" t="str">
        <f>IF(tbl_FinancialData[[#This Row],[City]]="","Unknown",PROPER(TRIM(tbl_FinancialData[[#This Row],[City]])))</f>
        <v>Gurugram</v>
      </c>
      <c r="AG272" t="str">
        <f>_xlfn.LET(_xlpm.city,LOWER(TRIM(tbl_FinancialData[[#This Row],[City]])),_xlpm.st,PROPER(TRIM(tbl_FinancialData[[#This Row],[State]])),IF(_xlpm.city="pune","Maharashtra",IF(_xlpm.city="jamshedpur","Jharkhand",IF(_xlpm.city="bhilai","Chhattisgarh",IF(_xlpm.city="mumbai","Maharashtra",_xlpm.st)))))</f>
        <v>Delhi</v>
      </c>
      <c r="AH272" t="str">
        <f>_xlfn.LET(_xlpm.d,PROPER(TRIM(tbl_FinancialData[[#This Row],[Department]])),IF(_xlpm.d="It","IT",_xlpm.d))</f>
        <v>Sales</v>
      </c>
      <c r="AI272" t="str">
        <f>_xlfn.LET(_xlpm.pid,tbl_FinancialData[[#This Row],[Product ID]],_xlpm.n,PROPER(TRIM(tbl_FinancialData[[#This Row],[Product Name]])),IF(_xlpm.pid="P020","Document Scanner",IF(_xlpm.pid="P015","Network Router",SUBSTITUTE(SUBSTITUTE(_xlpm.n,"Crm","CRM"),"Ups","UPS"))))</f>
        <v>Business Laptop</v>
      </c>
      <c r="AJ272" s="3" t="str">
        <f>UPPER(TRIM(tbl_FinancialData[[#This Row],[Cost Center]]))</f>
        <v>CC-1005</v>
      </c>
    </row>
    <row r="273" spans="1:36" x14ac:dyDescent="0.25">
      <c r="A273" s="3" t="s">
        <v>472</v>
      </c>
      <c r="B273" s="2">
        <v>46111</v>
      </c>
      <c r="C273" t="s">
        <v>125</v>
      </c>
      <c r="D273" s="3" t="str">
        <f t="shared" si="19"/>
        <v>Q4</v>
      </c>
      <c r="E273" s="3" t="str">
        <f t="shared" si="20"/>
        <v>FY2026</v>
      </c>
      <c r="F273" s="8" t="s">
        <v>59</v>
      </c>
      <c r="G273" s="3" t="s">
        <v>35</v>
      </c>
      <c r="H273" t="s">
        <v>230</v>
      </c>
      <c r="I273" t="s">
        <v>363</v>
      </c>
      <c r="J273" s="3" t="s">
        <v>38</v>
      </c>
      <c r="K273" t="s">
        <v>50</v>
      </c>
      <c r="L273" s="3" t="s">
        <v>72</v>
      </c>
      <c r="M273" s="3" t="s">
        <v>130</v>
      </c>
      <c r="N273" t="s">
        <v>131</v>
      </c>
      <c r="O273" t="s">
        <v>43</v>
      </c>
      <c r="P273" t="s">
        <v>132</v>
      </c>
      <c r="Q273" s="3">
        <v>32952.76</v>
      </c>
      <c r="R273" s="3">
        <v>31155.26</v>
      </c>
      <c r="S273" s="3">
        <v>23214.91</v>
      </c>
      <c r="T273" s="3">
        <v>2876.42</v>
      </c>
      <c r="U273" s="3">
        <v>1777.81</v>
      </c>
      <c r="V273" s="3">
        <v>1356.51</v>
      </c>
      <c r="W273" s="3">
        <v>614.87</v>
      </c>
      <c r="X273" s="3">
        <v>29840.52</v>
      </c>
      <c r="Y273" s="3">
        <v>9737.84</v>
      </c>
      <c r="Z273" s="3">
        <f t="shared" si="21"/>
        <v>3112.2400000000016</v>
      </c>
      <c r="AA273" s="37">
        <f t="shared" si="22"/>
        <v>9.4445503199125092E-2</v>
      </c>
      <c r="AB273" s="3">
        <v>1797.5</v>
      </c>
      <c r="AC273" s="3">
        <v>2636.22</v>
      </c>
      <c r="AD273" s="3">
        <v>1515.83</v>
      </c>
      <c r="AE273" s="3">
        <v>31832.36</v>
      </c>
      <c r="AF273" t="str">
        <f>IF(tbl_FinancialData[[#This Row],[City]]="","Unknown",PROPER(TRIM(tbl_FinancialData[[#This Row],[City]])))</f>
        <v>Jalandhar</v>
      </c>
      <c r="AG273" t="str">
        <f>_xlfn.LET(_xlpm.city,LOWER(TRIM(tbl_FinancialData[[#This Row],[City]])),_xlpm.st,PROPER(TRIM(tbl_FinancialData[[#This Row],[State]])),IF(_xlpm.city="pune","Maharashtra",IF(_xlpm.city="jamshedpur","Jharkhand",IF(_xlpm.city="bhilai","Chhattisgarh",IF(_xlpm.city="mumbai","Maharashtra",_xlpm.st)))))</f>
        <v>Punjab</v>
      </c>
      <c r="AH273" t="str">
        <f>_xlfn.LET(_xlpm.d,PROPER(TRIM(tbl_FinancialData[[#This Row],[Department]])),IF(_xlpm.d="It","IT",_xlpm.d))</f>
        <v>Sales</v>
      </c>
      <c r="AI273" t="str">
        <f>_xlfn.LET(_xlpm.pid,tbl_FinancialData[[#This Row],[Product ID]],_xlpm.n,PROPER(TRIM(tbl_FinancialData[[#This Row],[Product Name]])),IF(_xlpm.pid="P020","Document Scanner",IF(_xlpm.pid="P015","Network Router",SUBSTITUTE(SUBSTITUTE(_xlpm.n,"Crm","CRM"),"Ups","UPS"))))</f>
        <v>UPS System</v>
      </c>
      <c r="AJ273" s="3" t="str">
        <f>UPPER(TRIM(tbl_FinancialData[[#This Row],[Cost Center]]))</f>
        <v>CC-1004</v>
      </c>
    </row>
    <row r="274" spans="1:36" x14ac:dyDescent="0.25">
      <c r="A274" s="3" t="s">
        <v>473</v>
      </c>
      <c r="B274" s="2">
        <v>45971</v>
      </c>
      <c r="C274" t="s">
        <v>147</v>
      </c>
      <c r="D274" s="3" t="str">
        <f t="shared" si="19"/>
        <v>Q3</v>
      </c>
      <c r="E274" s="3" t="str">
        <f t="shared" si="20"/>
        <v>FY2026</v>
      </c>
      <c r="F274" s="8" t="s">
        <v>47</v>
      </c>
      <c r="G274" s="3" t="s">
        <v>35</v>
      </c>
      <c r="H274" t="s">
        <v>206</v>
      </c>
      <c r="I274" t="s">
        <v>344</v>
      </c>
      <c r="J274" s="3" t="s">
        <v>80</v>
      </c>
      <c r="K274" t="s">
        <v>50</v>
      </c>
      <c r="L274" s="3" t="s">
        <v>81</v>
      </c>
      <c r="M274" s="3" t="s">
        <v>110</v>
      </c>
      <c r="N274" t="s">
        <v>111</v>
      </c>
      <c r="O274" t="s">
        <v>112</v>
      </c>
      <c r="P274" t="s">
        <v>113</v>
      </c>
      <c r="Q274" s="3">
        <v>26389.52</v>
      </c>
      <c r="R274" s="3">
        <v>25018.1</v>
      </c>
      <c r="S274" s="3">
        <v>16888.38</v>
      </c>
      <c r="T274" s="3">
        <v>1488.59</v>
      </c>
      <c r="U274" s="3">
        <v>1417.62</v>
      </c>
      <c r="V274" s="3">
        <v>1400.47</v>
      </c>
      <c r="W274" s="3">
        <v>434.27</v>
      </c>
      <c r="X274" s="3">
        <v>21629.34</v>
      </c>
      <c r="Y274" s="3">
        <v>9501.14</v>
      </c>
      <c r="Z274" s="3">
        <f t="shared" si="21"/>
        <v>4760.18</v>
      </c>
      <c r="AA274" s="37">
        <f t="shared" si="22"/>
        <v>0.18038145445616291</v>
      </c>
      <c r="AB274" s="3">
        <v>1371.42</v>
      </c>
      <c r="AC274" s="3">
        <v>527.79</v>
      </c>
      <c r="AD274" s="3">
        <v>3103.41</v>
      </c>
      <c r="AE274" s="3">
        <v>28965.14</v>
      </c>
      <c r="AF274" t="str">
        <f>IF(tbl_FinancialData[[#This Row],[City]]="","Unknown",PROPER(TRIM(tbl_FinancialData[[#This Row],[City]])))</f>
        <v>Hyderabad</v>
      </c>
      <c r="AG274" t="str">
        <f>_xlfn.LET(_xlpm.city,LOWER(TRIM(tbl_FinancialData[[#This Row],[City]])),_xlpm.st,PROPER(TRIM(tbl_FinancialData[[#This Row],[State]])),IF(_xlpm.city="pune","Maharashtra",IF(_xlpm.city="jamshedpur","Jharkhand",IF(_xlpm.city="bhilai","Chhattisgarh",IF(_xlpm.city="mumbai","Maharashtra",_xlpm.st)))))</f>
        <v>Telangana</v>
      </c>
      <c r="AH274" t="str">
        <f>_xlfn.LET(_xlpm.d,PROPER(TRIM(tbl_FinancialData[[#This Row],[Department]])),IF(_xlpm.d="It","IT",_xlpm.d))</f>
        <v>Sales</v>
      </c>
      <c r="AI274" t="str">
        <f>_xlfn.LET(_xlpm.pid,tbl_FinancialData[[#This Row],[Product ID]],_xlpm.n,PROPER(TRIM(tbl_FinancialData[[#This Row],[Product Name]])),IF(_xlpm.pid="P020","Document Scanner",IF(_xlpm.pid="P015","Network Router",SUBSTITUTE(SUBSTITUTE(_xlpm.n,"Crm","CRM"),"Ups","UPS"))))</f>
        <v>Office Desk</v>
      </c>
      <c r="AJ274" s="3" t="str">
        <f>UPPER(TRIM(tbl_FinancialData[[#This Row],[Cost Center]]))</f>
        <v>CC-1005</v>
      </c>
    </row>
    <row r="275" spans="1:36" x14ac:dyDescent="0.25">
      <c r="A275" s="3" t="s">
        <v>474</v>
      </c>
      <c r="B275" s="2">
        <v>45753</v>
      </c>
      <c r="C275" t="s">
        <v>128</v>
      </c>
      <c r="D275" s="3" t="str">
        <f t="shared" si="19"/>
        <v>Q1</v>
      </c>
      <c r="E275" s="3" t="str">
        <f t="shared" si="20"/>
        <v>FY2026</v>
      </c>
      <c r="F275" s="8" t="s">
        <v>47</v>
      </c>
      <c r="G275" s="3" t="s">
        <v>35</v>
      </c>
      <c r="H275" t="s">
        <v>48</v>
      </c>
      <c r="I275" t="s">
        <v>49</v>
      </c>
      <c r="J275" s="3" t="s">
        <v>80</v>
      </c>
      <c r="K275" t="s">
        <v>101</v>
      </c>
      <c r="L275" s="3" t="s">
        <v>40</v>
      </c>
      <c r="M275" s="3" t="s">
        <v>95</v>
      </c>
      <c r="N275" t="s">
        <v>96</v>
      </c>
      <c r="O275" t="s">
        <v>43</v>
      </c>
      <c r="P275" t="s">
        <v>90</v>
      </c>
      <c r="Q275" s="3">
        <v>30401.16</v>
      </c>
      <c r="R275" s="3">
        <v>26988.41</v>
      </c>
      <c r="S275" s="3">
        <v>18629.52</v>
      </c>
      <c r="T275" s="3">
        <v>2785.84</v>
      </c>
      <c r="U275" s="3">
        <v>2725.4</v>
      </c>
      <c r="V275" s="3">
        <v>1706.94</v>
      </c>
      <c r="W275" s="3">
        <v>578.64</v>
      </c>
      <c r="X275" s="3">
        <v>26426.35</v>
      </c>
      <c r="Y275" s="3">
        <v>11771.64</v>
      </c>
      <c r="Z275" s="3">
        <f t="shared" si="21"/>
        <v>3974.8100000000013</v>
      </c>
      <c r="AA275" s="37">
        <f t="shared" si="22"/>
        <v>0.13074533998044816</v>
      </c>
      <c r="AB275" s="3">
        <v>3412.75</v>
      </c>
      <c r="AC275" s="3">
        <v>0</v>
      </c>
      <c r="AD275" s="3">
        <v>5472.21</v>
      </c>
      <c r="AE275" s="3">
        <v>35873.370000000003</v>
      </c>
      <c r="AF275" t="str">
        <f>IF(tbl_FinancialData[[#This Row],[City]]="","Unknown",PROPER(TRIM(tbl_FinancialData[[#This Row],[City]])))</f>
        <v>Chennai</v>
      </c>
      <c r="AG275" t="str">
        <f>_xlfn.LET(_xlpm.city,LOWER(TRIM(tbl_FinancialData[[#This Row],[City]])),_xlpm.st,PROPER(TRIM(tbl_FinancialData[[#This Row],[State]])),IF(_xlpm.city="pune","Maharashtra",IF(_xlpm.city="jamshedpur","Jharkhand",IF(_xlpm.city="bhilai","Chhattisgarh",IF(_xlpm.city="mumbai","Maharashtra",_xlpm.st)))))</f>
        <v>Tamil Nadu</v>
      </c>
      <c r="AH275" t="str">
        <f>_xlfn.LET(_xlpm.d,PROPER(TRIM(tbl_FinancialData[[#This Row],[Department]])),IF(_xlpm.d="It","IT",_xlpm.d))</f>
        <v>Finance</v>
      </c>
      <c r="AI275" t="str">
        <f>_xlfn.LET(_xlpm.pid,tbl_FinancialData[[#This Row],[Product ID]],_xlpm.n,PROPER(TRIM(tbl_FinancialData[[#This Row],[Product Name]])),IF(_xlpm.pid="P020","Document Scanner",IF(_xlpm.pid="P015","Network Router",SUBSTITUTE(SUBSTITUTE(_xlpm.n,"Crm","CRM"),"Ups","UPS"))))</f>
        <v>Document Scanner</v>
      </c>
      <c r="AJ275" s="3" t="str">
        <f>UPPER(TRIM(tbl_FinancialData[[#This Row],[Cost Center]]))</f>
        <v>CC-1002</v>
      </c>
    </row>
    <row r="276" spans="1:36" x14ac:dyDescent="0.25">
      <c r="A276" s="3" t="s">
        <v>475</v>
      </c>
      <c r="B276" s="2">
        <v>46074</v>
      </c>
      <c r="C276" t="s">
        <v>57</v>
      </c>
      <c r="D276" s="3" t="str">
        <f t="shared" si="19"/>
        <v>Q4</v>
      </c>
      <c r="E276" s="3" t="str">
        <f t="shared" si="20"/>
        <v>FY2026</v>
      </c>
      <c r="F276" s="8" t="s">
        <v>59</v>
      </c>
      <c r="G276" s="3" t="s">
        <v>35</v>
      </c>
      <c r="H276" t="s">
        <v>254</v>
      </c>
      <c r="I276" t="s">
        <v>200</v>
      </c>
      <c r="J276" s="3" t="s">
        <v>38</v>
      </c>
      <c r="K276" t="s">
        <v>39</v>
      </c>
      <c r="L276" s="3" t="s">
        <v>72</v>
      </c>
      <c r="M276" s="3" t="s">
        <v>82</v>
      </c>
      <c r="N276" t="s">
        <v>83</v>
      </c>
      <c r="O276" t="s">
        <v>43</v>
      </c>
      <c r="P276" t="s">
        <v>75</v>
      </c>
      <c r="Q276" s="3">
        <v>36999.550000000003</v>
      </c>
      <c r="R276" s="3">
        <v>37602.04</v>
      </c>
      <c r="S276" s="3">
        <v>21769.64</v>
      </c>
      <c r="T276" s="3">
        <v>4623.25</v>
      </c>
      <c r="U276" s="3">
        <v>3291.56</v>
      </c>
      <c r="V276" s="3">
        <v>3837.55</v>
      </c>
      <c r="W276" s="3">
        <v>1349.99</v>
      </c>
      <c r="X276" s="3">
        <v>34871.980000000003</v>
      </c>
      <c r="Y276" s="3">
        <v>15229.91</v>
      </c>
      <c r="Z276" s="3">
        <f t="shared" si="21"/>
        <v>2127.5699999999997</v>
      </c>
      <c r="AA276" s="37">
        <f t="shared" si="22"/>
        <v>5.7502591247731376E-2</v>
      </c>
      <c r="AB276" s="3">
        <v>-602.48</v>
      </c>
      <c r="AC276" s="3">
        <v>1849.98</v>
      </c>
      <c r="AD276" s="3">
        <v>1757.48</v>
      </c>
      <c r="AE276" s="3">
        <v>36907.050000000003</v>
      </c>
      <c r="AF276" t="str">
        <f>IF(tbl_FinancialData[[#This Row],[City]]="","Unknown",PROPER(TRIM(tbl_FinancialData[[#This Row],[City]])))</f>
        <v>Gurugram</v>
      </c>
      <c r="AG276" t="str">
        <f>_xlfn.LET(_xlpm.city,LOWER(TRIM(tbl_FinancialData[[#This Row],[City]])),_xlpm.st,PROPER(TRIM(tbl_FinancialData[[#This Row],[State]])),IF(_xlpm.city="pune","Maharashtra",IF(_xlpm.city="jamshedpur","Jharkhand",IF(_xlpm.city="bhilai","Chhattisgarh",IF(_xlpm.city="mumbai","Maharashtra",_xlpm.st)))))</f>
        <v>Delhi</v>
      </c>
      <c r="AH276" t="str">
        <f>_xlfn.LET(_xlpm.d,PROPER(TRIM(tbl_FinancialData[[#This Row],[Department]])),IF(_xlpm.d="It","IT",_xlpm.d))</f>
        <v>Operations</v>
      </c>
      <c r="AI276" t="str">
        <f>_xlfn.LET(_xlpm.pid,tbl_FinancialData[[#This Row],[Product ID]],_xlpm.n,PROPER(TRIM(tbl_FinancialData[[#This Row],[Product Name]])),IF(_xlpm.pid="P020","Document Scanner",IF(_xlpm.pid="P015","Network Router",SUBSTITUTE(SUBSTITUTE(_xlpm.n,"Crm","CRM"),"Ups","UPS"))))</f>
        <v>Business Laptop</v>
      </c>
      <c r="AJ276" s="3" t="str">
        <f>UPPER(TRIM(tbl_FinancialData[[#This Row],[Cost Center]]))</f>
        <v>CC-1004</v>
      </c>
    </row>
    <row r="277" spans="1:36" x14ac:dyDescent="0.25">
      <c r="A277" s="3" t="s">
        <v>476</v>
      </c>
      <c r="B277" s="2">
        <v>46026</v>
      </c>
      <c r="C277" t="s">
        <v>77</v>
      </c>
      <c r="D277" s="3" t="str">
        <f t="shared" si="19"/>
        <v>Q4</v>
      </c>
      <c r="E277" s="3" t="str">
        <f t="shared" si="20"/>
        <v>FY2026</v>
      </c>
      <c r="F277" s="8" t="s">
        <v>85</v>
      </c>
      <c r="G277" s="3" t="s">
        <v>35</v>
      </c>
      <c r="H277" t="s">
        <v>60</v>
      </c>
      <c r="I277" t="s">
        <v>61</v>
      </c>
      <c r="J277" s="3" t="s">
        <v>70</v>
      </c>
      <c r="K277" t="s">
        <v>50</v>
      </c>
      <c r="L277" s="3" t="s">
        <v>81</v>
      </c>
      <c r="M277" s="3" t="s">
        <v>221</v>
      </c>
      <c r="N277" t="s">
        <v>222</v>
      </c>
      <c r="O277" t="s">
        <v>104</v>
      </c>
      <c r="P277" t="s">
        <v>223</v>
      </c>
      <c r="Q277" s="3">
        <v>14137</v>
      </c>
      <c r="R277" s="3">
        <v>12458.32</v>
      </c>
      <c r="S277" s="3">
        <v>9060.4699999999993</v>
      </c>
      <c r="T277" s="3">
        <v>1432.72</v>
      </c>
      <c r="U277" s="3">
        <v>730.9</v>
      </c>
      <c r="V277" s="3">
        <v>1119.25</v>
      </c>
      <c r="W277" s="3">
        <v>346.93</v>
      </c>
      <c r="X277" s="3">
        <v>12690.27</v>
      </c>
      <c r="Y277" s="3">
        <v>5076.54</v>
      </c>
      <c r="Z277" s="3">
        <f t="shared" si="21"/>
        <v>1446.7299999999996</v>
      </c>
      <c r="AA277" s="37">
        <f t="shared" si="22"/>
        <v>0.10233642215462967</v>
      </c>
      <c r="AB277" s="3">
        <v>1678.68</v>
      </c>
      <c r="AC277" s="3">
        <v>0</v>
      </c>
      <c r="AD277" s="3">
        <v>1696.44</v>
      </c>
      <c r="AE277" s="3">
        <v>15833.44</v>
      </c>
      <c r="AF277" t="str">
        <f>IF(tbl_FinancialData[[#This Row],[City]]="","Unknown",PROPER(TRIM(tbl_FinancialData[[#This Row],[City]])))</f>
        <v>Lucknow</v>
      </c>
      <c r="AG277" t="str">
        <f>_xlfn.LET(_xlpm.city,LOWER(TRIM(tbl_FinancialData[[#This Row],[City]])),_xlpm.st,PROPER(TRIM(tbl_FinancialData[[#This Row],[State]])),IF(_xlpm.city="pune","Maharashtra",IF(_xlpm.city="jamshedpur","Jharkhand",IF(_xlpm.city="bhilai","Chhattisgarh",IF(_xlpm.city="mumbai","Maharashtra",_xlpm.st)))))</f>
        <v>Uttar Pradesh</v>
      </c>
      <c r="AH277" t="str">
        <f>_xlfn.LET(_xlpm.d,PROPER(TRIM(tbl_FinancialData[[#This Row],[Department]])),IF(_xlpm.d="It","IT",_xlpm.d))</f>
        <v>Sales</v>
      </c>
      <c r="AI277" t="str">
        <f>_xlfn.LET(_xlpm.pid,tbl_FinancialData[[#This Row],[Product ID]],_xlpm.n,PROPER(TRIM(tbl_FinancialData[[#This Row],[Product Name]])),IF(_xlpm.pid="P020","Document Scanner",IF(_xlpm.pid="P015","Network Router",SUBSTITUTE(SUBSTITUTE(_xlpm.n,"Crm","CRM"),"Ups","UPS"))))</f>
        <v>Cloud Software</v>
      </c>
      <c r="AJ277" s="3" t="str">
        <f>UPPER(TRIM(tbl_FinancialData[[#This Row],[Cost Center]]))</f>
        <v>CC-1005</v>
      </c>
    </row>
    <row r="278" spans="1:36" x14ac:dyDescent="0.25">
      <c r="A278" s="3" t="s">
        <v>477</v>
      </c>
      <c r="B278" s="2">
        <v>46049</v>
      </c>
      <c r="C278" t="s">
        <v>77</v>
      </c>
      <c r="D278" s="3" t="str">
        <f t="shared" si="19"/>
        <v>Q4</v>
      </c>
      <c r="E278" s="3" t="str">
        <f t="shared" si="20"/>
        <v>FY2026</v>
      </c>
      <c r="F278" s="8" t="s">
        <v>85</v>
      </c>
      <c r="G278" s="3" t="s">
        <v>35</v>
      </c>
      <c r="H278" t="s">
        <v>60</v>
      </c>
      <c r="I278" t="s">
        <v>185</v>
      </c>
      <c r="J278" s="3" t="s">
        <v>38</v>
      </c>
      <c r="K278" t="s">
        <v>39</v>
      </c>
      <c r="L278" s="3" t="s">
        <v>81</v>
      </c>
      <c r="M278" s="3" t="s">
        <v>189</v>
      </c>
      <c r="N278" t="s">
        <v>190</v>
      </c>
      <c r="O278" t="s">
        <v>104</v>
      </c>
      <c r="P278" t="s">
        <v>105</v>
      </c>
      <c r="Q278" s="3">
        <v>6946.11</v>
      </c>
      <c r="R278" s="3">
        <v>7399.4</v>
      </c>
      <c r="S278" s="3">
        <v>3680.52</v>
      </c>
      <c r="T278" s="3">
        <v>673.88</v>
      </c>
      <c r="U278" s="3">
        <v>224.38</v>
      </c>
      <c r="V278" s="3">
        <v>462.33</v>
      </c>
      <c r="W278" s="3">
        <v>259.49</v>
      </c>
      <c r="X278" s="3">
        <v>5300.6</v>
      </c>
      <c r="Y278" s="3">
        <v>3265.59</v>
      </c>
      <c r="Z278" s="3">
        <f t="shared" si="21"/>
        <v>1645.5099999999993</v>
      </c>
      <c r="AA278" s="37">
        <f t="shared" si="22"/>
        <v>0.23689662271400819</v>
      </c>
      <c r="AB278" s="3">
        <v>-453.29</v>
      </c>
      <c r="AC278" s="3">
        <v>208.38</v>
      </c>
      <c r="AD278" s="3">
        <v>1212.79</v>
      </c>
      <c r="AE278" s="3">
        <v>7950.52</v>
      </c>
      <c r="AF278" t="str">
        <f>IF(tbl_FinancialData[[#This Row],[City]]="","Unknown",PROPER(TRIM(tbl_FinancialData[[#This Row],[City]])))</f>
        <v>Kanpur</v>
      </c>
      <c r="AG278" t="str">
        <f>_xlfn.LET(_xlpm.city,LOWER(TRIM(tbl_FinancialData[[#This Row],[City]])),_xlpm.st,PROPER(TRIM(tbl_FinancialData[[#This Row],[State]])),IF(_xlpm.city="pune","Maharashtra",IF(_xlpm.city="jamshedpur","Jharkhand",IF(_xlpm.city="bhilai","Chhattisgarh",IF(_xlpm.city="mumbai","Maharashtra",_xlpm.st)))))</f>
        <v>Uttar Pradesh</v>
      </c>
      <c r="AH278" t="str">
        <f>_xlfn.LET(_xlpm.d,PROPER(TRIM(tbl_FinancialData[[#This Row],[Department]])),IF(_xlpm.d="It","IT",_xlpm.d))</f>
        <v>Operations</v>
      </c>
      <c r="AI278" t="str">
        <f>_xlfn.LET(_xlpm.pid,tbl_FinancialData[[#This Row],[Product ID]],_xlpm.n,PROPER(TRIM(tbl_FinancialData[[#This Row],[Product Name]])),IF(_xlpm.pid="P020","Document Scanner",IF(_xlpm.pid="P015","Network Router",SUBSTITUTE(SUBSTITUTE(_xlpm.n,"Crm","CRM"),"Ups","UPS"))))</f>
        <v>CRM Software</v>
      </c>
      <c r="AJ278" s="3" t="str">
        <f>UPPER(TRIM(tbl_FinancialData[[#This Row],[Cost Center]]))</f>
        <v>CC-1005</v>
      </c>
    </row>
    <row r="279" spans="1:36" x14ac:dyDescent="0.25">
      <c r="A279" s="3" t="s">
        <v>478</v>
      </c>
      <c r="B279" s="2">
        <v>45950</v>
      </c>
      <c r="C279" t="s">
        <v>92</v>
      </c>
      <c r="D279" s="3" t="str">
        <f t="shared" si="19"/>
        <v>Q3</v>
      </c>
      <c r="E279" s="3" t="str">
        <f t="shared" si="20"/>
        <v>FY2026</v>
      </c>
      <c r="F279" s="8" t="s">
        <v>34</v>
      </c>
      <c r="G279" s="3" t="s">
        <v>35</v>
      </c>
      <c r="H279" t="s">
        <v>36</v>
      </c>
      <c r="I279" t="s">
        <v>145</v>
      </c>
      <c r="J279" s="3" t="s">
        <v>100</v>
      </c>
      <c r="K279" t="s">
        <v>71</v>
      </c>
      <c r="L279" s="3" t="s">
        <v>81</v>
      </c>
      <c r="M279" s="3" t="s">
        <v>102</v>
      </c>
      <c r="N279" t="s">
        <v>103</v>
      </c>
      <c r="O279" t="s">
        <v>104</v>
      </c>
      <c r="P279" t="s">
        <v>105</v>
      </c>
      <c r="Q279" s="3">
        <v>18356.2</v>
      </c>
      <c r="R279" s="3">
        <v>20226.79</v>
      </c>
      <c r="S279" s="3">
        <v>11508.35</v>
      </c>
      <c r="T279" s="3">
        <v>942.3</v>
      </c>
      <c r="U279" s="3">
        <v>691.3</v>
      </c>
      <c r="V279" s="3">
        <v>1924.42</v>
      </c>
      <c r="W279" s="3">
        <v>358.73</v>
      </c>
      <c r="X279" s="3">
        <v>15425.1</v>
      </c>
      <c r="Y279" s="3">
        <v>6847.85</v>
      </c>
      <c r="Z279" s="3">
        <f t="shared" si="21"/>
        <v>2931.1000000000004</v>
      </c>
      <c r="AA279" s="37">
        <f t="shared" si="22"/>
        <v>0.15967901853324765</v>
      </c>
      <c r="AB279" s="3">
        <v>-1870.59</v>
      </c>
      <c r="AC279" s="3">
        <v>917.81</v>
      </c>
      <c r="AD279" s="3">
        <v>2092.61</v>
      </c>
      <c r="AE279" s="3">
        <v>19531</v>
      </c>
      <c r="AF279" t="str">
        <f>IF(tbl_FinancialData[[#This Row],[City]]="","Unknown",PROPER(TRIM(tbl_FinancialData[[#This Row],[City]])))</f>
        <v>Panaji</v>
      </c>
      <c r="AG279" t="str">
        <f>_xlfn.LET(_xlpm.city,LOWER(TRIM(tbl_FinancialData[[#This Row],[City]])),_xlpm.st,PROPER(TRIM(tbl_FinancialData[[#This Row],[State]])),IF(_xlpm.city="pune","Maharashtra",IF(_xlpm.city="jamshedpur","Jharkhand",IF(_xlpm.city="bhilai","Chhattisgarh",IF(_xlpm.city="mumbai","Maharashtra",_xlpm.st)))))</f>
        <v>Goa</v>
      </c>
      <c r="AH279" t="str">
        <f>_xlfn.LET(_xlpm.d,PROPER(TRIM(tbl_FinancialData[[#This Row],[Department]])),IF(_xlpm.d="It","IT",_xlpm.d))</f>
        <v>Marketing</v>
      </c>
      <c r="AI279" t="str">
        <f>_xlfn.LET(_xlpm.pid,tbl_FinancialData[[#This Row],[Product ID]],_xlpm.n,PROPER(TRIM(tbl_FinancialData[[#This Row],[Product Name]])),IF(_xlpm.pid="P020","Document Scanner",IF(_xlpm.pid="P015","Network Router",SUBSTITUTE(SUBSTITUTE(_xlpm.n,"Crm","CRM"),"Ups","UPS"))))</f>
        <v>Accounting Software</v>
      </c>
      <c r="AJ279" s="3" t="str">
        <f>UPPER(TRIM(tbl_FinancialData[[#This Row],[Cost Center]]))</f>
        <v>CC-1005</v>
      </c>
    </row>
    <row r="280" spans="1:36" x14ac:dyDescent="0.25">
      <c r="A280" s="3" t="s">
        <v>479</v>
      </c>
      <c r="B280" s="2">
        <v>45775</v>
      </c>
      <c r="C280" t="s">
        <v>128</v>
      </c>
      <c r="D280" s="3" t="str">
        <f t="shared" si="19"/>
        <v>Q1</v>
      </c>
      <c r="E280" s="3" t="str">
        <f t="shared" si="20"/>
        <v>FY2026</v>
      </c>
      <c r="F280" s="8" t="s">
        <v>34</v>
      </c>
      <c r="G280" s="3" t="s">
        <v>35</v>
      </c>
      <c r="H280" t="s">
        <v>98</v>
      </c>
      <c r="I280" t="s">
        <v>304</v>
      </c>
      <c r="J280" s="3" t="s">
        <v>80</v>
      </c>
      <c r="K280" t="s">
        <v>160</v>
      </c>
      <c r="L280" s="3" t="s">
        <v>51</v>
      </c>
      <c r="M280" s="3" t="s">
        <v>73</v>
      </c>
      <c r="N280" t="s">
        <v>74</v>
      </c>
      <c r="O280" t="s">
        <v>43</v>
      </c>
      <c r="P280" t="s">
        <v>75</v>
      </c>
      <c r="Q280" s="3">
        <v>49911.63</v>
      </c>
      <c r="R280" s="3">
        <v>54040.74</v>
      </c>
      <c r="S280" s="3">
        <v>31367.79</v>
      </c>
      <c r="T280" s="3">
        <v>4765.7700000000004</v>
      </c>
      <c r="U280" s="3">
        <v>1439.78</v>
      </c>
      <c r="V280" s="3">
        <v>4523.2</v>
      </c>
      <c r="W280" s="3">
        <v>1842.35</v>
      </c>
      <c r="X280" s="3">
        <v>43938.89</v>
      </c>
      <c r="Y280" s="3">
        <v>18543.849999999999</v>
      </c>
      <c r="Z280" s="3">
        <f t="shared" si="21"/>
        <v>5972.739999999998</v>
      </c>
      <c r="AA280" s="37">
        <f t="shared" si="22"/>
        <v>0.11966629821546598</v>
      </c>
      <c r="AB280" s="3">
        <v>-4129.1099999999997</v>
      </c>
      <c r="AC280" s="3">
        <v>4991.16</v>
      </c>
      <c r="AD280" s="3">
        <v>2246.02</v>
      </c>
      <c r="AE280" s="3">
        <v>47166.49</v>
      </c>
      <c r="AF280" t="str">
        <f>IF(tbl_FinancialData[[#This Row],[City]]="","Unknown",PROPER(TRIM(tbl_FinancialData[[#This Row],[City]])))</f>
        <v>Pune</v>
      </c>
      <c r="AG280" t="str">
        <f>_xlfn.LET(_xlpm.city,LOWER(TRIM(tbl_FinancialData[[#This Row],[City]])),_xlpm.st,PROPER(TRIM(tbl_FinancialData[[#This Row],[State]])),IF(_xlpm.city="pune","Maharashtra",IF(_xlpm.city="jamshedpur","Jharkhand",IF(_xlpm.city="bhilai","Chhattisgarh",IF(_xlpm.city="mumbai","Maharashtra",_xlpm.st)))))</f>
        <v>Maharashtra</v>
      </c>
      <c r="AH280" t="str">
        <f>_xlfn.LET(_xlpm.d,PROPER(TRIM(tbl_FinancialData[[#This Row],[Department]])),IF(_xlpm.d="It","IT",_xlpm.d))</f>
        <v>IT</v>
      </c>
      <c r="AI280" t="str">
        <f>_xlfn.LET(_xlpm.pid,tbl_FinancialData[[#This Row],[Product ID]],_xlpm.n,PROPER(TRIM(tbl_FinancialData[[#This Row],[Product Name]])),IF(_xlpm.pid="P020","Document Scanner",IF(_xlpm.pid="P015","Network Router",SUBSTITUTE(SUBSTITUTE(_xlpm.n,"Crm","CRM"),"Ups","UPS"))))</f>
        <v>Monitor</v>
      </c>
      <c r="AJ280" s="3" t="str">
        <f>UPPER(TRIM(tbl_FinancialData[[#This Row],[Cost Center]]))</f>
        <v>CC-1003</v>
      </c>
    </row>
    <row r="281" spans="1:36" x14ac:dyDescent="0.25">
      <c r="A281" s="3" t="s">
        <v>480</v>
      </c>
      <c r="B281" s="2">
        <v>45961</v>
      </c>
      <c r="C281" t="s">
        <v>92</v>
      </c>
      <c r="D281" s="3" t="str">
        <f t="shared" si="19"/>
        <v>Q3</v>
      </c>
      <c r="E281" s="3" t="str">
        <f t="shared" si="20"/>
        <v>FY2026</v>
      </c>
      <c r="F281" s="8" t="s">
        <v>85</v>
      </c>
      <c r="G281" s="3" t="s">
        <v>35</v>
      </c>
      <c r="H281" t="s">
        <v>86</v>
      </c>
      <c r="I281" t="s">
        <v>181</v>
      </c>
      <c r="J281" s="3" t="s">
        <v>80</v>
      </c>
      <c r="K281" t="s">
        <v>50</v>
      </c>
      <c r="L281" s="3" t="s">
        <v>51</v>
      </c>
      <c r="M281" s="3" t="s">
        <v>221</v>
      </c>
      <c r="N281" t="s">
        <v>222</v>
      </c>
      <c r="O281" t="s">
        <v>104</v>
      </c>
      <c r="P281" t="s">
        <v>223</v>
      </c>
      <c r="Q281" s="3">
        <v>23300.41</v>
      </c>
      <c r="R281" s="3">
        <v>27065.74</v>
      </c>
      <c r="S281" s="3">
        <v>13140.62</v>
      </c>
      <c r="T281" s="3">
        <v>1619.48</v>
      </c>
      <c r="U281" s="3">
        <v>1575.89</v>
      </c>
      <c r="V281" s="3">
        <v>1302.6099999999999</v>
      </c>
      <c r="W281" s="3">
        <v>489.9</v>
      </c>
      <c r="X281" s="3">
        <v>18128.5</v>
      </c>
      <c r="Y281" s="3">
        <v>10159.790000000001</v>
      </c>
      <c r="Z281" s="3">
        <f t="shared" si="21"/>
        <v>5171.91</v>
      </c>
      <c r="AA281" s="37">
        <f t="shared" si="22"/>
        <v>0.22196648041815573</v>
      </c>
      <c r="AB281" s="3">
        <v>-3765.33</v>
      </c>
      <c r="AC281" s="3">
        <v>466.01</v>
      </c>
      <c r="AD281" s="3">
        <v>1141.72</v>
      </c>
      <c r="AE281" s="3">
        <v>23976.12</v>
      </c>
      <c r="AF281" t="str">
        <f>IF(tbl_FinancialData[[#This Row],[City]]="","Unknown",PROPER(TRIM(tbl_FinancialData[[#This Row],[City]])))</f>
        <v>Bhopal</v>
      </c>
      <c r="AG281" t="str">
        <f>_xlfn.LET(_xlpm.city,LOWER(TRIM(tbl_FinancialData[[#This Row],[City]])),_xlpm.st,PROPER(TRIM(tbl_FinancialData[[#This Row],[State]])),IF(_xlpm.city="pune","Maharashtra",IF(_xlpm.city="jamshedpur","Jharkhand",IF(_xlpm.city="bhilai","Chhattisgarh",IF(_xlpm.city="mumbai","Maharashtra",_xlpm.st)))))</f>
        <v>Madhya Pradesh</v>
      </c>
      <c r="AH281" t="str">
        <f>_xlfn.LET(_xlpm.d,PROPER(TRIM(tbl_FinancialData[[#This Row],[Department]])),IF(_xlpm.d="It","IT",_xlpm.d))</f>
        <v>Sales</v>
      </c>
      <c r="AI281" t="str">
        <f>_xlfn.LET(_xlpm.pid,tbl_FinancialData[[#This Row],[Product ID]],_xlpm.n,PROPER(TRIM(tbl_FinancialData[[#This Row],[Product Name]])),IF(_xlpm.pid="P020","Document Scanner",IF(_xlpm.pid="P015","Network Router",SUBSTITUTE(SUBSTITUTE(_xlpm.n,"Crm","CRM"),"Ups","UPS"))))</f>
        <v>Cloud Software</v>
      </c>
      <c r="AJ281" s="3" t="str">
        <f>UPPER(TRIM(tbl_FinancialData[[#This Row],[Cost Center]]))</f>
        <v>CC-1003</v>
      </c>
    </row>
    <row r="282" spans="1:36" x14ac:dyDescent="0.25">
      <c r="A282" s="3" t="s">
        <v>481</v>
      </c>
      <c r="B282" s="2">
        <v>46050</v>
      </c>
      <c r="C282" t="s">
        <v>77</v>
      </c>
      <c r="D282" s="3" t="str">
        <f t="shared" si="19"/>
        <v>Q4</v>
      </c>
      <c r="E282" s="3" t="str">
        <f t="shared" si="20"/>
        <v>FY2026</v>
      </c>
      <c r="F282" s="8" t="s">
        <v>59</v>
      </c>
      <c r="G282" s="3" t="s">
        <v>35</v>
      </c>
      <c r="H282" t="s">
        <v>230</v>
      </c>
      <c r="I282" t="s">
        <v>363</v>
      </c>
      <c r="J282" s="3" t="s">
        <v>100</v>
      </c>
      <c r="K282" t="s">
        <v>50</v>
      </c>
      <c r="L282" s="3" t="s">
        <v>51</v>
      </c>
      <c r="M282" s="3" t="s">
        <v>197</v>
      </c>
      <c r="N282" t="s">
        <v>198</v>
      </c>
      <c r="O282" t="s">
        <v>43</v>
      </c>
      <c r="P282" t="s">
        <v>163</v>
      </c>
      <c r="Q282" s="3">
        <v>40137.730000000003</v>
      </c>
      <c r="R282" s="3">
        <v>40287.08</v>
      </c>
      <c r="S282" s="3">
        <v>21151.84</v>
      </c>
      <c r="T282" s="3">
        <v>3654.7</v>
      </c>
      <c r="U282" s="3">
        <v>1343.92</v>
      </c>
      <c r="V282" s="3">
        <v>3020.09</v>
      </c>
      <c r="W282" s="3">
        <v>847.13</v>
      </c>
      <c r="X282" s="3">
        <v>30017.69</v>
      </c>
      <c r="Y282" s="3">
        <v>18985.900000000001</v>
      </c>
      <c r="Z282" s="3">
        <f t="shared" si="21"/>
        <v>10120.040000000005</v>
      </c>
      <c r="AA282" s="37">
        <f t="shared" si="22"/>
        <v>0.25213284358632149</v>
      </c>
      <c r="AB282" s="3">
        <v>-149.35</v>
      </c>
      <c r="AC282" s="3">
        <v>3211.02</v>
      </c>
      <c r="AD282" s="3">
        <v>1846.34</v>
      </c>
      <c r="AE282" s="3">
        <v>38773.050000000003</v>
      </c>
      <c r="AF282" t="str">
        <f>IF(tbl_FinancialData[[#This Row],[City]]="","Unknown",PROPER(TRIM(tbl_FinancialData[[#This Row],[City]])))</f>
        <v>Jalandhar</v>
      </c>
      <c r="AG282" t="str">
        <f>_xlfn.LET(_xlpm.city,LOWER(TRIM(tbl_FinancialData[[#This Row],[City]])),_xlpm.st,PROPER(TRIM(tbl_FinancialData[[#This Row],[State]])),IF(_xlpm.city="pune","Maharashtra",IF(_xlpm.city="jamshedpur","Jharkhand",IF(_xlpm.city="bhilai","Chhattisgarh",IF(_xlpm.city="mumbai","Maharashtra",_xlpm.st)))))</f>
        <v>Punjab</v>
      </c>
      <c r="AH282" t="str">
        <f>_xlfn.LET(_xlpm.d,PROPER(TRIM(tbl_FinancialData[[#This Row],[Department]])),IF(_xlpm.d="It","IT",_xlpm.d))</f>
        <v>Sales</v>
      </c>
      <c r="AI282" t="str">
        <f>_xlfn.LET(_xlpm.pid,tbl_FinancialData[[#This Row],[Product ID]],_xlpm.n,PROPER(TRIM(tbl_FinancialData[[#This Row],[Product Name]])),IF(_xlpm.pid="P020","Document Scanner",IF(_xlpm.pid="P015","Network Router",SUBSTITUTE(SUBSTITUTE(_xlpm.n,"Crm","CRM"),"Ups","UPS"))))</f>
        <v>Smartphone</v>
      </c>
      <c r="AJ282" s="3" t="str">
        <f>UPPER(TRIM(tbl_FinancialData[[#This Row],[Cost Center]]))</f>
        <v>CC-1003</v>
      </c>
    </row>
    <row r="283" spans="1:36" x14ac:dyDescent="0.25">
      <c r="A283" s="3" t="s">
        <v>482</v>
      </c>
      <c r="B283" s="2">
        <v>45775</v>
      </c>
      <c r="C283" t="s">
        <v>128</v>
      </c>
      <c r="D283" s="3" t="str">
        <f t="shared" si="19"/>
        <v>Q1</v>
      </c>
      <c r="E283" s="3" t="str">
        <f t="shared" si="20"/>
        <v>FY2026</v>
      </c>
      <c r="F283" s="8" t="s">
        <v>67</v>
      </c>
      <c r="G283" s="3" t="s">
        <v>35</v>
      </c>
      <c r="H283" t="s">
        <v>168</v>
      </c>
      <c r="I283" t="s">
        <v>251</v>
      </c>
      <c r="J283" s="3" t="s">
        <v>100</v>
      </c>
      <c r="K283" t="s">
        <v>101</v>
      </c>
      <c r="L283" s="3" t="s">
        <v>51</v>
      </c>
      <c r="M283" s="3" t="s">
        <v>197</v>
      </c>
      <c r="N283" t="s">
        <v>198</v>
      </c>
      <c r="O283" t="s">
        <v>43</v>
      </c>
      <c r="P283" t="s">
        <v>163</v>
      </c>
      <c r="Q283" s="3">
        <v>20981.08</v>
      </c>
      <c r="R283" s="3">
        <v>19122.21</v>
      </c>
      <c r="S283" s="3">
        <v>10718.46</v>
      </c>
      <c r="T283" s="3">
        <v>2012.25</v>
      </c>
      <c r="U283" s="3">
        <v>607.58000000000004</v>
      </c>
      <c r="V283" s="3">
        <v>891.16</v>
      </c>
      <c r="W283" s="3">
        <v>734.43</v>
      </c>
      <c r="X283" s="3">
        <v>14963.89</v>
      </c>
      <c r="Y283" s="3">
        <v>10262.620000000001</v>
      </c>
      <c r="Z283" s="3">
        <f t="shared" si="21"/>
        <v>6017.1900000000023</v>
      </c>
      <c r="AA283" s="37">
        <f t="shared" si="22"/>
        <v>0.28679124239552978</v>
      </c>
      <c r="AB283" s="3">
        <v>1858.87</v>
      </c>
      <c r="AC283" s="3">
        <v>629.42999999999995</v>
      </c>
      <c r="AD283" s="3">
        <v>1017.58</v>
      </c>
      <c r="AE283" s="3">
        <v>21369.23</v>
      </c>
      <c r="AF283" t="str">
        <f>IF(tbl_FinancialData[[#This Row],[City]]="","Unknown",PROPER(TRIM(tbl_FinancialData[[#This Row],[City]])))</f>
        <v>Durgapur</v>
      </c>
      <c r="AG283" t="str">
        <f>_xlfn.LET(_xlpm.city,LOWER(TRIM(tbl_FinancialData[[#This Row],[City]])),_xlpm.st,PROPER(TRIM(tbl_FinancialData[[#This Row],[State]])),IF(_xlpm.city="pune","Maharashtra",IF(_xlpm.city="jamshedpur","Jharkhand",IF(_xlpm.city="bhilai","Chhattisgarh",IF(_xlpm.city="mumbai","Maharashtra",_xlpm.st)))))</f>
        <v>West Bengal</v>
      </c>
      <c r="AH283" t="str">
        <f>_xlfn.LET(_xlpm.d,PROPER(TRIM(tbl_FinancialData[[#This Row],[Department]])),IF(_xlpm.d="It","IT",_xlpm.d))</f>
        <v>Finance</v>
      </c>
      <c r="AI283" t="str">
        <f>_xlfn.LET(_xlpm.pid,tbl_FinancialData[[#This Row],[Product ID]],_xlpm.n,PROPER(TRIM(tbl_FinancialData[[#This Row],[Product Name]])),IF(_xlpm.pid="P020","Document Scanner",IF(_xlpm.pid="P015","Network Router",SUBSTITUTE(SUBSTITUTE(_xlpm.n,"Crm","CRM"),"Ups","UPS"))))</f>
        <v>Smartphone</v>
      </c>
      <c r="AJ283" s="3" t="str">
        <f>UPPER(TRIM(tbl_FinancialData[[#This Row],[Cost Center]]))</f>
        <v>CC-1003</v>
      </c>
    </row>
    <row r="284" spans="1:36" x14ac:dyDescent="0.25">
      <c r="A284" s="3" t="s">
        <v>483</v>
      </c>
      <c r="B284" s="2">
        <v>45782</v>
      </c>
      <c r="C284" t="s">
        <v>65</v>
      </c>
      <c r="D284" s="3" t="str">
        <f t="shared" si="19"/>
        <v>Q1</v>
      </c>
      <c r="E284" s="3" t="str">
        <f t="shared" si="20"/>
        <v>FY2026</v>
      </c>
      <c r="F284" s="8" t="s">
        <v>85</v>
      </c>
      <c r="G284" s="3" t="s">
        <v>35</v>
      </c>
      <c r="H284" t="s">
        <v>86</v>
      </c>
      <c r="I284" t="s">
        <v>181</v>
      </c>
      <c r="J284" s="3" t="s">
        <v>80</v>
      </c>
      <c r="K284" t="s">
        <v>71</v>
      </c>
      <c r="L284" s="3" t="s">
        <v>51</v>
      </c>
      <c r="M284" s="3" t="s">
        <v>73</v>
      </c>
      <c r="N284" t="s">
        <v>74</v>
      </c>
      <c r="O284" t="s">
        <v>43</v>
      </c>
      <c r="P284" t="s">
        <v>75</v>
      </c>
      <c r="Q284" s="3">
        <v>66335.929999999993</v>
      </c>
      <c r="R284" s="3">
        <v>74498.460000000006</v>
      </c>
      <c r="S284" s="3">
        <v>38681.919999999998</v>
      </c>
      <c r="T284" s="3">
        <v>7296.21</v>
      </c>
      <c r="U284" s="3">
        <v>5595.28</v>
      </c>
      <c r="V284" s="3">
        <v>5689.62</v>
      </c>
      <c r="W284" s="3">
        <v>1083.0999999999999</v>
      </c>
      <c r="X284" s="3">
        <v>58346.13</v>
      </c>
      <c r="Y284" s="3">
        <v>27654.02</v>
      </c>
      <c r="Z284" s="3">
        <f t="shared" si="21"/>
        <v>7989.7999999999956</v>
      </c>
      <c r="AA284" s="37">
        <f t="shared" si="22"/>
        <v>0.12044453134221525</v>
      </c>
      <c r="AB284" s="3">
        <v>-8162.53</v>
      </c>
      <c r="AC284" s="3">
        <v>1326.72</v>
      </c>
      <c r="AD284" s="3">
        <v>3250.46</v>
      </c>
      <c r="AE284" s="3">
        <v>68259.679999999993</v>
      </c>
      <c r="AF284" t="str">
        <f>IF(tbl_FinancialData[[#This Row],[City]]="","Unknown",PROPER(TRIM(tbl_FinancialData[[#This Row],[City]])))</f>
        <v>Bhopal</v>
      </c>
      <c r="AG284" t="str">
        <f>_xlfn.LET(_xlpm.city,LOWER(TRIM(tbl_FinancialData[[#This Row],[City]])),_xlpm.st,PROPER(TRIM(tbl_FinancialData[[#This Row],[State]])),IF(_xlpm.city="pune","Maharashtra",IF(_xlpm.city="jamshedpur","Jharkhand",IF(_xlpm.city="bhilai","Chhattisgarh",IF(_xlpm.city="mumbai","Maharashtra",_xlpm.st)))))</f>
        <v>Madhya Pradesh</v>
      </c>
      <c r="AH284" t="str">
        <f>_xlfn.LET(_xlpm.d,PROPER(TRIM(tbl_FinancialData[[#This Row],[Department]])),IF(_xlpm.d="It","IT",_xlpm.d))</f>
        <v>Marketing</v>
      </c>
      <c r="AI284" t="str">
        <f>_xlfn.LET(_xlpm.pid,tbl_FinancialData[[#This Row],[Product ID]],_xlpm.n,PROPER(TRIM(tbl_FinancialData[[#This Row],[Product Name]])),IF(_xlpm.pid="P020","Document Scanner",IF(_xlpm.pid="P015","Network Router",SUBSTITUTE(SUBSTITUTE(_xlpm.n,"Crm","CRM"),"Ups","UPS"))))</f>
        <v>Monitor</v>
      </c>
      <c r="AJ284" s="3" t="str">
        <f>UPPER(TRIM(tbl_FinancialData[[#This Row],[Cost Center]]))</f>
        <v>CC-1003</v>
      </c>
    </row>
    <row r="285" spans="1:36" x14ac:dyDescent="0.25">
      <c r="A285" s="3" t="s">
        <v>484</v>
      </c>
      <c r="B285" s="2">
        <v>45781</v>
      </c>
      <c r="C285" t="s">
        <v>65</v>
      </c>
      <c r="D285" s="3" t="str">
        <f t="shared" si="19"/>
        <v>Q1</v>
      </c>
      <c r="E285" s="3" t="str">
        <f t="shared" si="20"/>
        <v>FY2026</v>
      </c>
      <c r="F285" s="8" t="s">
        <v>67</v>
      </c>
      <c r="G285" s="3" t="s">
        <v>35</v>
      </c>
      <c r="H285" t="s">
        <v>168</v>
      </c>
      <c r="I285" t="s">
        <v>251</v>
      </c>
      <c r="J285" s="3" t="s">
        <v>80</v>
      </c>
      <c r="K285" t="s">
        <v>101</v>
      </c>
      <c r="L285" s="3" t="s">
        <v>94</v>
      </c>
      <c r="M285" s="3" t="s">
        <v>171</v>
      </c>
      <c r="N285" t="s">
        <v>172</v>
      </c>
      <c r="O285" t="s">
        <v>173</v>
      </c>
      <c r="P285" t="s">
        <v>174</v>
      </c>
      <c r="Q285" s="3">
        <v>14164.85</v>
      </c>
      <c r="R285" s="3">
        <v>15748.5</v>
      </c>
      <c r="S285" s="3">
        <v>9229.48</v>
      </c>
      <c r="T285" s="3">
        <v>1364.33</v>
      </c>
      <c r="U285" s="3">
        <v>367.57</v>
      </c>
      <c r="V285" s="3">
        <v>974.97</v>
      </c>
      <c r="W285" s="3">
        <v>441.51</v>
      </c>
      <c r="X285" s="3">
        <v>12377.86</v>
      </c>
      <c r="Y285" s="3">
        <v>4935.38</v>
      </c>
      <c r="Z285" s="3">
        <f t="shared" si="21"/>
        <v>1786.9899999999998</v>
      </c>
      <c r="AA285" s="37">
        <f t="shared" si="22"/>
        <v>0.12615664832313789</v>
      </c>
      <c r="AB285" s="3">
        <v>-1583.65</v>
      </c>
      <c r="AC285" s="3">
        <v>424.95</v>
      </c>
      <c r="AD285" s="3">
        <v>2473.1799999999998</v>
      </c>
      <c r="AE285" s="3">
        <v>16213.09</v>
      </c>
      <c r="AF285" t="str">
        <f>IF(tbl_FinancialData[[#This Row],[City]]="","Unknown",PROPER(TRIM(tbl_FinancialData[[#This Row],[City]])))</f>
        <v>Durgapur</v>
      </c>
      <c r="AG285" t="str">
        <f>_xlfn.LET(_xlpm.city,LOWER(TRIM(tbl_FinancialData[[#This Row],[City]])),_xlpm.st,PROPER(TRIM(tbl_FinancialData[[#This Row],[State]])),IF(_xlpm.city="pune","Maharashtra",IF(_xlpm.city="jamshedpur","Jharkhand",IF(_xlpm.city="bhilai","Chhattisgarh",IF(_xlpm.city="mumbai","Maharashtra",_xlpm.st)))))</f>
        <v>West Bengal</v>
      </c>
      <c r="AH285" t="str">
        <f>_xlfn.LET(_xlpm.d,PROPER(TRIM(tbl_FinancialData[[#This Row],[Department]])),IF(_xlpm.d="It","IT",_xlpm.d))</f>
        <v>Finance</v>
      </c>
      <c r="AI285" t="str">
        <f>_xlfn.LET(_xlpm.pid,tbl_FinancialData[[#This Row],[Product ID]],_xlpm.n,PROPER(TRIM(tbl_FinancialData[[#This Row],[Product Name]])),IF(_xlpm.pid="P020","Document Scanner",IF(_xlpm.pid="P015","Network Router",SUBSTITUTE(SUBSTITUTE(_xlpm.n,"Crm","CRM"),"Ups","UPS"))))</f>
        <v>Network Switch</v>
      </c>
      <c r="AJ285" s="3" t="str">
        <f>UPPER(TRIM(tbl_FinancialData[[#This Row],[Cost Center]]))</f>
        <v>CC-1001</v>
      </c>
    </row>
    <row r="286" spans="1:36" x14ac:dyDescent="0.25">
      <c r="A286" s="3" t="s">
        <v>485</v>
      </c>
      <c r="B286" s="2">
        <v>45856</v>
      </c>
      <c r="C286" t="s">
        <v>32</v>
      </c>
      <c r="D286" s="3" t="str">
        <f t="shared" si="19"/>
        <v>Q2</v>
      </c>
      <c r="E286" s="3" t="str">
        <f t="shared" si="20"/>
        <v>FY2026</v>
      </c>
      <c r="F286" s="8" t="s">
        <v>34</v>
      </c>
      <c r="G286" s="3" t="s">
        <v>35</v>
      </c>
      <c r="H286" t="s">
        <v>134</v>
      </c>
      <c r="I286" t="s">
        <v>176</v>
      </c>
      <c r="J286" s="3" t="s">
        <v>38</v>
      </c>
      <c r="K286" t="s">
        <v>50</v>
      </c>
      <c r="L286" s="3" t="s">
        <v>94</v>
      </c>
      <c r="M286" s="3" t="s">
        <v>95</v>
      </c>
      <c r="N286" t="s">
        <v>96</v>
      </c>
      <c r="O286" t="s">
        <v>43</v>
      </c>
      <c r="P286" t="s">
        <v>90</v>
      </c>
      <c r="Q286" s="3">
        <v>58788.19</v>
      </c>
      <c r="R286" s="3">
        <v>65978.89</v>
      </c>
      <c r="S286" s="3">
        <v>40717.839999999997</v>
      </c>
      <c r="T286" s="3">
        <v>6777.47</v>
      </c>
      <c r="U286" s="3">
        <v>1542.1</v>
      </c>
      <c r="V286" s="3">
        <v>5812.59</v>
      </c>
      <c r="W286" s="3">
        <v>1016.68</v>
      </c>
      <c r="X286" s="3">
        <v>55866.68</v>
      </c>
      <c r="Y286" s="3">
        <v>18070.349999999999</v>
      </c>
      <c r="Z286" s="3">
        <f t="shared" si="21"/>
        <v>2921.510000000002</v>
      </c>
      <c r="AA286" s="37">
        <f t="shared" si="22"/>
        <v>4.9695525580903274E-2</v>
      </c>
      <c r="AB286" s="3">
        <v>-7190.7</v>
      </c>
      <c r="AC286" s="3">
        <v>0</v>
      </c>
      <c r="AD286" s="3">
        <v>10581.87</v>
      </c>
      <c r="AE286" s="3">
        <v>69370.06</v>
      </c>
      <c r="AF286" t="str">
        <f>IF(tbl_FinancialData[[#This Row],[City]]="","Unknown",PROPER(TRIM(tbl_FinancialData[[#This Row],[City]])))</f>
        <v>Jaipur</v>
      </c>
      <c r="AG286" t="str">
        <f>_xlfn.LET(_xlpm.city,LOWER(TRIM(tbl_FinancialData[[#This Row],[City]])),_xlpm.st,PROPER(TRIM(tbl_FinancialData[[#This Row],[State]])),IF(_xlpm.city="pune","Maharashtra",IF(_xlpm.city="jamshedpur","Jharkhand",IF(_xlpm.city="bhilai","Chhattisgarh",IF(_xlpm.city="mumbai","Maharashtra",_xlpm.st)))))</f>
        <v>Rajasthan</v>
      </c>
      <c r="AH286" t="str">
        <f>_xlfn.LET(_xlpm.d,PROPER(TRIM(tbl_FinancialData[[#This Row],[Department]])),IF(_xlpm.d="It","IT",_xlpm.d))</f>
        <v>Sales</v>
      </c>
      <c r="AI286" t="str">
        <f>_xlfn.LET(_xlpm.pid,tbl_FinancialData[[#This Row],[Product ID]],_xlpm.n,PROPER(TRIM(tbl_FinancialData[[#This Row],[Product Name]])),IF(_xlpm.pid="P020","Document Scanner",IF(_xlpm.pid="P015","Network Router",SUBSTITUTE(SUBSTITUTE(_xlpm.n,"Crm","CRM"),"Ups","UPS"))))</f>
        <v>Document Scanner</v>
      </c>
      <c r="AJ286" s="3" t="str">
        <f>UPPER(TRIM(tbl_FinancialData[[#This Row],[Cost Center]]))</f>
        <v>CC-1001</v>
      </c>
    </row>
    <row r="287" spans="1:36" x14ac:dyDescent="0.25">
      <c r="A287" s="3" t="s">
        <v>486</v>
      </c>
      <c r="B287" s="2">
        <v>45938</v>
      </c>
      <c r="C287" t="s">
        <v>92</v>
      </c>
      <c r="D287" s="3" t="str">
        <f t="shared" si="19"/>
        <v>Q3</v>
      </c>
      <c r="E287" s="3" t="str">
        <f t="shared" si="20"/>
        <v>FY2026</v>
      </c>
      <c r="F287" s="8" t="s">
        <v>47</v>
      </c>
      <c r="G287" s="3" t="s">
        <v>35</v>
      </c>
      <c r="H287" t="s">
        <v>214</v>
      </c>
      <c r="I287" t="s">
        <v>220</v>
      </c>
      <c r="J287" s="3" t="s">
        <v>80</v>
      </c>
      <c r="K287" t="s">
        <v>50</v>
      </c>
      <c r="L287" s="3" t="s">
        <v>81</v>
      </c>
      <c r="M287" s="3" t="s">
        <v>52</v>
      </c>
      <c r="N287" t="s">
        <v>53</v>
      </c>
      <c r="O287" t="s">
        <v>54</v>
      </c>
      <c r="P287" t="s">
        <v>55</v>
      </c>
      <c r="Q287" s="3">
        <v>8296.4</v>
      </c>
      <c r="R287" s="3">
        <v>8980.59</v>
      </c>
      <c r="S287" s="3">
        <v>4458.29</v>
      </c>
      <c r="T287" s="3">
        <v>917.94</v>
      </c>
      <c r="U287" s="3">
        <v>617.26</v>
      </c>
      <c r="V287" s="3">
        <v>539.33000000000004</v>
      </c>
      <c r="W287" s="3">
        <v>202.22</v>
      </c>
      <c r="X287" s="3">
        <v>6735.03</v>
      </c>
      <c r="Y287" s="3">
        <v>3838.12</v>
      </c>
      <c r="Z287" s="3">
        <f t="shared" si="21"/>
        <v>1561.37</v>
      </c>
      <c r="AA287" s="37">
        <f t="shared" si="22"/>
        <v>0.18819849573308906</v>
      </c>
      <c r="AB287" s="3">
        <v>-684.19</v>
      </c>
      <c r="AC287" s="3">
        <v>165.93</v>
      </c>
      <c r="AD287" s="3">
        <v>1463.49</v>
      </c>
      <c r="AE287" s="3">
        <v>9593.9599999999991</v>
      </c>
      <c r="AF287" t="str">
        <f>IF(tbl_FinancialData[[#This Row],[City]]="","Unknown",PROPER(TRIM(tbl_FinancialData[[#This Row],[City]])))</f>
        <v>Mysuru</v>
      </c>
      <c r="AG287" t="str">
        <f>_xlfn.LET(_xlpm.city,LOWER(TRIM(tbl_FinancialData[[#This Row],[City]])),_xlpm.st,PROPER(TRIM(tbl_FinancialData[[#This Row],[State]])),IF(_xlpm.city="pune","Maharashtra",IF(_xlpm.city="jamshedpur","Jharkhand",IF(_xlpm.city="bhilai","Chhattisgarh",IF(_xlpm.city="mumbai","Maharashtra",_xlpm.st)))))</f>
        <v>Karnataka</v>
      </c>
      <c r="AH287" t="str">
        <f>_xlfn.LET(_xlpm.d,PROPER(TRIM(tbl_FinancialData[[#This Row],[Department]])),IF(_xlpm.d="It","IT",_xlpm.d))</f>
        <v>Sales</v>
      </c>
      <c r="AI287" t="str">
        <f>_xlfn.LET(_xlpm.pid,tbl_FinancialData[[#This Row],[Product ID]],_xlpm.n,PROPER(TRIM(tbl_FinancialData[[#This Row],[Product Name]])),IF(_xlpm.pid="P020","Document Scanner",IF(_xlpm.pid="P015","Network Router",SUBSTITUTE(SUBSTITUTE(_xlpm.n,"Crm","CRM"),"Ups","UPS"))))</f>
        <v>Mouse</v>
      </c>
      <c r="AJ287" s="3" t="str">
        <f>UPPER(TRIM(tbl_FinancialData[[#This Row],[Cost Center]]))</f>
        <v>CC-1005</v>
      </c>
    </row>
    <row r="288" spans="1:36" x14ac:dyDescent="0.25">
      <c r="A288" s="3" t="s">
        <v>487</v>
      </c>
      <c r="B288" s="2">
        <v>46088</v>
      </c>
      <c r="C288" t="s">
        <v>125</v>
      </c>
      <c r="D288" s="3" t="str">
        <f t="shared" si="19"/>
        <v>Q4</v>
      </c>
      <c r="E288" s="3" t="str">
        <f t="shared" si="20"/>
        <v>FY2026</v>
      </c>
      <c r="F288" s="8" t="s">
        <v>85</v>
      </c>
      <c r="G288" s="3" t="s">
        <v>35</v>
      </c>
      <c r="H288" t="s">
        <v>178</v>
      </c>
      <c r="I288" t="s">
        <v>249</v>
      </c>
      <c r="J288" s="3" t="s">
        <v>70</v>
      </c>
      <c r="K288" t="s">
        <v>160</v>
      </c>
      <c r="L288" s="3" t="s">
        <v>94</v>
      </c>
      <c r="M288" s="3" t="s">
        <v>120</v>
      </c>
      <c r="N288" t="s">
        <v>121</v>
      </c>
      <c r="O288" t="s">
        <v>43</v>
      </c>
      <c r="P288" t="s">
        <v>122</v>
      </c>
      <c r="Q288" s="3">
        <v>26174.55</v>
      </c>
      <c r="R288" s="3">
        <v>24466.34</v>
      </c>
      <c r="S288" s="3">
        <v>18627.13</v>
      </c>
      <c r="T288" s="3">
        <v>2205.33</v>
      </c>
      <c r="U288" s="3">
        <v>1729.65</v>
      </c>
      <c r="V288" s="3">
        <v>2567.4299999999998</v>
      </c>
      <c r="W288" s="3">
        <v>597.91999999999996</v>
      </c>
      <c r="X288" s="3">
        <v>25727.46</v>
      </c>
      <c r="Y288" s="3">
        <v>7547.42</v>
      </c>
      <c r="Z288" s="3">
        <f t="shared" si="21"/>
        <v>447.09000000000015</v>
      </c>
      <c r="AA288" s="37">
        <f t="shared" si="22"/>
        <v>1.7081095950073646E-2</v>
      </c>
      <c r="AB288" s="3">
        <v>1708.22</v>
      </c>
      <c r="AC288" s="3">
        <v>0</v>
      </c>
      <c r="AD288" s="3">
        <v>1308.73</v>
      </c>
      <c r="AE288" s="3">
        <v>27483.279999999999</v>
      </c>
      <c r="AF288" t="str">
        <f>IF(tbl_FinancialData[[#This Row],[City]]="","Unknown",PROPER(TRIM(tbl_FinancialData[[#This Row],[City]])))</f>
        <v>Bhilai</v>
      </c>
      <c r="AG288" t="str">
        <f>_xlfn.LET(_xlpm.city,LOWER(TRIM(tbl_FinancialData[[#This Row],[City]])),_xlpm.st,PROPER(TRIM(tbl_FinancialData[[#This Row],[State]])),IF(_xlpm.city="pune","Maharashtra",IF(_xlpm.city="jamshedpur","Jharkhand",IF(_xlpm.city="bhilai","Chhattisgarh",IF(_xlpm.city="mumbai","Maharashtra",_xlpm.st)))))</f>
        <v>Chhattisgarh</v>
      </c>
      <c r="AH288" t="str">
        <f>_xlfn.LET(_xlpm.d,PROPER(TRIM(tbl_FinancialData[[#This Row],[Department]])),IF(_xlpm.d="It","IT",_xlpm.d))</f>
        <v>IT</v>
      </c>
      <c r="AI288" t="str">
        <f>_xlfn.LET(_xlpm.pid,tbl_FinancialData[[#This Row],[Product ID]],_xlpm.n,PROPER(TRIM(tbl_FinancialData[[#This Row],[Product Name]])),IF(_xlpm.pid="P020","Document Scanner",IF(_xlpm.pid="P015","Network Router",SUBSTITUTE(SUBSTITUTE(_xlpm.n,"Crm","CRM"),"Ups","UPS"))))</f>
        <v>Projector</v>
      </c>
      <c r="AJ288" s="3" t="str">
        <f>UPPER(TRIM(tbl_FinancialData[[#This Row],[Cost Center]]))</f>
        <v>CC-1001</v>
      </c>
    </row>
    <row r="289" spans="1:36" x14ac:dyDescent="0.25">
      <c r="A289" s="3" t="s">
        <v>488</v>
      </c>
      <c r="B289" s="2">
        <v>46087</v>
      </c>
      <c r="C289" t="s">
        <v>125</v>
      </c>
      <c r="D289" s="3" t="str">
        <f t="shared" si="19"/>
        <v>Q4</v>
      </c>
      <c r="E289" s="3" t="str">
        <f t="shared" si="20"/>
        <v>FY2026</v>
      </c>
      <c r="F289" s="8" t="s">
        <v>34</v>
      </c>
      <c r="G289" s="3" t="s">
        <v>35</v>
      </c>
      <c r="H289" t="s">
        <v>36</v>
      </c>
      <c r="I289" t="s">
        <v>245</v>
      </c>
      <c r="J289" s="3" t="s">
        <v>70</v>
      </c>
      <c r="K289" t="s">
        <v>50</v>
      </c>
      <c r="L289" s="3" t="s">
        <v>94</v>
      </c>
      <c r="M289" s="3" t="s">
        <v>211</v>
      </c>
      <c r="N289" t="s">
        <v>212</v>
      </c>
      <c r="O289" t="s">
        <v>112</v>
      </c>
      <c r="P289" t="s">
        <v>113</v>
      </c>
      <c r="Q289" s="3">
        <v>24069.84</v>
      </c>
      <c r="R289" s="3">
        <v>26706.89</v>
      </c>
      <c r="S289" s="3">
        <v>12380.53</v>
      </c>
      <c r="T289" s="3">
        <v>2469.98</v>
      </c>
      <c r="U289" s="3">
        <v>1605.51</v>
      </c>
      <c r="V289" s="3">
        <v>1012.03</v>
      </c>
      <c r="W289" s="3">
        <v>904.52</v>
      </c>
      <c r="X289" s="3">
        <v>18372.57</v>
      </c>
      <c r="Y289" s="3">
        <v>11689.31</v>
      </c>
      <c r="Z289" s="3">
        <f t="shared" si="21"/>
        <v>5697.27</v>
      </c>
      <c r="AA289" s="37">
        <f t="shared" si="22"/>
        <v>0.23669746039026435</v>
      </c>
      <c r="AB289" s="3">
        <v>-2637.05</v>
      </c>
      <c r="AC289" s="3">
        <v>1925.59</v>
      </c>
      <c r="AD289" s="3">
        <v>2657.31</v>
      </c>
      <c r="AE289" s="3">
        <v>24801.57</v>
      </c>
      <c r="AF289" t="str">
        <f>IF(tbl_FinancialData[[#This Row],[City]]="","Unknown",PROPER(TRIM(tbl_FinancialData[[#This Row],[City]])))</f>
        <v>Margao</v>
      </c>
      <c r="AG289" t="str">
        <f>_xlfn.LET(_xlpm.city,LOWER(TRIM(tbl_FinancialData[[#This Row],[City]])),_xlpm.st,PROPER(TRIM(tbl_FinancialData[[#This Row],[State]])),IF(_xlpm.city="pune","Maharashtra",IF(_xlpm.city="jamshedpur","Jharkhand",IF(_xlpm.city="bhilai","Chhattisgarh",IF(_xlpm.city="mumbai","Maharashtra",_xlpm.st)))))</f>
        <v>Goa</v>
      </c>
      <c r="AH289" t="str">
        <f>_xlfn.LET(_xlpm.d,PROPER(TRIM(tbl_FinancialData[[#This Row],[Department]])),IF(_xlpm.d="It","IT",_xlpm.d))</f>
        <v>Sales</v>
      </c>
      <c r="AI289" t="str">
        <f>_xlfn.LET(_xlpm.pid,tbl_FinancialData[[#This Row],[Product ID]],_xlpm.n,PROPER(TRIM(tbl_FinancialData[[#This Row],[Product Name]])),IF(_xlpm.pid="P020","Document Scanner",IF(_xlpm.pid="P015","Network Router",SUBSTITUTE(SUBSTITUTE(_xlpm.n,"Crm","CRM"),"Ups","UPS"))))</f>
        <v>Office Chair</v>
      </c>
      <c r="AJ289" s="3" t="str">
        <f>UPPER(TRIM(tbl_FinancialData[[#This Row],[Cost Center]]))</f>
        <v>CC-1001</v>
      </c>
    </row>
    <row r="290" spans="1:36" x14ac:dyDescent="0.25">
      <c r="A290" s="3" t="s">
        <v>489</v>
      </c>
      <c r="B290" s="2">
        <v>45926</v>
      </c>
      <c r="C290" t="s">
        <v>46</v>
      </c>
      <c r="D290" s="3" t="str">
        <f t="shared" si="19"/>
        <v>Q2</v>
      </c>
      <c r="E290" s="3" t="str">
        <f t="shared" si="20"/>
        <v>FY2026</v>
      </c>
      <c r="F290" s="8" t="s">
        <v>47</v>
      </c>
      <c r="G290" s="3" t="s">
        <v>35</v>
      </c>
      <c r="H290" t="s">
        <v>78</v>
      </c>
      <c r="I290" t="s">
        <v>183</v>
      </c>
      <c r="J290" s="3" t="s">
        <v>100</v>
      </c>
      <c r="K290" t="s">
        <v>39</v>
      </c>
      <c r="L290" s="3" t="s">
        <v>81</v>
      </c>
      <c r="M290" s="3" t="s">
        <v>189</v>
      </c>
      <c r="N290" t="s">
        <v>190</v>
      </c>
      <c r="O290" t="s">
        <v>104</v>
      </c>
      <c r="P290" t="s">
        <v>105</v>
      </c>
      <c r="Q290" s="3">
        <v>30575.4</v>
      </c>
      <c r="R290" s="3">
        <v>29416.89</v>
      </c>
      <c r="S290" s="3">
        <v>21367.21</v>
      </c>
      <c r="T290" s="3">
        <v>1767.28</v>
      </c>
      <c r="U290" s="3">
        <v>2460.29</v>
      </c>
      <c r="V290" s="3">
        <v>2025.71</v>
      </c>
      <c r="W290" s="3">
        <v>363.3</v>
      </c>
      <c r="X290" s="3">
        <v>27983.78</v>
      </c>
      <c r="Y290" s="3">
        <v>9208.2000000000007</v>
      </c>
      <c r="Z290" s="3">
        <f t="shared" si="21"/>
        <v>2591.6200000000026</v>
      </c>
      <c r="AA290" s="37">
        <f t="shared" si="22"/>
        <v>8.4761605735329787E-2</v>
      </c>
      <c r="AB290" s="3">
        <v>1158.52</v>
      </c>
      <c r="AC290" s="3">
        <v>1528.77</v>
      </c>
      <c r="AD290" s="3">
        <v>1452.33</v>
      </c>
      <c r="AE290" s="3">
        <v>30498.959999999999</v>
      </c>
      <c r="AF290" t="str">
        <f>IF(tbl_FinancialData[[#This Row],[City]]="","Unknown",PROPER(TRIM(tbl_FinancialData[[#This Row],[City]])))</f>
        <v>Kozhikode</v>
      </c>
      <c r="AG290" t="str">
        <f>_xlfn.LET(_xlpm.city,LOWER(TRIM(tbl_FinancialData[[#This Row],[City]])),_xlpm.st,PROPER(TRIM(tbl_FinancialData[[#This Row],[State]])),IF(_xlpm.city="pune","Maharashtra",IF(_xlpm.city="jamshedpur","Jharkhand",IF(_xlpm.city="bhilai","Chhattisgarh",IF(_xlpm.city="mumbai","Maharashtra",_xlpm.st)))))</f>
        <v>Kerala</v>
      </c>
      <c r="AH290" t="str">
        <f>_xlfn.LET(_xlpm.d,PROPER(TRIM(tbl_FinancialData[[#This Row],[Department]])),IF(_xlpm.d="It","IT",_xlpm.d))</f>
        <v>Operations</v>
      </c>
      <c r="AI290" t="str">
        <f>_xlfn.LET(_xlpm.pid,tbl_FinancialData[[#This Row],[Product ID]],_xlpm.n,PROPER(TRIM(tbl_FinancialData[[#This Row],[Product Name]])),IF(_xlpm.pid="P020","Document Scanner",IF(_xlpm.pid="P015","Network Router",SUBSTITUTE(SUBSTITUTE(_xlpm.n,"Crm","CRM"),"Ups","UPS"))))</f>
        <v>CRM Software</v>
      </c>
      <c r="AJ290" s="3" t="str">
        <f>UPPER(TRIM(tbl_FinancialData[[#This Row],[Cost Center]]))</f>
        <v>CC-1005</v>
      </c>
    </row>
    <row r="291" spans="1:36" x14ac:dyDescent="0.25">
      <c r="A291" s="3" t="s">
        <v>490</v>
      </c>
      <c r="B291" s="2">
        <v>45862</v>
      </c>
      <c r="C291" t="s">
        <v>32</v>
      </c>
      <c r="D291" s="3" t="str">
        <f t="shared" si="19"/>
        <v>Q2</v>
      </c>
      <c r="E291" s="3" t="str">
        <f t="shared" si="20"/>
        <v>FY2026</v>
      </c>
      <c r="F291" s="8" t="s">
        <v>47</v>
      </c>
      <c r="G291" s="3" t="s">
        <v>35</v>
      </c>
      <c r="H291" t="s">
        <v>78</v>
      </c>
      <c r="I291" t="s">
        <v>183</v>
      </c>
      <c r="J291" s="3" t="s">
        <v>70</v>
      </c>
      <c r="K291" t="s">
        <v>71</v>
      </c>
      <c r="L291" s="3" t="s">
        <v>51</v>
      </c>
      <c r="M291" s="3" t="s">
        <v>171</v>
      </c>
      <c r="N291" t="s">
        <v>172</v>
      </c>
      <c r="O291" t="s">
        <v>173</v>
      </c>
      <c r="P291" t="s">
        <v>174</v>
      </c>
      <c r="Q291" s="3">
        <v>18595.759999999998</v>
      </c>
      <c r="R291" s="3">
        <v>20558.5</v>
      </c>
      <c r="S291" s="3">
        <v>12549.67</v>
      </c>
      <c r="T291" s="3">
        <v>2336.7399999999998</v>
      </c>
      <c r="U291" s="3">
        <v>843.13</v>
      </c>
      <c r="V291" s="3">
        <v>2021</v>
      </c>
      <c r="W291" s="3">
        <v>271.67</v>
      </c>
      <c r="X291" s="3">
        <v>18022.2</v>
      </c>
      <c r="Y291" s="3">
        <v>6046.09</v>
      </c>
      <c r="Z291" s="3">
        <f t="shared" si="21"/>
        <v>573.55999999999767</v>
      </c>
      <c r="AA291" s="37">
        <f t="shared" si="22"/>
        <v>3.084359015173339E-2</v>
      </c>
      <c r="AB291" s="3">
        <v>-1962.74</v>
      </c>
      <c r="AC291" s="3">
        <v>929.79</v>
      </c>
      <c r="AD291" s="3">
        <v>3179.87</v>
      </c>
      <c r="AE291" s="3">
        <v>20845.849999999999</v>
      </c>
      <c r="AF291" t="str">
        <f>IF(tbl_FinancialData[[#This Row],[City]]="","Unknown",PROPER(TRIM(tbl_FinancialData[[#This Row],[City]])))</f>
        <v>Kozhikode</v>
      </c>
      <c r="AG291" t="str">
        <f>_xlfn.LET(_xlpm.city,LOWER(TRIM(tbl_FinancialData[[#This Row],[City]])),_xlpm.st,PROPER(TRIM(tbl_FinancialData[[#This Row],[State]])),IF(_xlpm.city="pune","Maharashtra",IF(_xlpm.city="jamshedpur","Jharkhand",IF(_xlpm.city="bhilai","Chhattisgarh",IF(_xlpm.city="mumbai","Maharashtra",_xlpm.st)))))</f>
        <v>Kerala</v>
      </c>
      <c r="AH291" t="str">
        <f>_xlfn.LET(_xlpm.d,PROPER(TRIM(tbl_FinancialData[[#This Row],[Department]])),IF(_xlpm.d="It","IT",_xlpm.d))</f>
        <v>Marketing</v>
      </c>
      <c r="AI291" t="str">
        <f>_xlfn.LET(_xlpm.pid,tbl_FinancialData[[#This Row],[Product ID]],_xlpm.n,PROPER(TRIM(tbl_FinancialData[[#This Row],[Product Name]])),IF(_xlpm.pid="P020","Document Scanner",IF(_xlpm.pid="P015","Network Router",SUBSTITUTE(SUBSTITUTE(_xlpm.n,"Crm","CRM"),"Ups","UPS"))))</f>
        <v>Network Switch</v>
      </c>
      <c r="AJ291" s="3" t="str">
        <f>UPPER(TRIM(tbl_FinancialData[[#This Row],[Cost Center]]))</f>
        <v>CC-1003</v>
      </c>
    </row>
    <row r="292" spans="1:36" x14ac:dyDescent="0.25">
      <c r="A292" s="3" t="s">
        <v>491</v>
      </c>
      <c r="B292" s="2">
        <v>46059</v>
      </c>
      <c r="C292" t="s">
        <v>57</v>
      </c>
      <c r="D292" s="3" t="str">
        <f t="shared" si="19"/>
        <v>Q4</v>
      </c>
      <c r="E292" s="3" t="str">
        <f t="shared" si="20"/>
        <v>FY2026</v>
      </c>
      <c r="F292" s="8" t="s">
        <v>34</v>
      </c>
      <c r="G292" s="3" t="s">
        <v>35</v>
      </c>
      <c r="H292" t="s">
        <v>36</v>
      </c>
      <c r="I292" t="s">
        <v>37</v>
      </c>
      <c r="J292" s="3" t="s">
        <v>70</v>
      </c>
      <c r="K292" t="s">
        <v>50</v>
      </c>
      <c r="L292" s="3" t="s">
        <v>51</v>
      </c>
      <c r="M292" s="3" t="s">
        <v>82</v>
      </c>
      <c r="N292" t="s">
        <v>83</v>
      </c>
      <c r="O292" t="s">
        <v>43</v>
      </c>
      <c r="P292" t="s">
        <v>75</v>
      </c>
      <c r="Q292" s="3">
        <v>50815.839999999997</v>
      </c>
      <c r="R292" s="3">
        <v>50562.73</v>
      </c>
      <c r="S292" s="3">
        <v>26443.89</v>
      </c>
      <c r="T292" s="3">
        <v>5941.15</v>
      </c>
      <c r="U292" s="3">
        <v>3083.46</v>
      </c>
      <c r="V292" s="3">
        <v>2801.76</v>
      </c>
      <c r="W292" s="3">
        <v>1789.4</v>
      </c>
      <c r="X292" s="3">
        <v>40059.67</v>
      </c>
      <c r="Y292" s="3">
        <v>24371.94</v>
      </c>
      <c r="Z292" s="3">
        <f t="shared" si="21"/>
        <v>10756.169999999998</v>
      </c>
      <c r="AA292" s="37">
        <f t="shared" si="22"/>
        <v>0.21166962899757238</v>
      </c>
      <c r="AB292" s="3">
        <v>253.11</v>
      </c>
      <c r="AC292" s="3">
        <v>1524.48</v>
      </c>
      <c r="AD292" s="3">
        <v>8872.4500000000007</v>
      </c>
      <c r="AE292" s="3">
        <v>58163.81</v>
      </c>
      <c r="AF292" t="str">
        <f>IF(tbl_FinancialData[[#This Row],[City]]="","Unknown",PROPER(TRIM(tbl_FinancialData[[#This Row],[City]])))</f>
        <v>Vasco Da Gama</v>
      </c>
      <c r="AG292" t="str">
        <f>_xlfn.LET(_xlpm.city,LOWER(TRIM(tbl_FinancialData[[#This Row],[City]])),_xlpm.st,PROPER(TRIM(tbl_FinancialData[[#This Row],[State]])),IF(_xlpm.city="pune","Maharashtra",IF(_xlpm.city="jamshedpur","Jharkhand",IF(_xlpm.city="bhilai","Chhattisgarh",IF(_xlpm.city="mumbai","Maharashtra",_xlpm.st)))))</f>
        <v>Goa</v>
      </c>
      <c r="AH292" t="str">
        <f>_xlfn.LET(_xlpm.d,PROPER(TRIM(tbl_FinancialData[[#This Row],[Department]])),IF(_xlpm.d="It","IT",_xlpm.d))</f>
        <v>Sales</v>
      </c>
      <c r="AI292" t="str">
        <f>_xlfn.LET(_xlpm.pid,tbl_FinancialData[[#This Row],[Product ID]],_xlpm.n,PROPER(TRIM(tbl_FinancialData[[#This Row],[Product Name]])),IF(_xlpm.pid="P020","Document Scanner",IF(_xlpm.pid="P015","Network Router",SUBSTITUTE(SUBSTITUTE(_xlpm.n,"Crm","CRM"),"Ups","UPS"))))</f>
        <v>Business Laptop</v>
      </c>
      <c r="AJ292" s="3" t="str">
        <f>UPPER(TRIM(tbl_FinancialData[[#This Row],[Cost Center]]))</f>
        <v>CC-1003</v>
      </c>
    </row>
    <row r="293" spans="1:36" x14ac:dyDescent="0.25">
      <c r="A293" s="3" t="s">
        <v>492</v>
      </c>
      <c r="B293" s="2">
        <v>45974</v>
      </c>
      <c r="C293" t="s">
        <v>147</v>
      </c>
      <c r="D293" s="3" t="str">
        <f t="shared" si="19"/>
        <v>Q3</v>
      </c>
      <c r="E293" s="3" t="str">
        <f t="shared" si="20"/>
        <v>FY2026</v>
      </c>
      <c r="F293" s="8" t="s">
        <v>34</v>
      </c>
      <c r="G293" s="3" t="s">
        <v>35</v>
      </c>
      <c r="H293" t="s">
        <v>134</v>
      </c>
      <c r="I293" t="s">
        <v>154</v>
      </c>
      <c r="J293" s="3" t="s">
        <v>38</v>
      </c>
      <c r="K293" t="s">
        <v>160</v>
      </c>
      <c r="L293" s="3" t="s">
        <v>51</v>
      </c>
      <c r="M293" s="3" t="s">
        <v>95</v>
      </c>
      <c r="N293" t="s">
        <v>96</v>
      </c>
      <c r="O293" t="s">
        <v>43</v>
      </c>
      <c r="P293" t="s">
        <v>90</v>
      </c>
      <c r="Q293" s="3">
        <v>46974.12</v>
      </c>
      <c r="R293" s="3">
        <v>54332.97</v>
      </c>
      <c r="S293" s="3">
        <v>24148.39</v>
      </c>
      <c r="T293" s="3">
        <v>3492.03</v>
      </c>
      <c r="U293" s="3">
        <v>1599.52</v>
      </c>
      <c r="V293" s="3">
        <v>4178.8500000000004</v>
      </c>
      <c r="W293" s="3">
        <v>973.33</v>
      </c>
      <c r="X293" s="3">
        <v>34392.11</v>
      </c>
      <c r="Y293" s="3">
        <v>22825.73</v>
      </c>
      <c r="Z293" s="3">
        <f t="shared" si="21"/>
        <v>12582.010000000002</v>
      </c>
      <c r="AA293" s="37">
        <f t="shared" si="22"/>
        <v>0.26784982879934743</v>
      </c>
      <c r="AB293" s="3">
        <v>-7358.85</v>
      </c>
      <c r="AC293" s="3">
        <v>939.48</v>
      </c>
      <c r="AD293" s="3">
        <v>2301.73</v>
      </c>
      <c r="AE293" s="3">
        <v>48336.37</v>
      </c>
      <c r="AF293" t="str">
        <f>IF(tbl_FinancialData[[#This Row],[City]]="","Unknown",PROPER(TRIM(tbl_FinancialData[[#This Row],[City]])))</f>
        <v>Udaipur</v>
      </c>
      <c r="AG293" t="str">
        <f>_xlfn.LET(_xlpm.city,LOWER(TRIM(tbl_FinancialData[[#This Row],[City]])),_xlpm.st,PROPER(TRIM(tbl_FinancialData[[#This Row],[State]])),IF(_xlpm.city="pune","Maharashtra",IF(_xlpm.city="jamshedpur","Jharkhand",IF(_xlpm.city="bhilai","Chhattisgarh",IF(_xlpm.city="mumbai","Maharashtra",_xlpm.st)))))</f>
        <v>Rajasthan</v>
      </c>
      <c r="AH293" t="str">
        <f>_xlfn.LET(_xlpm.d,PROPER(TRIM(tbl_FinancialData[[#This Row],[Department]])),IF(_xlpm.d="It","IT",_xlpm.d))</f>
        <v>IT</v>
      </c>
      <c r="AI293" t="str">
        <f>_xlfn.LET(_xlpm.pid,tbl_FinancialData[[#This Row],[Product ID]],_xlpm.n,PROPER(TRIM(tbl_FinancialData[[#This Row],[Product Name]])),IF(_xlpm.pid="P020","Document Scanner",IF(_xlpm.pid="P015","Network Router",SUBSTITUTE(SUBSTITUTE(_xlpm.n,"Crm","CRM"),"Ups","UPS"))))</f>
        <v>Document Scanner</v>
      </c>
      <c r="AJ293" s="3" t="str">
        <f>UPPER(TRIM(tbl_FinancialData[[#This Row],[Cost Center]]))</f>
        <v>CC-1003</v>
      </c>
    </row>
    <row r="294" spans="1:36" x14ac:dyDescent="0.25">
      <c r="A294" s="3" t="s">
        <v>493</v>
      </c>
      <c r="B294" s="2">
        <v>45774</v>
      </c>
      <c r="C294" t="s">
        <v>128</v>
      </c>
      <c r="D294" s="3" t="str">
        <f t="shared" si="19"/>
        <v>Q1</v>
      </c>
      <c r="E294" s="3" t="str">
        <f t="shared" si="20"/>
        <v>FY2026</v>
      </c>
      <c r="F294" s="8" t="s">
        <v>34</v>
      </c>
      <c r="G294" s="3" t="s">
        <v>35</v>
      </c>
      <c r="H294" t="s">
        <v>134</v>
      </c>
      <c r="I294" t="s">
        <v>154</v>
      </c>
      <c r="J294" s="3" t="s">
        <v>38</v>
      </c>
      <c r="K294" t="s">
        <v>39</v>
      </c>
      <c r="L294" s="3" t="s">
        <v>81</v>
      </c>
      <c r="M294" s="3" t="s">
        <v>62</v>
      </c>
      <c r="N294" t="s">
        <v>63</v>
      </c>
      <c r="O294" t="s">
        <v>54</v>
      </c>
      <c r="P294" t="s">
        <v>55</v>
      </c>
      <c r="Q294" s="3">
        <v>2982.98</v>
      </c>
      <c r="R294" s="3">
        <v>3146.42</v>
      </c>
      <c r="S294" s="3">
        <v>2144.5100000000002</v>
      </c>
      <c r="T294" s="3">
        <v>366.67</v>
      </c>
      <c r="U294" s="3">
        <v>117.53</v>
      </c>
      <c r="V294" s="3">
        <v>132.72</v>
      </c>
      <c r="W294" s="3">
        <v>56.52</v>
      </c>
      <c r="X294" s="3">
        <v>2817.95</v>
      </c>
      <c r="Y294" s="3">
        <v>838.48</v>
      </c>
      <c r="Z294" s="3">
        <f t="shared" si="21"/>
        <v>165.0300000000002</v>
      </c>
      <c r="AA294" s="37">
        <f t="shared" si="22"/>
        <v>5.5323870760112435E-2</v>
      </c>
      <c r="AB294" s="3">
        <v>-163.43</v>
      </c>
      <c r="AC294" s="3">
        <v>89.49</v>
      </c>
      <c r="AD294" s="3">
        <v>144.66999999999999</v>
      </c>
      <c r="AE294" s="3">
        <v>3038.17</v>
      </c>
      <c r="AF294" t="str">
        <f>IF(tbl_FinancialData[[#This Row],[City]]="","Unknown",PROPER(TRIM(tbl_FinancialData[[#This Row],[City]])))</f>
        <v>Udaipur</v>
      </c>
      <c r="AG294" t="str">
        <f>_xlfn.LET(_xlpm.city,LOWER(TRIM(tbl_FinancialData[[#This Row],[City]])),_xlpm.st,PROPER(TRIM(tbl_FinancialData[[#This Row],[State]])),IF(_xlpm.city="pune","Maharashtra",IF(_xlpm.city="jamshedpur","Jharkhand",IF(_xlpm.city="bhilai","Chhattisgarh",IF(_xlpm.city="mumbai","Maharashtra",_xlpm.st)))))</f>
        <v>Rajasthan</v>
      </c>
      <c r="AH294" t="str">
        <f>_xlfn.LET(_xlpm.d,PROPER(TRIM(tbl_FinancialData[[#This Row],[Department]])),IF(_xlpm.d="It","IT",_xlpm.d))</f>
        <v>Operations</v>
      </c>
      <c r="AI294" t="str">
        <f>_xlfn.LET(_xlpm.pid,tbl_FinancialData[[#This Row],[Product ID]],_xlpm.n,PROPER(TRIM(tbl_FinancialData[[#This Row],[Product Name]])),IF(_xlpm.pid="P020","Document Scanner",IF(_xlpm.pid="P015","Network Router",SUBSTITUTE(SUBSTITUTE(_xlpm.n,"Crm","CRM"),"Ups","UPS"))))</f>
        <v>Keyboard</v>
      </c>
      <c r="AJ294" s="3" t="str">
        <f>UPPER(TRIM(tbl_FinancialData[[#This Row],[Cost Center]]))</f>
        <v>CC-1005</v>
      </c>
    </row>
    <row r="295" spans="1:36" x14ac:dyDescent="0.25">
      <c r="A295" s="3" t="s">
        <v>494</v>
      </c>
      <c r="B295" s="2">
        <v>45829</v>
      </c>
      <c r="C295" t="s">
        <v>156</v>
      </c>
      <c r="D295" s="3" t="str">
        <f t="shared" si="19"/>
        <v>Q1</v>
      </c>
      <c r="E295" s="3" t="str">
        <f t="shared" si="20"/>
        <v>FY2026</v>
      </c>
      <c r="F295" s="8" t="s">
        <v>67</v>
      </c>
      <c r="G295" s="3" t="s">
        <v>35</v>
      </c>
      <c r="H295" t="s">
        <v>168</v>
      </c>
      <c r="I295" t="s">
        <v>278</v>
      </c>
      <c r="J295" s="3" t="s">
        <v>70</v>
      </c>
      <c r="K295" t="s">
        <v>50</v>
      </c>
      <c r="L295" s="3" t="s">
        <v>94</v>
      </c>
      <c r="M295" s="3" t="s">
        <v>197</v>
      </c>
      <c r="N295" t="s">
        <v>198</v>
      </c>
      <c r="O295" t="s">
        <v>43</v>
      </c>
      <c r="P295" t="s">
        <v>163</v>
      </c>
      <c r="Q295" s="3">
        <v>20716.61</v>
      </c>
      <c r="R295" s="3">
        <v>21176.560000000001</v>
      </c>
      <c r="S295" s="3">
        <v>12187.67</v>
      </c>
      <c r="T295" s="3">
        <v>2476.34</v>
      </c>
      <c r="U295" s="3">
        <v>1231.69</v>
      </c>
      <c r="V295" s="3">
        <v>1604.26</v>
      </c>
      <c r="W295" s="3">
        <v>504.96</v>
      </c>
      <c r="X295" s="3">
        <v>18004.919999999998</v>
      </c>
      <c r="Y295" s="3">
        <v>8528.9500000000007</v>
      </c>
      <c r="Z295" s="3">
        <f t="shared" si="21"/>
        <v>2711.6900000000023</v>
      </c>
      <c r="AA295" s="37">
        <f t="shared" si="22"/>
        <v>0.13089448514983881</v>
      </c>
      <c r="AB295" s="3">
        <v>-459.95</v>
      </c>
      <c r="AC295" s="3">
        <v>1657.33</v>
      </c>
      <c r="AD295" s="3">
        <v>3430.67</v>
      </c>
      <c r="AE295" s="3">
        <v>22489.95</v>
      </c>
      <c r="AF295" t="str">
        <f>IF(tbl_FinancialData[[#This Row],[City]]="","Unknown",PROPER(TRIM(tbl_FinancialData[[#This Row],[City]])))</f>
        <v>Siliguri</v>
      </c>
      <c r="AG295" t="str">
        <f>_xlfn.LET(_xlpm.city,LOWER(TRIM(tbl_FinancialData[[#This Row],[City]])),_xlpm.st,PROPER(TRIM(tbl_FinancialData[[#This Row],[State]])),IF(_xlpm.city="pune","Maharashtra",IF(_xlpm.city="jamshedpur","Jharkhand",IF(_xlpm.city="bhilai","Chhattisgarh",IF(_xlpm.city="mumbai","Maharashtra",_xlpm.st)))))</f>
        <v>West Bengal</v>
      </c>
      <c r="AH295" t="str">
        <f>_xlfn.LET(_xlpm.d,PROPER(TRIM(tbl_FinancialData[[#This Row],[Department]])),IF(_xlpm.d="It","IT",_xlpm.d))</f>
        <v>Sales</v>
      </c>
      <c r="AI295" t="str">
        <f>_xlfn.LET(_xlpm.pid,tbl_FinancialData[[#This Row],[Product ID]],_xlpm.n,PROPER(TRIM(tbl_FinancialData[[#This Row],[Product Name]])),IF(_xlpm.pid="P020","Document Scanner",IF(_xlpm.pid="P015","Network Router",SUBSTITUTE(SUBSTITUTE(_xlpm.n,"Crm","CRM"),"Ups","UPS"))))</f>
        <v>Smartphone</v>
      </c>
      <c r="AJ295" s="3" t="str">
        <f>UPPER(TRIM(tbl_FinancialData[[#This Row],[Cost Center]]))</f>
        <v>CC-1001</v>
      </c>
    </row>
    <row r="296" spans="1:36" x14ac:dyDescent="0.25">
      <c r="A296" s="3" t="s">
        <v>495</v>
      </c>
      <c r="B296" s="2">
        <v>46053</v>
      </c>
      <c r="C296" t="s">
        <v>77</v>
      </c>
      <c r="D296" s="3" t="str">
        <f t="shared" si="19"/>
        <v>Q4</v>
      </c>
      <c r="E296" s="3" t="str">
        <f t="shared" si="20"/>
        <v>FY2026</v>
      </c>
      <c r="F296" s="8" t="s">
        <v>34</v>
      </c>
      <c r="G296" s="3" t="s">
        <v>35</v>
      </c>
      <c r="H296" t="s">
        <v>98</v>
      </c>
      <c r="I296" t="s">
        <v>149</v>
      </c>
      <c r="J296" s="3" t="s">
        <v>80</v>
      </c>
      <c r="K296" t="s">
        <v>50</v>
      </c>
      <c r="L296" s="3" t="s">
        <v>40</v>
      </c>
      <c r="M296" s="3" t="s">
        <v>211</v>
      </c>
      <c r="N296" t="s">
        <v>212</v>
      </c>
      <c r="O296" t="s">
        <v>112</v>
      </c>
      <c r="P296" t="s">
        <v>113</v>
      </c>
      <c r="Q296" s="3">
        <v>18174.7</v>
      </c>
      <c r="R296" s="3">
        <v>19243.650000000001</v>
      </c>
      <c r="S296" s="3">
        <v>13067.18</v>
      </c>
      <c r="T296" s="3">
        <v>1541.6</v>
      </c>
      <c r="U296" s="3">
        <v>1542.03</v>
      </c>
      <c r="V296" s="3">
        <v>1228.6300000000001</v>
      </c>
      <c r="W296" s="3">
        <v>216.56</v>
      </c>
      <c r="X296" s="3">
        <v>17596.009999999998</v>
      </c>
      <c r="Y296" s="3">
        <v>5107.5200000000004</v>
      </c>
      <c r="Z296" s="3">
        <f t="shared" si="21"/>
        <v>578.69000000000233</v>
      </c>
      <c r="AA296" s="37">
        <f t="shared" si="22"/>
        <v>3.1840415522677253E-2</v>
      </c>
      <c r="AB296" s="3">
        <v>-1068.95</v>
      </c>
      <c r="AC296" s="3">
        <v>363.49</v>
      </c>
      <c r="AD296" s="3">
        <v>2137.35</v>
      </c>
      <c r="AE296" s="3">
        <v>19948.55</v>
      </c>
      <c r="AF296" t="str">
        <f>IF(tbl_FinancialData[[#This Row],[City]]="","Unknown",PROPER(TRIM(tbl_FinancialData[[#This Row],[City]])))</f>
        <v>Nagpur</v>
      </c>
      <c r="AG296" t="str">
        <f>_xlfn.LET(_xlpm.city,LOWER(TRIM(tbl_FinancialData[[#This Row],[City]])),_xlpm.st,PROPER(TRIM(tbl_FinancialData[[#This Row],[State]])),IF(_xlpm.city="pune","Maharashtra",IF(_xlpm.city="jamshedpur","Jharkhand",IF(_xlpm.city="bhilai","Chhattisgarh",IF(_xlpm.city="mumbai","Maharashtra",_xlpm.st)))))</f>
        <v>Maharashtra</v>
      </c>
      <c r="AH296" t="str">
        <f>_xlfn.LET(_xlpm.d,PROPER(TRIM(tbl_FinancialData[[#This Row],[Department]])),IF(_xlpm.d="It","IT",_xlpm.d))</f>
        <v>Sales</v>
      </c>
      <c r="AI296" t="str">
        <f>_xlfn.LET(_xlpm.pid,tbl_FinancialData[[#This Row],[Product ID]],_xlpm.n,PROPER(TRIM(tbl_FinancialData[[#This Row],[Product Name]])),IF(_xlpm.pid="P020","Document Scanner",IF(_xlpm.pid="P015","Network Router",SUBSTITUTE(SUBSTITUTE(_xlpm.n,"Crm","CRM"),"Ups","UPS"))))</f>
        <v>Office Chair</v>
      </c>
      <c r="AJ296" s="3" t="str">
        <f>UPPER(TRIM(tbl_FinancialData[[#This Row],[Cost Center]]))</f>
        <v>CC-1002</v>
      </c>
    </row>
    <row r="297" spans="1:36" x14ac:dyDescent="0.25">
      <c r="A297" s="3" t="s">
        <v>496</v>
      </c>
      <c r="B297" s="2">
        <v>45932</v>
      </c>
      <c r="C297" t="s">
        <v>92</v>
      </c>
      <c r="D297" s="3" t="str">
        <f t="shared" si="19"/>
        <v>Q3</v>
      </c>
      <c r="E297" s="3" t="str">
        <f t="shared" si="20"/>
        <v>FY2026</v>
      </c>
      <c r="F297" s="8" t="s">
        <v>59</v>
      </c>
      <c r="G297" s="3" t="s">
        <v>35</v>
      </c>
      <c r="H297" t="s">
        <v>139</v>
      </c>
      <c r="I297" t="s">
        <v>140</v>
      </c>
      <c r="J297" s="3" t="s">
        <v>38</v>
      </c>
      <c r="K297" t="s">
        <v>50</v>
      </c>
      <c r="L297" s="3" t="s">
        <v>40</v>
      </c>
      <c r="M297" s="3" t="s">
        <v>197</v>
      </c>
      <c r="N297" t="s">
        <v>198</v>
      </c>
      <c r="O297" t="s">
        <v>43</v>
      </c>
      <c r="P297" t="s">
        <v>163</v>
      </c>
      <c r="Q297" s="3">
        <v>66904.11</v>
      </c>
      <c r="R297" s="3">
        <v>73382.8</v>
      </c>
      <c r="S297" s="3">
        <v>35836.65</v>
      </c>
      <c r="T297" s="3">
        <v>7121.61</v>
      </c>
      <c r="U297" s="3">
        <v>3010.73</v>
      </c>
      <c r="V297" s="3">
        <v>3972.36</v>
      </c>
      <c r="W297" s="3">
        <v>839.99</v>
      </c>
      <c r="X297" s="3">
        <v>50781.34</v>
      </c>
      <c r="Y297" s="3">
        <v>31067.46</v>
      </c>
      <c r="Z297" s="3">
        <f t="shared" si="21"/>
        <v>16122.770000000004</v>
      </c>
      <c r="AA297" s="37">
        <f t="shared" si="22"/>
        <v>0.24098325200051243</v>
      </c>
      <c r="AB297" s="3">
        <v>-6478.68</v>
      </c>
      <c r="AC297" s="3">
        <v>3345.21</v>
      </c>
      <c r="AD297" s="3">
        <v>11440.6</v>
      </c>
      <c r="AE297" s="3">
        <v>74999.509999999995</v>
      </c>
      <c r="AF297" t="str">
        <f>IF(tbl_FinancialData[[#This Row],[City]]="","Unknown",PROPER(TRIM(tbl_FinancialData[[#This Row],[City]])))</f>
        <v>Faridabad</v>
      </c>
      <c r="AG297" t="str">
        <f>_xlfn.LET(_xlpm.city,LOWER(TRIM(tbl_FinancialData[[#This Row],[City]])),_xlpm.st,PROPER(TRIM(tbl_FinancialData[[#This Row],[State]])),IF(_xlpm.city="pune","Maharashtra",IF(_xlpm.city="jamshedpur","Jharkhand",IF(_xlpm.city="bhilai","Chhattisgarh",IF(_xlpm.city="mumbai","Maharashtra",_xlpm.st)))))</f>
        <v>Haryana</v>
      </c>
      <c r="AH297" t="str">
        <f>_xlfn.LET(_xlpm.d,PROPER(TRIM(tbl_FinancialData[[#This Row],[Department]])),IF(_xlpm.d="It","IT",_xlpm.d))</f>
        <v>Sales</v>
      </c>
      <c r="AI297" t="str">
        <f>_xlfn.LET(_xlpm.pid,tbl_FinancialData[[#This Row],[Product ID]],_xlpm.n,PROPER(TRIM(tbl_FinancialData[[#This Row],[Product Name]])),IF(_xlpm.pid="P020","Document Scanner",IF(_xlpm.pid="P015","Network Router",SUBSTITUTE(SUBSTITUTE(_xlpm.n,"Crm","CRM"),"Ups","UPS"))))</f>
        <v>Smartphone</v>
      </c>
      <c r="AJ297" s="3" t="str">
        <f>UPPER(TRIM(tbl_FinancialData[[#This Row],[Cost Center]]))</f>
        <v>CC-1002</v>
      </c>
    </row>
    <row r="298" spans="1:36" x14ac:dyDescent="0.25">
      <c r="A298" s="3" t="s">
        <v>497</v>
      </c>
      <c r="B298" s="2">
        <v>45853</v>
      </c>
      <c r="C298" t="s">
        <v>32</v>
      </c>
      <c r="D298" s="3" t="str">
        <f t="shared" si="19"/>
        <v>Q2</v>
      </c>
      <c r="E298" s="3" t="str">
        <f t="shared" si="20"/>
        <v>FY2026</v>
      </c>
      <c r="F298" s="8" t="s">
        <v>59</v>
      </c>
      <c r="G298" s="3" t="s">
        <v>35</v>
      </c>
      <c r="H298" t="s">
        <v>60</v>
      </c>
      <c r="I298" t="s">
        <v>185</v>
      </c>
      <c r="J298" s="3" t="s">
        <v>100</v>
      </c>
      <c r="K298" t="s">
        <v>50</v>
      </c>
      <c r="L298" s="3" t="s">
        <v>40</v>
      </c>
      <c r="M298" s="3" t="s">
        <v>52</v>
      </c>
      <c r="N298" t="s">
        <v>53</v>
      </c>
      <c r="O298" t="s">
        <v>54</v>
      </c>
      <c r="P298" t="s">
        <v>55</v>
      </c>
      <c r="Q298" s="3">
        <v>3758.12</v>
      </c>
      <c r="R298" s="3">
        <v>3398.66</v>
      </c>
      <c r="S298" s="3">
        <v>2211.7600000000002</v>
      </c>
      <c r="T298" s="3">
        <v>410.11</v>
      </c>
      <c r="U298" s="3">
        <v>261.64999999999998</v>
      </c>
      <c r="V298" s="3">
        <v>395.38</v>
      </c>
      <c r="W298" s="3">
        <v>153</v>
      </c>
      <c r="X298" s="3">
        <v>3431.9</v>
      </c>
      <c r="Y298" s="3">
        <v>1546.36</v>
      </c>
      <c r="Z298" s="3">
        <f t="shared" si="21"/>
        <v>326.2199999999998</v>
      </c>
      <c r="AA298" s="37">
        <f t="shared" si="22"/>
        <v>8.6804040318031309E-2</v>
      </c>
      <c r="AB298" s="3">
        <v>359.47</v>
      </c>
      <c r="AC298" s="3">
        <v>187.91</v>
      </c>
      <c r="AD298" s="3">
        <v>642.64</v>
      </c>
      <c r="AE298" s="3">
        <v>4212.8599999999997</v>
      </c>
      <c r="AF298" t="str">
        <f>IF(tbl_FinancialData[[#This Row],[City]]="","Unknown",PROPER(TRIM(tbl_FinancialData[[#This Row],[City]])))</f>
        <v>Kanpur</v>
      </c>
      <c r="AG298" t="str">
        <f>_xlfn.LET(_xlpm.city,LOWER(TRIM(tbl_FinancialData[[#This Row],[City]])),_xlpm.st,PROPER(TRIM(tbl_FinancialData[[#This Row],[State]])),IF(_xlpm.city="pune","Maharashtra",IF(_xlpm.city="jamshedpur","Jharkhand",IF(_xlpm.city="bhilai","Chhattisgarh",IF(_xlpm.city="mumbai","Maharashtra",_xlpm.st)))))</f>
        <v>Uttar Pradesh</v>
      </c>
      <c r="AH298" t="str">
        <f>_xlfn.LET(_xlpm.d,PROPER(TRIM(tbl_FinancialData[[#This Row],[Department]])),IF(_xlpm.d="It","IT",_xlpm.d))</f>
        <v>Sales</v>
      </c>
      <c r="AI298" t="str">
        <f>_xlfn.LET(_xlpm.pid,tbl_FinancialData[[#This Row],[Product ID]],_xlpm.n,PROPER(TRIM(tbl_FinancialData[[#This Row],[Product Name]])),IF(_xlpm.pid="P020","Document Scanner",IF(_xlpm.pid="P015","Network Router",SUBSTITUTE(SUBSTITUTE(_xlpm.n,"Crm","CRM"),"Ups","UPS"))))</f>
        <v>Mouse</v>
      </c>
      <c r="AJ298" s="3" t="str">
        <f>UPPER(TRIM(tbl_FinancialData[[#This Row],[Cost Center]]))</f>
        <v>CC-1002</v>
      </c>
    </row>
    <row r="299" spans="1:36" x14ac:dyDescent="0.25">
      <c r="A299" s="3" t="s">
        <v>498</v>
      </c>
      <c r="B299" s="2">
        <v>46033</v>
      </c>
      <c r="C299" t="s">
        <v>77</v>
      </c>
      <c r="D299" s="3" t="str">
        <f t="shared" si="19"/>
        <v>Q4</v>
      </c>
      <c r="E299" s="3" t="str">
        <f t="shared" si="20"/>
        <v>FY2026</v>
      </c>
      <c r="F299" s="8" t="s">
        <v>34</v>
      </c>
      <c r="G299" s="3" t="s">
        <v>35</v>
      </c>
      <c r="H299" t="s">
        <v>157</v>
      </c>
      <c r="I299" t="s">
        <v>166</v>
      </c>
      <c r="J299" s="3" t="s">
        <v>70</v>
      </c>
      <c r="K299" t="s">
        <v>101</v>
      </c>
      <c r="L299" s="3" t="s">
        <v>40</v>
      </c>
      <c r="M299" s="3" t="s">
        <v>161</v>
      </c>
      <c r="N299" t="s">
        <v>162</v>
      </c>
      <c r="O299" t="s">
        <v>43</v>
      </c>
      <c r="P299" t="s">
        <v>163</v>
      </c>
      <c r="Q299" s="3">
        <v>48073.53</v>
      </c>
      <c r="R299" s="3">
        <v>50069.47</v>
      </c>
      <c r="S299" s="3">
        <v>34522.21</v>
      </c>
      <c r="T299" s="3">
        <v>5701.64</v>
      </c>
      <c r="U299" s="3">
        <v>1506.09</v>
      </c>
      <c r="V299" s="3">
        <v>4639.5600000000004</v>
      </c>
      <c r="W299" s="3">
        <v>1062.2</v>
      </c>
      <c r="X299" s="3">
        <v>47431.7</v>
      </c>
      <c r="Y299" s="3">
        <v>13551.32</v>
      </c>
      <c r="Z299" s="3">
        <f t="shared" si="21"/>
        <v>641.83000000000175</v>
      </c>
      <c r="AA299" s="37">
        <f t="shared" si="22"/>
        <v>1.3351006260617885E-2</v>
      </c>
      <c r="AB299" s="3">
        <v>-1995.94</v>
      </c>
      <c r="AC299" s="3">
        <v>0</v>
      </c>
      <c r="AD299" s="3">
        <v>5768.82</v>
      </c>
      <c r="AE299" s="3">
        <v>53842.35</v>
      </c>
      <c r="AF299" t="str">
        <f>IF(tbl_FinancialData[[#This Row],[City]]="","Unknown",PROPER(TRIM(tbl_FinancialData[[#This Row],[City]])))</f>
        <v>Vadodara</v>
      </c>
      <c r="AG299" t="str">
        <f>_xlfn.LET(_xlpm.city,LOWER(TRIM(tbl_FinancialData[[#This Row],[City]])),_xlpm.st,PROPER(TRIM(tbl_FinancialData[[#This Row],[State]])),IF(_xlpm.city="pune","Maharashtra",IF(_xlpm.city="jamshedpur","Jharkhand",IF(_xlpm.city="bhilai","Chhattisgarh",IF(_xlpm.city="mumbai","Maharashtra",_xlpm.st)))))</f>
        <v>Gujarat</v>
      </c>
      <c r="AH299" t="str">
        <f>_xlfn.LET(_xlpm.d,PROPER(TRIM(tbl_FinancialData[[#This Row],[Department]])),IF(_xlpm.d="It","IT",_xlpm.d))</f>
        <v>Finance</v>
      </c>
      <c r="AI299" t="str">
        <f>_xlfn.LET(_xlpm.pid,tbl_FinancialData[[#This Row],[Product ID]],_xlpm.n,PROPER(TRIM(tbl_FinancialData[[#This Row],[Product Name]])),IF(_xlpm.pid="P020","Document Scanner",IF(_xlpm.pid="P015","Network Router",SUBSTITUTE(SUBSTITUTE(_xlpm.n,"Crm","CRM"),"Ups","UPS"))))</f>
        <v>Tablet</v>
      </c>
      <c r="AJ299" s="3" t="str">
        <f>UPPER(TRIM(tbl_FinancialData[[#This Row],[Cost Center]]))</f>
        <v>CC-1002</v>
      </c>
    </row>
    <row r="300" spans="1:36" x14ac:dyDescent="0.25">
      <c r="A300" s="3" t="s">
        <v>499</v>
      </c>
      <c r="B300" s="2">
        <v>45931</v>
      </c>
      <c r="C300" t="s">
        <v>92</v>
      </c>
      <c r="D300" s="3" t="str">
        <f t="shared" si="19"/>
        <v>Q3</v>
      </c>
      <c r="E300" s="3" t="str">
        <f t="shared" si="20"/>
        <v>FY2026</v>
      </c>
      <c r="F300" s="8" t="s">
        <v>34</v>
      </c>
      <c r="G300" s="3" t="s">
        <v>35</v>
      </c>
      <c r="H300" t="s">
        <v>134</v>
      </c>
      <c r="I300" t="s">
        <v>154</v>
      </c>
      <c r="J300" s="3" t="s">
        <v>100</v>
      </c>
      <c r="K300" t="s">
        <v>160</v>
      </c>
      <c r="L300" s="3" t="s">
        <v>94</v>
      </c>
      <c r="M300" s="3" t="s">
        <v>130</v>
      </c>
      <c r="N300" t="s">
        <v>131</v>
      </c>
      <c r="O300" t="s">
        <v>43</v>
      </c>
      <c r="P300" t="s">
        <v>132</v>
      </c>
      <c r="Q300" s="3">
        <v>22918.78</v>
      </c>
      <c r="R300" s="3">
        <v>21455.13</v>
      </c>
      <c r="S300" s="3">
        <v>14056.82</v>
      </c>
      <c r="T300" s="3">
        <v>1680.15</v>
      </c>
      <c r="U300" s="3">
        <v>1194.77</v>
      </c>
      <c r="V300" s="3">
        <v>1607.74</v>
      </c>
      <c r="W300" s="3">
        <v>931.8</v>
      </c>
      <c r="X300" s="3">
        <v>19471.28</v>
      </c>
      <c r="Y300" s="3">
        <v>8861.9599999999991</v>
      </c>
      <c r="Z300" s="3">
        <f t="shared" si="21"/>
        <v>3447.5</v>
      </c>
      <c r="AA300" s="37">
        <f t="shared" si="22"/>
        <v>0.15042249194765167</v>
      </c>
      <c r="AB300" s="3">
        <v>1463.66</v>
      </c>
      <c r="AC300" s="3">
        <v>1833.5</v>
      </c>
      <c r="AD300" s="3">
        <v>2530.23</v>
      </c>
      <c r="AE300" s="3">
        <v>23615.51</v>
      </c>
      <c r="AF300" t="str">
        <f>IF(tbl_FinancialData[[#This Row],[City]]="","Unknown",PROPER(TRIM(tbl_FinancialData[[#This Row],[City]])))</f>
        <v>Udaipur</v>
      </c>
      <c r="AG300" t="str">
        <f>_xlfn.LET(_xlpm.city,LOWER(TRIM(tbl_FinancialData[[#This Row],[City]])),_xlpm.st,PROPER(TRIM(tbl_FinancialData[[#This Row],[State]])),IF(_xlpm.city="pune","Maharashtra",IF(_xlpm.city="jamshedpur","Jharkhand",IF(_xlpm.city="bhilai","Chhattisgarh",IF(_xlpm.city="mumbai","Maharashtra",_xlpm.st)))))</f>
        <v>Rajasthan</v>
      </c>
      <c r="AH300" t="str">
        <f>_xlfn.LET(_xlpm.d,PROPER(TRIM(tbl_FinancialData[[#This Row],[Department]])),IF(_xlpm.d="It","IT",_xlpm.d))</f>
        <v>IT</v>
      </c>
      <c r="AI300" t="str">
        <f>_xlfn.LET(_xlpm.pid,tbl_FinancialData[[#This Row],[Product ID]],_xlpm.n,PROPER(TRIM(tbl_FinancialData[[#This Row],[Product Name]])),IF(_xlpm.pid="P020","Document Scanner",IF(_xlpm.pid="P015","Network Router",SUBSTITUTE(SUBSTITUTE(_xlpm.n,"Crm","CRM"),"Ups","UPS"))))</f>
        <v>UPS System</v>
      </c>
      <c r="AJ300" s="3" t="str">
        <f>UPPER(TRIM(tbl_FinancialData[[#This Row],[Cost Center]]))</f>
        <v>CC-1001</v>
      </c>
    </row>
    <row r="301" spans="1:36" x14ac:dyDescent="0.25">
      <c r="A301" s="3" t="s">
        <v>500</v>
      </c>
      <c r="B301" s="2">
        <v>45789</v>
      </c>
      <c r="C301" t="s">
        <v>65</v>
      </c>
      <c r="D301" s="3" t="str">
        <f t="shared" si="19"/>
        <v>Q1</v>
      </c>
      <c r="E301" s="3" t="str">
        <f t="shared" si="20"/>
        <v>FY2026</v>
      </c>
      <c r="F301" s="8" t="s">
        <v>59</v>
      </c>
      <c r="G301" s="3" t="s">
        <v>35</v>
      </c>
      <c r="H301" t="s">
        <v>139</v>
      </c>
      <c r="I301" t="s">
        <v>140</v>
      </c>
      <c r="J301" s="3" t="s">
        <v>38</v>
      </c>
      <c r="K301" t="s">
        <v>71</v>
      </c>
      <c r="L301" s="3" t="s">
        <v>40</v>
      </c>
      <c r="M301" s="3" t="s">
        <v>130</v>
      </c>
      <c r="N301" t="s">
        <v>131</v>
      </c>
      <c r="O301" t="s">
        <v>43</v>
      </c>
      <c r="P301" t="s">
        <v>132</v>
      </c>
      <c r="Q301" s="3">
        <v>37850.300000000003</v>
      </c>
      <c r="R301" s="3">
        <v>42895.54</v>
      </c>
      <c r="S301" s="3">
        <v>26487.41</v>
      </c>
      <c r="T301" s="3">
        <v>4066.43</v>
      </c>
      <c r="U301" s="3">
        <v>1644.01</v>
      </c>
      <c r="V301" s="3">
        <v>2502</v>
      </c>
      <c r="W301" s="3">
        <v>406</v>
      </c>
      <c r="X301" s="3">
        <v>35105.86</v>
      </c>
      <c r="Y301" s="3">
        <v>11362.89</v>
      </c>
      <c r="Z301" s="3">
        <f t="shared" si="21"/>
        <v>2744.4400000000023</v>
      </c>
      <c r="AA301" s="37">
        <f t="shared" si="22"/>
        <v>7.2507747626835248E-2</v>
      </c>
      <c r="AB301" s="3">
        <v>-5045.24</v>
      </c>
      <c r="AC301" s="3">
        <v>1892.52</v>
      </c>
      <c r="AD301" s="3">
        <v>1797.89</v>
      </c>
      <c r="AE301" s="3">
        <v>37755.68</v>
      </c>
      <c r="AF301" t="str">
        <f>IF(tbl_FinancialData[[#This Row],[City]]="","Unknown",PROPER(TRIM(tbl_FinancialData[[#This Row],[City]])))</f>
        <v>Faridabad</v>
      </c>
      <c r="AG301" t="str">
        <f>_xlfn.LET(_xlpm.city,LOWER(TRIM(tbl_FinancialData[[#This Row],[City]])),_xlpm.st,PROPER(TRIM(tbl_FinancialData[[#This Row],[State]])),IF(_xlpm.city="pune","Maharashtra",IF(_xlpm.city="jamshedpur","Jharkhand",IF(_xlpm.city="bhilai","Chhattisgarh",IF(_xlpm.city="mumbai","Maharashtra",_xlpm.st)))))</f>
        <v>Haryana</v>
      </c>
      <c r="AH301" t="str">
        <f>_xlfn.LET(_xlpm.d,PROPER(TRIM(tbl_FinancialData[[#This Row],[Department]])),IF(_xlpm.d="It","IT",_xlpm.d))</f>
        <v>Marketing</v>
      </c>
      <c r="AI301" t="str">
        <f>_xlfn.LET(_xlpm.pid,tbl_FinancialData[[#This Row],[Product ID]],_xlpm.n,PROPER(TRIM(tbl_FinancialData[[#This Row],[Product Name]])),IF(_xlpm.pid="P020","Document Scanner",IF(_xlpm.pid="P015","Network Router",SUBSTITUTE(SUBSTITUTE(_xlpm.n,"Crm","CRM"),"Ups","UPS"))))</f>
        <v>UPS System</v>
      </c>
      <c r="AJ301" s="3" t="str">
        <f>UPPER(TRIM(tbl_FinancialData[[#This Row],[Cost Center]]))</f>
        <v>CC-1002</v>
      </c>
    </row>
    <row r="302" spans="1:36" x14ac:dyDescent="0.25">
      <c r="A302" s="3" t="s">
        <v>501</v>
      </c>
      <c r="B302" s="2">
        <v>46088</v>
      </c>
      <c r="C302" t="s">
        <v>125</v>
      </c>
      <c r="D302" s="3" t="str">
        <f t="shared" si="19"/>
        <v>Q4</v>
      </c>
      <c r="E302" s="3" t="str">
        <f t="shared" si="20"/>
        <v>FY2026</v>
      </c>
      <c r="F302" s="8" t="s">
        <v>67</v>
      </c>
      <c r="G302" s="3" t="s">
        <v>35</v>
      </c>
      <c r="H302" t="s">
        <v>168</v>
      </c>
      <c r="I302" t="s">
        <v>169</v>
      </c>
      <c r="J302" s="3" t="s">
        <v>70</v>
      </c>
      <c r="K302" t="s">
        <v>101</v>
      </c>
      <c r="L302" s="3" t="s">
        <v>81</v>
      </c>
      <c r="M302" s="3" t="s">
        <v>171</v>
      </c>
      <c r="N302" t="s">
        <v>172</v>
      </c>
      <c r="O302" t="s">
        <v>173</v>
      </c>
      <c r="P302" t="s">
        <v>174</v>
      </c>
      <c r="Q302" s="3">
        <v>14803.36</v>
      </c>
      <c r="R302" s="3">
        <v>13085.71</v>
      </c>
      <c r="S302" s="3">
        <v>8923.8700000000008</v>
      </c>
      <c r="T302" s="3">
        <v>1651.39</v>
      </c>
      <c r="U302" s="3">
        <v>1269.56</v>
      </c>
      <c r="V302" s="3">
        <v>1668.87</v>
      </c>
      <c r="W302" s="3">
        <v>572.70000000000005</v>
      </c>
      <c r="X302" s="3">
        <v>14086.39</v>
      </c>
      <c r="Y302" s="3">
        <v>5879.49</v>
      </c>
      <c r="Z302" s="3">
        <f t="shared" si="21"/>
        <v>716.97000000000116</v>
      </c>
      <c r="AA302" s="37">
        <f t="shared" si="22"/>
        <v>4.8432923336323722E-2</v>
      </c>
      <c r="AB302" s="3">
        <v>1717.65</v>
      </c>
      <c r="AC302" s="3">
        <v>1184.27</v>
      </c>
      <c r="AD302" s="3">
        <v>680.95</v>
      </c>
      <c r="AE302" s="3">
        <v>14300.04</v>
      </c>
      <c r="AF302" t="str">
        <f>IF(tbl_FinancialData[[#This Row],[City]]="","Unknown",PROPER(TRIM(tbl_FinancialData[[#This Row],[City]])))</f>
        <v>Kolkata</v>
      </c>
      <c r="AG302" t="str">
        <f>_xlfn.LET(_xlpm.city,LOWER(TRIM(tbl_FinancialData[[#This Row],[City]])),_xlpm.st,PROPER(TRIM(tbl_FinancialData[[#This Row],[State]])),IF(_xlpm.city="pune","Maharashtra",IF(_xlpm.city="jamshedpur","Jharkhand",IF(_xlpm.city="bhilai","Chhattisgarh",IF(_xlpm.city="mumbai","Maharashtra",_xlpm.st)))))</f>
        <v>West Bengal</v>
      </c>
      <c r="AH302" t="str">
        <f>_xlfn.LET(_xlpm.d,PROPER(TRIM(tbl_FinancialData[[#This Row],[Department]])),IF(_xlpm.d="It","IT",_xlpm.d))</f>
        <v>Finance</v>
      </c>
      <c r="AI302" t="str">
        <f>_xlfn.LET(_xlpm.pid,tbl_FinancialData[[#This Row],[Product ID]],_xlpm.n,PROPER(TRIM(tbl_FinancialData[[#This Row],[Product Name]])),IF(_xlpm.pid="P020","Document Scanner",IF(_xlpm.pid="P015","Network Router",SUBSTITUTE(SUBSTITUTE(_xlpm.n,"Crm","CRM"),"Ups","UPS"))))</f>
        <v>Network Switch</v>
      </c>
      <c r="AJ302" s="3" t="str">
        <f>UPPER(TRIM(tbl_FinancialData[[#This Row],[Cost Center]]))</f>
        <v>CC-1005</v>
      </c>
    </row>
    <row r="303" spans="1:36" x14ac:dyDescent="0.25">
      <c r="A303" s="3" t="s">
        <v>502</v>
      </c>
      <c r="B303" s="2">
        <v>46074</v>
      </c>
      <c r="C303" t="s">
        <v>57</v>
      </c>
      <c r="D303" s="3" t="str">
        <f t="shared" si="19"/>
        <v>Q4</v>
      </c>
      <c r="E303" s="3" t="str">
        <f t="shared" si="20"/>
        <v>FY2026</v>
      </c>
      <c r="F303" s="8" t="s">
        <v>67</v>
      </c>
      <c r="G303" s="3" t="s">
        <v>35</v>
      </c>
      <c r="H303" t="s">
        <v>68</v>
      </c>
      <c r="I303" t="s">
        <v>204</v>
      </c>
      <c r="J303" s="3" t="s">
        <v>80</v>
      </c>
      <c r="K303" t="s">
        <v>101</v>
      </c>
      <c r="L303" s="3" t="s">
        <v>51</v>
      </c>
      <c r="M303" s="3" t="s">
        <v>73</v>
      </c>
      <c r="N303" t="s">
        <v>74</v>
      </c>
      <c r="O303" t="s">
        <v>43</v>
      </c>
      <c r="P303" t="s">
        <v>75</v>
      </c>
      <c r="Q303" s="3">
        <v>24224.38</v>
      </c>
      <c r="R303" s="3">
        <v>24975.42</v>
      </c>
      <c r="S303" s="3">
        <v>16258.09</v>
      </c>
      <c r="T303" s="3">
        <v>2644.27</v>
      </c>
      <c r="U303" s="3">
        <v>1622.06</v>
      </c>
      <c r="V303" s="3">
        <v>1270.8599999999999</v>
      </c>
      <c r="W303" s="3">
        <v>706.06</v>
      </c>
      <c r="X303" s="3">
        <v>22501.33</v>
      </c>
      <c r="Y303" s="3">
        <v>7966.29</v>
      </c>
      <c r="Z303" s="3">
        <f t="shared" si="21"/>
        <v>1723.0499999999993</v>
      </c>
      <c r="AA303" s="37">
        <f t="shared" si="22"/>
        <v>7.1128755410871158E-2</v>
      </c>
      <c r="AB303" s="3">
        <v>-751.04</v>
      </c>
      <c r="AC303" s="3">
        <v>0</v>
      </c>
      <c r="AD303" s="3">
        <v>2906.93</v>
      </c>
      <c r="AE303" s="3">
        <v>27131.3</v>
      </c>
      <c r="AF303" t="str">
        <f>IF(tbl_FinancialData[[#This Row],[City]]="","Unknown",PROPER(TRIM(tbl_FinancialData[[#This Row],[City]])))</f>
        <v>Cuttack</v>
      </c>
      <c r="AG303" t="str">
        <f>_xlfn.LET(_xlpm.city,LOWER(TRIM(tbl_FinancialData[[#This Row],[City]])),_xlpm.st,PROPER(TRIM(tbl_FinancialData[[#This Row],[State]])),IF(_xlpm.city="pune","Maharashtra",IF(_xlpm.city="jamshedpur","Jharkhand",IF(_xlpm.city="bhilai","Chhattisgarh",IF(_xlpm.city="mumbai","Maharashtra",_xlpm.st)))))</f>
        <v>Odisha</v>
      </c>
      <c r="AH303" t="str">
        <f>_xlfn.LET(_xlpm.d,PROPER(TRIM(tbl_FinancialData[[#This Row],[Department]])),IF(_xlpm.d="It","IT",_xlpm.d))</f>
        <v>Finance</v>
      </c>
      <c r="AI303" t="str">
        <f>_xlfn.LET(_xlpm.pid,tbl_FinancialData[[#This Row],[Product ID]],_xlpm.n,PROPER(TRIM(tbl_FinancialData[[#This Row],[Product Name]])),IF(_xlpm.pid="P020","Document Scanner",IF(_xlpm.pid="P015","Network Router",SUBSTITUTE(SUBSTITUTE(_xlpm.n,"Crm","CRM"),"Ups","UPS"))))</f>
        <v>Monitor</v>
      </c>
      <c r="AJ303" s="3" t="str">
        <f>UPPER(TRIM(tbl_FinancialData[[#This Row],[Cost Center]]))</f>
        <v>CC-1003</v>
      </c>
    </row>
    <row r="304" spans="1:36" x14ac:dyDescent="0.25">
      <c r="A304" s="3" t="s">
        <v>503</v>
      </c>
      <c r="B304" s="2">
        <v>45792</v>
      </c>
      <c r="C304" t="s">
        <v>65</v>
      </c>
      <c r="D304" s="3" t="str">
        <f t="shared" si="19"/>
        <v>Q1</v>
      </c>
      <c r="E304" s="3" t="str">
        <f t="shared" si="20"/>
        <v>FY2026</v>
      </c>
      <c r="F304" s="8" t="s">
        <v>59</v>
      </c>
      <c r="G304" s="3" t="s">
        <v>35</v>
      </c>
      <c r="H304" t="s">
        <v>139</v>
      </c>
      <c r="I304" t="s">
        <v>140</v>
      </c>
      <c r="J304" s="3" t="s">
        <v>80</v>
      </c>
      <c r="K304" t="s">
        <v>160</v>
      </c>
      <c r="L304" s="3" t="s">
        <v>72</v>
      </c>
      <c r="M304" s="3" t="s">
        <v>82</v>
      </c>
      <c r="N304" t="s">
        <v>83</v>
      </c>
      <c r="O304" t="s">
        <v>43</v>
      </c>
      <c r="P304" t="s">
        <v>75</v>
      </c>
      <c r="Q304" s="3">
        <v>17171.18</v>
      </c>
      <c r="R304" s="3">
        <v>17131.09</v>
      </c>
      <c r="S304" s="3">
        <v>12148.05</v>
      </c>
      <c r="T304" s="3">
        <v>1052.52</v>
      </c>
      <c r="U304" s="3">
        <v>1281.46</v>
      </c>
      <c r="V304" s="3">
        <v>836.14</v>
      </c>
      <c r="W304" s="3">
        <v>761.44</v>
      </c>
      <c r="X304" s="3">
        <v>16079.61</v>
      </c>
      <c r="Y304" s="3">
        <v>5023.13</v>
      </c>
      <c r="Z304" s="3">
        <f t="shared" si="21"/>
        <v>1091.5699999999997</v>
      </c>
      <c r="AA304" s="37">
        <f t="shared" si="22"/>
        <v>6.3569888615692086E-2</v>
      </c>
      <c r="AB304" s="3">
        <v>40.090000000000003</v>
      </c>
      <c r="AC304" s="3">
        <v>515.14</v>
      </c>
      <c r="AD304" s="3">
        <v>2998.09</v>
      </c>
      <c r="AE304" s="3">
        <v>19654.13</v>
      </c>
      <c r="AF304" t="str">
        <f>IF(tbl_FinancialData[[#This Row],[City]]="","Unknown",PROPER(TRIM(tbl_FinancialData[[#This Row],[City]])))</f>
        <v>Faridabad</v>
      </c>
      <c r="AG304" t="str">
        <f>_xlfn.LET(_xlpm.city,LOWER(TRIM(tbl_FinancialData[[#This Row],[City]])),_xlpm.st,PROPER(TRIM(tbl_FinancialData[[#This Row],[State]])),IF(_xlpm.city="pune","Maharashtra",IF(_xlpm.city="jamshedpur","Jharkhand",IF(_xlpm.city="bhilai","Chhattisgarh",IF(_xlpm.city="mumbai","Maharashtra",_xlpm.st)))))</f>
        <v>Haryana</v>
      </c>
      <c r="AH304" t="str">
        <f>_xlfn.LET(_xlpm.d,PROPER(TRIM(tbl_FinancialData[[#This Row],[Department]])),IF(_xlpm.d="It","IT",_xlpm.d))</f>
        <v>IT</v>
      </c>
      <c r="AI304" t="str">
        <f>_xlfn.LET(_xlpm.pid,tbl_FinancialData[[#This Row],[Product ID]],_xlpm.n,PROPER(TRIM(tbl_FinancialData[[#This Row],[Product Name]])),IF(_xlpm.pid="P020","Document Scanner",IF(_xlpm.pid="P015","Network Router",SUBSTITUTE(SUBSTITUTE(_xlpm.n,"Crm","CRM"),"Ups","UPS"))))</f>
        <v>Business Laptop</v>
      </c>
      <c r="AJ304" s="3" t="str">
        <f>UPPER(TRIM(tbl_FinancialData[[#This Row],[Cost Center]]))</f>
        <v>CC-1004</v>
      </c>
    </row>
    <row r="305" spans="1:36" x14ac:dyDescent="0.25">
      <c r="A305" s="3" t="s">
        <v>504</v>
      </c>
      <c r="B305" s="2">
        <v>45901</v>
      </c>
      <c r="C305" t="s">
        <v>46</v>
      </c>
      <c r="D305" s="3" t="str">
        <f t="shared" si="19"/>
        <v>Q2</v>
      </c>
      <c r="E305" s="3" t="str">
        <f t="shared" si="20"/>
        <v>FY2026</v>
      </c>
      <c r="F305" s="8" t="s">
        <v>34</v>
      </c>
      <c r="G305" s="3" t="s">
        <v>35</v>
      </c>
      <c r="H305" t="s">
        <v>36</v>
      </c>
      <c r="I305" t="s">
        <v>37</v>
      </c>
      <c r="J305" s="3" t="s">
        <v>80</v>
      </c>
      <c r="K305" t="s">
        <v>50</v>
      </c>
      <c r="L305" s="3" t="s">
        <v>94</v>
      </c>
      <c r="M305" s="3" t="s">
        <v>62</v>
      </c>
      <c r="N305" t="s">
        <v>63</v>
      </c>
      <c r="O305" t="s">
        <v>54</v>
      </c>
      <c r="P305" t="s">
        <v>55</v>
      </c>
      <c r="Q305" s="3">
        <v>10718.53</v>
      </c>
      <c r="R305" s="3">
        <v>11443.42</v>
      </c>
      <c r="S305" s="3">
        <v>7224.12</v>
      </c>
      <c r="T305" s="3">
        <v>595.12</v>
      </c>
      <c r="U305" s="3">
        <v>501.21</v>
      </c>
      <c r="V305" s="3">
        <v>697.74</v>
      </c>
      <c r="W305" s="3">
        <v>345.65</v>
      </c>
      <c r="X305" s="3">
        <v>9363.84</v>
      </c>
      <c r="Y305" s="3">
        <v>3494.41</v>
      </c>
      <c r="Z305" s="3">
        <f t="shared" si="21"/>
        <v>1354.6900000000005</v>
      </c>
      <c r="AA305" s="37">
        <f t="shared" si="22"/>
        <v>0.12638766696552609</v>
      </c>
      <c r="AB305" s="3">
        <v>-724.89</v>
      </c>
      <c r="AC305" s="3">
        <v>321.56</v>
      </c>
      <c r="AD305" s="3">
        <v>519.85</v>
      </c>
      <c r="AE305" s="3">
        <v>10916.82</v>
      </c>
      <c r="AF305" t="str">
        <f>IF(tbl_FinancialData[[#This Row],[City]]="","Unknown",PROPER(TRIM(tbl_FinancialData[[#This Row],[City]])))</f>
        <v>Vasco Da Gama</v>
      </c>
      <c r="AG305" t="str">
        <f>_xlfn.LET(_xlpm.city,LOWER(TRIM(tbl_FinancialData[[#This Row],[City]])),_xlpm.st,PROPER(TRIM(tbl_FinancialData[[#This Row],[State]])),IF(_xlpm.city="pune","Maharashtra",IF(_xlpm.city="jamshedpur","Jharkhand",IF(_xlpm.city="bhilai","Chhattisgarh",IF(_xlpm.city="mumbai","Maharashtra",_xlpm.st)))))</f>
        <v>Goa</v>
      </c>
      <c r="AH305" t="str">
        <f>_xlfn.LET(_xlpm.d,PROPER(TRIM(tbl_FinancialData[[#This Row],[Department]])),IF(_xlpm.d="It","IT",_xlpm.d))</f>
        <v>Sales</v>
      </c>
      <c r="AI305" t="str">
        <f>_xlfn.LET(_xlpm.pid,tbl_FinancialData[[#This Row],[Product ID]],_xlpm.n,PROPER(TRIM(tbl_FinancialData[[#This Row],[Product Name]])),IF(_xlpm.pid="P020","Document Scanner",IF(_xlpm.pid="P015","Network Router",SUBSTITUTE(SUBSTITUTE(_xlpm.n,"Crm","CRM"),"Ups","UPS"))))</f>
        <v>Keyboard</v>
      </c>
      <c r="AJ305" s="3" t="str">
        <f>UPPER(TRIM(tbl_FinancialData[[#This Row],[Cost Center]]))</f>
        <v>CC-1001</v>
      </c>
    </row>
    <row r="306" spans="1:36" x14ac:dyDescent="0.25">
      <c r="A306" s="3" t="s">
        <v>505</v>
      </c>
      <c r="B306" s="2">
        <v>45973</v>
      </c>
      <c r="C306" t="s">
        <v>147</v>
      </c>
      <c r="D306" s="3" t="str">
        <f t="shared" si="19"/>
        <v>Q3</v>
      </c>
      <c r="E306" s="3" t="str">
        <f t="shared" si="20"/>
        <v>FY2026</v>
      </c>
      <c r="F306" s="8" t="s">
        <v>34</v>
      </c>
      <c r="G306" s="3" t="s">
        <v>35</v>
      </c>
      <c r="H306" t="s">
        <v>98</v>
      </c>
      <c r="I306" t="s">
        <v>304</v>
      </c>
      <c r="J306" s="3" t="s">
        <v>38</v>
      </c>
      <c r="K306" t="s">
        <v>50</v>
      </c>
      <c r="L306" s="3" t="s">
        <v>40</v>
      </c>
      <c r="M306" s="3" t="s">
        <v>41</v>
      </c>
      <c r="N306" t="s">
        <v>42</v>
      </c>
      <c r="O306" t="s">
        <v>43</v>
      </c>
      <c r="P306" t="s">
        <v>44</v>
      </c>
      <c r="Q306" s="3">
        <v>27118.6</v>
      </c>
      <c r="R306" s="3">
        <v>29093.88</v>
      </c>
      <c r="S306" s="3">
        <v>16928.16</v>
      </c>
      <c r="T306" s="3">
        <v>2866.07</v>
      </c>
      <c r="U306" s="3">
        <v>1316.95</v>
      </c>
      <c r="V306" s="3">
        <v>2872.4</v>
      </c>
      <c r="W306" s="3">
        <v>464.9</v>
      </c>
      <c r="X306" s="3">
        <v>24448.47</v>
      </c>
      <c r="Y306" s="3">
        <v>10190.44</v>
      </c>
      <c r="Z306" s="3">
        <f t="shared" si="21"/>
        <v>2670.1299999999974</v>
      </c>
      <c r="AA306" s="37">
        <f t="shared" si="22"/>
        <v>9.8461203749456008E-2</v>
      </c>
      <c r="AB306" s="3">
        <v>-1975.28</v>
      </c>
      <c r="AC306" s="3">
        <v>813.56</v>
      </c>
      <c r="AD306" s="3">
        <v>4734.91</v>
      </c>
      <c r="AE306" s="3">
        <v>31039.95</v>
      </c>
      <c r="AF306" t="str">
        <f>IF(tbl_FinancialData[[#This Row],[City]]="","Unknown",PROPER(TRIM(tbl_FinancialData[[#This Row],[City]])))</f>
        <v>Pune</v>
      </c>
      <c r="AG306" t="str">
        <f>_xlfn.LET(_xlpm.city,LOWER(TRIM(tbl_FinancialData[[#This Row],[City]])),_xlpm.st,PROPER(TRIM(tbl_FinancialData[[#This Row],[State]])),IF(_xlpm.city="pune","Maharashtra",IF(_xlpm.city="jamshedpur","Jharkhand",IF(_xlpm.city="bhilai","Chhattisgarh",IF(_xlpm.city="mumbai","Maharashtra",_xlpm.st)))))</f>
        <v>Maharashtra</v>
      </c>
      <c r="AH306" t="str">
        <f>_xlfn.LET(_xlpm.d,PROPER(TRIM(tbl_FinancialData[[#This Row],[Department]])),IF(_xlpm.d="It","IT",_xlpm.d))</f>
        <v>Sales</v>
      </c>
      <c r="AI306" t="str">
        <f>_xlfn.LET(_xlpm.pid,tbl_FinancialData[[#This Row],[Product ID]],_xlpm.n,PROPER(TRIM(tbl_FinancialData[[#This Row],[Product Name]])),IF(_xlpm.pid="P020","Document Scanner",IF(_xlpm.pid="P015","Network Router",SUBSTITUTE(SUBSTITUTE(_xlpm.n,"Crm","CRM"),"Ups","UPS"))))</f>
        <v>Conference Camera</v>
      </c>
      <c r="AJ306" s="3" t="str">
        <f>UPPER(TRIM(tbl_FinancialData[[#This Row],[Cost Center]]))</f>
        <v>CC-1002</v>
      </c>
    </row>
    <row r="307" spans="1:36" x14ac:dyDescent="0.25">
      <c r="A307" s="3" t="s">
        <v>506</v>
      </c>
      <c r="B307" s="2">
        <v>45877</v>
      </c>
      <c r="C307" t="s">
        <v>117</v>
      </c>
      <c r="D307" s="3" t="str">
        <f t="shared" si="19"/>
        <v>Q2</v>
      </c>
      <c r="E307" s="3" t="str">
        <f t="shared" si="20"/>
        <v>FY2026</v>
      </c>
      <c r="F307" s="8" t="s">
        <v>47</v>
      </c>
      <c r="G307" s="3" t="s">
        <v>35</v>
      </c>
      <c r="H307" t="s">
        <v>48</v>
      </c>
      <c r="I307" t="s">
        <v>265</v>
      </c>
      <c r="J307" s="3" t="s">
        <v>80</v>
      </c>
      <c r="K307" t="s">
        <v>50</v>
      </c>
      <c r="L307" s="3" t="s">
        <v>72</v>
      </c>
      <c r="M307" s="3" t="s">
        <v>82</v>
      </c>
      <c r="N307" t="s">
        <v>83</v>
      </c>
      <c r="O307" t="s">
        <v>43</v>
      </c>
      <c r="P307" t="s">
        <v>75</v>
      </c>
      <c r="Q307" s="3">
        <v>68884.3</v>
      </c>
      <c r="R307" s="3">
        <v>68065.83</v>
      </c>
      <c r="S307" s="3">
        <v>34503.949999999997</v>
      </c>
      <c r="T307" s="3">
        <v>4558.21</v>
      </c>
      <c r="U307" s="3">
        <v>4164.53</v>
      </c>
      <c r="V307" s="3">
        <v>3896.41</v>
      </c>
      <c r="W307" s="3">
        <v>2000.34</v>
      </c>
      <c r="X307" s="3">
        <v>49123.43</v>
      </c>
      <c r="Y307" s="3">
        <v>34380.36</v>
      </c>
      <c r="Z307" s="3">
        <f t="shared" si="21"/>
        <v>19760.870000000003</v>
      </c>
      <c r="AA307" s="37">
        <f t="shared" si="22"/>
        <v>0.28687044798306727</v>
      </c>
      <c r="AB307" s="3">
        <v>818.47</v>
      </c>
      <c r="AC307" s="3">
        <v>1377.69</v>
      </c>
      <c r="AD307" s="3">
        <v>12151.19</v>
      </c>
      <c r="AE307" s="3">
        <v>79657.81</v>
      </c>
      <c r="AF307" t="str">
        <f>IF(tbl_FinancialData[[#This Row],[City]]="","Unknown",PROPER(TRIM(tbl_FinancialData[[#This Row],[City]])))</f>
        <v>Madurai</v>
      </c>
      <c r="AG307" t="str">
        <f>_xlfn.LET(_xlpm.city,LOWER(TRIM(tbl_FinancialData[[#This Row],[City]])),_xlpm.st,PROPER(TRIM(tbl_FinancialData[[#This Row],[State]])),IF(_xlpm.city="pune","Maharashtra",IF(_xlpm.city="jamshedpur","Jharkhand",IF(_xlpm.city="bhilai","Chhattisgarh",IF(_xlpm.city="mumbai","Maharashtra",_xlpm.st)))))</f>
        <v>Tamil Nadu</v>
      </c>
      <c r="AH307" t="str">
        <f>_xlfn.LET(_xlpm.d,PROPER(TRIM(tbl_FinancialData[[#This Row],[Department]])),IF(_xlpm.d="It","IT",_xlpm.d))</f>
        <v>Sales</v>
      </c>
      <c r="AI307" t="str">
        <f>_xlfn.LET(_xlpm.pid,tbl_FinancialData[[#This Row],[Product ID]],_xlpm.n,PROPER(TRIM(tbl_FinancialData[[#This Row],[Product Name]])),IF(_xlpm.pid="P020","Document Scanner",IF(_xlpm.pid="P015","Network Router",SUBSTITUTE(SUBSTITUTE(_xlpm.n,"Crm","CRM"),"Ups","UPS"))))</f>
        <v>Business Laptop</v>
      </c>
      <c r="AJ307" s="3" t="str">
        <f>UPPER(TRIM(tbl_FinancialData[[#This Row],[Cost Center]]))</f>
        <v>CC-1004</v>
      </c>
    </row>
    <row r="308" spans="1:36" x14ac:dyDescent="0.25">
      <c r="A308" s="3" t="s">
        <v>507</v>
      </c>
      <c r="B308" s="2">
        <v>46099</v>
      </c>
      <c r="C308" t="s">
        <v>125</v>
      </c>
      <c r="D308" s="3" t="str">
        <f t="shared" si="19"/>
        <v>Q4</v>
      </c>
      <c r="E308" s="3" t="str">
        <f t="shared" si="20"/>
        <v>FY2026</v>
      </c>
      <c r="F308" s="8" t="s">
        <v>67</v>
      </c>
      <c r="G308" s="3" t="s">
        <v>35</v>
      </c>
      <c r="H308" t="s">
        <v>68</v>
      </c>
      <c r="I308" t="s">
        <v>69</v>
      </c>
      <c r="J308" s="3" t="s">
        <v>38</v>
      </c>
      <c r="K308" t="s">
        <v>160</v>
      </c>
      <c r="L308" s="3" t="s">
        <v>81</v>
      </c>
      <c r="M308" s="3" t="s">
        <v>120</v>
      </c>
      <c r="N308" t="s">
        <v>121</v>
      </c>
      <c r="O308" t="s">
        <v>43</v>
      </c>
      <c r="P308" t="s">
        <v>122</v>
      </c>
      <c r="Q308" s="3">
        <v>55373.279999999999</v>
      </c>
      <c r="R308" s="3">
        <v>61047.37</v>
      </c>
      <c r="S308" s="3">
        <v>33844.29</v>
      </c>
      <c r="T308" s="3">
        <v>6686.78</v>
      </c>
      <c r="U308" s="3">
        <v>3378.3</v>
      </c>
      <c r="V308" s="3">
        <v>4582.96</v>
      </c>
      <c r="W308" s="3">
        <v>932.54</v>
      </c>
      <c r="X308" s="3">
        <v>49424.87</v>
      </c>
      <c r="Y308" s="3">
        <v>21528.99</v>
      </c>
      <c r="Z308" s="3">
        <f t="shared" si="21"/>
        <v>5948.4099999999962</v>
      </c>
      <c r="AA308" s="37">
        <f t="shared" si="22"/>
        <v>0.10742383330010424</v>
      </c>
      <c r="AB308" s="3">
        <v>-5674.09</v>
      </c>
      <c r="AC308" s="3">
        <v>0</v>
      </c>
      <c r="AD308" s="3">
        <v>9967.19</v>
      </c>
      <c r="AE308" s="3">
        <v>65340.47</v>
      </c>
      <c r="AF308" t="str">
        <f>IF(tbl_FinancialData[[#This Row],[City]]="","Unknown",PROPER(TRIM(tbl_FinancialData[[#This Row],[City]])))</f>
        <v>Bhubaneswar</v>
      </c>
      <c r="AG308" t="str">
        <f>_xlfn.LET(_xlpm.city,LOWER(TRIM(tbl_FinancialData[[#This Row],[City]])),_xlpm.st,PROPER(TRIM(tbl_FinancialData[[#This Row],[State]])),IF(_xlpm.city="pune","Maharashtra",IF(_xlpm.city="jamshedpur","Jharkhand",IF(_xlpm.city="bhilai","Chhattisgarh",IF(_xlpm.city="mumbai","Maharashtra",_xlpm.st)))))</f>
        <v>Odisha</v>
      </c>
      <c r="AH308" t="str">
        <f>_xlfn.LET(_xlpm.d,PROPER(TRIM(tbl_FinancialData[[#This Row],[Department]])),IF(_xlpm.d="It","IT",_xlpm.d))</f>
        <v>IT</v>
      </c>
      <c r="AI308" t="str">
        <f>_xlfn.LET(_xlpm.pid,tbl_FinancialData[[#This Row],[Product ID]],_xlpm.n,PROPER(TRIM(tbl_FinancialData[[#This Row],[Product Name]])),IF(_xlpm.pid="P020","Document Scanner",IF(_xlpm.pid="P015","Network Router",SUBSTITUTE(SUBSTITUTE(_xlpm.n,"Crm","CRM"),"Ups","UPS"))))</f>
        <v>Projector</v>
      </c>
      <c r="AJ308" s="3" t="str">
        <f>UPPER(TRIM(tbl_FinancialData[[#This Row],[Cost Center]]))</f>
        <v>CC-1005</v>
      </c>
    </row>
    <row r="309" spans="1:36" x14ac:dyDescent="0.25">
      <c r="A309" s="3" t="s">
        <v>508</v>
      </c>
      <c r="B309" s="2">
        <v>45829</v>
      </c>
      <c r="C309" t="s">
        <v>156</v>
      </c>
      <c r="D309" s="3" t="str">
        <f t="shared" si="19"/>
        <v>Q1</v>
      </c>
      <c r="E309" s="3" t="str">
        <f t="shared" si="20"/>
        <v>FY2026</v>
      </c>
      <c r="F309" s="8" t="s">
        <v>47</v>
      </c>
      <c r="G309" s="3" t="s">
        <v>35</v>
      </c>
      <c r="H309" t="s">
        <v>48</v>
      </c>
      <c r="I309" t="s">
        <v>49</v>
      </c>
      <c r="J309" s="3" t="s">
        <v>80</v>
      </c>
      <c r="K309" t="s">
        <v>50</v>
      </c>
      <c r="L309" s="3" t="s">
        <v>40</v>
      </c>
      <c r="M309" s="3" t="s">
        <v>95</v>
      </c>
      <c r="N309" t="s">
        <v>96</v>
      </c>
      <c r="O309" t="s">
        <v>43</v>
      </c>
      <c r="P309" t="s">
        <v>90</v>
      </c>
      <c r="Q309" s="3">
        <v>49828.71</v>
      </c>
      <c r="R309" s="3">
        <v>44664.14</v>
      </c>
      <c r="S309" s="3">
        <v>27673.39</v>
      </c>
      <c r="T309" s="3">
        <v>4481.3900000000003</v>
      </c>
      <c r="U309" s="3">
        <v>1947.19</v>
      </c>
      <c r="V309" s="3">
        <v>5471.69</v>
      </c>
      <c r="W309" s="3">
        <v>650.21</v>
      </c>
      <c r="X309" s="3">
        <v>40223.870000000003</v>
      </c>
      <c r="Y309" s="3">
        <v>22155.31</v>
      </c>
      <c r="Z309" s="3">
        <f t="shared" si="21"/>
        <v>9604.8399999999965</v>
      </c>
      <c r="AA309" s="37">
        <f t="shared" si="22"/>
        <v>0.19275714743568512</v>
      </c>
      <c r="AB309" s="3">
        <v>5164.57</v>
      </c>
      <c r="AC309" s="3">
        <v>1494.86</v>
      </c>
      <c r="AD309" s="3">
        <v>8700.09</v>
      </c>
      <c r="AE309" s="3">
        <v>57033.94</v>
      </c>
      <c r="AF309" t="str">
        <f>IF(tbl_FinancialData[[#This Row],[City]]="","Unknown",PROPER(TRIM(tbl_FinancialData[[#This Row],[City]])))</f>
        <v>Chennai</v>
      </c>
      <c r="AG309" t="str">
        <f>_xlfn.LET(_xlpm.city,LOWER(TRIM(tbl_FinancialData[[#This Row],[City]])),_xlpm.st,PROPER(TRIM(tbl_FinancialData[[#This Row],[State]])),IF(_xlpm.city="pune","Maharashtra",IF(_xlpm.city="jamshedpur","Jharkhand",IF(_xlpm.city="bhilai","Chhattisgarh",IF(_xlpm.city="mumbai","Maharashtra",_xlpm.st)))))</f>
        <v>Tamil Nadu</v>
      </c>
      <c r="AH309" t="str">
        <f>_xlfn.LET(_xlpm.d,PROPER(TRIM(tbl_FinancialData[[#This Row],[Department]])),IF(_xlpm.d="It","IT",_xlpm.d))</f>
        <v>Sales</v>
      </c>
      <c r="AI309" t="str">
        <f>_xlfn.LET(_xlpm.pid,tbl_FinancialData[[#This Row],[Product ID]],_xlpm.n,PROPER(TRIM(tbl_FinancialData[[#This Row],[Product Name]])),IF(_xlpm.pid="P020","Document Scanner",IF(_xlpm.pid="P015","Network Router",SUBSTITUTE(SUBSTITUTE(_xlpm.n,"Crm","CRM"),"Ups","UPS"))))</f>
        <v>Document Scanner</v>
      </c>
      <c r="AJ309" s="3" t="str">
        <f>UPPER(TRIM(tbl_FinancialData[[#This Row],[Cost Center]]))</f>
        <v>CC-1002</v>
      </c>
    </row>
    <row r="310" spans="1:36" x14ac:dyDescent="0.25">
      <c r="A310" s="3" t="s">
        <v>509</v>
      </c>
      <c r="B310" s="2">
        <v>45921</v>
      </c>
      <c r="C310" t="s">
        <v>46</v>
      </c>
      <c r="D310" s="3" t="str">
        <f t="shared" si="19"/>
        <v>Q2</v>
      </c>
      <c r="E310" s="3" t="str">
        <f t="shared" si="20"/>
        <v>FY2026</v>
      </c>
      <c r="F310" s="8" t="s">
        <v>85</v>
      </c>
      <c r="G310" s="3" t="s">
        <v>35</v>
      </c>
      <c r="H310" t="s">
        <v>178</v>
      </c>
      <c r="I310" t="s">
        <v>329</v>
      </c>
      <c r="J310" s="3" t="s">
        <v>70</v>
      </c>
      <c r="K310" t="s">
        <v>50</v>
      </c>
      <c r="L310" s="3" t="s">
        <v>40</v>
      </c>
      <c r="M310" s="3" t="s">
        <v>41</v>
      </c>
      <c r="N310" t="s">
        <v>42</v>
      </c>
      <c r="O310" t="s">
        <v>43</v>
      </c>
      <c r="P310" t="s">
        <v>44</v>
      </c>
      <c r="Q310" s="3">
        <v>54015.91</v>
      </c>
      <c r="R310" s="3">
        <v>60689.14</v>
      </c>
      <c r="S310" s="3">
        <v>30359.31</v>
      </c>
      <c r="T310" s="3">
        <v>4574.91</v>
      </c>
      <c r="U310" s="3">
        <v>4329.41</v>
      </c>
      <c r="V310" s="3">
        <v>3730.36</v>
      </c>
      <c r="W310" s="3">
        <v>2041.14</v>
      </c>
      <c r="X310" s="3">
        <v>45035.12</v>
      </c>
      <c r="Y310" s="3">
        <v>23656.6</v>
      </c>
      <c r="Z310" s="3">
        <f t="shared" si="21"/>
        <v>8980.7900000000009</v>
      </c>
      <c r="AA310" s="37">
        <f t="shared" si="22"/>
        <v>0.16626194023205385</v>
      </c>
      <c r="AB310" s="3">
        <v>-6673.23</v>
      </c>
      <c r="AC310" s="3">
        <v>5401.59</v>
      </c>
      <c r="AD310" s="3">
        <v>8750.58</v>
      </c>
      <c r="AE310" s="3">
        <v>57364.9</v>
      </c>
      <c r="AF310" t="str">
        <f>IF(tbl_FinancialData[[#This Row],[City]]="","Unknown",PROPER(TRIM(tbl_FinancialData[[#This Row],[City]])))</f>
        <v>Raipur</v>
      </c>
      <c r="AG310" t="str">
        <f>_xlfn.LET(_xlpm.city,LOWER(TRIM(tbl_FinancialData[[#This Row],[City]])),_xlpm.st,PROPER(TRIM(tbl_FinancialData[[#This Row],[State]])),IF(_xlpm.city="pune","Maharashtra",IF(_xlpm.city="jamshedpur","Jharkhand",IF(_xlpm.city="bhilai","Chhattisgarh",IF(_xlpm.city="mumbai","Maharashtra",_xlpm.st)))))</f>
        <v>Chhattisgarh</v>
      </c>
      <c r="AH310" t="str">
        <f>_xlfn.LET(_xlpm.d,PROPER(TRIM(tbl_FinancialData[[#This Row],[Department]])),IF(_xlpm.d="It","IT",_xlpm.d))</f>
        <v>Sales</v>
      </c>
      <c r="AI310" t="str">
        <f>_xlfn.LET(_xlpm.pid,tbl_FinancialData[[#This Row],[Product ID]],_xlpm.n,PROPER(TRIM(tbl_FinancialData[[#This Row],[Product Name]])),IF(_xlpm.pid="P020","Document Scanner",IF(_xlpm.pid="P015","Network Router",SUBSTITUTE(SUBSTITUTE(_xlpm.n,"Crm","CRM"),"Ups","UPS"))))</f>
        <v>Conference Camera</v>
      </c>
      <c r="AJ310" s="3" t="str">
        <f>UPPER(TRIM(tbl_FinancialData[[#This Row],[Cost Center]]))</f>
        <v>CC-1002</v>
      </c>
    </row>
    <row r="311" spans="1:36" x14ac:dyDescent="0.25">
      <c r="A311" s="3" t="s">
        <v>510</v>
      </c>
      <c r="B311" s="2">
        <v>46049</v>
      </c>
      <c r="C311" t="s">
        <v>77</v>
      </c>
      <c r="D311" s="3" t="str">
        <f t="shared" si="19"/>
        <v>Q4</v>
      </c>
      <c r="E311" s="3" t="str">
        <f t="shared" si="20"/>
        <v>FY2026</v>
      </c>
      <c r="F311" s="8" t="s">
        <v>67</v>
      </c>
      <c r="G311" s="3" t="s">
        <v>35</v>
      </c>
      <c r="H311" t="s">
        <v>118</v>
      </c>
      <c r="I311" t="s">
        <v>119</v>
      </c>
      <c r="J311" s="3" t="s">
        <v>100</v>
      </c>
      <c r="K311" t="s">
        <v>101</v>
      </c>
      <c r="L311" s="3" t="s">
        <v>94</v>
      </c>
      <c r="M311" s="3" t="s">
        <v>52</v>
      </c>
      <c r="N311" t="s">
        <v>53</v>
      </c>
      <c r="O311" t="s">
        <v>54</v>
      </c>
      <c r="P311" t="s">
        <v>55</v>
      </c>
      <c r="Q311" s="3">
        <v>1657.99</v>
      </c>
      <c r="R311" s="3">
        <v>1749.22</v>
      </c>
      <c r="S311" s="3">
        <v>980.55</v>
      </c>
      <c r="T311" s="3">
        <v>165.03</v>
      </c>
      <c r="U311" s="3">
        <v>93.21</v>
      </c>
      <c r="V311" s="3">
        <v>154.09</v>
      </c>
      <c r="W311" s="3">
        <v>29.3</v>
      </c>
      <c r="X311" s="3">
        <v>1422.17</v>
      </c>
      <c r="Y311" s="3">
        <v>677.44</v>
      </c>
      <c r="Z311" s="3">
        <f t="shared" si="21"/>
        <v>235.81999999999994</v>
      </c>
      <c r="AA311" s="37">
        <f t="shared" si="22"/>
        <v>0.14223246219820382</v>
      </c>
      <c r="AB311" s="3">
        <v>-91.23</v>
      </c>
      <c r="AC311" s="3">
        <v>0</v>
      </c>
      <c r="AD311" s="3">
        <v>198.96</v>
      </c>
      <c r="AE311" s="3">
        <v>1856.95</v>
      </c>
      <c r="AF311" t="str">
        <f>IF(tbl_FinancialData[[#This Row],[City]]="","Unknown",PROPER(TRIM(tbl_FinancialData[[#This Row],[City]])))</f>
        <v>Ranchi</v>
      </c>
      <c r="AG311" t="str">
        <f>_xlfn.LET(_xlpm.city,LOWER(TRIM(tbl_FinancialData[[#This Row],[City]])),_xlpm.st,PROPER(TRIM(tbl_FinancialData[[#This Row],[State]])),IF(_xlpm.city="pune","Maharashtra",IF(_xlpm.city="jamshedpur","Jharkhand",IF(_xlpm.city="bhilai","Chhattisgarh",IF(_xlpm.city="mumbai","Maharashtra",_xlpm.st)))))</f>
        <v>Jharkhand</v>
      </c>
      <c r="AH311" t="str">
        <f>_xlfn.LET(_xlpm.d,PROPER(TRIM(tbl_FinancialData[[#This Row],[Department]])),IF(_xlpm.d="It","IT",_xlpm.d))</f>
        <v>Finance</v>
      </c>
      <c r="AI311" t="str">
        <f>_xlfn.LET(_xlpm.pid,tbl_FinancialData[[#This Row],[Product ID]],_xlpm.n,PROPER(TRIM(tbl_FinancialData[[#This Row],[Product Name]])),IF(_xlpm.pid="P020","Document Scanner",IF(_xlpm.pid="P015","Network Router",SUBSTITUTE(SUBSTITUTE(_xlpm.n,"Crm","CRM"),"Ups","UPS"))))</f>
        <v>Mouse</v>
      </c>
      <c r="AJ311" s="3" t="str">
        <f>UPPER(TRIM(tbl_FinancialData[[#This Row],[Cost Center]]))</f>
        <v>CC-1001</v>
      </c>
    </row>
    <row r="312" spans="1:36" x14ac:dyDescent="0.25">
      <c r="A312" s="3" t="s">
        <v>511</v>
      </c>
      <c r="B312" s="2">
        <v>45908</v>
      </c>
      <c r="C312" t="s">
        <v>46</v>
      </c>
      <c r="D312" s="3" t="str">
        <f t="shared" si="19"/>
        <v>Q2</v>
      </c>
      <c r="E312" s="3" t="str">
        <f t="shared" si="20"/>
        <v>FY2026</v>
      </c>
      <c r="F312" s="8" t="s">
        <v>34</v>
      </c>
      <c r="G312" s="3" t="s">
        <v>35</v>
      </c>
      <c r="H312" t="s">
        <v>98</v>
      </c>
      <c r="I312" t="s">
        <v>149</v>
      </c>
      <c r="J312" s="3" t="s">
        <v>70</v>
      </c>
      <c r="K312" t="s">
        <v>160</v>
      </c>
      <c r="L312" s="3" t="s">
        <v>81</v>
      </c>
      <c r="M312" s="3" t="s">
        <v>221</v>
      </c>
      <c r="N312" t="s">
        <v>222</v>
      </c>
      <c r="O312" t="s">
        <v>104</v>
      </c>
      <c r="P312" t="s">
        <v>223</v>
      </c>
      <c r="Q312" s="3">
        <v>23560.28</v>
      </c>
      <c r="R312" s="3">
        <v>22851.13</v>
      </c>
      <c r="S312" s="3">
        <v>16749.11</v>
      </c>
      <c r="T312" s="3">
        <v>2187.59</v>
      </c>
      <c r="U312" s="3">
        <v>1535.87</v>
      </c>
      <c r="V312" s="3">
        <v>2225.36</v>
      </c>
      <c r="W312" s="3">
        <v>785.4</v>
      </c>
      <c r="X312" s="3">
        <v>23483.32</v>
      </c>
      <c r="Y312" s="3">
        <v>6811.17</v>
      </c>
      <c r="Z312" s="3">
        <f t="shared" si="21"/>
        <v>76.959999999999127</v>
      </c>
      <c r="AA312" s="37">
        <f t="shared" si="22"/>
        <v>3.266514659418272E-3</v>
      </c>
      <c r="AB312" s="3">
        <v>709.15</v>
      </c>
      <c r="AC312" s="3">
        <v>706.81</v>
      </c>
      <c r="AD312" s="3">
        <v>2742.42</v>
      </c>
      <c r="AE312" s="3">
        <v>25595.89</v>
      </c>
      <c r="AF312" t="str">
        <f>IF(tbl_FinancialData[[#This Row],[City]]="","Unknown",PROPER(TRIM(tbl_FinancialData[[#This Row],[City]])))</f>
        <v>Nagpur</v>
      </c>
      <c r="AG312" t="str">
        <f>_xlfn.LET(_xlpm.city,LOWER(TRIM(tbl_FinancialData[[#This Row],[City]])),_xlpm.st,PROPER(TRIM(tbl_FinancialData[[#This Row],[State]])),IF(_xlpm.city="pune","Maharashtra",IF(_xlpm.city="jamshedpur","Jharkhand",IF(_xlpm.city="bhilai","Chhattisgarh",IF(_xlpm.city="mumbai","Maharashtra",_xlpm.st)))))</f>
        <v>Maharashtra</v>
      </c>
      <c r="AH312" t="str">
        <f>_xlfn.LET(_xlpm.d,PROPER(TRIM(tbl_FinancialData[[#This Row],[Department]])),IF(_xlpm.d="It","IT",_xlpm.d))</f>
        <v>IT</v>
      </c>
      <c r="AI312" t="str">
        <f>_xlfn.LET(_xlpm.pid,tbl_FinancialData[[#This Row],[Product ID]],_xlpm.n,PROPER(TRIM(tbl_FinancialData[[#This Row],[Product Name]])),IF(_xlpm.pid="P020","Document Scanner",IF(_xlpm.pid="P015","Network Router",SUBSTITUTE(SUBSTITUTE(_xlpm.n,"Crm","CRM"),"Ups","UPS"))))</f>
        <v>Cloud Software</v>
      </c>
      <c r="AJ312" s="3" t="str">
        <f>UPPER(TRIM(tbl_FinancialData[[#This Row],[Cost Center]]))</f>
        <v>CC-1005</v>
      </c>
    </row>
    <row r="313" spans="1:36" x14ac:dyDescent="0.25">
      <c r="A313" s="3" t="s">
        <v>512</v>
      </c>
      <c r="B313" s="2">
        <v>45813</v>
      </c>
      <c r="C313" t="s">
        <v>156</v>
      </c>
      <c r="D313" s="3" t="str">
        <f t="shared" si="19"/>
        <v>Q1</v>
      </c>
      <c r="E313" s="3" t="str">
        <f t="shared" si="20"/>
        <v>FY2026</v>
      </c>
      <c r="F313" s="8" t="s">
        <v>59</v>
      </c>
      <c r="G313" s="3" t="s">
        <v>35</v>
      </c>
      <c r="H313" t="s">
        <v>139</v>
      </c>
      <c r="I313" t="s">
        <v>152</v>
      </c>
      <c r="J313" s="3" t="s">
        <v>80</v>
      </c>
      <c r="K313" t="s">
        <v>39</v>
      </c>
      <c r="L313" s="3" t="s">
        <v>72</v>
      </c>
      <c r="M313" s="3" t="s">
        <v>73</v>
      </c>
      <c r="N313" t="s">
        <v>74</v>
      </c>
      <c r="O313" t="s">
        <v>43</v>
      </c>
      <c r="P313" t="s">
        <v>75</v>
      </c>
      <c r="Q313" s="3">
        <v>29906.5</v>
      </c>
      <c r="R313" s="3">
        <v>31703.14</v>
      </c>
      <c r="S313" s="3">
        <v>19603.71</v>
      </c>
      <c r="T313" s="3">
        <v>3336.96</v>
      </c>
      <c r="U313" s="3">
        <v>2643.78</v>
      </c>
      <c r="V313" s="3">
        <v>2568.52</v>
      </c>
      <c r="W313" s="3">
        <v>656.67</v>
      </c>
      <c r="X313" s="3">
        <v>28809.65</v>
      </c>
      <c r="Y313" s="3">
        <v>10302.780000000001</v>
      </c>
      <c r="Z313" s="3">
        <f t="shared" si="21"/>
        <v>1096.8499999999985</v>
      </c>
      <c r="AA313" s="37">
        <f t="shared" si="22"/>
        <v>3.6675973450587616E-2</v>
      </c>
      <c r="AB313" s="3">
        <v>-1796.65</v>
      </c>
      <c r="AC313" s="3">
        <v>1495.32</v>
      </c>
      <c r="AD313" s="3">
        <v>1420.56</v>
      </c>
      <c r="AE313" s="3">
        <v>29831.73</v>
      </c>
      <c r="AF313" t="str">
        <f>IF(tbl_FinancialData[[#This Row],[City]]="","Unknown",PROPER(TRIM(tbl_FinancialData[[#This Row],[City]])))</f>
        <v>Panipat</v>
      </c>
      <c r="AG313" t="str">
        <f>_xlfn.LET(_xlpm.city,LOWER(TRIM(tbl_FinancialData[[#This Row],[City]])),_xlpm.st,PROPER(TRIM(tbl_FinancialData[[#This Row],[State]])),IF(_xlpm.city="pune","Maharashtra",IF(_xlpm.city="jamshedpur","Jharkhand",IF(_xlpm.city="bhilai","Chhattisgarh",IF(_xlpm.city="mumbai","Maharashtra",_xlpm.st)))))</f>
        <v>Haryana</v>
      </c>
      <c r="AH313" t="str">
        <f>_xlfn.LET(_xlpm.d,PROPER(TRIM(tbl_FinancialData[[#This Row],[Department]])),IF(_xlpm.d="It","IT",_xlpm.d))</f>
        <v>Operations</v>
      </c>
      <c r="AI313" t="str">
        <f>_xlfn.LET(_xlpm.pid,tbl_FinancialData[[#This Row],[Product ID]],_xlpm.n,PROPER(TRIM(tbl_FinancialData[[#This Row],[Product Name]])),IF(_xlpm.pid="P020","Document Scanner",IF(_xlpm.pid="P015","Network Router",SUBSTITUTE(SUBSTITUTE(_xlpm.n,"Crm","CRM"),"Ups","UPS"))))</f>
        <v>Monitor</v>
      </c>
      <c r="AJ313" s="3" t="str">
        <f>UPPER(TRIM(tbl_FinancialData[[#This Row],[Cost Center]]))</f>
        <v>CC-1004</v>
      </c>
    </row>
    <row r="314" spans="1:36" x14ac:dyDescent="0.25">
      <c r="A314" s="3" t="s">
        <v>513</v>
      </c>
      <c r="B314" s="2">
        <v>45939</v>
      </c>
      <c r="C314" t="s">
        <v>92</v>
      </c>
      <c r="D314" s="3" t="str">
        <f t="shared" si="19"/>
        <v>Q3</v>
      </c>
      <c r="E314" s="3" t="str">
        <f t="shared" si="20"/>
        <v>FY2026</v>
      </c>
      <c r="F314" s="8" t="s">
        <v>59</v>
      </c>
      <c r="G314" s="3" t="s">
        <v>35</v>
      </c>
      <c r="H314" t="s">
        <v>230</v>
      </c>
      <c r="I314" t="s">
        <v>363</v>
      </c>
      <c r="J314" s="3" t="s">
        <v>100</v>
      </c>
      <c r="K314" t="s">
        <v>39</v>
      </c>
      <c r="L314" s="3" t="s">
        <v>51</v>
      </c>
      <c r="M314" s="3" t="s">
        <v>141</v>
      </c>
      <c r="N314" t="s">
        <v>142</v>
      </c>
      <c r="O314" t="s">
        <v>54</v>
      </c>
      <c r="P314" t="s">
        <v>143</v>
      </c>
      <c r="Q314" s="3">
        <v>6178.28</v>
      </c>
      <c r="R314" s="3">
        <v>6067.07</v>
      </c>
      <c r="S314" s="3">
        <v>4255.08</v>
      </c>
      <c r="T314" s="3">
        <v>352.48</v>
      </c>
      <c r="U314" s="3">
        <v>466.41</v>
      </c>
      <c r="V314" s="3">
        <v>666.04</v>
      </c>
      <c r="W314" s="3">
        <v>101.1</v>
      </c>
      <c r="X314" s="3">
        <v>5841.1</v>
      </c>
      <c r="Y314" s="3">
        <v>1923.2</v>
      </c>
      <c r="Z314" s="3">
        <f t="shared" si="21"/>
        <v>337.17999999999938</v>
      </c>
      <c r="AA314" s="37">
        <f t="shared" si="22"/>
        <v>5.4575059725360357E-2</v>
      </c>
      <c r="AB314" s="3">
        <v>111.2</v>
      </c>
      <c r="AC314" s="3">
        <v>185.35</v>
      </c>
      <c r="AD314" s="3">
        <v>299.64999999999998</v>
      </c>
      <c r="AE314" s="3">
        <v>6292.57</v>
      </c>
      <c r="AF314" t="str">
        <f>IF(tbl_FinancialData[[#This Row],[City]]="","Unknown",PROPER(TRIM(tbl_FinancialData[[#This Row],[City]])))</f>
        <v>Jalandhar</v>
      </c>
      <c r="AG314" t="str">
        <f>_xlfn.LET(_xlpm.city,LOWER(TRIM(tbl_FinancialData[[#This Row],[City]])),_xlpm.st,PROPER(TRIM(tbl_FinancialData[[#This Row],[State]])),IF(_xlpm.city="pune","Maharashtra",IF(_xlpm.city="jamshedpur","Jharkhand",IF(_xlpm.city="bhilai","Chhattisgarh",IF(_xlpm.city="mumbai","Maharashtra",_xlpm.st)))))</f>
        <v>Punjab</v>
      </c>
      <c r="AH314" t="str">
        <f>_xlfn.LET(_xlpm.d,PROPER(TRIM(tbl_FinancialData[[#This Row],[Department]])),IF(_xlpm.d="It","IT",_xlpm.d))</f>
        <v>Operations</v>
      </c>
      <c r="AI314" t="str">
        <f>_xlfn.LET(_xlpm.pid,tbl_FinancialData[[#This Row],[Product ID]],_xlpm.n,PROPER(TRIM(tbl_FinancialData[[#This Row],[Product Name]])),IF(_xlpm.pid="P020","Document Scanner",IF(_xlpm.pid="P015","Network Router",SUBSTITUTE(SUBSTITUTE(_xlpm.n,"Crm","CRM"),"Ups","UPS"))))</f>
        <v>Headset</v>
      </c>
      <c r="AJ314" s="3" t="str">
        <f>UPPER(TRIM(tbl_FinancialData[[#This Row],[Cost Center]]))</f>
        <v>CC-1003</v>
      </c>
    </row>
    <row r="315" spans="1:36" x14ac:dyDescent="0.25">
      <c r="A315" s="3" t="s">
        <v>514</v>
      </c>
      <c r="B315" s="2">
        <v>45770</v>
      </c>
      <c r="C315" t="s">
        <v>128</v>
      </c>
      <c r="D315" s="3" t="str">
        <f t="shared" si="19"/>
        <v>Q1</v>
      </c>
      <c r="E315" s="3" t="str">
        <f t="shared" si="20"/>
        <v>FY2026</v>
      </c>
      <c r="F315" s="8" t="s">
        <v>34</v>
      </c>
      <c r="G315" s="3" t="s">
        <v>35</v>
      </c>
      <c r="H315" t="s">
        <v>98</v>
      </c>
      <c r="I315" t="s">
        <v>149</v>
      </c>
      <c r="J315" s="3" t="s">
        <v>70</v>
      </c>
      <c r="K315" t="s">
        <v>50</v>
      </c>
      <c r="L315" s="3" t="s">
        <v>94</v>
      </c>
      <c r="M315" s="3" t="s">
        <v>141</v>
      </c>
      <c r="N315" t="s">
        <v>142</v>
      </c>
      <c r="O315" t="s">
        <v>54</v>
      </c>
      <c r="P315" t="s">
        <v>143</v>
      </c>
      <c r="Q315" s="3">
        <v>4030.8</v>
      </c>
      <c r="R315" s="3">
        <v>4584.55</v>
      </c>
      <c r="S315" s="3">
        <v>2579.96</v>
      </c>
      <c r="T315" s="3">
        <v>341.94</v>
      </c>
      <c r="U315" s="3">
        <v>350.49</v>
      </c>
      <c r="V315" s="3">
        <v>393.16</v>
      </c>
      <c r="W315" s="3">
        <v>171.53</v>
      </c>
      <c r="X315" s="3">
        <v>3837.09</v>
      </c>
      <c r="Y315" s="3">
        <v>1450.84</v>
      </c>
      <c r="Z315" s="3">
        <f t="shared" si="21"/>
        <v>193.71000000000004</v>
      </c>
      <c r="AA315" s="37">
        <f t="shared" si="22"/>
        <v>4.8057457576659725E-2</v>
      </c>
      <c r="AB315" s="3">
        <v>-553.75</v>
      </c>
      <c r="AC315" s="3">
        <v>120.92</v>
      </c>
      <c r="AD315" s="3">
        <v>469.19</v>
      </c>
      <c r="AE315" s="3">
        <v>4379.0600000000004</v>
      </c>
      <c r="AF315" t="str">
        <f>IF(tbl_FinancialData[[#This Row],[City]]="","Unknown",PROPER(TRIM(tbl_FinancialData[[#This Row],[City]])))</f>
        <v>Nagpur</v>
      </c>
      <c r="AG315" t="str">
        <f>_xlfn.LET(_xlpm.city,LOWER(TRIM(tbl_FinancialData[[#This Row],[City]])),_xlpm.st,PROPER(TRIM(tbl_FinancialData[[#This Row],[State]])),IF(_xlpm.city="pune","Maharashtra",IF(_xlpm.city="jamshedpur","Jharkhand",IF(_xlpm.city="bhilai","Chhattisgarh",IF(_xlpm.city="mumbai","Maharashtra",_xlpm.st)))))</f>
        <v>Maharashtra</v>
      </c>
      <c r="AH315" t="str">
        <f>_xlfn.LET(_xlpm.d,PROPER(TRIM(tbl_FinancialData[[#This Row],[Department]])),IF(_xlpm.d="It","IT",_xlpm.d))</f>
        <v>Sales</v>
      </c>
      <c r="AI315" t="str">
        <f>_xlfn.LET(_xlpm.pid,tbl_FinancialData[[#This Row],[Product ID]],_xlpm.n,PROPER(TRIM(tbl_FinancialData[[#This Row],[Product Name]])),IF(_xlpm.pid="P020","Document Scanner",IF(_xlpm.pid="P015","Network Router",SUBSTITUTE(SUBSTITUTE(_xlpm.n,"Crm","CRM"),"Ups","UPS"))))</f>
        <v>Headset</v>
      </c>
      <c r="AJ315" s="3" t="str">
        <f>UPPER(TRIM(tbl_FinancialData[[#This Row],[Cost Center]]))</f>
        <v>CC-1001</v>
      </c>
    </row>
    <row r="316" spans="1:36" x14ac:dyDescent="0.25">
      <c r="A316" s="3" t="s">
        <v>515</v>
      </c>
      <c r="B316" s="2">
        <v>45916</v>
      </c>
      <c r="C316" t="s">
        <v>46</v>
      </c>
      <c r="D316" s="3" t="str">
        <f t="shared" si="19"/>
        <v>Q2</v>
      </c>
      <c r="E316" s="3" t="str">
        <f t="shared" si="20"/>
        <v>FY2026</v>
      </c>
      <c r="F316" s="8" t="s">
        <v>34</v>
      </c>
      <c r="G316" s="3" t="s">
        <v>35</v>
      </c>
      <c r="H316" t="s">
        <v>98</v>
      </c>
      <c r="I316" t="s">
        <v>99</v>
      </c>
      <c r="J316" s="3" t="s">
        <v>70</v>
      </c>
      <c r="K316" t="s">
        <v>50</v>
      </c>
      <c r="L316" s="3" t="s">
        <v>51</v>
      </c>
      <c r="M316" s="3" t="s">
        <v>82</v>
      </c>
      <c r="N316" t="s">
        <v>83</v>
      </c>
      <c r="O316" t="s">
        <v>43</v>
      </c>
      <c r="P316" t="s">
        <v>75</v>
      </c>
      <c r="Q316" s="3">
        <v>49441.19</v>
      </c>
      <c r="R316" s="3">
        <v>45974.21</v>
      </c>
      <c r="S316" s="3">
        <v>28237.69</v>
      </c>
      <c r="T316" s="3">
        <v>4913.25</v>
      </c>
      <c r="U316" s="3">
        <v>4352.72</v>
      </c>
      <c r="V316" s="3">
        <v>4855.6400000000003</v>
      </c>
      <c r="W316" s="3">
        <v>2090.92</v>
      </c>
      <c r="X316" s="3">
        <v>44450.22</v>
      </c>
      <c r="Y316" s="3">
        <v>21203.5</v>
      </c>
      <c r="Z316" s="3">
        <f t="shared" si="21"/>
        <v>4990.9700000000012</v>
      </c>
      <c r="AA316" s="37">
        <f t="shared" si="22"/>
        <v>0.1009476106865551</v>
      </c>
      <c r="AB316" s="3">
        <v>3466.98</v>
      </c>
      <c r="AC316" s="3">
        <v>2472.06</v>
      </c>
      <c r="AD316" s="3">
        <v>5636.3</v>
      </c>
      <c r="AE316" s="3">
        <v>52605.43</v>
      </c>
      <c r="AF316" t="str">
        <f>IF(tbl_FinancialData[[#This Row],[City]]="","Unknown",PROPER(TRIM(tbl_FinancialData[[#This Row],[City]])))</f>
        <v>Mumbai</v>
      </c>
      <c r="AG316" t="str">
        <f>_xlfn.LET(_xlpm.city,LOWER(TRIM(tbl_FinancialData[[#This Row],[City]])),_xlpm.st,PROPER(TRIM(tbl_FinancialData[[#This Row],[State]])),IF(_xlpm.city="pune","Maharashtra",IF(_xlpm.city="jamshedpur","Jharkhand",IF(_xlpm.city="bhilai","Chhattisgarh",IF(_xlpm.city="mumbai","Maharashtra",_xlpm.st)))))</f>
        <v>Maharashtra</v>
      </c>
      <c r="AH316" t="str">
        <f>_xlfn.LET(_xlpm.d,PROPER(TRIM(tbl_FinancialData[[#This Row],[Department]])),IF(_xlpm.d="It","IT",_xlpm.d))</f>
        <v>Sales</v>
      </c>
      <c r="AI316" t="str">
        <f>_xlfn.LET(_xlpm.pid,tbl_FinancialData[[#This Row],[Product ID]],_xlpm.n,PROPER(TRIM(tbl_FinancialData[[#This Row],[Product Name]])),IF(_xlpm.pid="P020","Document Scanner",IF(_xlpm.pid="P015","Network Router",SUBSTITUTE(SUBSTITUTE(_xlpm.n,"Crm","CRM"),"Ups","UPS"))))</f>
        <v>Business Laptop</v>
      </c>
      <c r="AJ316" s="3" t="str">
        <f>UPPER(TRIM(tbl_FinancialData[[#This Row],[Cost Center]]))</f>
        <v>CC-1003</v>
      </c>
    </row>
    <row r="317" spans="1:36" x14ac:dyDescent="0.25">
      <c r="A317" s="3" t="s">
        <v>516</v>
      </c>
      <c r="B317" s="2">
        <v>45872</v>
      </c>
      <c r="C317" t="s">
        <v>117</v>
      </c>
      <c r="D317" s="3" t="str">
        <f t="shared" si="19"/>
        <v>Q2</v>
      </c>
      <c r="E317" s="3" t="str">
        <f t="shared" si="20"/>
        <v>FY2026</v>
      </c>
      <c r="F317" s="8" t="s">
        <v>34</v>
      </c>
      <c r="G317" s="3" t="s">
        <v>35</v>
      </c>
      <c r="H317" t="s">
        <v>36</v>
      </c>
      <c r="I317" t="s">
        <v>145</v>
      </c>
      <c r="J317" s="3" t="s">
        <v>70</v>
      </c>
      <c r="K317" t="s">
        <v>50</v>
      </c>
      <c r="L317" s="3" t="s">
        <v>40</v>
      </c>
      <c r="M317" s="3" t="s">
        <v>141</v>
      </c>
      <c r="N317" t="s">
        <v>142</v>
      </c>
      <c r="O317" t="s">
        <v>54</v>
      </c>
      <c r="P317" t="s">
        <v>143</v>
      </c>
      <c r="Q317" s="3">
        <v>2812.53</v>
      </c>
      <c r="R317" s="3">
        <v>3089.29</v>
      </c>
      <c r="S317" s="3">
        <v>1898.89</v>
      </c>
      <c r="T317" s="3">
        <v>198.56</v>
      </c>
      <c r="U317" s="3">
        <v>211.89</v>
      </c>
      <c r="V317" s="3">
        <v>199.25</v>
      </c>
      <c r="W317" s="3">
        <v>78</v>
      </c>
      <c r="X317" s="3">
        <v>2586.59</v>
      </c>
      <c r="Y317" s="3">
        <v>913.63</v>
      </c>
      <c r="Z317" s="3">
        <f t="shared" si="21"/>
        <v>225.94000000000005</v>
      </c>
      <c r="AA317" s="37">
        <f t="shared" si="22"/>
        <v>8.0333365332992013E-2</v>
      </c>
      <c r="AB317" s="3">
        <v>-276.76</v>
      </c>
      <c r="AC317" s="3">
        <v>225</v>
      </c>
      <c r="AD317" s="3">
        <v>465.75</v>
      </c>
      <c r="AE317" s="3">
        <v>3053.28</v>
      </c>
      <c r="AF317" t="str">
        <f>IF(tbl_FinancialData[[#This Row],[City]]="","Unknown",PROPER(TRIM(tbl_FinancialData[[#This Row],[City]])))</f>
        <v>Panaji</v>
      </c>
      <c r="AG317" t="str">
        <f>_xlfn.LET(_xlpm.city,LOWER(TRIM(tbl_FinancialData[[#This Row],[City]])),_xlpm.st,PROPER(TRIM(tbl_FinancialData[[#This Row],[State]])),IF(_xlpm.city="pune","Maharashtra",IF(_xlpm.city="jamshedpur","Jharkhand",IF(_xlpm.city="bhilai","Chhattisgarh",IF(_xlpm.city="mumbai","Maharashtra",_xlpm.st)))))</f>
        <v>Goa</v>
      </c>
      <c r="AH317" t="str">
        <f>_xlfn.LET(_xlpm.d,PROPER(TRIM(tbl_FinancialData[[#This Row],[Department]])),IF(_xlpm.d="It","IT",_xlpm.d))</f>
        <v>Sales</v>
      </c>
      <c r="AI317" t="str">
        <f>_xlfn.LET(_xlpm.pid,tbl_FinancialData[[#This Row],[Product ID]],_xlpm.n,PROPER(TRIM(tbl_FinancialData[[#This Row],[Product Name]])),IF(_xlpm.pid="P020","Document Scanner",IF(_xlpm.pid="P015","Network Router",SUBSTITUTE(SUBSTITUTE(_xlpm.n,"Crm","CRM"),"Ups","UPS"))))</f>
        <v>Headset</v>
      </c>
      <c r="AJ317" s="3" t="str">
        <f>UPPER(TRIM(tbl_FinancialData[[#This Row],[Cost Center]]))</f>
        <v>CC-1002</v>
      </c>
    </row>
    <row r="318" spans="1:36" x14ac:dyDescent="0.25">
      <c r="A318" s="3" t="s">
        <v>517</v>
      </c>
      <c r="B318" s="2">
        <v>46089</v>
      </c>
      <c r="C318" t="s">
        <v>125</v>
      </c>
      <c r="D318" s="3" t="str">
        <f t="shared" si="19"/>
        <v>Q4</v>
      </c>
      <c r="E318" s="3" t="str">
        <f t="shared" si="20"/>
        <v>FY2026</v>
      </c>
      <c r="F318" s="8" t="s">
        <v>67</v>
      </c>
      <c r="G318" s="3" t="s">
        <v>35</v>
      </c>
      <c r="H318" t="s">
        <v>68</v>
      </c>
      <c r="I318" t="s">
        <v>204</v>
      </c>
      <c r="J318" s="3" t="s">
        <v>70</v>
      </c>
      <c r="K318" t="s">
        <v>160</v>
      </c>
      <c r="L318" s="3" t="s">
        <v>94</v>
      </c>
      <c r="M318" s="3" t="s">
        <v>82</v>
      </c>
      <c r="N318" t="s">
        <v>83</v>
      </c>
      <c r="O318" t="s">
        <v>43</v>
      </c>
      <c r="P318" t="s">
        <v>75</v>
      </c>
      <c r="Q318" s="3">
        <v>65172.18</v>
      </c>
      <c r="R318" s="3">
        <v>74214.62</v>
      </c>
      <c r="S318" s="3">
        <v>36225.26</v>
      </c>
      <c r="T318" s="3">
        <v>7701.85</v>
      </c>
      <c r="U318" s="3">
        <v>1802.71</v>
      </c>
      <c r="V318" s="3">
        <v>2865.81</v>
      </c>
      <c r="W318" s="3">
        <v>2073.9899999999998</v>
      </c>
      <c r="X318" s="3">
        <v>50669.62</v>
      </c>
      <c r="Y318" s="3">
        <v>28946.92</v>
      </c>
      <c r="Z318" s="3">
        <f t="shared" si="21"/>
        <v>14502.559999999998</v>
      </c>
      <c r="AA318" s="37">
        <f t="shared" si="22"/>
        <v>0.22252685118097934</v>
      </c>
      <c r="AB318" s="3">
        <v>-9042.44</v>
      </c>
      <c r="AC318" s="3">
        <v>0</v>
      </c>
      <c r="AD318" s="3">
        <v>7820.66</v>
      </c>
      <c r="AE318" s="3">
        <v>72992.850000000006</v>
      </c>
      <c r="AF318" t="str">
        <f>IF(tbl_FinancialData[[#This Row],[City]]="","Unknown",PROPER(TRIM(tbl_FinancialData[[#This Row],[City]])))</f>
        <v>Cuttack</v>
      </c>
      <c r="AG318" t="str">
        <f>_xlfn.LET(_xlpm.city,LOWER(TRIM(tbl_FinancialData[[#This Row],[City]])),_xlpm.st,PROPER(TRIM(tbl_FinancialData[[#This Row],[State]])),IF(_xlpm.city="pune","Maharashtra",IF(_xlpm.city="jamshedpur","Jharkhand",IF(_xlpm.city="bhilai","Chhattisgarh",IF(_xlpm.city="mumbai","Maharashtra",_xlpm.st)))))</f>
        <v>Odisha</v>
      </c>
      <c r="AH318" t="str">
        <f>_xlfn.LET(_xlpm.d,PROPER(TRIM(tbl_FinancialData[[#This Row],[Department]])),IF(_xlpm.d="It","IT",_xlpm.d))</f>
        <v>IT</v>
      </c>
      <c r="AI318" t="str">
        <f>_xlfn.LET(_xlpm.pid,tbl_FinancialData[[#This Row],[Product ID]],_xlpm.n,PROPER(TRIM(tbl_FinancialData[[#This Row],[Product Name]])),IF(_xlpm.pid="P020","Document Scanner",IF(_xlpm.pid="P015","Network Router",SUBSTITUTE(SUBSTITUTE(_xlpm.n,"Crm","CRM"),"Ups","UPS"))))</f>
        <v>Business Laptop</v>
      </c>
      <c r="AJ318" s="3" t="str">
        <f>UPPER(TRIM(tbl_FinancialData[[#This Row],[Cost Center]]))</f>
        <v>CC-1001</v>
      </c>
    </row>
    <row r="319" spans="1:36" x14ac:dyDescent="0.25">
      <c r="A319" s="3" t="s">
        <v>518</v>
      </c>
      <c r="B319" s="2">
        <v>45867</v>
      </c>
      <c r="C319" t="s">
        <v>32</v>
      </c>
      <c r="D319" s="3" t="str">
        <f t="shared" si="19"/>
        <v>Q2</v>
      </c>
      <c r="E319" s="3" t="str">
        <f t="shared" si="20"/>
        <v>FY2026</v>
      </c>
      <c r="F319" s="8" t="s">
        <v>85</v>
      </c>
      <c r="G319" s="3" t="s">
        <v>35</v>
      </c>
      <c r="H319" t="s">
        <v>178</v>
      </c>
      <c r="I319" t="s">
        <v>329</v>
      </c>
      <c r="J319" s="3" t="s">
        <v>80</v>
      </c>
      <c r="K319" t="s">
        <v>50</v>
      </c>
      <c r="L319" s="3" t="s">
        <v>94</v>
      </c>
      <c r="M319" s="3" t="s">
        <v>120</v>
      </c>
      <c r="N319" t="s">
        <v>121</v>
      </c>
      <c r="O319" t="s">
        <v>43</v>
      </c>
      <c r="P319" t="s">
        <v>122</v>
      </c>
      <c r="Q319" s="3">
        <v>17510.830000000002</v>
      </c>
      <c r="R319" s="3">
        <v>19808.98</v>
      </c>
      <c r="S319" s="3">
        <v>9413.06</v>
      </c>
      <c r="T319" s="3">
        <v>1148.6500000000001</v>
      </c>
      <c r="U319" s="3">
        <v>1012.46</v>
      </c>
      <c r="V319" s="3">
        <v>1777.34</v>
      </c>
      <c r="W319" s="3">
        <v>213.07</v>
      </c>
      <c r="X319" s="3">
        <v>13564.6</v>
      </c>
      <c r="Y319" s="3">
        <v>8097.76</v>
      </c>
      <c r="Z319" s="3">
        <f t="shared" si="21"/>
        <v>3946.2300000000014</v>
      </c>
      <c r="AA319" s="37">
        <f t="shared" si="22"/>
        <v>0.22535939187348636</v>
      </c>
      <c r="AB319" s="3">
        <v>-2298.15</v>
      </c>
      <c r="AC319" s="3">
        <v>875.54</v>
      </c>
      <c r="AD319" s="3">
        <v>831.76</v>
      </c>
      <c r="AE319" s="3">
        <v>17467.05</v>
      </c>
      <c r="AF319" t="str">
        <f>IF(tbl_FinancialData[[#This Row],[City]]="","Unknown",PROPER(TRIM(tbl_FinancialData[[#This Row],[City]])))</f>
        <v>Raipur</v>
      </c>
      <c r="AG319" t="str">
        <f>_xlfn.LET(_xlpm.city,LOWER(TRIM(tbl_FinancialData[[#This Row],[City]])),_xlpm.st,PROPER(TRIM(tbl_FinancialData[[#This Row],[State]])),IF(_xlpm.city="pune","Maharashtra",IF(_xlpm.city="jamshedpur","Jharkhand",IF(_xlpm.city="bhilai","Chhattisgarh",IF(_xlpm.city="mumbai","Maharashtra",_xlpm.st)))))</f>
        <v>Chhattisgarh</v>
      </c>
      <c r="AH319" t="str">
        <f>_xlfn.LET(_xlpm.d,PROPER(TRIM(tbl_FinancialData[[#This Row],[Department]])),IF(_xlpm.d="It","IT",_xlpm.d))</f>
        <v>Sales</v>
      </c>
      <c r="AI319" t="str">
        <f>_xlfn.LET(_xlpm.pid,tbl_FinancialData[[#This Row],[Product ID]],_xlpm.n,PROPER(TRIM(tbl_FinancialData[[#This Row],[Product Name]])),IF(_xlpm.pid="P020","Document Scanner",IF(_xlpm.pid="P015","Network Router",SUBSTITUTE(SUBSTITUTE(_xlpm.n,"Crm","CRM"),"Ups","UPS"))))</f>
        <v>Projector</v>
      </c>
      <c r="AJ319" s="3" t="str">
        <f>UPPER(TRIM(tbl_FinancialData[[#This Row],[Cost Center]]))</f>
        <v>CC-1001</v>
      </c>
    </row>
    <row r="320" spans="1:36" x14ac:dyDescent="0.25">
      <c r="A320" s="3" t="s">
        <v>519</v>
      </c>
      <c r="B320" s="2">
        <v>45973</v>
      </c>
      <c r="C320" t="s">
        <v>147</v>
      </c>
      <c r="D320" s="3" t="str">
        <f t="shared" si="19"/>
        <v>Q3</v>
      </c>
      <c r="E320" s="3" t="str">
        <f t="shared" si="20"/>
        <v>FY2026</v>
      </c>
      <c r="F320" s="8" t="s">
        <v>67</v>
      </c>
      <c r="G320" s="3" t="s">
        <v>35</v>
      </c>
      <c r="H320" t="s">
        <v>118</v>
      </c>
      <c r="I320" t="s">
        <v>209</v>
      </c>
      <c r="J320" s="3" t="s">
        <v>70</v>
      </c>
      <c r="K320" t="s">
        <v>50</v>
      </c>
      <c r="L320" s="3" t="s">
        <v>94</v>
      </c>
      <c r="M320" s="3" t="s">
        <v>73</v>
      </c>
      <c r="N320" t="s">
        <v>74</v>
      </c>
      <c r="O320" t="s">
        <v>43</v>
      </c>
      <c r="P320" t="s">
        <v>75</v>
      </c>
      <c r="Q320" s="3">
        <v>30425.03</v>
      </c>
      <c r="R320" s="3">
        <v>27138.42</v>
      </c>
      <c r="S320" s="3">
        <v>17883.189999999999</v>
      </c>
      <c r="T320" s="3">
        <v>2927.16</v>
      </c>
      <c r="U320" s="3">
        <v>1889.67</v>
      </c>
      <c r="V320" s="3">
        <v>2026.13</v>
      </c>
      <c r="W320" s="3">
        <v>640.25</v>
      </c>
      <c r="X320" s="3">
        <v>25366.400000000001</v>
      </c>
      <c r="Y320" s="3">
        <v>12541.84</v>
      </c>
      <c r="Z320" s="3">
        <f t="shared" si="21"/>
        <v>5058.6299999999974</v>
      </c>
      <c r="AA320" s="37">
        <f t="shared" si="22"/>
        <v>0.16626540713353438</v>
      </c>
      <c r="AB320" s="3">
        <v>3286.61</v>
      </c>
      <c r="AC320" s="3">
        <v>0</v>
      </c>
      <c r="AD320" s="3">
        <v>3651</v>
      </c>
      <c r="AE320" s="3">
        <v>34076.03</v>
      </c>
      <c r="AF320" t="str">
        <f>IF(tbl_FinancialData[[#This Row],[City]]="","Unknown",PROPER(TRIM(tbl_FinancialData[[#This Row],[City]])))</f>
        <v>Jamshedpur</v>
      </c>
      <c r="AG320" t="str">
        <f>_xlfn.LET(_xlpm.city,LOWER(TRIM(tbl_FinancialData[[#This Row],[City]])),_xlpm.st,PROPER(TRIM(tbl_FinancialData[[#This Row],[State]])),IF(_xlpm.city="pune","Maharashtra",IF(_xlpm.city="jamshedpur","Jharkhand",IF(_xlpm.city="bhilai","Chhattisgarh",IF(_xlpm.city="mumbai","Maharashtra",_xlpm.st)))))</f>
        <v>Jharkhand</v>
      </c>
      <c r="AH320" t="str">
        <f>_xlfn.LET(_xlpm.d,PROPER(TRIM(tbl_FinancialData[[#This Row],[Department]])),IF(_xlpm.d="It","IT",_xlpm.d))</f>
        <v>Sales</v>
      </c>
      <c r="AI320" t="str">
        <f>_xlfn.LET(_xlpm.pid,tbl_FinancialData[[#This Row],[Product ID]],_xlpm.n,PROPER(TRIM(tbl_FinancialData[[#This Row],[Product Name]])),IF(_xlpm.pid="P020","Document Scanner",IF(_xlpm.pid="P015","Network Router",SUBSTITUTE(SUBSTITUTE(_xlpm.n,"Crm","CRM"),"Ups","UPS"))))</f>
        <v>Monitor</v>
      </c>
      <c r="AJ320" s="3" t="str">
        <f>UPPER(TRIM(tbl_FinancialData[[#This Row],[Cost Center]]))</f>
        <v>CC-1001</v>
      </c>
    </row>
    <row r="321" spans="1:36" x14ac:dyDescent="0.25">
      <c r="A321" s="3" t="s">
        <v>520</v>
      </c>
      <c r="B321" s="2">
        <v>46090</v>
      </c>
      <c r="C321" t="s">
        <v>125</v>
      </c>
      <c r="D321" s="3" t="str">
        <f t="shared" si="19"/>
        <v>Q4</v>
      </c>
      <c r="E321" s="3" t="str">
        <f t="shared" si="20"/>
        <v>FY2026</v>
      </c>
      <c r="F321" s="8" t="s">
        <v>34</v>
      </c>
      <c r="G321" s="3" t="s">
        <v>35</v>
      </c>
      <c r="H321" t="s">
        <v>36</v>
      </c>
      <c r="I321" t="s">
        <v>245</v>
      </c>
      <c r="J321" s="3" t="s">
        <v>100</v>
      </c>
      <c r="K321" t="s">
        <v>39</v>
      </c>
      <c r="L321" s="3" t="s">
        <v>94</v>
      </c>
      <c r="M321" s="3" t="s">
        <v>186</v>
      </c>
      <c r="N321" t="s">
        <v>521</v>
      </c>
      <c r="O321" t="s">
        <v>173</v>
      </c>
      <c r="P321" t="s">
        <v>174</v>
      </c>
      <c r="Q321" s="3">
        <v>15871.81</v>
      </c>
      <c r="R321" s="3">
        <v>18005.849999999999</v>
      </c>
      <c r="S321" s="3">
        <v>10228.459999999999</v>
      </c>
      <c r="T321" s="3">
        <v>1161.8699999999999</v>
      </c>
      <c r="U321" s="3">
        <v>604.64</v>
      </c>
      <c r="V321" s="3">
        <v>971.62</v>
      </c>
      <c r="W321" s="3">
        <v>253.02</v>
      </c>
      <c r="X321" s="3">
        <v>13219.62</v>
      </c>
      <c r="Y321" s="3">
        <v>5643.35</v>
      </c>
      <c r="Z321" s="3">
        <f t="shared" si="21"/>
        <v>2652.1899999999987</v>
      </c>
      <c r="AA321" s="37">
        <f t="shared" si="22"/>
        <v>0.16710066463749243</v>
      </c>
      <c r="AB321" s="3">
        <v>-2134.04</v>
      </c>
      <c r="AC321" s="3">
        <v>0</v>
      </c>
      <c r="AD321" s="3">
        <v>1904.62</v>
      </c>
      <c r="AE321" s="3">
        <v>17776.43</v>
      </c>
      <c r="AF321" t="str">
        <f>IF(tbl_FinancialData[[#This Row],[City]]="","Unknown",PROPER(TRIM(tbl_FinancialData[[#This Row],[City]])))</f>
        <v>Margao</v>
      </c>
      <c r="AG321" t="str">
        <f>_xlfn.LET(_xlpm.city,LOWER(TRIM(tbl_FinancialData[[#This Row],[City]])),_xlpm.st,PROPER(TRIM(tbl_FinancialData[[#This Row],[State]])),IF(_xlpm.city="pune","Maharashtra",IF(_xlpm.city="jamshedpur","Jharkhand",IF(_xlpm.city="bhilai","Chhattisgarh",IF(_xlpm.city="mumbai","Maharashtra",_xlpm.st)))))</f>
        <v>Goa</v>
      </c>
      <c r="AH321" t="str">
        <f>_xlfn.LET(_xlpm.d,PROPER(TRIM(tbl_FinancialData[[#This Row],[Department]])),IF(_xlpm.d="It","IT",_xlpm.d))</f>
        <v>Operations</v>
      </c>
      <c r="AI321" t="str">
        <f>_xlfn.LET(_xlpm.pid,tbl_FinancialData[[#This Row],[Product ID]],_xlpm.n,PROPER(TRIM(tbl_FinancialData[[#This Row],[Product Name]])),IF(_xlpm.pid="P020","Document Scanner",IF(_xlpm.pid="P015","Network Router",SUBSTITUTE(SUBSTITUTE(_xlpm.n,"Crm","CRM"),"Ups","UPS"))))</f>
        <v>Network Router</v>
      </c>
      <c r="AJ321" s="3" t="str">
        <f>UPPER(TRIM(tbl_FinancialData[[#This Row],[Cost Center]]))</f>
        <v>CC-1001</v>
      </c>
    </row>
    <row r="322" spans="1:36" x14ac:dyDescent="0.25">
      <c r="A322" s="3" t="s">
        <v>522</v>
      </c>
      <c r="B322" s="2">
        <v>45765</v>
      </c>
      <c r="C322" t="s">
        <v>128</v>
      </c>
      <c r="D322" s="3" t="str">
        <f t="shared" ref="D322:D385" si="23">"Q"&amp;INT(MOD(MONTH(B322)-4,12)/3)+1</f>
        <v>Q1</v>
      </c>
      <c r="E322" s="3" t="str">
        <f t="shared" ref="E322:E385" si="24">"FY"&amp; (YEAR(B322)+(MONTH(B322)&gt;=4))</f>
        <v>FY2026</v>
      </c>
      <c r="F322" s="8" t="s">
        <v>85</v>
      </c>
      <c r="G322" s="3" t="s">
        <v>35</v>
      </c>
      <c r="H322" t="s">
        <v>86</v>
      </c>
      <c r="I322" t="s">
        <v>87</v>
      </c>
      <c r="J322" s="3" t="s">
        <v>100</v>
      </c>
      <c r="K322" t="s">
        <v>50</v>
      </c>
      <c r="L322" s="3" t="s">
        <v>51</v>
      </c>
      <c r="M322" s="3" t="s">
        <v>88</v>
      </c>
      <c r="N322" t="s">
        <v>89</v>
      </c>
      <c r="O322" t="s">
        <v>43</v>
      </c>
      <c r="P322" t="s">
        <v>90</v>
      </c>
      <c r="Q322" s="3">
        <v>63011.02</v>
      </c>
      <c r="R322" s="3">
        <v>65180.03</v>
      </c>
      <c r="S322" s="3">
        <v>31751.200000000001</v>
      </c>
      <c r="T322" s="3">
        <v>3231.35</v>
      </c>
      <c r="U322" s="3">
        <v>5522.26</v>
      </c>
      <c r="V322" s="3">
        <v>4420.78</v>
      </c>
      <c r="W322" s="3">
        <v>1960.43</v>
      </c>
      <c r="X322" s="3">
        <v>46886.02</v>
      </c>
      <c r="Y322" s="3">
        <v>31259.82</v>
      </c>
      <c r="Z322" s="3">
        <f t="shared" si="21"/>
        <v>16125</v>
      </c>
      <c r="AA322" s="37">
        <f t="shared" si="22"/>
        <v>0.25590761742945917</v>
      </c>
      <c r="AB322" s="3">
        <v>-2169.0100000000002</v>
      </c>
      <c r="AC322" s="3">
        <v>0</v>
      </c>
      <c r="AD322" s="3">
        <v>11341.98</v>
      </c>
      <c r="AE322" s="3">
        <v>74353.009999999995</v>
      </c>
      <c r="AF322" t="str">
        <f>IF(tbl_FinancialData[[#This Row],[City]]="","Unknown",PROPER(TRIM(tbl_FinancialData[[#This Row],[City]])))</f>
        <v>Indore</v>
      </c>
      <c r="AG322" t="str">
        <f>_xlfn.LET(_xlpm.city,LOWER(TRIM(tbl_FinancialData[[#This Row],[City]])),_xlpm.st,PROPER(TRIM(tbl_FinancialData[[#This Row],[State]])),IF(_xlpm.city="pune","Maharashtra",IF(_xlpm.city="jamshedpur","Jharkhand",IF(_xlpm.city="bhilai","Chhattisgarh",IF(_xlpm.city="mumbai","Maharashtra",_xlpm.st)))))</f>
        <v>Madhya Pradesh</v>
      </c>
      <c r="AH322" t="str">
        <f>_xlfn.LET(_xlpm.d,PROPER(TRIM(tbl_FinancialData[[#This Row],[Department]])),IF(_xlpm.d="It","IT",_xlpm.d))</f>
        <v>Sales</v>
      </c>
      <c r="AI322" t="str">
        <f>_xlfn.LET(_xlpm.pid,tbl_FinancialData[[#This Row],[Product ID]],_xlpm.n,PROPER(TRIM(tbl_FinancialData[[#This Row],[Product Name]])),IF(_xlpm.pid="P020","Document Scanner",IF(_xlpm.pid="P015","Network Router",SUBSTITUTE(SUBSTITUTE(_xlpm.n,"Crm","CRM"),"Ups","UPS"))))</f>
        <v>Printer</v>
      </c>
      <c r="AJ322" s="3" t="str">
        <f>UPPER(TRIM(tbl_FinancialData[[#This Row],[Cost Center]]))</f>
        <v>CC-1003</v>
      </c>
    </row>
    <row r="323" spans="1:36" x14ac:dyDescent="0.25">
      <c r="A323" s="3" t="s">
        <v>523</v>
      </c>
      <c r="B323" s="2">
        <v>46029</v>
      </c>
      <c r="C323" t="s">
        <v>77</v>
      </c>
      <c r="D323" s="3" t="str">
        <f t="shared" si="23"/>
        <v>Q4</v>
      </c>
      <c r="E323" s="3" t="str">
        <f t="shared" si="24"/>
        <v>FY2026</v>
      </c>
      <c r="F323" s="8" t="s">
        <v>85</v>
      </c>
      <c r="G323" s="3" t="s">
        <v>35</v>
      </c>
      <c r="H323" t="s">
        <v>60</v>
      </c>
      <c r="I323" t="s">
        <v>185</v>
      </c>
      <c r="J323" s="3" t="s">
        <v>38</v>
      </c>
      <c r="K323" t="s">
        <v>71</v>
      </c>
      <c r="L323" s="3" t="s">
        <v>81</v>
      </c>
      <c r="M323" s="3" t="s">
        <v>189</v>
      </c>
      <c r="N323" t="s">
        <v>190</v>
      </c>
      <c r="O323" t="s">
        <v>104</v>
      </c>
      <c r="P323" t="s">
        <v>105</v>
      </c>
      <c r="Q323" s="3">
        <v>25687.45</v>
      </c>
      <c r="R323" s="3">
        <v>27409.83</v>
      </c>
      <c r="S323" s="3">
        <v>13139.36</v>
      </c>
      <c r="T323" s="3">
        <v>1920.79</v>
      </c>
      <c r="U323" s="3">
        <v>979.12</v>
      </c>
      <c r="V323" s="3">
        <v>2895.13</v>
      </c>
      <c r="W323" s="3">
        <v>940.52</v>
      </c>
      <c r="X323" s="3">
        <v>19874.919999999998</v>
      </c>
      <c r="Y323" s="3">
        <v>12548.08</v>
      </c>
      <c r="Z323" s="3">
        <f t="shared" ref="Z323:Z386" si="25">Q323-X323</f>
        <v>5812.5300000000025</v>
      </c>
      <c r="AA323" s="37">
        <f t="shared" ref="AA323:AA386" si="26">Z323/Q323</f>
        <v>0.2262789805916898</v>
      </c>
      <c r="AB323" s="3">
        <v>-1722.38</v>
      </c>
      <c r="AC323" s="3">
        <v>1284.3699999999999</v>
      </c>
      <c r="AD323" s="3">
        <v>2928.37</v>
      </c>
      <c r="AE323" s="3">
        <v>27331.439999999999</v>
      </c>
      <c r="AF323" t="str">
        <f>IF(tbl_FinancialData[[#This Row],[City]]="","Unknown",PROPER(TRIM(tbl_FinancialData[[#This Row],[City]])))</f>
        <v>Kanpur</v>
      </c>
      <c r="AG323" t="str">
        <f>_xlfn.LET(_xlpm.city,LOWER(TRIM(tbl_FinancialData[[#This Row],[City]])),_xlpm.st,PROPER(TRIM(tbl_FinancialData[[#This Row],[State]])),IF(_xlpm.city="pune","Maharashtra",IF(_xlpm.city="jamshedpur","Jharkhand",IF(_xlpm.city="bhilai","Chhattisgarh",IF(_xlpm.city="mumbai","Maharashtra",_xlpm.st)))))</f>
        <v>Uttar Pradesh</v>
      </c>
      <c r="AH323" t="str">
        <f>_xlfn.LET(_xlpm.d,PROPER(TRIM(tbl_FinancialData[[#This Row],[Department]])),IF(_xlpm.d="It","IT",_xlpm.d))</f>
        <v>Marketing</v>
      </c>
      <c r="AI323" t="str">
        <f>_xlfn.LET(_xlpm.pid,tbl_FinancialData[[#This Row],[Product ID]],_xlpm.n,PROPER(TRIM(tbl_FinancialData[[#This Row],[Product Name]])),IF(_xlpm.pid="P020","Document Scanner",IF(_xlpm.pid="P015","Network Router",SUBSTITUTE(SUBSTITUTE(_xlpm.n,"Crm","CRM"),"Ups","UPS"))))</f>
        <v>CRM Software</v>
      </c>
      <c r="AJ323" s="3" t="str">
        <f>UPPER(TRIM(tbl_FinancialData[[#This Row],[Cost Center]]))</f>
        <v>CC-1005</v>
      </c>
    </row>
    <row r="324" spans="1:36" x14ac:dyDescent="0.25">
      <c r="A324" s="3" t="s">
        <v>524</v>
      </c>
      <c r="B324" s="2">
        <v>45987</v>
      </c>
      <c r="C324" t="s">
        <v>147</v>
      </c>
      <c r="D324" s="3" t="str">
        <f t="shared" si="23"/>
        <v>Q3</v>
      </c>
      <c r="E324" s="3" t="str">
        <f t="shared" si="24"/>
        <v>FY2026</v>
      </c>
      <c r="F324" s="8" t="s">
        <v>59</v>
      </c>
      <c r="G324" s="3" t="s">
        <v>35</v>
      </c>
      <c r="H324" t="s">
        <v>230</v>
      </c>
      <c r="I324" t="s">
        <v>231</v>
      </c>
      <c r="J324" s="3" t="s">
        <v>38</v>
      </c>
      <c r="K324" t="s">
        <v>50</v>
      </c>
      <c r="L324" s="3" t="s">
        <v>40</v>
      </c>
      <c r="M324" s="3" t="s">
        <v>110</v>
      </c>
      <c r="N324" t="s">
        <v>111</v>
      </c>
      <c r="O324" t="s">
        <v>112</v>
      </c>
      <c r="P324" t="s">
        <v>113</v>
      </c>
      <c r="Q324" s="3">
        <v>30504.23</v>
      </c>
      <c r="R324" s="3">
        <v>29154.7</v>
      </c>
      <c r="S324" s="3">
        <v>17883.990000000002</v>
      </c>
      <c r="T324" s="3">
        <v>3592.84</v>
      </c>
      <c r="U324" s="3">
        <v>1171.07</v>
      </c>
      <c r="V324" s="3">
        <v>3543.61</v>
      </c>
      <c r="W324" s="3">
        <v>670.03</v>
      </c>
      <c r="X324" s="3">
        <v>26861.54</v>
      </c>
      <c r="Y324" s="3">
        <v>12620.24</v>
      </c>
      <c r="Z324" s="3">
        <f t="shared" si="25"/>
        <v>3642.6899999999987</v>
      </c>
      <c r="AA324" s="37">
        <f t="shared" si="26"/>
        <v>0.11941589740177014</v>
      </c>
      <c r="AB324" s="3">
        <v>1349.53</v>
      </c>
      <c r="AC324" s="3">
        <v>3050.42</v>
      </c>
      <c r="AD324" s="3">
        <v>4941.6899999999996</v>
      </c>
      <c r="AE324" s="3">
        <v>32395.49</v>
      </c>
      <c r="AF324" t="str">
        <f>IF(tbl_FinancialData[[#This Row],[City]]="","Unknown",PROPER(TRIM(tbl_FinancialData[[#This Row],[City]])))</f>
        <v>Ludhiana</v>
      </c>
      <c r="AG324" t="str">
        <f>_xlfn.LET(_xlpm.city,LOWER(TRIM(tbl_FinancialData[[#This Row],[City]])),_xlpm.st,PROPER(TRIM(tbl_FinancialData[[#This Row],[State]])),IF(_xlpm.city="pune","Maharashtra",IF(_xlpm.city="jamshedpur","Jharkhand",IF(_xlpm.city="bhilai","Chhattisgarh",IF(_xlpm.city="mumbai","Maharashtra",_xlpm.st)))))</f>
        <v>Punjab</v>
      </c>
      <c r="AH324" t="str">
        <f>_xlfn.LET(_xlpm.d,PROPER(TRIM(tbl_FinancialData[[#This Row],[Department]])),IF(_xlpm.d="It","IT",_xlpm.d))</f>
        <v>Sales</v>
      </c>
      <c r="AI324" t="str">
        <f>_xlfn.LET(_xlpm.pid,tbl_FinancialData[[#This Row],[Product ID]],_xlpm.n,PROPER(TRIM(tbl_FinancialData[[#This Row],[Product Name]])),IF(_xlpm.pid="P020","Document Scanner",IF(_xlpm.pid="P015","Network Router",SUBSTITUTE(SUBSTITUTE(_xlpm.n,"Crm","CRM"),"Ups","UPS"))))</f>
        <v>Office Desk</v>
      </c>
      <c r="AJ324" s="3" t="str">
        <f>UPPER(TRIM(tbl_FinancialData[[#This Row],[Cost Center]]))</f>
        <v>CC-1002</v>
      </c>
    </row>
    <row r="325" spans="1:36" x14ac:dyDescent="0.25">
      <c r="A325" s="3" t="s">
        <v>525</v>
      </c>
      <c r="B325" s="2">
        <v>45906</v>
      </c>
      <c r="C325" t="s">
        <v>46</v>
      </c>
      <c r="D325" s="3" t="str">
        <f t="shared" si="23"/>
        <v>Q2</v>
      </c>
      <c r="E325" s="3" t="str">
        <f t="shared" si="24"/>
        <v>FY2026</v>
      </c>
      <c r="F325" s="8" t="s">
        <v>59</v>
      </c>
      <c r="G325" s="3" t="s">
        <v>35</v>
      </c>
      <c r="H325" t="s">
        <v>254</v>
      </c>
      <c r="I325" t="s">
        <v>200</v>
      </c>
      <c r="J325" s="3" t="s">
        <v>80</v>
      </c>
      <c r="K325" t="s">
        <v>50</v>
      </c>
      <c r="L325" s="3" t="s">
        <v>94</v>
      </c>
      <c r="M325" s="3" t="s">
        <v>62</v>
      </c>
      <c r="N325" t="s">
        <v>63</v>
      </c>
      <c r="O325" t="s">
        <v>54</v>
      </c>
      <c r="P325" t="s">
        <v>55</v>
      </c>
      <c r="Q325" s="3">
        <v>7007.87</v>
      </c>
      <c r="R325" s="3">
        <v>6982.58</v>
      </c>
      <c r="S325" s="3">
        <v>4759.01</v>
      </c>
      <c r="T325" s="3">
        <v>425.35</v>
      </c>
      <c r="U325" s="3">
        <v>601.28</v>
      </c>
      <c r="V325" s="3">
        <v>701.58</v>
      </c>
      <c r="W325" s="3">
        <v>300.95999999999998</v>
      </c>
      <c r="X325" s="3">
        <v>6788.19</v>
      </c>
      <c r="Y325" s="3">
        <v>2248.85</v>
      </c>
      <c r="Z325" s="3">
        <f t="shared" si="25"/>
        <v>219.68000000000029</v>
      </c>
      <c r="AA325" s="37">
        <f t="shared" si="26"/>
        <v>3.1347613468857199E-2</v>
      </c>
      <c r="AB325" s="3">
        <v>25.29</v>
      </c>
      <c r="AC325" s="3">
        <v>350.39</v>
      </c>
      <c r="AD325" s="3">
        <v>798.9</v>
      </c>
      <c r="AE325" s="3">
        <v>7456.37</v>
      </c>
      <c r="AF325" t="str">
        <f>IF(tbl_FinancialData[[#This Row],[City]]="","Unknown",PROPER(TRIM(tbl_FinancialData[[#This Row],[City]])))</f>
        <v>Gurugram</v>
      </c>
      <c r="AG325" t="str">
        <f>_xlfn.LET(_xlpm.city,LOWER(TRIM(tbl_FinancialData[[#This Row],[City]])),_xlpm.st,PROPER(TRIM(tbl_FinancialData[[#This Row],[State]])),IF(_xlpm.city="pune","Maharashtra",IF(_xlpm.city="jamshedpur","Jharkhand",IF(_xlpm.city="bhilai","Chhattisgarh",IF(_xlpm.city="mumbai","Maharashtra",_xlpm.st)))))</f>
        <v>Delhi</v>
      </c>
      <c r="AH325" t="str">
        <f>_xlfn.LET(_xlpm.d,PROPER(TRIM(tbl_FinancialData[[#This Row],[Department]])),IF(_xlpm.d="It","IT",_xlpm.d))</f>
        <v>Sales</v>
      </c>
      <c r="AI325" t="str">
        <f>_xlfn.LET(_xlpm.pid,tbl_FinancialData[[#This Row],[Product ID]],_xlpm.n,PROPER(TRIM(tbl_FinancialData[[#This Row],[Product Name]])),IF(_xlpm.pid="P020","Document Scanner",IF(_xlpm.pid="P015","Network Router",SUBSTITUTE(SUBSTITUTE(_xlpm.n,"Crm","CRM"),"Ups","UPS"))))</f>
        <v>Keyboard</v>
      </c>
      <c r="AJ325" s="3" t="str">
        <f>UPPER(TRIM(tbl_FinancialData[[#This Row],[Cost Center]]))</f>
        <v>CC-1001</v>
      </c>
    </row>
    <row r="326" spans="1:36" x14ac:dyDescent="0.25">
      <c r="A326" s="3" t="s">
        <v>526</v>
      </c>
      <c r="B326" s="2">
        <v>45789</v>
      </c>
      <c r="C326" t="s">
        <v>65</v>
      </c>
      <c r="D326" s="3" t="str">
        <f t="shared" si="23"/>
        <v>Q1</v>
      </c>
      <c r="E326" s="3" t="str">
        <f t="shared" si="24"/>
        <v>FY2026</v>
      </c>
      <c r="F326" s="8" t="s">
        <v>67</v>
      </c>
      <c r="G326" s="3" t="s">
        <v>35</v>
      </c>
      <c r="H326" t="s">
        <v>168</v>
      </c>
      <c r="I326" t="s">
        <v>169</v>
      </c>
      <c r="J326" s="3" t="s">
        <v>70</v>
      </c>
      <c r="K326" t="s">
        <v>71</v>
      </c>
      <c r="L326" s="3" t="s">
        <v>81</v>
      </c>
      <c r="M326" s="3" t="s">
        <v>41</v>
      </c>
      <c r="N326" t="s">
        <v>42</v>
      </c>
      <c r="O326" t="s">
        <v>43</v>
      </c>
      <c r="P326" t="s">
        <v>44</v>
      </c>
      <c r="Q326" s="3">
        <v>33946.44</v>
      </c>
      <c r="R326" s="3">
        <v>37394.17</v>
      </c>
      <c r="S326" s="3">
        <v>16814.04</v>
      </c>
      <c r="T326" s="3">
        <v>2748.91</v>
      </c>
      <c r="U326" s="3">
        <v>1472.59</v>
      </c>
      <c r="V326" s="3">
        <v>2184.77</v>
      </c>
      <c r="W326" s="3">
        <v>1507.33</v>
      </c>
      <c r="X326" s="3">
        <v>24727.63</v>
      </c>
      <c r="Y326" s="3">
        <v>17132.41</v>
      </c>
      <c r="Z326" s="3">
        <f t="shared" si="25"/>
        <v>9218.8100000000013</v>
      </c>
      <c r="AA326" s="37">
        <f t="shared" si="26"/>
        <v>0.2715692720650531</v>
      </c>
      <c r="AB326" s="3">
        <v>-3447.73</v>
      </c>
      <c r="AC326" s="3">
        <v>1697.32</v>
      </c>
      <c r="AD326" s="3">
        <v>5804.84</v>
      </c>
      <c r="AE326" s="3">
        <v>38053.96</v>
      </c>
      <c r="AF326" t="str">
        <f>IF(tbl_FinancialData[[#This Row],[City]]="","Unknown",PROPER(TRIM(tbl_FinancialData[[#This Row],[City]])))</f>
        <v>Kolkata</v>
      </c>
      <c r="AG326" t="str">
        <f>_xlfn.LET(_xlpm.city,LOWER(TRIM(tbl_FinancialData[[#This Row],[City]])),_xlpm.st,PROPER(TRIM(tbl_FinancialData[[#This Row],[State]])),IF(_xlpm.city="pune","Maharashtra",IF(_xlpm.city="jamshedpur","Jharkhand",IF(_xlpm.city="bhilai","Chhattisgarh",IF(_xlpm.city="mumbai","Maharashtra",_xlpm.st)))))</f>
        <v>West Bengal</v>
      </c>
      <c r="AH326" t="str">
        <f>_xlfn.LET(_xlpm.d,PROPER(TRIM(tbl_FinancialData[[#This Row],[Department]])),IF(_xlpm.d="It","IT",_xlpm.d))</f>
        <v>Marketing</v>
      </c>
      <c r="AI326" t="str">
        <f>_xlfn.LET(_xlpm.pid,tbl_FinancialData[[#This Row],[Product ID]],_xlpm.n,PROPER(TRIM(tbl_FinancialData[[#This Row],[Product Name]])),IF(_xlpm.pid="P020","Document Scanner",IF(_xlpm.pid="P015","Network Router",SUBSTITUTE(SUBSTITUTE(_xlpm.n,"Crm","CRM"),"Ups","UPS"))))</f>
        <v>Conference Camera</v>
      </c>
      <c r="AJ326" s="3" t="str">
        <f>UPPER(TRIM(tbl_FinancialData[[#This Row],[Cost Center]]))</f>
        <v>CC-1005</v>
      </c>
    </row>
    <row r="327" spans="1:36" x14ac:dyDescent="0.25">
      <c r="A327" s="3" t="s">
        <v>527</v>
      </c>
      <c r="B327" s="2">
        <v>46028</v>
      </c>
      <c r="C327" t="s">
        <v>77</v>
      </c>
      <c r="D327" s="3" t="str">
        <f t="shared" si="23"/>
        <v>Q4</v>
      </c>
      <c r="E327" s="3" t="str">
        <f t="shared" si="24"/>
        <v>FY2026</v>
      </c>
      <c r="F327" s="8" t="s">
        <v>67</v>
      </c>
      <c r="G327" s="3" t="s">
        <v>35</v>
      </c>
      <c r="H327" t="s">
        <v>68</v>
      </c>
      <c r="I327" t="s">
        <v>69</v>
      </c>
      <c r="J327" s="3" t="s">
        <v>70</v>
      </c>
      <c r="K327" t="s">
        <v>39</v>
      </c>
      <c r="L327" s="3" t="s">
        <v>81</v>
      </c>
      <c r="M327" s="3" t="s">
        <v>120</v>
      </c>
      <c r="N327" t="s">
        <v>121</v>
      </c>
      <c r="O327" t="s">
        <v>43</v>
      </c>
      <c r="P327" t="s">
        <v>122</v>
      </c>
      <c r="Q327" s="3">
        <v>56811.15</v>
      </c>
      <c r="R327" s="3">
        <v>61133.120000000003</v>
      </c>
      <c r="S327" s="3">
        <v>31005.1</v>
      </c>
      <c r="T327" s="3">
        <v>5535.93</v>
      </c>
      <c r="U327" s="3">
        <v>3226.86</v>
      </c>
      <c r="V327" s="3">
        <v>2878.48</v>
      </c>
      <c r="W327" s="3">
        <v>1050.3800000000001</v>
      </c>
      <c r="X327" s="3">
        <v>43696.76</v>
      </c>
      <c r="Y327" s="3">
        <v>25806.05</v>
      </c>
      <c r="Z327" s="3">
        <f t="shared" si="25"/>
        <v>13114.39</v>
      </c>
      <c r="AA327" s="37">
        <f t="shared" si="26"/>
        <v>0.23084183298525024</v>
      </c>
      <c r="AB327" s="3">
        <v>-4321.97</v>
      </c>
      <c r="AC327" s="3">
        <v>1136.22</v>
      </c>
      <c r="AD327" s="3">
        <v>10021.49</v>
      </c>
      <c r="AE327" s="3">
        <v>65696.42</v>
      </c>
      <c r="AF327" t="str">
        <f>IF(tbl_FinancialData[[#This Row],[City]]="","Unknown",PROPER(TRIM(tbl_FinancialData[[#This Row],[City]])))</f>
        <v>Bhubaneswar</v>
      </c>
      <c r="AG327" t="str">
        <f>_xlfn.LET(_xlpm.city,LOWER(TRIM(tbl_FinancialData[[#This Row],[City]])),_xlpm.st,PROPER(TRIM(tbl_FinancialData[[#This Row],[State]])),IF(_xlpm.city="pune","Maharashtra",IF(_xlpm.city="jamshedpur","Jharkhand",IF(_xlpm.city="bhilai","Chhattisgarh",IF(_xlpm.city="mumbai","Maharashtra",_xlpm.st)))))</f>
        <v>Odisha</v>
      </c>
      <c r="AH327" t="str">
        <f>_xlfn.LET(_xlpm.d,PROPER(TRIM(tbl_FinancialData[[#This Row],[Department]])),IF(_xlpm.d="It","IT",_xlpm.d))</f>
        <v>Operations</v>
      </c>
      <c r="AI327" t="str">
        <f>_xlfn.LET(_xlpm.pid,tbl_FinancialData[[#This Row],[Product ID]],_xlpm.n,PROPER(TRIM(tbl_FinancialData[[#This Row],[Product Name]])),IF(_xlpm.pid="P020","Document Scanner",IF(_xlpm.pid="P015","Network Router",SUBSTITUTE(SUBSTITUTE(_xlpm.n,"Crm","CRM"),"Ups","UPS"))))</f>
        <v>Projector</v>
      </c>
      <c r="AJ327" s="3" t="str">
        <f>UPPER(TRIM(tbl_FinancialData[[#This Row],[Cost Center]]))</f>
        <v>CC-1005</v>
      </c>
    </row>
    <row r="328" spans="1:36" x14ac:dyDescent="0.25">
      <c r="A328" s="3" t="s">
        <v>528</v>
      </c>
      <c r="B328" s="2">
        <v>45863</v>
      </c>
      <c r="C328" t="s">
        <v>32</v>
      </c>
      <c r="D328" s="3" t="str">
        <f t="shared" si="23"/>
        <v>Q2</v>
      </c>
      <c r="E328" s="3" t="str">
        <f t="shared" si="24"/>
        <v>FY2026</v>
      </c>
      <c r="F328" s="8" t="s">
        <v>47</v>
      </c>
      <c r="G328" s="3" t="s">
        <v>35</v>
      </c>
      <c r="H328" t="s">
        <v>48</v>
      </c>
      <c r="I328" t="s">
        <v>49</v>
      </c>
      <c r="J328" s="3" t="s">
        <v>70</v>
      </c>
      <c r="K328" t="s">
        <v>39</v>
      </c>
      <c r="L328" s="3" t="s">
        <v>94</v>
      </c>
      <c r="M328" s="3" t="s">
        <v>171</v>
      </c>
      <c r="N328" t="s">
        <v>172</v>
      </c>
      <c r="O328" t="s">
        <v>173</v>
      </c>
      <c r="P328" t="s">
        <v>174</v>
      </c>
      <c r="Q328" s="3">
        <v>42790.13</v>
      </c>
      <c r="R328" s="3">
        <v>45065.06</v>
      </c>
      <c r="S328" s="3">
        <v>27461.39</v>
      </c>
      <c r="T328" s="3">
        <v>2196.54</v>
      </c>
      <c r="U328" s="3">
        <v>2012.48</v>
      </c>
      <c r="V328" s="3">
        <v>4435.32</v>
      </c>
      <c r="W328" s="3">
        <v>543.94000000000005</v>
      </c>
      <c r="X328" s="3">
        <v>36649.67</v>
      </c>
      <c r="Y328" s="3">
        <v>15328.75</v>
      </c>
      <c r="Z328" s="3">
        <f t="shared" si="25"/>
        <v>6140.4599999999991</v>
      </c>
      <c r="AA328" s="37">
        <f t="shared" si="26"/>
        <v>0.1435017841731259</v>
      </c>
      <c r="AB328" s="3">
        <v>-2274.9299999999998</v>
      </c>
      <c r="AC328" s="3">
        <v>855.8</v>
      </c>
      <c r="AD328" s="3">
        <v>5032.12</v>
      </c>
      <c r="AE328" s="3">
        <v>46966.45</v>
      </c>
      <c r="AF328" t="str">
        <f>IF(tbl_FinancialData[[#This Row],[City]]="","Unknown",PROPER(TRIM(tbl_FinancialData[[#This Row],[City]])))</f>
        <v>Chennai</v>
      </c>
      <c r="AG328" t="str">
        <f>_xlfn.LET(_xlpm.city,LOWER(TRIM(tbl_FinancialData[[#This Row],[City]])),_xlpm.st,PROPER(TRIM(tbl_FinancialData[[#This Row],[State]])),IF(_xlpm.city="pune","Maharashtra",IF(_xlpm.city="jamshedpur","Jharkhand",IF(_xlpm.city="bhilai","Chhattisgarh",IF(_xlpm.city="mumbai","Maharashtra",_xlpm.st)))))</f>
        <v>Tamil Nadu</v>
      </c>
      <c r="AH328" t="str">
        <f>_xlfn.LET(_xlpm.d,PROPER(TRIM(tbl_FinancialData[[#This Row],[Department]])),IF(_xlpm.d="It","IT",_xlpm.d))</f>
        <v>Operations</v>
      </c>
      <c r="AI328" t="str">
        <f>_xlfn.LET(_xlpm.pid,tbl_FinancialData[[#This Row],[Product ID]],_xlpm.n,PROPER(TRIM(tbl_FinancialData[[#This Row],[Product Name]])),IF(_xlpm.pid="P020","Document Scanner",IF(_xlpm.pid="P015","Network Router",SUBSTITUTE(SUBSTITUTE(_xlpm.n,"Crm","CRM"),"Ups","UPS"))))</f>
        <v>Network Switch</v>
      </c>
      <c r="AJ328" s="3" t="str">
        <f>UPPER(TRIM(tbl_FinancialData[[#This Row],[Cost Center]]))</f>
        <v>CC-1001</v>
      </c>
    </row>
    <row r="329" spans="1:36" x14ac:dyDescent="0.25">
      <c r="A329" s="3" t="s">
        <v>529</v>
      </c>
      <c r="B329" s="2">
        <v>45962</v>
      </c>
      <c r="C329" t="s">
        <v>147</v>
      </c>
      <c r="D329" s="3" t="str">
        <f t="shared" si="23"/>
        <v>Q3</v>
      </c>
      <c r="E329" s="3" t="str">
        <f t="shared" si="24"/>
        <v>FY2026</v>
      </c>
      <c r="F329" s="8" t="s">
        <v>59</v>
      </c>
      <c r="G329" s="3" t="s">
        <v>35</v>
      </c>
      <c r="H329" t="s">
        <v>60</v>
      </c>
      <c r="I329" t="s">
        <v>108</v>
      </c>
      <c r="J329" s="3" t="s">
        <v>100</v>
      </c>
      <c r="K329" t="s">
        <v>50</v>
      </c>
      <c r="L329" s="3" t="s">
        <v>51</v>
      </c>
      <c r="M329" s="3" t="s">
        <v>221</v>
      </c>
      <c r="N329" t="s">
        <v>222</v>
      </c>
      <c r="O329" t="s">
        <v>104</v>
      </c>
      <c r="P329" t="s">
        <v>223</v>
      </c>
      <c r="Q329" s="3">
        <v>21441.3</v>
      </c>
      <c r="R329" s="3">
        <v>23482.05</v>
      </c>
      <c r="S329" s="3">
        <v>13287.1</v>
      </c>
      <c r="T329" s="3">
        <v>2440.54</v>
      </c>
      <c r="U329" s="3">
        <v>1740.69</v>
      </c>
      <c r="V329" s="3">
        <v>1641.35</v>
      </c>
      <c r="W329" s="3">
        <v>570.96</v>
      </c>
      <c r="X329" s="3">
        <v>19680.64</v>
      </c>
      <c r="Y329" s="3">
        <v>8154.19</v>
      </c>
      <c r="Z329" s="3">
        <f t="shared" si="25"/>
        <v>1760.6599999999999</v>
      </c>
      <c r="AA329" s="37">
        <f t="shared" si="26"/>
        <v>8.2115356811387361E-2</v>
      </c>
      <c r="AB329" s="3">
        <v>-2040.75</v>
      </c>
      <c r="AC329" s="3">
        <v>643.24</v>
      </c>
      <c r="AD329" s="3">
        <v>3743.65</v>
      </c>
      <c r="AE329" s="3">
        <v>24541.71</v>
      </c>
      <c r="AF329" t="str">
        <f>IF(tbl_FinancialData[[#This Row],[City]]="","Unknown",PROPER(TRIM(tbl_FinancialData[[#This Row],[City]])))</f>
        <v>Agra</v>
      </c>
      <c r="AG329" t="str">
        <f>_xlfn.LET(_xlpm.city,LOWER(TRIM(tbl_FinancialData[[#This Row],[City]])),_xlpm.st,PROPER(TRIM(tbl_FinancialData[[#This Row],[State]])),IF(_xlpm.city="pune","Maharashtra",IF(_xlpm.city="jamshedpur","Jharkhand",IF(_xlpm.city="bhilai","Chhattisgarh",IF(_xlpm.city="mumbai","Maharashtra",_xlpm.st)))))</f>
        <v>Uttar Pradesh</v>
      </c>
      <c r="AH329" t="str">
        <f>_xlfn.LET(_xlpm.d,PROPER(TRIM(tbl_FinancialData[[#This Row],[Department]])),IF(_xlpm.d="It","IT",_xlpm.d))</f>
        <v>Sales</v>
      </c>
      <c r="AI329" t="str">
        <f>_xlfn.LET(_xlpm.pid,tbl_FinancialData[[#This Row],[Product ID]],_xlpm.n,PROPER(TRIM(tbl_FinancialData[[#This Row],[Product Name]])),IF(_xlpm.pid="P020","Document Scanner",IF(_xlpm.pid="P015","Network Router",SUBSTITUTE(SUBSTITUTE(_xlpm.n,"Crm","CRM"),"Ups","UPS"))))</f>
        <v>Cloud Software</v>
      </c>
      <c r="AJ329" s="3" t="str">
        <f>UPPER(TRIM(tbl_FinancialData[[#This Row],[Cost Center]]))</f>
        <v>CC-1003</v>
      </c>
    </row>
    <row r="330" spans="1:36" x14ac:dyDescent="0.25">
      <c r="A330" s="3" t="s">
        <v>530</v>
      </c>
      <c r="B330" s="2">
        <v>45961</v>
      </c>
      <c r="C330" t="s">
        <v>92</v>
      </c>
      <c r="D330" s="3" t="str">
        <f t="shared" si="23"/>
        <v>Q3</v>
      </c>
      <c r="E330" s="3" t="str">
        <f t="shared" si="24"/>
        <v>FY2026</v>
      </c>
      <c r="F330" s="8" t="s">
        <v>34</v>
      </c>
      <c r="G330" s="3" t="s">
        <v>35</v>
      </c>
      <c r="H330" t="s">
        <v>157</v>
      </c>
      <c r="I330" t="s">
        <v>158</v>
      </c>
      <c r="J330" s="3" t="s">
        <v>100</v>
      </c>
      <c r="K330" t="s">
        <v>101</v>
      </c>
      <c r="L330" s="3" t="s">
        <v>94</v>
      </c>
      <c r="M330" s="3" t="s">
        <v>102</v>
      </c>
      <c r="N330" t="s">
        <v>103</v>
      </c>
      <c r="O330" t="s">
        <v>104</v>
      </c>
      <c r="P330" t="s">
        <v>105</v>
      </c>
      <c r="Q330" s="3">
        <v>17648.759999999998</v>
      </c>
      <c r="R330" s="3">
        <v>20178.27</v>
      </c>
      <c r="S330" s="3">
        <v>9335.4699999999993</v>
      </c>
      <c r="T330" s="3">
        <v>2049.3200000000002</v>
      </c>
      <c r="U330" s="3">
        <v>1080.98</v>
      </c>
      <c r="V330" s="3">
        <v>783.05</v>
      </c>
      <c r="W330" s="3">
        <v>776.8</v>
      </c>
      <c r="X330" s="3">
        <v>14025.63</v>
      </c>
      <c r="Y330" s="3">
        <v>8313.2999999999993</v>
      </c>
      <c r="Z330" s="3">
        <f t="shared" si="25"/>
        <v>3623.1299999999992</v>
      </c>
      <c r="AA330" s="37">
        <f t="shared" si="26"/>
        <v>0.20529090995628019</v>
      </c>
      <c r="AB330" s="3">
        <v>-2529.5100000000002</v>
      </c>
      <c r="AC330" s="3">
        <v>529.46</v>
      </c>
      <c r="AD330" s="3">
        <v>2054.3200000000002</v>
      </c>
      <c r="AE330" s="3">
        <v>19173.62</v>
      </c>
      <c r="AF330" t="str">
        <f>IF(tbl_FinancialData[[#This Row],[City]]="","Unknown",PROPER(TRIM(tbl_FinancialData[[#This Row],[City]])))</f>
        <v>Ahmedabad</v>
      </c>
      <c r="AG330" t="str">
        <f>_xlfn.LET(_xlpm.city,LOWER(TRIM(tbl_FinancialData[[#This Row],[City]])),_xlpm.st,PROPER(TRIM(tbl_FinancialData[[#This Row],[State]])),IF(_xlpm.city="pune","Maharashtra",IF(_xlpm.city="jamshedpur","Jharkhand",IF(_xlpm.city="bhilai","Chhattisgarh",IF(_xlpm.city="mumbai","Maharashtra",_xlpm.st)))))</f>
        <v>Gujarat</v>
      </c>
      <c r="AH330" t="str">
        <f>_xlfn.LET(_xlpm.d,PROPER(TRIM(tbl_FinancialData[[#This Row],[Department]])),IF(_xlpm.d="It","IT",_xlpm.d))</f>
        <v>Finance</v>
      </c>
      <c r="AI330" t="str">
        <f>_xlfn.LET(_xlpm.pid,tbl_FinancialData[[#This Row],[Product ID]],_xlpm.n,PROPER(TRIM(tbl_FinancialData[[#This Row],[Product Name]])),IF(_xlpm.pid="P020","Document Scanner",IF(_xlpm.pid="P015","Network Router",SUBSTITUTE(SUBSTITUTE(_xlpm.n,"Crm","CRM"),"Ups","UPS"))))</f>
        <v>Accounting Software</v>
      </c>
      <c r="AJ330" s="3" t="str">
        <f>UPPER(TRIM(tbl_FinancialData[[#This Row],[Cost Center]]))</f>
        <v>CC-1001</v>
      </c>
    </row>
    <row r="331" spans="1:36" x14ac:dyDescent="0.25">
      <c r="A331" s="3" t="s">
        <v>531</v>
      </c>
      <c r="B331" s="2">
        <v>45784</v>
      </c>
      <c r="C331" t="s">
        <v>65</v>
      </c>
      <c r="D331" s="3" t="str">
        <f t="shared" si="23"/>
        <v>Q1</v>
      </c>
      <c r="E331" s="3" t="str">
        <f t="shared" si="24"/>
        <v>FY2026</v>
      </c>
      <c r="F331" s="8" t="s">
        <v>85</v>
      </c>
      <c r="G331" s="3" t="s">
        <v>35</v>
      </c>
      <c r="H331" t="s">
        <v>178</v>
      </c>
      <c r="I331" t="s">
        <v>329</v>
      </c>
      <c r="J331" s="3" t="s">
        <v>100</v>
      </c>
      <c r="K331" t="s">
        <v>50</v>
      </c>
      <c r="L331" s="3" t="s">
        <v>72</v>
      </c>
      <c r="M331" s="3" t="s">
        <v>211</v>
      </c>
      <c r="N331" t="s">
        <v>212</v>
      </c>
      <c r="O331" t="s">
        <v>112</v>
      </c>
      <c r="P331" t="s">
        <v>113</v>
      </c>
      <c r="Q331" s="3">
        <v>31665.97</v>
      </c>
      <c r="R331" s="3">
        <v>29779.37</v>
      </c>
      <c r="S331" s="3">
        <v>15272.19</v>
      </c>
      <c r="T331" s="3">
        <v>1774.06</v>
      </c>
      <c r="U331" s="3">
        <v>1565.26</v>
      </c>
      <c r="V331" s="3">
        <v>3345.31</v>
      </c>
      <c r="W331" s="3">
        <v>324.58</v>
      </c>
      <c r="X331" s="3">
        <v>22281.39</v>
      </c>
      <c r="Y331" s="3">
        <v>16393.78</v>
      </c>
      <c r="Z331" s="3">
        <f t="shared" si="25"/>
        <v>9384.5800000000017</v>
      </c>
      <c r="AA331" s="37">
        <f t="shared" si="26"/>
        <v>0.29636167785164963</v>
      </c>
      <c r="AB331" s="3">
        <v>1886.6</v>
      </c>
      <c r="AC331" s="3">
        <v>949.98</v>
      </c>
      <c r="AD331" s="3">
        <v>3685.92</v>
      </c>
      <c r="AE331" s="3">
        <v>34401.910000000003</v>
      </c>
      <c r="AF331" t="str">
        <f>IF(tbl_FinancialData[[#This Row],[City]]="","Unknown",PROPER(TRIM(tbl_FinancialData[[#This Row],[City]])))</f>
        <v>Raipur</v>
      </c>
      <c r="AG331" t="str">
        <f>_xlfn.LET(_xlpm.city,LOWER(TRIM(tbl_FinancialData[[#This Row],[City]])),_xlpm.st,PROPER(TRIM(tbl_FinancialData[[#This Row],[State]])),IF(_xlpm.city="pune","Maharashtra",IF(_xlpm.city="jamshedpur","Jharkhand",IF(_xlpm.city="bhilai","Chhattisgarh",IF(_xlpm.city="mumbai","Maharashtra",_xlpm.st)))))</f>
        <v>Chhattisgarh</v>
      </c>
      <c r="AH331" t="str">
        <f>_xlfn.LET(_xlpm.d,PROPER(TRIM(tbl_FinancialData[[#This Row],[Department]])),IF(_xlpm.d="It","IT",_xlpm.d))</f>
        <v>Sales</v>
      </c>
      <c r="AI331" t="str">
        <f>_xlfn.LET(_xlpm.pid,tbl_FinancialData[[#This Row],[Product ID]],_xlpm.n,PROPER(TRIM(tbl_FinancialData[[#This Row],[Product Name]])),IF(_xlpm.pid="P020","Document Scanner",IF(_xlpm.pid="P015","Network Router",SUBSTITUTE(SUBSTITUTE(_xlpm.n,"Crm","CRM"),"Ups","UPS"))))</f>
        <v>Office Chair</v>
      </c>
      <c r="AJ331" s="3" t="str">
        <f>UPPER(TRIM(tbl_FinancialData[[#This Row],[Cost Center]]))</f>
        <v>CC-1004</v>
      </c>
    </row>
    <row r="332" spans="1:36" x14ac:dyDescent="0.25">
      <c r="A332" s="3" t="s">
        <v>532</v>
      </c>
      <c r="B332" s="2">
        <v>45978</v>
      </c>
      <c r="C332" t="s">
        <v>147</v>
      </c>
      <c r="D332" s="3" t="str">
        <f t="shared" si="23"/>
        <v>Q3</v>
      </c>
      <c r="E332" s="3" t="str">
        <f t="shared" si="24"/>
        <v>FY2026</v>
      </c>
      <c r="F332" s="8" t="s">
        <v>85</v>
      </c>
      <c r="G332" s="3" t="s">
        <v>35</v>
      </c>
      <c r="H332" t="s">
        <v>178</v>
      </c>
      <c r="I332" t="s">
        <v>249</v>
      </c>
      <c r="J332" s="3" t="s">
        <v>100</v>
      </c>
      <c r="K332" t="s">
        <v>50</v>
      </c>
      <c r="L332" s="3" t="s">
        <v>51</v>
      </c>
      <c r="M332" s="3" t="s">
        <v>141</v>
      </c>
      <c r="N332" t="s">
        <v>142</v>
      </c>
      <c r="O332" t="s">
        <v>54</v>
      </c>
      <c r="P332" t="s">
        <v>143</v>
      </c>
      <c r="Q332" s="3">
        <v>2882.25</v>
      </c>
      <c r="R332" s="3">
        <v>3086.23</v>
      </c>
      <c r="S332" s="3">
        <v>1913.26</v>
      </c>
      <c r="T332" s="3">
        <v>162.38</v>
      </c>
      <c r="U332" s="3">
        <v>80.87</v>
      </c>
      <c r="V332" s="3">
        <v>119.77</v>
      </c>
      <c r="W332" s="3">
        <v>47.87</v>
      </c>
      <c r="X332" s="3">
        <v>2324.15</v>
      </c>
      <c r="Y332" s="3">
        <v>968.99</v>
      </c>
      <c r="Z332" s="3">
        <f t="shared" si="25"/>
        <v>558.09999999999991</v>
      </c>
      <c r="AA332" s="37">
        <f t="shared" si="26"/>
        <v>0.19363344609246244</v>
      </c>
      <c r="AB332" s="3">
        <v>-203.99</v>
      </c>
      <c r="AC332" s="3">
        <v>86.47</v>
      </c>
      <c r="AD332" s="3">
        <v>503.24</v>
      </c>
      <c r="AE332" s="3">
        <v>3299.02</v>
      </c>
      <c r="AF332" t="str">
        <f>IF(tbl_FinancialData[[#This Row],[City]]="","Unknown",PROPER(TRIM(tbl_FinancialData[[#This Row],[City]])))</f>
        <v>Bhilai</v>
      </c>
      <c r="AG332" t="str">
        <f>_xlfn.LET(_xlpm.city,LOWER(TRIM(tbl_FinancialData[[#This Row],[City]])),_xlpm.st,PROPER(TRIM(tbl_FinancialData[[#This Row],[State]])),IF(_xlpm.city="pune","Maharashtra",IF(_xlpm.city="jamshedpur","Jharkhand",IF(_xlpm.city="bhilai","Chhattisgarh",IF(_xlpm.city="mumbai","Maharashtra",_xlpm.st)))))</f>
        <v>Chhattisgarh</v>
      </c>
      <c r="AH332" t="str">
        <f>_xlfn.LET(_xlpm.d,PROPER(TRIM(tbl_FinancialData[[#This Row],[Department]])),IF(_xlpm.d="It","IT",_xlpm.d))</f>
        <v>Sales</v>
      </c>
      <c r="AI332" t="str">
        <f>_xlfn.LET(_xlpm.pid,tbl_FinancialData[[#This Row],[Product ID]],_xlpm.n,PROPER(TRIM(tbl_FinancialData[[#This Row],[Product Name]])),IF(_xlpm.pid="P020","Document Scanner",IF(_xlpm.pid="P015","Network Router",SUBSTITUTE(SUBSTITUTE(_xlpm.n,"Crm","CRM"),"Ups","UPS"))))</f>
        <v>Headset</v>
      </c>
      <c r="AJ332" s="3" t="str">
        <f>UPPER(TRIM(tbl_FinancialData[[#This Row],[Cost Center]]))</f>
        <v>CC-1003</v>
      </c>
    </row>
    <row r="333" spans="1:36" x14ac:dyDescent="0.25">
      <c r="A333" s="3" t="s">
        <v>533</v>
      </c>
      <c r="B333" s="2">
        <v>45918</v>
      </c>
      <c r="C333" t="s">
        <v>46</v>
      </c>
      <c r="D333" s="3" t="str">
        <f t="shared" si="23"/>
        <v>Q2</v>
      </c>
      <c r="E333" s="3" t="str">
        <f t="shared" si="24"/>
        <v>FY2026</v>
      </c>
      <c r="F333" s="8" t="s">
        <v>59</v>
      </c>
      <c r="G333" s="3" t="s">
        <v>35</v>
      </c>
      <c r="H333" t="s">
        <v>60</v>
      </c>
      <c r="I333" t="s">
        <v>185</v>
      </c>
      <c r="J333" s="3" t="s">
        <v>80</v>
      </c>
      <c r="K333" t="s">
        <v>50</v>
      </c>
      <c r="L333" s="3" t="s">
        <v>94</v>
      </c>
      <c r="M333" s="3" t="s">
        <v>221</v>
      </c>
      <c r="N333" t="s">
        <v>222</v>
      </c>
      <c r="O333" t="s">
        <v>104</v>
      </c>
      <c r="P333" t="s">
        <v>223</v>
      </c>
      <c r="Q333" s="3">
        <v>17944.2</v>
      </c>
      <c r="R333" s="3">
        <v>17886.099999999999</v>
      </c>
      <c r="S333" s="3">
        <v>12435</v>
      </c>
      <c r="T333" s="3">
        <v>2180.48</v>
      </c>
      <c r="U333" s="3">
        <v>840.29</v>
      </c>
      <c r="V333" s="3">
        <v>1600.72</v>
      </c>
      <c r="W333" s="3">
        <v>761.58</v>
      </c>
      <c r="X333" s="3">
        <v>17818.080000000002</v>
      </c>
      <c r="Y333" s="3">
        <v>5509.19</v>
      </c>
      <c r="Z333" s="3">
        <f t="shared" si="25"/>
        <v>126.11999999999898</v>
      </c>
      <c r="AA333" s="37">
        <f t="shared" si="26"/>
        <v>7.0284548767846422E-3</v>
      </c>
      <c r="AB333" s="3">
        <v>58.09</v>
      </c>
      <c r="AC333" s="3">
        <v>1794.42</v>
      </c>
      <c r="AD333" s="3">
        <v>1937.97</v>
      </c>
      <c r="AE333" s="3">
        <v>18087.75</v>
      </c>
      <c r="AF333" t="str">
        <f>IF(tbl_FinancialData[[#This Row],[City]]="","Unknown",PROPER(TRIM(tbl_FinancialData[[#This Row],[City]])))</f>
        <v>Kanpur</v>
      </c>
      <c r="AG333" t="str">
        <f>_xlfn.LET(_xlpm.city,LOWER(TRIM(tbl_FinancialData[[#This Row],[City]])),_xlpm.st,PROPER(TRIM(tbl_FinancialData[[#This Row],[State]])),IF(_xlpm.city="pune","Maharashtra",IF(_xlpm.city="jamshedpur","Jharkhand",IF(_xlpm.city="bhilai","Chhattisgarh",IF(_xlpm.city="mumbai","Maharashtra",_xlpm.st)))))</f>
        <v>Uttar Pradesh</v>
      </c>
      <c r="AH333" t="str">
        <f>_xlfn.LET(_xlpm.d,PROPER(TRIM(tbl_FinancialData[[#This Row],[Department]])),IF(_xlpm.d="It","IT",_xlpm.d))</f>
        <v>Sales</v>
      </c>
      <c r="AI333" t="str">
        <f>_xlfn.LET(_xlpm.pid,tbl_FinancialData[[#This Row],[Product ID]],_xlpm.n,PROPER(TRIM(tbl_FinancialData[[#This Row],[Product Name]])),IF(_xlpm.pid="P020","Document Scanner",IF(_xlpm.pid="P015","Network Router",SUBSTITUTE(SUBSTITUTE(_xlpm.n,"Crm","CRM"),"Ups","UPS"))))</f>
        <v>Cloud Software</v>
      </c>
      <c r="AJ333" s="3" t="str">
        <f>UPPER(TRIM(tbl_FinancialData[[#This Row],[Cost Center]]))</f>
        <v>CC-1001</v>
      </c>
    </row>
    <row r="334" spans="1:36" x14ac:dyDescent="0.25">
      <c r="A334" s="3" t="s">
        <v>534</v>
      </c>
      <c r="B334" s="2">
        <v>45929</v>
      </c>
      <c r="C334" t="s">
        <v>46</v>
      </c>
      <c r="D334" s="3" t="str">
        <f t="shared" si="23"/>
        <v>Q2</v>
      </c>
      <c r="E334" s="3" t="str">
        <f t="shared" si="24"/>
        <v>FY2026</v>
      </c>
      <c r="F334" s="8" t="s">
        <v>85</v>
      </c>
      <c r="G334" s="3" t="s">
        <v>35</v>
      </c>
      <c r="H334" t="s">
        <v>86</v>
      </c>
      <c r="I334" t="s">
        <v>181</v>
      </c>
      <c r="J334" s="3" t="s">
        <v>100</v>
      </c>
      <c r="K334" t="s">
        <v>50</v>
      </c>
      <c r="L334" s="3" t="s">
        <v>94</v>
      </c>
      <c r="M334" s="3" t="s">
        <v>41</v>
      </c>
      <c r="N334" t="s">
        <v>42</v>
      </c>
      <c r="O334" t="s">
        <v>43</v>
      </c>
      <c r="P334" t="s">
        <v>44</v>
      </c>
      <c r="Q334" s="3">
        <v>49968.44</v>
      </c>
      <c r="R334" s="3">
        <v>44796.2</v>
      </c>
      <c r="S334" s="3">
        <v>30922.97</v>
      </c>
      <c r="T334" s="3">
        <v>2828.5</v>
      </c>
      <c r="U334" s="3">
        <v>1751.09</v>
      </c>
      <c r="V334" s="3">
        <v>3755.88</v>
      </c>
      <c r="W334" s="3">
        <v>1392.43</v>
      </c>
      <c r="X334" s="3">
        <v>40650.86</v>
      </c>
      <c r="Y334" s="3">
        <v>19045.47</v>
      </c>
      <c r="Z334" s="3">
        <f t="shared" si="25"/>
        <v>9317.5800000000017</v>
      </c>
      <c r="AA334" s="37">
        <f t="shared" si="26"/>
        <v>0.18646929942179508</v>
      </c>
      <c r="AB334" s="3">
        <v>5172.24</v>
      </c>
      <c r="AC334" s="3">
        <v>999.37</v>
      </c>
      <c r="AD334" s="3">
        <v>5876.29</v>
      </c>
      <c r="AE334" s="3">
        <v>54845.36</v>
      </c>
      <c r="AF334" t="str">
        <f>IF(tbl_FinancialData[[#This Row],[City]]="","Unknown",PROPER(TRIM(tbl_FinancialData[[#This Row],[City]])))</f>
        <v>Bhopal</v>
      </c>
      <c r="AG334" t="str">
        <f>_xlfn.LET(_xlpm.city,LOWER(TRIM(tbl_FinancialData[[#This Row],[City]])),_xlpm.st,PROPER(TRIM(tbl_FinancialData[[#This Row],[State]])),IF(_xlpm.city="pune","Maharashtra",IF(_xlpm.city="jamshedpur","Jharkhand",IF(_xlpm.city="bhilai","Chhattisgarh",IF(_xlpm.city="mumbai","Maharashtra",_xlpm.st)))))</f>
        <v>Madhya Pradesh</v>
      </c>
      <c r="AH334" t="str">
        <f>_xlfn.LET(_xlpm.d,PROPER(TRIM(tbl_FinancialData[[#This Row],[Department]])),IF(_xlpm.d="It","IT",_xlpm.d))</f>
        <v>Sales</v>
      </c>
      <c r="AI334" t="str">
        <f>_xlfn.LET(_xlpm.pid,tbl_FinancialData[[#This Row],[Product ID]],_xlpm.n,PROPER(TRIM(tbl_FinancialData[[#This Row],[Product Name]])),IF(_xlpm.pid="P020","Document Scanner",IF(_xlpm.pid="P015","Network Router",SUBSTITUTE(SUBSTITUTE(_xlpm.n,"Crm","CRM"),"Ups","UPS"))))</f>
        <v>Conference Camera</v>
      </c>
      <c r="AJ334" s="3" t="str">
        <f>UPPER(TRIM(tbl_FinancialData[[#This Row],[Cost Center]]))</f>
        <v>CC-1001</v>
      </c>
    </row>
    <row r="335" spans="1:36" x14ac:dyDescent="0.25">
      <c r="A335" s="3" t="s">
        <v>535</v>
      </c>
      <c r="B335" s="2">
        <v>45856</v>
      </c>
      <c r="C335" t="s">
        <v>32</v>
      </c>
      <c r="D335" s="3" t="str">
        <f t="shared" si="23"/>
        <v>Q2</v>
      </c>
      <c r="E335" s="3" t="str">
        <f t="shared" si="24"/>
        <v>FY2026</v>
      </c>
      <c r="F335" s="8" t="s">
        <v>85</v>
      </c>
      <c r="G335" s="3" t="s">
        <v>35</v>
      </c>
      <c r="H335" t="s">
        <v>60</v>
      </c>
      <c r="I335" t="s">
        <v>108</v>
      </c>
      <c r="J335" s="3" t="s">
        <v>100</v>
      </c>
      <c r="K335" t="s">
        <v>50</v>
      </c>
      <c r="L335" s="3" t="s">
        <v>81</v>
      </c>
      <c r="M335" s="3" t="s">
        <v>130</v>
      </c>
      <c r="N335" t="s">
        <v>131</v>
      </c>
      <c r="O335" t="s">
        <v>43</v>
      </c>
      <c r="P335" t="s">
        <v>132</v>
      </c>
      <c r="Q335" s="3">
        <v>45788.639999999999</v>
      </c>
      <c r="R335" s="3">
        <v>51430.03</v>
      </c>
      <c r="S335" s="3">
        <v>32400.44</v>
      </c>
      <c r="T335" s="3">
        <v>2623.97</v>
      </c>
      <c r="U335" s="3">
        <v>1625.23</v>
      </c>
      <c r="V335" s="3">
        <v>5350.85</v>
      </c>
      <c r="W335" s="3">
        <v>1319.35</v>
      </c>
      <c r="X335" s="3">
        <v>43319.83</v>
      </c>
      <c r="Y335" s="3">
        <v>13388.2</v>
      </c>
      <c r="Z335" s="3">
        <f t="shared" si="25"/>
        <v>2468.8099999999977</v>
      </c>
      <c r="AA335" s="37">
        <f t="shared" si="26"/>
        <v>5.3917521900628575E-2</v>
      </c>
      <c r="AB335" s="3">
        <v>-5641.39</v>
      </c>
      <c r="AC335" s="3">
        <v>0</v>
      </c>
      <c r="AD335" s="3">
        <v>5494.64</v>
      </c>
      <c r="AE335" s="3">
        <v>51283.28</v>
      </c>
      <c r="AF335" t="str">
        <f>IF(tbl_FinancialData[[#This Row],[City]]="","Unknown",PROPER(TRIM(tbl_FinancialData[[#This Row],[City]])))</f>
        <v>Agra</v>
      </c>
      <c r="AG335" t="str">
        <f>_xlfn.LET(_xlpm.city,LOWER(TRIM(tbl_FinancialData[[#This Row],[City]])),_xlpm.st,PROPER(TRIM(tbl_FinancialData[[#This Row],[State]])),IF(_xlpm.city="pune","Maharashtra",IF(_xlpm.city="jamshedpur","Jharkhand",IF(_xlpm.city="bhilai","Chhattisgarh",IF(_xlpm.city="mumbai","Maharashtra",_xlpm.st)))))</f>
        <v>Uttar Pradesh</v>
      </c>
      <c r="AH335" t="str">
        <f>_xlfn.LET(_xlpm.d,PROPER(TRIM(tbl_FinancialData[[#This Row],[Department]])),IF(_xlpm.d="It","IT",_xlpm.d))</f>
        <v>Sales</v>
      </c>
      <c r="AI335" t="str">
        <f>_xlfn.LET(_xlpm.pid,tbl_FinancialData[[#This Row],[Product ID]],_xlpm.n,PROPER(TRIM(tbl_FinancialData[[#This Row],[Product Name]])),IF(_xlpm.pid="P020","Document Scanner",IF(_xlpm.pid="P015","Network Router",SUBSTITUTE(SUBSTITUTE(_xlpm.n,"Crm","CRM"),"Ups","UPS"))))</f>
        <v>UPS System</v>
      </c>
      <c r="AJ335" s="3" t="str">
        <f>UPPER(TRIM(tbl_FinancialData[[#This Row],[Cost Center]]))</f>
        <v>CC-1005</v>
      </c>
    </row>
    <row r="336" spans="1:36" x14ac:dyDescent="0.25">
      <c r="A336" s="3" t="s">
        <v>536</v>
      </c>
      <c r="B336" s="2">
        <v>45810</v>
      </c>
      <c r="C336" t="s">
        <v>156</v>
      </c>
      <c r="D336" s="3" t="str">
        <f t="shared" si="23"/>
        <v>Q1</v>
      </c>
      <c r="E336" s="3" t="str">
        <f t="shared" si="24"/>
        <v>FY2026</v>
      </c>
      <c r="F336" s="8" t="s">
        <v>34</v>
      </c>
      <c r="G336" s="3" t="s">
        <v>35</v>
      </c>
      <c r="H336" t="s">
        <v>36</v>
      </c>
      <c r="I336" t="s">
        <v>145</v>
      </c>
      <c r="J336" s="3" t="s">
        <v>80</v>
      </c>
      <c r="K336" t="s">
        <v>160</v>
      </c>
      <c r="L336" s="3" t="s">
        <v>81</v>
      </c>
      <c r="M336" s="3" t="s">
        <v>161</v>
      </c>
      <c r="N336" t="s">
        <v>162</v>
      </c>
      <c r="O336" t="s">
        <v>43</v>
      </c>
      <c r="P336" t="s">
        <v>163</v>
      </c>
      <c r="Q336" s="3">
        <v>42781.42</v>
      </c>
      <c r="R336" s="3">
        <v>39818.74</v>
      </c>
      <c r="S336" s="3">
        <v>30571.15</v>
      </c>
      <c r="T336" s="3">
        <v>5059.5600000000004</v>
      </c>
      <c r="U336" s="3">
        <v>2455.3000000000002</v>
      </c>
      <c r="V336" s="3">
        <v>3775.87</v>
      </c>
      <c r="W336" s="3">
        <v>768.1</v>
      </c>
      <c r="X336" s="3">
        <v>42629.99</v>
      </c>
      <c r="Y336" s="3">
        <v>12210.26</v>
      </c>
      <c r="Z336" s="3">
        <f t="shared" si="25"/>
        <v>151.43000000000029</v>
      </c>
      <c r="AA336" s="37">
        <f t="shared" si="26"/>
        <v>3.5396207045021015E-3</v>
      </c>
      <c r="AB336" s="3">
        <v>2962.67</v>
      </c>
      <c r="AC336" s="3">
        <v>2139.0700000000002</v>
      </c>
      <c r="AD336" s="3">
        <v>7315.62</v>
      </c>
      <c r="AE336" s="3">
        <v>47957.97</v>
      </c>
      <c r="AF336" t="str">
        <f>IF(tbl_FinancialData[[#This Row],[City]]="","Unknown",PROPER(TRIM(tbl_FinancialData[[#This Row],[City]])))</f>
        <v>Panaji</v>
      </c>
      <c r="AG336" t="str">
        <f>_xlfn.LET(_xlpm.city,LOWER(TRIM(tbl_FinancialData[[#This Row],[City]])),_xlpm.st,PROPER(TRIM(tbl_FinancialData[[#This Row],[State]])),IF(_xlpm.city="pune","Maharashtra",IF(_xlpm.city="jamshedpur","Jharkhand",IF(_xlpm.city="bhilai","Chhattisgarh",IF(_xlpm.city="mumbai","Maharashtra",_xlpm.st)))))</f>
        <v>Goa</v>
      </c>
      <c r="AH336" t="str">
        <f>_xlfn.LET(_xlpm.d,PROPER(TRIM(tbl_FinancialData[[#This Row],[Department]])),IF(_xlpm.d="It","IT",_xlpm.d))</f>
        <v>IT</v>
      </c>
      <c r="AI336" t="str">
        <f>_xlfn.LET(_xlpm.pid,tbl_FinancialData[[#This Row],[Product ID]],_xlpm.n,PROPER(TRIM(tbl_FinancialData[[#This Row],[Product Name]])),IF(_xlpm.pid="P020","Document Scanner",IF(_xlpm.pid="P015","Network Router",SUBSTITUTE(SUBSTITUTE(_xlpm.n,"Crm","CRM"),"Ups","UPS"))))</f>
        <v>Tablet</v>
      </c>
      <c r="AJ336" s="3" t="str">
        <f>UPPER(TRIM(tbl_FinancialData[[#This Row],[Cost Center]]))</f>
        <v>CC-1005</v>
      </c>
    </row>
    <row r="337" spans="1:36" x14ac:dyDescent="0.25">
      <c r="A337" s="3" t="s">
        <v>537</v>
      </c>
      <c r="B337" s="2">
        <v>45893</v>
      </c>
      <c r="C337" t="s">
        <v>117</v>
      </c>
      <c r="D337" s="3" t="str">
        <f t="shared" si="23"/>
        <v>Q2</v>
      </c>
      <c r="E337" s="3" t="str">
        <f t="shared" si="24"/>
        <v>FY2026</v>
      </c>
      <c r="F337" s="8" t="s">
        <v>59</v>
      </c>
      <c r="G337" s="3" t="s">
        <v>35</v>
      </c>
      <c r="H337" t="s">
        <v>139</v>
      </c>
      <c r="I337" t="s">
        <v>140</v>
      </c>
      <c r="J337" s="3" t="s">
        <v>80</v>
      </c>
      <c r="K337" t="s">
        <v>71</v>
      </c>
      <c r="L337" s="3" t="s">
        <v>51</v>
      </c>
      <c r="M337" s="3" t="s">
        <v>88</v>
      </c>
      <c r="N337" t="s">
        <v>89</v>
      </c>
      <c r="O337" t="s">
        <v>43</v>
      </c>
      <c r="P337" t="s">
        <v>90</v>
      </c>
      <c r="Q337" s="3">
        <v>24000.51</v>
      </c>
      <c r="R337" s="3">
        <v>21328.85</v>
      </c>
      <c r="S337" s="3">
        <v>12900.63</v>
      </c>
      <c r="T337" s="3">
        <v>1262.21</v>
      </c>
      <c r="U337" s="3">
        <v>1123.94</v>
      </c>
      <c r="V337" s="3">
        <v>1946.66</v>
      </c>
      <c r="W337" s="3">
        <v>909.2</v>
      </c>
      <c r="X337" s="3">
        <v>18142.650000000001</v>
      </c>
      <c r="Y337" s="3">
        <v>11099.87</v>
      </c>
      <c r="Z337" s="3">
        <f t="shared" si="25"/>
        <v>5857.8599999999969</v>
      </c>
      <c r="AA337" s="37">
        <f t="shared" si="26"/>
        <v>0.2440723134633388</v>
      </c>
      <c r="AB337" s="3">
        <v>2671.66</v>
      </c>
      <c r="AC337" s="3">
        <v>720.02</v>
      </c>
      <c r="AD337" s="3">
        <v>4190.49</v>
      </c>
      <c r="AE337" s="3">
        <v>27470.98</v>
      </c>
      <c r="AF337" t="str">
        <f>IF(tbl_FinancialData[[#This Row],[City]]="","Unknown",PROPER(TRIM(tbl_FinancialData[[#This Row],[City]])))</f>
        <v>Faridabad</v>
      </c>
      <c r="AG337" t="str">
        <f>_xlfn.LET(_xlpm.city,LOWER(TRIM(tbl_FinancialData[[#This Row],[City]])),_xlpm.st,PROPER(TRIM(tbl_FinancialData[[#This Row],[State]])),IF(_xlpm.city="pune","Maharashtra",IF(_xlpm.city="jamshedpur","Jharkhand",IF(_xlpm.city="bhilai","Chhattisgarh",IF(_xlpm.city="mumbai","Maharashtra",_xlpm.st)))))</f>
        <v>Haryana</v>
      </c>
      <c r="AH337" t="str">
        <f>_xlfn.LET(_xlpm.d,PROPER(TRIM(tbl_FinancialData[[#This Row],[Department]])),IF(_xlpm.d="It","IT",_xlpm.d))</f>
        <v>Marketing</v>
      </c>
      <c r="AI337" t="str">
        <f>_xlfn.LET(_xlpm.pid,tbl_FinancialData[[#This Row],[Product ID]],_xlpm.n,PROPER(TRIM(tbl_FinancialData[[#This Row],[Product Name]])),IF(_xlpm.pid="P020","Document Scanner",IF(_xlpm.pid="P015","Network Router",SUBSTITUTE(SUBSTITUTE(_xlpm.n,"Crm","CRM"),"Ups","UPS"))))</f>
        <v>Printer</v>
      </c>
      <c r="AJ337" s="3" t="str">
        <f>UPPER(TRIM(tbl_FinancialData[[#This Row],[Cost Center]]))</f>
        <v>CC-1003</v>
      </c>
    </row>
    <row r="338" spans="1:36" x14ac:dyDescent="0.25">
      <c r="A338" s="3" t="s">
        <v>538</v>
      </c>
      <c r="B338" s="2">
        <v>45960</v>
      </c>
      <c r="C338" t="s">
        <v>92</v>
      </c>
      <c r="D338" s="3" t="str">
        <f t="shared" si="23"/>
        <v>Q3</v>
      </c>
      <c r="E338" s="3" t="str">
        <f t="shared" si="24"/>
        <v>FY2026</v>
      </c>
      <c r="F338" s="8" t="s">
        <v>47</v>
      </c>
      <c r="G338" s="3" t="s">
        <v>35</v>
      </c>
      <c r="H338" t="s">
        <v>214</v>
      </c>
      <c r="I338" t="s">
        <v>220</v>
      </c>
      <c r="J338" s="3" t="s">
        <v>70</v>
      </c>
      <c r="K338" t="s">
        <v>50</v>
      </c>
      <c r="L338" s="3" t="s">
        <v>72</v>
      </c>
      <c r="M338" s="3" t="s">
        <v>120</v>
      </c>
      <c r="N338" t="s">
        <v>121</v>
      </c>
      <c r="O338" t="s">
        <v>43</v>
      </c>
      <c r="P338" t="s">
        <v>122</v>
      </c>
      <c r="Q338" s="3">
        <v>46035.3</v>
      </c>
      <c r="R338" s="3">
        <v>50274.55</v>
      </c>
      <c r="S338" s="3">
        <v>29326.48</v>
      </c>
      <c r="T338" s="3">
        <v>5515.1</v>
      </c>
      <c r="U338" s="3">
        <v>1881.44</v>
      </c>
      <c r="V338" s="3">
        <v>3499.09</v>
      </c>
      <c r="W338" s="3">
        <v>1952.08</v>
      </c>
      <c r="X338" s="3">
        <v>42174.19</v>
      </c>
      <c r="Y338" s="3">
        <v>16708.830000000002</v>
      </c>
      <c r="Z338" s="3">
        <f t="shared" si="25"/>
        <v>3861.1100000000006</v>
      </c>
      <c r="AA338" s="37">
        <f t="shared" si="26"/>
        <v>8.3872810647481394E-2</v>
      </c>
      <c r="AB338" s="3">
        <v>-4239.25</v>
      </c>
      <c r="AC338" s="3">
        <v>2301.77</v>
      </c>
      <c r="AD338" s="3">
        <v>5248.02</v>
      </c>
      <c r="AE338" s="3">
        <v>48981.56</v>
      </c>
      <c r="AF338" t="str">
        <f>IF(tbl_FinancialData[[#This Row],[City]]="","Unknown",PROPER(TRIM(tbl_FinancialData[[#This Row],[City]])))</f>
        <v>Mysuru</v>
      </c>
      <c r="AG338" t="str">
        <f>_xlfn.LET(_xlpm.city,LOWER(TRIM(tbl_FinancialData[[#This Row],[City]])),_xlpm.st,PROPER(TRIM(tbl_FinancialData[[#This Row],[State]])),IF(_xlpm.city="pune","Maharashtra",IF(_xlpm.city="jamshedpur","Jharkhand",IF(_xlpm.city="bhilai","Chhattisgarh",IF(_xlpm.city="mumbai","Maharashtra",_xlpm.st)))))</f>
        <v>Karnataka</v>
      </c>
      <c r="AH338" t="str">
        <f>_xlfn.LET(_xlpm.d,PROPER(TRIM(tbl_FinancialData[[#This Row],[Department]])),IF(_xlpm.d="It","IT",_xlpm.d))</f>
        <v>Sales</v>
      </c>
      <c r="AI338" t="str">
        <f>_xlfn.LET(_xlpm.pid,tbl_FinancialData[[#This Row],[Product ID]],_xlpm.n,PROPER(TRIM(tbl_FinancialData[[#This Row],[Product Name]])),IF(_xlpm.pid="P020","Document Scanner",IF(_xlpm.pid="P015","Network Router",SUBSTITUTE(SUBSTITUTE(_xlpm.n,"Crm","CRM"),"Ups","UPS"))))</f>
        <v>Projector</v>
      </c>
      <c r="AJ338" s="3" t="str">
        <f>UPPER(TRIM(tbl_FinancialData[[#This Row],[Cost Center]]))</f>
        <v>CC-1004</v>
      </c>
    </row>
    <row r="339" spans="1:36" x14ac:dyDescent="0.25">
      <c r="A339" s="3" t="s">
        <v>539</v>
      </c>
      <c r="B339" s="2">
        <v>45785</v>
      </c>
      <c r="C339" t="s">
        <v>65</v>
      </c>
      <c r="D339" s="3" t="str">
        <f t="shared" si="23"/>
        <v>Q1</v>
      </c>
      <c r="E339" s="3" t="str">
        <f t="shared" si="24"/>
        <v>FY2026</v>
      </c>
      <c r="F339" s="8" t="s">
        <v>47</v>
      </c>
      <c r="G339" s="3" t="s">
        <v>35</v>
      </c>
      <c r="H339" t="s">
        <v>214</v>
      </c>
      <c r="I339" t="s">
        <v>215</v>
      </c>
      <c r="J339" s="3" t="s">
        <v>80</v>
      </c>
      <c r="K339" t="s">
        <v>50</v>
      </c>
      <c r="L339" s="3" t="s">
        <v>51</v>
      </c>
      <c r="M339" s="3" t="s">
        <v>88</v>
      </c>
      <c r="N339" t="s">
        <v>89</v>
      </c>
      <c r="O339" t="s">
        <v>43</v>
      </c>
      <c r="P339" t="s">
        <v>90</v>
      </c>
      <c r="Q339" s="3">
        <v>46427.14</v>
      </c>
      <c r="R339" s="3">
        <v>50468.02</v>
      </c>
      <c r="S339" s="3">
        <v>31616.32</v>
      </c>
      <c r="T339" s="3">
        <v>3521</v>
      </c>
      <c r="U339" s="3">
        <v>3843.51</v>
      </c>
      <c r="V339" s="3">
        <v>2453.71</v>
      </c>
      <c r="W339" s="3">
        <v>745.43</v>
      </c>
      <c r="X339" s="3">
        <v>42179.96</v>
      </c>
      <c r="Y339" s="3">
        <v>14810.82</v>
      </c>
      <c r="Z339" s="3">
        <f t="shared" si="25"/>
        <v>4247.18</v>
      </c>
      <c r="AA339" s="37">
        <f t="shared" si="26"/>
        <v>9.1480543492448607E-2</v>
      </c>
      <c r="AB339" s="3">
        <v>-4040.88</v>
      </c>
      <c r="AC339" s="3">
        <v>928.54</v>
      </c>
      <c r="AD339" s="3">
        <v>2274.9299999999998</v>
      </c>
      <c r="AE339" s="3">
        <v>47773.53</v>
      </c>
      <c r="AF339" t="str">
        <f>IF(tbl_FinancialData[[#This Row],[City]]="","Unknown",PROPER(TRIM(tbl_FinancialData[[#This Row],[City]])))</f>
        <v>Mangaluru</v>
      </c>
      <c r="AG339" t="str">
        <f>_xlfn.LET(_xlpm.city,LOWER(TRIM(tbl_FinancialData[[#This Row],[City]])),_xlpm.st,PROPER(TRIM(tbl_FinancialData[[#This Row],[State]])),IF(_xlpm.city="pune","Maharashtra",IF(_xlpm.city="jamshedpur","Jharkhand",IF(_xlpm.city="bhilai","Chhattisgarh",IF(_xlpm.city="mumbai","Maharashtra",_xlpm.st)))))</f>
        <v>Karnataka</v>
      </c>
      <c r="AH339" t="str">
        <f>_xlfn.LET(_xlpm.d,PROPER(TRIM(tbl_FinancialData[[#This Row],[Department]])),IF(_xlpm.d="It","IT",_xlpm.d))</f>
        <v>Sales</v>
      </c>
      <c r="AI339" t="str">
        <f>_xlfn.LET(_xlpm.pid,tbl_FinancialData[[#This Row],[Product ID]],_xlpm.n,PROPER(TRIM(tbl_FinancialData[[#This Row],[Product Name]])),IF(_xlpm.pid="P020","Document Scanner",IF(_xlpm.pid="P015","Network Router",SUBSTITUTE(SUBSTITUTE(_xlpm.n,"Crm","CRM"),"Ups","UPS"))))</f>
        <v>Printer</v>
      </c>
      <c r="AJ339" s="3" t="str">
        <f>UPPER(TRIM(tbl_FinancialData[[#This Row],[Cost Center]]))</f>
        <v>CC-1003</v>
      </c>
    </row>
    <row r="340" spans="1:36" x14ac:dyDescent="0.25">
      <c r="A340" s="3" t="s">
        <v>540</v>
      </c>
      <c r="B340" s="2">
        <v>45913</v>
      </c>
      <c r="C340" t="s">
        <v>46</v>
      </c>
      <c r="D340" s="3" t="str">
        <f t="shared" si="23"/>
        <v>Q2</v>
      </c>
      <c r="E340" s="3" t="str">
        <f t="shared" si="24"/>
        <v>FY2026</v>
      </c>
      <c r="F340" s="8" t="s">
        <v>59</v>
      </c>
      <c r="G340" s="3" t="s">
        <v>35</v>
      </c>
      <c r="H340" t="s">
        <v>139</v>
      </c>
      <c r="I340" t="s">
        <v>200</v>
      </c>
      <c r="J340" s="3" t="s">
        <v>80</v>
      </c>
      <c r="K340" t="s">
        <v>71</v>
      </c>
      <c r="L340" s="3" t="s">
        <v>72</v>
      </c>
      <c r="M340" s="3" t="s">
        <v>52</v>
      </c>
      <c r="N340" t="s">
        <v>53</v>
      </c>
      <c r="O340" t="s">
        <v>54</v>
      </c>
      <c r="P340" t="s">
        <v>55</v>
      </c>
      <c r="Q340" s="3">
        <v>3203.3</v>
      </c>
      <c r="R340" s="3">
        <v>3116.3</v>
      </c>
      <c r="S340" s="3">
        <v>2287.08</v>
      </c>
      <c r="T340" s="3">
        <v>265.52</v>
      </c>
      <c r="U340" s="3">
        <v>172.68</v>
      </c>
      <c r="V340" s="3">
        <v>275.88</v>
      </c>
      <c r="W340" s="3">
        <v>142.28</v>
      </c>
      <c r="X340" s="3">
        <v>3143.44</v>
      </c>
      <c r="Y340" s="3">
        <v>916.22</v>
      </c>
      <c r="Z340" s="3">
        <f t="shared" si="25"/>
        <v>59.860000000000127</v>
      </c>
      <c r="AA340" s="37">
        <f t="shared" si="26"/>
        <v>1.8686979052851785E-2</v>
      </c>
      <c r="AB340" s="3">
        <v>87</v>
      </c>
      <c r="AC340" s="3">
        <v>64.069999999999993</v>
      </c>
      <c r="AD340" s="3">
        <v>565.05999999999995</v>
      </c>
      <c r="AE340" s="3">
        <v>3704.3</v>
      </c>
      <c r="AF340" t="str">
        <f>IF(tbl_FinancialData[[#This Row],[City]]="","Unknown",PROPER(TRIM(tbl_FinancialData[[#This Row],[City]])))</f>
        <v>Gurugram</v>
      </c>
      <c r="AG340" t="str">
        <f>_xlfn.LET(_xlpm.city,LOWER(TRIM(tbl_FinancialData[[#This Row],[City]])),_xlpm.st,PROPER(TRIM(tbl_FinancialData[[#This Row],[State]])),IF(_xlpm.city="pune","Maharashtra",IF(_xlpm.city="jamshedpur","Jharkhand",IF(_xlpm.city="bhilai","Chhattisgarh",IF(_xlpm.city="mumbai","Maharashtra",_xlpm.st)))))</f>
        <v>Haryana</v>
      </c>
      <c r="AH340" t="str">
        <f>_xlfn.LET(_xlpm.d,PROPER(TRIM(tbl_FinancialData[[#This Row],[Department]])),IF(_xlpm.d="It","IT",_xlpm.d))</f>
        <v>Marketing</v>
      </c>
      <c r="AI340" t="str">
        <f>_xlfn.LET(_xlpm.pid,tbl_FinancialData[[#This Row],[Product ID]],_xlpm.n,PROPER(TRIM(tbl_FinancialData[[#This Row],[Product Name]])),IF(_xlpm.pid="P020","Document Scanner",IF(_xlpm.pid="P015","Network Router",SUBSTITUTE(SUBSTITUTE(_xlpm.n,"Crm","CRM"),"Ups","UPS"))))</f>
        <v>Mouse</v>
      </c>
      <c r="AJ340" s="3" t="str">
        <f>UPPER(TRIM(tbl_FinancialData[[#This Row],[Cost Center]]))</f>
        <v>CC-1004</v>
      </c>
    </row>
    <row r="341" spans="1:36" x14ac:dyDescent="0.25">
      <c r="A341" s="3" t="s">
        <v>541</v>
      </c>
      <c r="B341" s="2">
        <v>45999</v>
      </c>
      <c r="C341" t="s">
        <v>107</v>
      </c>
      <c r="D341" s="3" t="str">
        <f t="shared" si="23"/>
        <v>Q3</v>
      </c>
      <c r="E341" s="3" t="str">
        <f t="shared" si="24"/>
        <v>FY2026</v>
      </c>
      <c r="F341" s="8" t="s">
        <v>47</v>
      </c>
      <c r="G341" s="3" t="s">
        <v>35</v>
      </c>
      <c r="H341" t="s">
        <v>206</v>
      </c>
      <c r="I341" t="s">
        <v>207</v>
      </c>
      <c r="J341" s="3" t="s">
        <v>100</v>
      </c>
      <c r="K341" t="s">
        <v>50</v>
      </c>
      <c r="L341" s="3" t="s">
        <v>81</v>
      </c>
      <c r="M341" s="3" t="s">
        <v>41</v>
      </c>
      <c r="N341" t="s">
        <v>42</v>
      </c>
      <c r="O341" t="s">
        <v>43</v>
      </c>
      <c r="P341" t="s">
        <v>44</v>
      </c>
      <c r="Q341" s="3">
        <v>35033.31</v>
      </c>
      <c r="R341" s="3">
        <v>31148.33</v>
      </c>
      <c r="S341" s="3">
        <v>23910.76</v>
      </c>
      <c r="T341" s="3">
        <v>3041.81</v>
      </c>
      <c r="U341" s="3">
        <v>1371.32</v>
      </c>
      <c r="V341" s="3">
        <v>1776.27</v>
      </c>
      <c r="W341" s="3">
        <v>1519.25</v>
      </c>
      <c r="X341" s="3">
        <v>31619.41</v>
      </c>
      <c r="Y341" s="3">
        <v>11122.55</v>
      </c>
      <c r="Z341" s="3">
        <f t="shared" si="25"/>
        <v>3413.8999999999978</v>
      </c>
      <c r="AA341" s="37">
        <f t="shared" si="26"/>
        <v>9.7447258052407781E-2</v>
      </c>
      <c r="AB341" s="3">
        <v>3884.98</v>
      </c>
      <c r="AC341" s="3">
        <v>0</v>
      </c>
      <c r="AD341" s="3">
        <v>1751.67</v>
      </c>
      <c r="AE341" s="3">
        <v>36784.980000000003</v>
      </c>
      <c r="AF341" t="str">
        <f>IF(tbl_FinancialData[[#This Row],[City]]="","Unknown",PROPER(TRIM(tbl_FinancialData[[#This Row],[City]])))</f>
        <v>Nizamabad</v>
      </c>
      <c r="AG341" t="str">
        <f>_xlfn.LET(_xlpm.city,LOWER(TRIM(tbl_FinancialData[[#This Row],[City]])),_xlpm.st,PROPER(TRIM(tbl_FinancialData[[#This Row],[State]])),IF(_xlpm.city="pune","Maharashtra",IF(_xlpm.city="jamshedpur","Jharkhand",IF(_xlpm.city="bhilai","Chhattisgarh",IF(_xlpm.city="mumbai","Maharashtra",_xlpm.st)))))</f>
        <v>Telangana</v>
      </c>
      <c r="AH341" t="str">
        <f>_xlfn.LET(_xlpm.d,PROPER(TRIM(tbl_FinancialData[[#This Row],[Department]])),IF(_xlpm.d="It","IT",_xlpm.d))</f>
        <v>Sales</v>
      </c>
      <c r="AI341" t="str">
        <f>_xlfn.LET(_xlpm.pid,tbl_FinancialData[[#This Row],[Product ID]],_xlpm.n,PROPER(TRIM(tbl_FinancialData[[#This Row],[Product Name]])),IF(_xlpm.pid="P020","Document Scanner",IF(_xlpm.pid="P015","Network Router",SUBSTITUTE(SUBSTITUTE(_xlpm.n,"Crm","CRM"),"Ups","UPS"))))</f>
        <v>Conference Camera</v>
      </c>
      <c r="AJ341" s="3" t="str">
        <f>UPPER(TRIM(tbl_FinancialData[[#This Row],[Cost Center]]))</f>
        <v>CC-1005</v>
      </c>
    </row>
    <row r="342" spans="1:36" x14ac:dyDescent="0.25">
      <c r="A342" s="3" t="s">
        <v>542</v>
      </c>
      <c r="B342" s="2">
        <v>45923</v>
      </c>
      <c r="C342" t="s">
        <v>46</v>
      </c>
      <c r="D342" s="3" t="str">
        <f t="shared" si="23"/>
        <v>Q2</v>
      </c>
      <c r="E342" s="3" t="str">
        <f t="shared" si="24"/>
        <v>FY2026</v>
      </c>
      <c r="F342" s="8" t="s">
        <v>47</v>
      </c>
      <c r="G342" s="3" t="s">
        <v>35</v>
      </c>
      <c r="H342" t="s">
        <v>214</v>
      </c>
      <c r="I342" t="s">
        <v>220</v>
      </c>
      <c r="J342" s="3" t="s">
        <v>38</v>
      </c>
      <c r="K342" t="s">
        <v>50</v>
      </c>
      <c r="L342" s="3" t="s">
        <v>94</v>
      </c>
      <c r="M342" s="3" t="s">
        <v>95</v>
      </c>
      <c r="N342" t="s">
        <v>96</v>
      </c>
      <c r="O342" t="s">
        <v>43</v>
      </c>
      <c r="P342" t="s">
        <v>90</v>
      </c>
      <c r="Q342" s="3">
        <v>27943.62</v>
      </c>
      <c r="R342" s="3">
        <v>30492.34</v>
      </c>
      <c r="S342" s="3">
        <v>14871.28</v>
      </c>
      <c r="T342" s="3">
        <v>2216.89</v>
      </c>
      <c r="U342" s="3">
        <v>1408.63</v>
      </c>
      <c r="V342" s="3">
        <v>3300.6</v>
      </c>
      <c r="W342" s="3">
        <v>1213.1300000000001</v>
      </c>
      <c r="X342" s="3">
        <v>23010.52</v>
      </c>
      <c r="Y342" s="3">
        <v>13072.34</v>
      </c>
      <c r="Z342" s="3">
        <f t="shared" si="25"/>
        <v>4933.0999999999985</v>
      </c>
      <c r="AA342" s="37">
        <f t="shared" si="26"/>
        <v>0.17653761395266607</v>
      </c>
      <c r="AB342" s="3">
        <v>-2548.7199999999998</v>
      </c>
      <c r="AC342" s="3">
        <v>2235.4899999999998</v>
      </c>
      <c r="AD342" s="3">
        <v>1285.4100000000001</v>
      </c>
      <c r="AE342" s="3">
        <v>26993.54</v>
      </c>
      <c r="AF342" t="str">
        <f>IF(tbl_FinancialData[[#This Row],[City]]="","Unknown",PROPER(TRIM(tbl_FinancialData[[#This Row],[City]])))</f>
        <v>Mysuru</v>
      </c>
      <c r="AG342" t="str">
        <f>_xlfn.LET(_xlpm.city,LOWER(TRIM(tbl_FinancialData[[#This Row],[City]])),_xlpm.st,PROPER(TRIM(tbl_FinancialData[[#This Row],[State]])),IF(_xlpm.city="pune","Maharashtra",IF(_xlpm.city="jamshedpur","Jharkhand",IF(_xlpm.city="bhilai","Chhattisgarh",IF(_xlpm.city="mumbai","Maharashtra",_xlpm.st)))))</f>
        <v>Karnataka</v>
      </c>
      <c r="AH342" t="str">
        <f>_xlfn.LET(_xlpm.d,PROPER(TRIM(tbl_FinancialData[[#This Row],[Department]])),IF(_xlpm.d="It","IT",_xlpm.d))</f>
        <v>Sales</v>
      </c>
      <c r="AI342" t="str">
        <f>_xlfn.LET(_xlpm.pid,tbl_FinancialData[[#This Row],[Product ID]],_xlpm.n,PROPER(TRIM(tbl_FinancialData[[#This Row],[Product Name]])),IF(_xlpm.pid="P020","Document Scanner",IF(_xlpm.pid="P015","Network Router",SUBSTITUTE(SUBSTITUTE(_xlpm.n,"Crm","CRM"),"Ups","UPS"))))</f>
        <v>Document Scanner</v>
      </c>
      <c r="AJ342" s="3" t="str">
        <f>UPPER(TRIM(tbl_FinancialData[[#This Row],[Cost Center]]))</f>
        <v>CC-1001</v>
      </c>
    </row>
    <row r="343" spans="1:36" x14ac:dyDescent="0.25">
      <c r="A343" s="3" t="s">
        <v>543</v>
      </c>
      <c r="B343" s="2">
        <v>45915</v>
      </c>
      <c r="C343" t="s">
        <v>46</v>
      </c>
      <c r="D343" s="3" t="str">
        <f t="shared" si="23"/>
        <v>Q2</v>
      </c>
      <c r="E343" s="3" t="str">
        <f t="shared" si="24"/>
        <v>FY2026</v>
      </c>
      <c r="F343" s="8" t="s">
        <v>34</v>
      </c>
      <c r="G343" s="3" t="s">
        <v>35</v>
      </c>
      <c r="H343" t="s">
        <v>36</v>
      </c>
      <c r="I343" t="s">
        <v>37</v>
      </c>
      <c r="J343" s="3" t="s">
        <v>38</v>
      </c>
      <c r="K343" t="s">
        <v>39</v>
      </c>
      <c r="L343" s="3" t="s">
        <v>81</v>
      </c>
      <c r="M343" s="3" t="s">
        <v>211</v>
      </c>
      <c r="N343" t="s">
        <v>212</v>
      </c>
      <c r="O343" t="s">
        <v>112</v>
      </c>
      <c r="P343" t="s">
        <v>113</v>
      </c>
      <c r="Q343" s="3">
        <v>18503.560000000001</v>
      </c>
      <c r="R343" s="3">
        <v>19860.71</v>
      </c>
      <c r="S343" s="3">
        <v>9693.7800000000007</v>
      </c>
      <c r="T343" s="3">
        <v>1269.2</v>
      </c>
      <c r="U343" s="3">
        <v>1227.08</v>
      </c>
      <c r="V343" s="3">
        <v>2209.98</v>
      </c>
      <c r="W343" s="3">
        <v>688.7</v>
      </c>
      <c r="X343" s="3">
        <v>15088.75</v>
      </c>
      <c r="Y343" s="3">
        <v>8809.77</v>
      </c>
      <c r="Z343" s="3">
        <f t="shared" si="25"/>
        <v>3414.8100000000013</v>
      </c>
      <c r="AA343" s="37">
        <f t="shared" si="26"/>
        <v>0.18454881114769273</v>
      </c>
      <c r="AB343" s="3">
        <v>-1357.15</v>
      </c>
      <c r="AC343" s="3">
        <v>370.07</v>
      </c>
      <c r="AD343" s="3">
        <v>906.67</v>
      </c>
      <c r="AE343" s="3">
        <v>19040.16</v>
      </c>
      <c r="AF343" t="str">
        <f>IF(tbl_FinancialData[[#This Row],[City]]="","Unknown",PROPER(TRIM(tbl_FinancialData[[#This Row],[City]])))</f>
        <v>Vasco Da Gama</v>
      </c>
      <c r="AG343" t="str">
        <f>_xlfn.LET(_xlpm.city,LOWER(TRIM(tbl_FinancialData[[#This Row],[City]])),_xlpm.st,PROPER(TRIM(tbl_FinancialData[[#This Row],[State]])),IF(_xlpm.city="pune","Maharashtra",IF(_xlpm.city="jamshedpur","Jharkhand",IF(_xlpm.city="bhilai","Chhattisgarh",IF(_xlpm.city="mumbai","Maharashtra",_xlpm.st)))))</f>
        <v>Goa</v>
      </c>
      <c r="AH343" t="str">
        <f>_xlfn.LET(_xlpm.d,PROPER(TRIM(tbl_FinancialData[[#This Row],[Department]])),IF(_xlpm.d="It","IT",_xlpm.d))</f>
        <v>Operations</v>
      </c>
      <c r="AI343" t="str">
        <f>_xlfn.LET(_xlpm.pid,tbl_FinancialData[[#This Row],[Product ID]],_xlpm.n,PROPER(TRIM(tbl_FinancialData[[#This Row],[Product Name]])),IF(_xlpm.pid="P020","Document Scanner",IF(_xlpm.pid="P015","Network Router",SUBSTITUTE(SUBSTITUTE(_xlpm.n,"Crm","CRM"),"Ups","UPS"))))</f>
        <v>Office Chair</v>
      </c>
      <c r="AJ343" s="3" t="str">
        <f>UPPER(TRIM(tbl_FinancialData[[#This Row],[Cost Center]]))</f>
        <v>CC-1005</v>
      </c>
    </row>
    <row r="344" spans="1:36" x14ac:dyDescent="0.25">
      <c r="A344" s="3" t="s">
        <v>544</v>
      </c>
      <c r="B344" s="2">
        <v>45769</v>
      </c>
      <c r="C344" t="s">
        <v>128</v>
      </c>
      <c r="D344" s="3" t="str">
        <f t="shared" si="23"/>
        <v>Q1</v>
      </c>
      <c r="E344" s="3" t="str">
        <f t="shared" si="24"/>
        <v>FY2026</v>
      </c>
      <c r="F344" s="8" t="s">
        <v>47</v>
      </c>
      <c r="G344" s="3" t="s">
        <v>35</v>
      </c>
      <c r="H344" t="s">
        <v>206</v>
      </c>
      <c r="I344" t="s">
        <v>207</v>
      </c>
      <c r="J344" s="3" t="s">
        <v>70</v>
      </c>
      <c r="K344" t="s">
        <v>71</v>
      </c>
      <c r="L344" s="3" t="s">
        <v>72</v>
      </c>
      <c r="M344" s="3" t="s">
        <v>110</v>
      </c>
      <c r="N344" t="s">
        <v>111</v>
      </c>
      <c r="O344" t="s">
        <v>112</v>
      </c>
      <c r="P344" t="s">
        <v>113</v>
      </c>
      <c r="Q344" s="3">
        <v>31203.56</v>
      </c>
      <c r="R344" s="3">
        <v>29566.880000000001</v>
      </c>
      <c r="S344" s="3">
        <v>19937.71</v>
      </c>
      <c r="T344" s="3">
        <v>3082.12</v>
      </c>
      <c r="U344" s="3">
        <v>2636.12</v>
      </c>
      <c r="V344" s="3">
        <v>1638.47</v>
      </c>
      <c r="W344" s="3">
        <v>1133.0899999999999</v>
      </c>
      <c r="X344" s="3">
        <v>28427.51</v>
      </c>
      <c r="Y344" s="3">
        <v>11265.85</v>
      </c>
      <c r="Z344" s="3">
        <f t="shared" si="25"/>
        <v>2776.0500000000029</v>
      </c>
      <c r="AA344" s="37">
        <f t="shared" si="26"/>
        <v>8.896581031138763E-2</v>
      </c>
      <c r="AB344" s="3">
        <v>1636.68</v>
      </c>
      <c r="AC344" s="3">
        <v>1560.18</v>
      </c>
      <c r="AD344" s="3">
        <v>3557.21</v>
      </c>
      <c r="AE344" s="3">
        <v>33200.589999999997</v>
      </c>
      <c r="AF344" t="str">
        <f>IF(tbl_FinancialData[[#This Row],[City]]="","Unknown",PROPER(TRIM(tbl_FinancialData[[#This Row],[City]])))</f>
        <v>Nizamabad</v>
      </c>
      <c r="AG344" t="str">
        <f>_xlfn.LET(_xlpm.city,LOWER(TRIM(tbl_FinancialData[[#This Row],[City]])),_xlpm.st,PROPER(TRIM(tbl_FinancialData[[#This Row],[State]])),IF(_xlpm.city="pune","Maharashtra",IF(_xlpm.city="jamshedpur","Jharkhand",IF(_xlpm.city="bhilai","Chhattisgarh",IF(_xlpm.city="mumbai","Maharashtra",_xlpm.st)))))</f>
        <v>Telangana</v>
      </c>
      <c r="AH344" t="str">
        <f>_xlfn.LET(_xlpm.d,PROPER(TRIM(tbl_FinancialData[[#This Row],[Department]])),IF(_xlpm.d="It","IT",_xlpm.d))</f>
        <v>Marketing</v>
      </c>
      <c r="AI344" t="str">
        <f>_xlfn.LET(_xlpm.pid,tbl_FinancialData[[#This Row],[Product ID]],_xlpm.n,PROPER(TRIM(tbl_FinancialData[[#This Row],[Product Name]])),IF(_xlpm.pid="P020","Document Scanner",IF(_xlpm.pid="P015","Network Router",SUBSTITUTE(SUBSTITUTE(_xlpm.n,"Crm","CRM"),"Ups","UPS"))))</f>
        <v>Office Desk</v>
      </c>
      <c r="AJ344" s="3" t="str">
        <f>UPPER(TRIM(tbl_FinancialData[[#This Row],[Cost Center]]))</f>
        <v>CC-1004</v>
      </c>
    </row>
    <row r="345" spans="1:36" x14ac:dyDescent="0.25">
      <c r="A345" s="3" t="s">
        <v>545</v>
      </c>
      <c r="B345" s="2">
        <v>46006</v>
      </c>
      <c r="C345" t="s">
        <v>107</v>
      </c>
      <c r="D345" s="3" t="str">
        <f t="shared" si="23"/>
        <v>Q3</v>
      </c>
      <c r="E345" s="3" t="str">
        <f t="shared" si="24"/>
        <v>FY2026</v>
      </c>
      <c r="F345" s="8" t="s">
        <v>47</v>
      </c>
      <c r="G345" s="3" t="s">
        <v>35</v>
      </c>
      <c r="H345" t="s">
        <v>48</v>
      </c>
      <c r="I345" t="s">
        <v>265</v>
      </c>
      <c r="J345" s="3" t="s">
        <v>100</v>
      </c>
      <c r="K345" t="s">
        <v>160</v>
      </c>
      <c r="L345" s="3" t="s">
        <v>40</v>
      </c>
      <c r="M345" s="3" t="s">
        <v>52</v>
      </c>
      <c r="N345" t="s">
        <v>53</v>
      </c>
      <c r="O345" t="s">
        <v>54</v>
      </c>
      <c r="P345" t="s">
        <v>55</v>
      </c>
      <c r="Q345" s="3">
        <v>6886.41</v>
      </c>
      <c r="R345" s="3">
        <v>6115.99</v>
      </c>
      <c r="S345" s="3">
        <v>4048</v>
      </c>
      <c r="T345" s="3">
        <v>507.64</v>
      </c>
      <c r="U345" s="3">
        <v>588.29</v>
      </c>
      <c r="V345" s="3">
        <v>344.11</v>
      </c>
      <c r="W345" s="3">
        <v>226.13</v>
      </c>
      <c r="X345" s="3">
        <v>5714.16</v>
      </c>
      <c r="Y345" s="3">
        <v>2838.41</v>
      </c>
      <c r="Z345" s="3">
        <f t="shared" si="25"/>
        <v>1172.25</v>
      </c>
      <c r="AA345" s="37">
        <f t="shared" si="26"/>
        <v>0.17022657669235494</v>
      </c>
      <c r="AB345" s="3">
        <v>770.42</v>
      </c>
      <c r="AC345" s="3">
        <v>0</v>
      </c>
      <c r="AD345" s="3">
        <v>826.37</v>
      </c>
      <c r="AE345" s="3">
        <v>7712.78</v>
      </c>
      <c r="AF345" t="str">
        <f>IF(tbl_FinancialData[[#This Row],[City]]="","Unknown",PROPER(TRIM(tbl_FinancialData[[#This Row],[City]])))</f>
        <v>Madurai</v>
      </c>
      <c r="AG345" t="str">
        <f>_xlfn.LET(_xlpm.city,LOWER(TRIM(tbl_FinancialData[[#This Row],[City]])),_xlpm.st,PROPER(TRIM(tbl_FinancialData[[#This Row],[State]])),IF(_xlpm.city="pune","Maharashtra",IF(_xlpm.city="jamshedpur","Jharkhand",IF(_xlpm.city="bhilai","Chhattisgarh",IF(_xlpm.city="mumbai","Maharashtra",_xlpm.st)))))</f>
        <v>Tamil Nadu</v>
      </c>
      <c r="AH345" t="str">
        <f>_xlfn.LET(_xlpm.d,PROPER(TRIM(tbl_FinancialData[[#This Row],[Department]])),IF(_xlpm.d="It","IT",_xlpm.d))</f>
        <v>IT</v>
      </c>
      <c r="AI345" t="str">
        <f>_xlfn.LET(_xlpm.pid,tbl_FinancialData[[#This Row],[Product ID]],_xlpm.n,PROPER(TRIM(tbl_FinancialData[[#This Row],[Product Name]])),IF(_xlpm.pid="P020","Document Scanner",IF(_xlpm.pid="P015","Network Router",SUBSTITUTE(SUBSTITUTE(_xlpm.n,"Crm","CRM"),"Ups","UPS"))))</f>
        <v>Mouse</v>
      </c>
      <c r="AJ345" s="3" t="str">
        <f>UPPER(TRIM(tbl_FinancialData[[#This Row],[Cost Center]]))</f>
        <v>CC-1002</v>
      </c>
    </row>
    <row r="346" spans="1:36" x14ac:dyDescent="0.25">
      <c r="A346" s="3" t="s">
        <v>546</v>
      </c>
      <c r="B346" s="2">
        <v>45946</v>
      </c>
      <c r="C346" t="s">
        <v>92</v>
      </c>
      <c r="D346" s="3" t="str">
        <f t="shared" si="23"/>
        <v>Q3</v>
      </c>
      <c r="E346" s="3" t="str">
        <f t="shared" si="24"/>
        <v>FY2026</v>
      </c>
      <c r="F346" s="8" t="s">
        <v>47</v>
      </c>
      <c r="G346" s="3" t="s">
        <v>35</v>
      </c>
      <c r="H346" t="s">
        <v>214</v>
      </c>
      <c r="I346" t="s">
        <v>215</v>
      </c>
      <c r="J346" s="3" t="s">
        <v>100</v>
      </c>
      <c r="K346" t="s">
        <v>71</v>
      </c>
      <c r="L346" s="3" t="s">
        <v>51</v>
      </c>
      <c r="M346" s="3" t="s">
        <v>235</v>
      </c>
      <c r="N346" t="s">
        <v>236</v>
      </c>
      <c r="O346" t="s">
        <v>104</v>
      </c>
      <c r="P346" t="s">
        <v>237</v>
      </c>
      <c r="Q346" s="3">
        <v>28208.639999999999</v>
      </c>
      <c r="R346" s="3">
        <v>31320.880000000001</v>
      </c>
      <c r="S346" s="3">
        <v>14311.7</v>
      </c>
      <c r="T346" s="3">
        <v>2863.53</v>
      </c>
      <c r="U346" s="3">
        <v>2235</v>
      </c>
      <c r="V346" s="3">
        <v>2431.25</v>
      </c>
      <c r="W346" s="3">
        <v>920.29</v>
      </c>
      <c r="X346" s="3">
        <v>22761.78</v>
      </c>
      <c r="Y346" s="3">
        <v>13896.94</v>
      </c>
      <c r="Z346" s="3">
        <f t="shared" si="25"/>
        <v>5446.8600000000006</v>
      </c>
      <c r="AA346" s="37">
        <f t="shared" si="26"/>
        <v>0.19309190375714677</v>
      </c>
      <c r="AB346" s="3">
        <v>-3112.24</v>
      </c>
      <c r="AC346" s="3">
        <v>846.26</v>
      </c>
      <c r="AD346" s="3">
        <v>3283.49</v>
      </c>
      <c r="AE346" s="3">
        <v>30645.87</v>
      </c>
      <c r="AF346" t="str">
        <f>IF(tbl_FinancialData[[#This Row],[City]]="","Unknown",PROPER(TRIM(tbl_FinancialData[[#This Row],[City]])))</f>
        <v>Mangaluru</v>
      </c>
      <c r="AG346" t="str">
        <f>_xlfn.LET(_xlpm.city,LOWER(TRIM(tbl_FinancialData[[#This Row],[City]])),_xlpm.st,PROPER(TRIM(tbl_FinancialData[[#This Row],[State]])),IF(_xlpm.city="pune","Maharashtra",IF(_xlpm.city="jamshedpur","Jharkhand",IF(_xlpm.city="bhilai","Chhattisgarh",IF(_xlpm.city="mumbai","Maharashtra",_xlpm.st)))))</f>
        <v>Karnataka</v>
      </c>
      <c r="AH346" t="str">
        <f>_xlfn.LET(_xlpm.d,PROPER(TRIM(tbl_FinancialData[[#This Row],[Department]])),IF(_xlpm.d="It","IT",_xlpm.d))</f>
        <v>Marketing</v>
      </c>
      <c r="AI346" t="str">
        <f>_xlfn.LET(_xlpm.pid,tbl_FinancialData[[#This Row],[Product ID]],_xlpm.n,PROPER(TRIM(tbl_FinancialData[[#This Row],[Product Name]])),IF(_xlpm.pid="P020","Document Scanner",IF(_xlpm.pid="P015","Network Router",SUBSTITUTE(SUBSTITUTE(_xlpm.n,"Crm","CRM"),"Ups","UPS"))))</f>
        <v>Data Storage</v>
      </c>
      <c r="AJ346" s="3" t="str">
        <f>UPPER(TRIM(tbl_FinancialData[[#This Row],[Cost Center]]))</f>
        <v>CC-1003</v>
      </c>
    </row>
    <row r="347" spans="1:36" x14ac:dyDescent="0.25">
      <c r="A347" s="3" t="s">
        <v>547</v>
      </c>
      <c r="B347" s="2">
        <v>46021</v>
      </c>
      <c r="C347" t="s">
        <v>107</v>
      </c>
      <c r="D347" s="3" t="str">
        <f t="shared" si="23"/>
        <v>Q3</v>
      </c>
      <c r="E347" s="3" t="str">
        <f t="shared" si="24"/>
        <v>FY2026</v>
      </c>
      <c r="F347" s="8" t="s">
        <v>34</v>
      </c>
      <c r="G347" s="3" t="s">
        <v>35</v>
      </c>
      <c r="H347" t="s">
        <v>98</v>
      </c>
      <c r="I347" t="s">
        <v>99</v>
      </c>
      <c r="J347" s="3" t="s">
        <v>100</v>
      </c>
      <c r="K347" t="s">
        <v>101</v>
      </c>
      <c r="L347" s="3" t="s">
        <v>40</v>
      </c>
      <c r="M347" s="3" t="s">
        <v>186</v>
      </c>
      <c r="N347" t="s">
        <v>187</v>
      </c>
      <c r="O347" t="s">
        <v>173</v>
      </c>
      <c r="P347" t="s">
        <v>174</v>
      </c>
      <c r="Q347" s="3">
        <v>12506.89</v>
      </c>
      <c r="R347" s="3">
        <v>13989</v>
      </c>
      <c r="S347" s="3">
        <v>6493.64</v>
      </c>
      <c r="T347" s="3">
        <v>729.72</v>
      </c>
      <c r="U347" s="3">
        <v>430.97</v>
      </c>
      <c r="V347" s="3">
        <v>1377.89</v>
      </c>
      <c r="W347" s="3">
        <v>356.28</v>
      </c>
      <c r="X347" s="3">
        <v>9388.49</v>
      </c>
      <c r="Y347" s="3">
        <v>6013.25</v>
      </c>
      <c r="Z347" s="3">
        <f t="shared" si="25"/>
        <v>3118.3999999999996</v>
      </c>
      <c r="AA347" s="37">
        <f t="shared" si="26"/>
        <v>0.24933456678678712</v>
      </c>
      <c r="AB347" s="3">
        <v>-1482.11</v>
      </c>
      <c r="AC347" s="3">
        <v>375.21</v>
      </c>
      <c r="AD347" s="3">
        <v>606.58000000000004</v>
      </c>
      <c r="AE347" s="3">
        <v>12738.27</v>
      </c>
      <c r="AF347" t="str">
        <f>IF(tbl_FinancialData[[#This Row],[City]]="","Unknown",PROPER(TRIM(tbl_FinancialData[[#This Row],[City]])))</f>
        <v>Mumbai</v>
      </c>
      <c r="AG347" t="str">
        <f>_xlfn.LET(_xlpm.city,LOWER(TRIM(tbl_FinancialData[[#This Row],[City]])),_xlpm.st,PROPER(TRIM(tbl_FinancialData[[#This Row],[State]])),IF(_xlpm.city="pune","Maharashtra",IF(_xlpm.city="jamshedpur","Jharkhand",IF(_xlpm.city="bhilai","Chhattisgarh",IF(_xlpm.city="mumbai","Maharashtra",_xlpm.st)))))</f>
        <v>Maharashtra</v>
      </c>
      <c r="AH347" t="str">
        <f>_xlfn.LET(_xlpm.d,PROPER(TRIM(tbl_FinancialData[[#This Row],[Department]])),IF(_xlpm.d="It","IT",_xlpm.d))</f>
        <v>Finance</v>
      </c>
      <c r="AI347" t="str">
        <f>_xlfn.LET(_xlpm.pid,tbl_FinancialData[[#This Row],[Product ID]],_xlpm.n,PROPER(TRIM(tbl_FinancialData[[#This Row],[Product Name]])),IF(_xlpm.pid="P020","Document Scanner",IF(_xlpm.pid="P015","Network Router",SUBSTITUTE(SUBSTITUTE(_xlpm.n,"Crm","CRM"),"Ups","UPS"))))</f>
        <v>Network Router</v>
      </c>
      <c r="AJ347" s="3" t="str">
        <f>UPPER(TRIM(tbl_FinancialData[[#This Row],[Cost Center]]))</f>
        <v>CC-1002</v>
      </c>
    </row>
    <row r="348" spans="1:36" x14ac:dyDescent="0.25">
      <c r="A348" s="3" t="s">
        <v>548</v>
      </c>
      <c r="B348" s="2">
        <v>45839</v>
      </c>
      <c r="C348" t="s">
        <v>32</v>
      </c>
      <c r="D348" s="3" t="str">
        <f t="shared" si="23"/>
        <v>Q2</v>
      </c>
      <c r="E348" s="3" t="str">
        <f t="shared" si="24"/>
        <v>FY2026</v>
      </c>
      <c r="F348" s="8" t="s">
        <v>85</v>
      </c>
      <c r="G348" s="3" t="s">
        <v>35</v>
      </c>
      <c r="H348" t="s">
        <v>86</v>
      </c>
      <c r="I348" t="s">
        <v>181</v>
      </c>
      <c r="J348" s="3" t="s">
        <v>70</v>
      </c>
      <c r="K348" t="s">
        <v>50</v>
      </c>
      <c r="L348" s="3" t="s">
        <v>81</v>
      </c>
      <c r="M348" s="3" t="s">
        <v>161</v>
      </c>
      <c r="N348" t="s">
        <v>162</v>
      </c>
      <c r="O348" t="s">
        <v>43</v>
      </c>
      <c r="P348" t="s">
        <v>163</v>
      </c>
      <c r="Q348" s="3">
        <v>22085.439999999999</v>
      </c>
      <c r="R348" s="3">
        <v>21986.44</v>
      </c>
      <c r="S348" s="3">
        <v>15599.3</v>
      </c>
      <c r="T348" s="3">
        <v>2182.71</v>
      </c>
      <c r="U348" s="3">
        <v>1750.79</v>
      </c>
      <c r="V348" s="3">
        <v>2138.4899999999998</v>
      </c>
      <c r="W348" s="3">
        <v>307.82</v>
      </c>
      <c r="X348" s="3">
        <v>21979.1</v>
      </c>
      <c r="Y348" s="3">
        <v>6486.14</v>
      </c>
      <c r="Z348" s="3">
        <f t="shared" si="25"/>
        <v>106.34000000000015</v>
      </c>
      <c r="AA348" s="37">
        <f t="shared" si="26"/>
        <v>4.8149368996044523E-3</v>
      </c>
      <c r="AB348" s="3">
        <v>99</v>
      </c>
      <c r="AC348" s="3">
        <v>1104.27</v>
      </c>
      <c r="AD348" s="3">
        <v>2517.7399999999998</v>
      </c>
      <c r="AE348" s="3">
        <v>23498.91</v>
      </c>
      <c r="AF348" t="str">
        <f>IF(tbl_FinancialData[[#This Row],[City]]="","Unknown",PROPER(TRIM(tbl_FinancialData[[#This Row],[City]])))</f>
        <v>Bhopal</v>
      </c>
      <c r="AG348" t="str">
        <f>_xlfn.LET(_xlpm.city,LOWER(TRIM(tbl_FinancialData[[#This Row],[City]])),_xlpm.st,PROPER(TRIM(tbl_FinancialData[[#This Row],[State]])),IF(_xlpm.city="pune","Maharashtra",IF(_xlpm.city="jamshedpur","Jharkhand",IF(_xlpm.city="bhilai","Chhattisgarh",IF(_xlpm.city="mumbai","Maharashtra",_xlpm.st)))))</f>
        <v>Madhya Pradesh</v>
      </c>
      <c r="AH348" t="str">
        <f>_xlfn.LET(_xlpm.d,PROPER(TRIM(tbl_FinancialData[[#This Row],[Department]])),IF(_xlpm.d="It","IT",_xlpm.d))</f>
        <v>Sales</v>
      </c>
      <c r="AI348" t="str">
        <f>_xlfn.LET(_xlpm.pid,tbl_FinancialData[[#This Row],[Product ID]],_xlpm.n,PROPER(TRIM(tbl_FinancialData[[#This Row],[Product Name]])),IF(_xlpm.pid="P020","Document Scanner",IF(_xlpm.pid="P015","Network Router",SUBSTITUTE(SUBSTITUTE(_xlpm.n,"Crm","CRM"),"Ups","UPS"))))</f>
        <v>Tablet</v>
      </c>
      <c r="AJ348" s="3" t="str">
        <f>UPPER(TRIM(tbl_FinancialData[[#This Row],[Cost Center]]))</f>
        <v>CC-1005</v>
      </c>
    </row>
    <row r="349" spans="1:36" x14ac:dyDescent="0.25">
      <c r="A349" s="3" t="s">
        <v>549</v>
      </c>
      <c r="B349" s="2">
        <v>45872</v>
      </c>
      <c r="C349" t="s">
        <v>117</v>
      </c>
      <c r="D349" s="3" t="str">
        <f t="shared" si="23"/>
        <v>Q2</v>
      </c>
      <c r="E349" s="3" t="str">
        <f t="shared" si="24"/>
        <v>FY2026</v>
      </c>
      <c r="F349" s="8" t="s">
        <v>59</v>
      </c>
      <c r="G349" s="3" t="s">
        <v>35</v>
      </c>
      <c r="H349" t="s">
        <v>139</v>
      </c>
      <c r="I349" t="s">
        <v>140</v>
      </c>
      <c r="J349" s="3" t="s">
        <v>70</v>
      </c>
      <c r="K349" t="s">
        <v>71</v>
      </c>
      <c r="L349" s="3" t="s">
        <v>81</v>
      </c>
      <c r="M349" s="3" t="s">
        <v>95</v>
      </c>
      <c r="N349" t="s">
        <v>96</v>
      </c>
      <c r="O349" t="s">
        <v>43</v>
      </c>
      <c r="P349" t="s">
        <v>90</v>
      </c>
      <c r="Q349" s="3">
        <v>65757.64</v>
      </c>
      <c r="R349" s="3">
        <v>59345.48</v>
      </c>
      <c r="S349" s="3">
        <v>35083.17</v>
      </c>
      <c r="T349" s="3">
        <v>5433.66</v>
      </c>
      <c r="U349" s="3">
        <v>3130.45</v>
      </c>
      <c r="V349" s="3">
        <v>2744.17</v>
      </c>
      <c r="W349" s="3">
        <v>868.8</v>
      </c>
      <c r="X349" s="3">
        <v>47260.26</v>
      </c>
      <c r="Y349" s="3">
        <v>30674.47</v>
      </c>
      <c r="Z349" s="3">
        <f t="shared" si="25"/>
        <v>18497.379999999997</v>
      </c>
      <c r="AA349" s="37">
        <f t="shared" si="26"/>
        <v>0.28129628739717538</v>
      </c>
      <c r="AB349" s="3">
        <v>6412.16</v>
      </c>
      <c r="AC349" s="3">
        <v>3287.88</v>
      </c>
      <c r="AD349" s="3">
        <v>11244.56</v>
      </c>
      <c r="AE349" s="3">
        <v>73714.31</v>
      </c>
      <c r="AF349" t="str">
        <f>IF(tbl_FinancialData[[#This Row],[City]]="","Unknown",PROPER(TRIM(tbl_FinancialData[[#This Row],[City]])))</f>
        <v>Faridabad</v>
      </c>
      <c r="AG349" t="str">
        <f>_xlfn.LET(_xlpm.city,LOWER(TRIM(tbl_FinancialData[[#This Row],[City]])),_xlpm.st,PROPER(TRIM(tbl_FinancialData[[#This Row],[State]])),IF(_xlpm.city="pune","Maharashtra",IF(_xlpm.city="jamshedpur","Jharkhand",IF(_xlpm.city="bhilai","Chhattisgarh",IF(_xlpm.city="mumbai","Maharashtra",_xlpm.st)))))</f>
        <v>Haryana</v>
      </c>
      <c r="AH349" t="str">
        <f>_xlfn.LET(_xlpm.d,PROPER(TRIM(tbl_FinancialData[[#This Row],[Department]])),IF(_xlpm.d="It","IT",_xlpm.d))</f>
        <v>Marketing</v>
      </c>
      <c r="AI349" t="str">
        <f>_xlfn.LET(_xlpm.pid,tbl_FinancialData[[#This Row],[Product ID]],_xlpm.n,PROPER(TRIM(tbl_FinancialData[[#This Row],[Product Name]])),IF(_xlpm.pid="P020","Document Scanner",IF(_xlpm.pid="P015","Network Router",SUBSTITUTE(SUBSTITUTE(_xlpm.n,"Crm","CRM"),"Ups","UPS"))))</f>
        <v>Document Scanner</v>
      </c>
      <c r="AJ349" s="3" t="str">
        <f>UPPER(TRIM(tbl_FinancialData[[#This Row],[Cost Center]]))</f>
        <v>CC-1005</v>
      </c>
    </row>
    <row r="350" spans="1:36" x14ac:dyDescent="0.25">
      <c r="A350" s="3" t="s">
        <v>550</v>
      </c>
      <c r="B350" s="2">
        <v>45846</v>
      </c>
      <c r="C350" t="s">
        <v>32</v>
      </c>
      <c r="D350" s="3" t="str">
        <f t="shared" si="23"/>
        <v>Q2</v>
      </c>
      <c r="E350" s="3" t="str">
        <f t="shared" si="24"/>
        <v>FY2026</v>
      </c>
      <c r="F350" s="8" t="s">
        <v>67</v>
      </c>
      <c r="G350" s="3" t="s">
        <v>35</v>
      </c>
      <c r="H350" t="s">
        <v>118</v>
      </c>
      <c r="I350" t="s">
        <v>227</v>
      </c>
      <c r="J350" s="3" t="s">
        <v>80</v>
      </c>
      <c r="K350" t="s">
        <v>160</v>
      </c>
      <c r="L350" s="3" t="s">
        <v>72</v>
      </c>
      <c r="M350" s="3" t="s">
        <v>88</v>
      </c>
      <c r="N350" t="s">
        <v>89</v>
      </c>
      <c r="O350" t="s">
        <v>43</v>
      </c>
      <c r="P350" t="s">
        <v>90</v>
      </c>
      <c r="Q350" s="3">
        <v>22626.04</v>
      </c>
      <c r="R350" s="3">
        <v>20346.96</v>
      </c>
      <c r="S350" s="3">
        <v>14078.99</v>
      </c>
      <c r="T350" s="3">
        <v>2624.69</v>
      </c>
      <c r="U350" s="3">
        <v>1827.99</v>
      </c>
      <c r="V350" s="3">
        <v>1744.24</v>
      </c>
      <c r="W350" s="3">
        <v>847.33</v>
      </c>
      <c r="X350" s="3">
        <v>21123.24</v>
      </c>
      <c r="Y350" s="3">
        <v>8547.0499999999993</v>
      </c>
      <c r="Z350" s="3">
        <f t="shared" si="25"/>
        <v>1502.7999999999993</v>
      </c>
      <c r="AA350" s="37">
        <f t="shared" si="26"/>
        <v>6.6419046373116963E-2</v>
      </c>
      <c r="AB350" s="3">
        <v>2279.09</v>
      </c>
      <c r="AC350" s="3">
        <v>2262.6</v>
      </c>
      <c r="AD350" s="3">
        <v>2443.61</v>
      </c>
      <c r="AE350" s="3">
        <v>22807.05</v>
      </c>
      <c r="AF350" t="str">
        <f>IF(tbl_FinancialData[[#This Row],[City]]="","Unknown",PROPER(TRIM(tbl_FinancialData[[#This Row],[City]])))</f>
        <v>Dhanbad</v>
      </c>
      <c r="AG350" t="str">
        <f>_xlfn.LET(_xlpm.city,LOWER(TRIM(tbl_FinancialData[[#This Row],[City]])),_xlpm.st,PROPER(TRIM(tbl_FinancialData[[#This Row],[State]])),IF(_xlpm.city="pune","Maharashtra",IF(_xlpm.city="jamshedpur","Jharkhand",IF(_xlpm.city="bhilai","Chhattisgarh",IF(_xlpm.city="mumbai","Maharashtra",_xlpm.st)))))</f>
        <v>Jharkhand</v>
      </c>
      <c r="AH350" t="str">
        <f>_xlfn.LET(_xlpm.d,PROPER(TRIM(tbl_FinancialData[[#This Row],[Department]])),IF(_xlpm.d="It","IT",_xlpm.d))</f>
        <v>IT</v>
      </c>
      <c r="AI350" t="str">
        <f>_xlfn.LET(_xlpm.pid,tbl_FinancialData[[#This Row],[Product ID]],_xlpm.n,PROPER(TRIM(tbl_FinancialData[[#This Row],[Product Name]])),IF(_xlpm.pid="P020","Document Scanner",IF(_xlpm.pid="P015","Network Router",SUBSTITUTE(SUBSTITUTE(_xlpm.n,"Crm","CRM"),"Ups","UPS"))))</f>
        <v>Printer</v>
      </c>
      <c r="AJ350" s="3" t="str">
        <f>UPPER(TRIM(tbl_FinancialData[[#This Row],[Cost Center]]))</f>
        <v>CC-1004</v>
      </c>
    </row>
    <row r="351" spans="1:36" x14ac:dyDescent="0.25">
      <c r="A351" s="3" t="s">
        <v>551</v>
      </c>
      <c r="B351" s="2">
        <v>45911</v>
      </c>
      <c r="C351" t="s">
        <v>46</v>
      </c>
      <c r="D351" s="3" t="str">
        <f t="shared" si="23"/>
        <v>Q2</v>
      </c>
      <c r="E351" s="3" t="str">
        <f t="shared" si="24"/>
        <v>FY2026</v>
      </c>
      <c r="F351" s="8" t="s">
        <v>67</v>
      </c>
      <c r="G351" s="3" t="s">
        <v>35</v>
      </c>
      <c r="H351" t="s">
        <v>168</v>
      </c>
      <c r="I351" t="s">
        <v>278</v>
      </c>
      <c r="J351" s="3" t="s">
        <v>100</v>
      </c>
      <c r="K351" t="s">
        <v>160</v>
      </c>
      <c r="L351" s="3" t="s">
        <v>51</v>
      </c>
      <c r="M351" s="3" t="s">
        <v>52</v>
      </c>
      <c r="N351" t="s">
        <v>53</v>
      </c>
      <c r="O351" t="s">
        <v>54</v>
      </c>
      <c r="P351" t="s">
        <v>55</v>
      </c>
      <c r="Q351" s="3">
        <v>7889.89</v>
      </c>
      <c r="R351" s="3">
        <v>8717.25</v>
      </c>
      <c r="S351" s="3">
        <v>5111.76</v>
      </c>
      <c r="T351" s="3">
        <v>588.23</v>
      </c>
      <c r="U351" s="3">
        <v>226.53</v>
      </c>
      <c r="V351" s="3">
        <v>532.13</v>
      </c>
      <c r="W351" s="3">
        <v>263.07</v>
      </c>
      <c r="X351" s="3">
        <v>6721.72</v>
      </c>
      <c r="Y351" s="3">
        <v>2778.12</v>
      </c>
      <c r="Z351" s="3">
        <f t="shared" si="25"/>
        <v>1168.17</v>
      </c>
      <c r="AA351" s="37">
        <f t="shared" si="26"/>
        <v>0.14805909841582077</v>
      </c>
      <c r="AB351" s="3">
        <v>-827.36</v>
      </c>
      <c r="AC351" s="3">
        <v>0</v>
      </c>
      <c r="AD351" s="3">
        <v>394.49</v>
      </c>
      <c r="AE351" s="3">
        <v>8284.3799999999992</v>
      </c>
      <c r="AF351" t="str">
        <f>IF(tbl_FinancialData[[#This Row],[City]]="","Unknown",PROPER(TRIM(tbl_FinancialData[[#This Row],[City]])))</f>
        <v>Siliguri</v>
      </c>
      <c r="AG351" t="str">
        <f>_xlfn.LET(_xlpm.city,LOWER(TRIM(tbl_FinancialData[[#This Row],[City]])),_xlpm.st,PROPER(TRIM(tbl_FinancialData[[#This Row],[State]])),IF(_xlpm.city="pune","Maharashtra",IF(_xlpm.city="jamshedpur","Jharkhand",IF(_xlpm.city="bhilai","Chhattisgarh",IF(_xlpm.city="mumbai","Maharashtra",_xlpm.st)))))</f>
        <v>West Bengal</v>
      </c>
      <c r="AH351" t="str">
        <f>_xlfn.LET(_xlpm.d,PROPER(TRIM(tbl_FinancialData[[#This Row],[Department]])),IF(_xlpm.d="It","IT",_xlpm.d))</f>
        <v>IT</v>
      </c>
      <c r="AI351" t="str">
        <f>_xlfn.LET(_xlpm.pid,tbl_FinancialData[[#This Row],[Product ID]],_xlpm.n,PROPER(TRIM(tbl_FinancialData[[#This Row],[Product Name]])),IF(_xlpm.pid="P020","Document Scanner",IF(_xlpm.pid="P015","Network Router",SUBSTITUTE(SUBSTITUTE(_xlpm.n,"Crm","CRM"),"Ups","UPS"))))</f>
        <v>Mouse</v>
      </c>
      <c r="AJ351" s="3" t="str">
        <f>UPPER(TRIM(tbl_FinancialData[[#This Row],[Cost Center]]))</f>
        <v>CC-1003</v>
      </c>
    </row>
    <row r="352" spans="1:36" x14ac:dyDescent="0.25">
      <c r="A352" s="3" t="s">
        <v>552</v>
      </c>
      <c r="B352" s="2">
        <v>46006</v>
      </c>
      <c r="C352" t="s">
        <v>107</v>
      </c>
      <c r="D352" s="3" t="str">
        <f t="shared" si="23"/>
        <v>Q3</v>
      </c>
      <c r="E352" s="3" t="str">
        <f t="shared" si="24"/>
        <v>FY2026</v>
      </c>
      <c r="F352" s="8" t="s">
        <v>85</v>
      </c>
      <c r="G352" s="3" t="s">
        <v>35</v>
      </c>
      <c r="H352" t="s">
        <v>60</v>
      </c>
      <c r="I352" t="s">
        <v>61</v>
      </c>
      <c r="J352" s="3" t="s">
        <v>38</v>
      </c>
      <c r="K352" t="s">
        <v>160</v>
      </c>
      <c r="L352" s="3" t="s">
        <v>51</v>
      </c>
      <c r="M352" s="3" t="s">
        <v>73</v>
      </c>
      <c r="N352" t="s">
        <v>74</v>
      </c>
      <c r="O352" t="s">
        <v>43</v>
      </c>
      <c r="P352" t="s">
        <v>75</v>
      </c>
      <c r="Q352" s="3">
        <v>61548.66</v>
      </c>
      <c r="R352" s="3">
        <v>58680.28</v>
      </c>
      <c r="S352" s="3">
        <v>35766.68</v>
      </c>
      <c r="T352" s="3">
        <v>7207.79</v>
      </c>
      <c r="U352" s="3">
        <v>5047.78</v>
      </c>
      <c r="V352" s="3">
        <v>3659.34</v>
      </c>
      <c r="W352" s="3">
        <v>1801.53</v>
      </c>
      <c r="X352" s="3">
        <v>53483.11</v>
      </c>
      <c r="Y352" s="3">
        <v>25781.98</v>
      </c>
      <c r="Z352" s="3">
        <f t="shared" si="25"/>
        <v>8065.5500000000029</v>
      </c>
      <c r="AA352" s="37">
        <f t="shared" si="26"/>
        <v>0.13104347032088112</v>
      </c>
      <c r="AB352" s="3">
        <v>2868.38</v>
      </c>
      <c r="AC352" s="3">
        <v>1230.97</v>
      </c>
      <c r="AD352" s="3">
        <v>3015.88</v>
      </c>
      <c r="AE352" s="3">
        <v>63333.57</v>
      </c>
      <c r="AF352" t="str">
        <f>IF(tbl_FinancialData[[#This Row],[City]]="","Unknown",PROPER(TRIM(tbl_FinancialData[[#This Row],[City]])))</f>
        <v>Lucknow</v>
      </c>
      <c r="AG352" t="str">
        <f>_xlfn.LET(_xlpm.city,LOWER(TRIM(tbl_FinancialData[[#This Row],[City]])),_xlpm.st,PROPER(TRIM(tbl_FinancialData[[#This Row],[State]])),IF(_xlpm.city="pune","Maharashtra",IF(_xlpm.city="jamshedpur","Jharkhand",IF(_xlpm.city="bhilai","Chhattisgarh",IF(_xlpm.city="mumbai","Maharashtra",_xlpm.st)))))</f>
        <v>Uttar Pradesh</v>
      </c>
      <c r="AH352" t="str">
        <f>_xlfn.LET(_xlpm.d,PROPER(TRIM(tbl_FinancialData[[#This Row],[Department]])),IF(_xlpm.d="It","IT",_xlpm.d))</f>
        <v>IT</v>
      </c>
      <c r="AI352" t="str">
        <f>_xlfn.LET(_xlpm.pid,tbl_FinancialData[[#This Row],[Product ID]],_xlpm.n,PROPER(TRIM(tbl_FinancialData[[#This Row],[Product Name]])),IF(_xlpm.pid="P020","Document Scanner",IF(_xlpm.pid="P015","Network Router",SUBSTITUTE(SUBSTITUTE(_xlpm.n,"Crm","CRM"),"Ups","UPS"))))</f>
        <v>Monitor</v>
      </c>
      <c r="AJ352" s="3" t="str">
        <f>UPPER(TRIM(tbl_FinancialData[[#This Row],[Cost Center]]))</f>
        <v>CC-1003</v>
      </c>
    </row>
    <row r="353" spans="1:36" x14ac:dyDescent="0.25">
      <c r="A353" s="3" t="s">
        <v>553</v>
      </c>
      <c r="B353" s="2">
        <v>46088</v>
      </c>
      <c r="C353" t="s">
        <v>125</v>
      </c>
      <c r="D353" s="3" t="str">
        <f t="shared" si="23"/>
        <v>Q4</v>
      </c>
      <c r="E353" s="3" t="str">
        <f t="shared" si="24"/>
        <v>FY2026</v>
      </c>
      <c r="F353" s="8" t="s">
        <v>34</v>
      </c>
      <c r="G353" s="3" t="s">
        <v>35</v>
      </c>
      <c r="H353" t="s">
        <v>134</v>
      </c>
      <c r="I353" t="s">
        <v>135</v>
      </c>
      <c r="J353" s="3" t="s">
        <v>100</v>
      </c>
      <c r="K353" t="s">
        <v>101</v>
      </c>
      <c r="L353" s="3" t="s">
        <v>94</v>
      </c>
      <c r="M353" s="3" t="s">
        <v>171</v>
      </c>
      <c r="N353" t="s">
        <v>172</v>
      </c>
      <c r="O353" t="s">
        <v>173</v>
      </c>
      <c r="P353" t="s">
        <v>174</v>
      </c>
      <c r="Q353" s="3">
        <v>27047.06</v>
      </c>
      <c r="R353" s="3">
        <v>29912.31</v>
      </c>
      <c r="S353" s="3">
        <v>17704.7</v>
      </c>
      <c r="T353" s="3">
        <v>3234</v>
      </c>
      <c r="U353" s="3">
        <v>1009.23</v>
      </c>
      <c r="V353" s="3">
        <v>1949.87</v>
      </c>
      <c r="W353" s="3">
        <v>1167.7</v>
      </c>
      <c r="X353" s="3">
        <v>25065.49</v>
      </c>
      <c r="Y353" s="3">
        <v>9342.36</v>
      </c>
      <c r="Z353" s="3">
        <f t="shared" si="25"/>
        <v>1981.5699999999997</v>
      </c>
      <c r="AA353" s="37">
        <f t="shared" si="26"/>
        <v>7.3263785416973218E-2</v>
      </c>
      <c r="AB353" s="3">
        <v>-2865.25</v>
      </c>
      <c r="AC353" s="3">
        <v>811.41</v>
      </c>
      <c r="AD353" s="3">
        <v>1311.78</v>
      </c>
      <c r="AE353" s="3">
        <v>27547.43</v>
      </c>
      <c r="AF353" t="str">
        <f>IF(tbl_FinancialData[[#This Row],[City]]="","Unknown",PROPER(TRIM(tbl_FinancialData[[#This Row],[City]])))</f>
        <v>Jodhpur</v>
      </c>
      <c r="AG353" t="str">
        <f>_xlfn.LET(_xlpm.city,LOWER(TRIM(tbl_FinancialData[[#This Row],[City]])),_xlpm.st,PROPER(TRIM(tbl_FinancialData[[#This Row],[State]])),IF(_xlpm.city="pune","Maharashtra",IF(_xlpm.city="jamshedpur","Jharkhand",IF(_xlpm.city="bhilai","Chhattisgarh",IF(_xlpm.city="mumbai","Maharashtra",_xlpm.st)))))</f>
        <v>Rajasthan</v>
      </c>
      <c r="AH353" t="str">
        <f>_xlfn.LET(_xlpm.d,PROPER(TRIM(tbl_FinancialData[[#This Row],[Department]])),IF(_xlpm.d="It","IT",_xlpm.d))</f>
        <v>Finance</v>
      </c>
      <c r="AI353" t="str">
        <f>_xlfn.LET(_xlpm.pid,tbl_FinancialData[[#This Row],[Product ID]],_xlpm.n,PROPER(TRIM(tbl_FinancialData[[#This Row],[Product Name]])),IF(_xlpm.pid="P020","Document Scanner",IF(_xlpm.pid="P015","Network Router",SUBSTITUTE(SUBSTITUTE(_xlpm.n,"Crm","CRM"),"Ups","UPS"))))</f>
        <v>Network Switch</v>
      </c>
      <c r="AJ353" s="3" t="str">
        <f>UPPER(TRIM(tbl_FinancialData[[#This Row],[Cost Center]]))</f>
        <v>CC-1001</v>
      </c>
    </row>
    <row r="354" spans="1:36" x14ac:dyDescent="0.25">
      <c r="A354" s="3" t="s">
        <v>554</v>
      </c>
      <c r="B354" s="2">
        <v>45849</v>
      </c>
      <c r="C354" t="s">
        <v>32</v>
      </c>
      <c r="D354" s="3" t="str">
        <f t="shared" si="23"/>
        <v>Q2</v>
      </c>
      <c r="E354" s="3" t="str">
        <f t="shared" si="24"/>
        <v>FY2026</v>
      </c>
      <c r="F354" s="8" t="s">
        <v>59</v>
      </c>
      <c r="G354" s="3" t="s">
        <v>35</v>
      </c>
      <c r="H354" t="s">
        <v>230</v>
      </c>
      <c r="I354" t="s">
        <v>363</v>
      </c>
      <c r="J354" s="3" t="s">
        <v>100</v>
      </c>
      <c r="K354" t="s">
        <v>160</v>
      </c>
      <c r="L354" s="3" t="s">
        <v>94</v>
      </c>
      <c r="M354" s="3" t="s">
        <v>62</v>
      </c>
      <c r="N354" t="s">
        <v>63</v>
      </c>
      <c r="O354" t="s">
        <v>54</v>
      </c>
      <c r="P354" t="s">
        <v>55</v>
      </c>
      <c r="Q354" s="3">
        <v>4600.43</v>
      </c>
      <c r="R354" s="3">
        <v>5382.35</v>
      </c>
      <c r="S354" s="3">
        <v>2694.83</v>
      </c>
      <c r="T354" s="3">
        <v>325.86</v>
      </c>
      <c r="U354" s="3">
        <v>365.72</v>
      </c>
      <c r="V354" s="3">
        <v>447.39</v>
      </c>
      <c r="W354" s="3">
        <v>156.61000000000001</v>
      </c>
      <c r="X354" s="3">
        <v>3990.4</v>
      </c>
      <c r="Y354" s="3">
        <v>1905.6</v>
      </c>
      <c r="Z354" s="3">
        <f t="shared" si="25"/>
        <v>610.0300000000002</v>
      </c>
      <c r="AA354" s="37">
        <f t="shared" si="26"/>
        <v>0.13260282191012582</v>
      </c>
      <c r="AB354" s="3">
        <v>-781.92</v>
      </c>
      <c r="AC354" s="3">
        <v>368.03</v>
      </c>
      <c r="AD354" s="3">
        <v>761.83</v>
      </c>
      <c r="AE354" s="3">
        <v>4994.22</v>
      </c>
      <c r="AF354" t="str">
        <f>IF(tbl_FinancialData[[#This Row],[City]]="","Unknown",PROPER(TRIM(tbl_FinancialData[[#This Row],[City]])))</f>
        <v>Jalandhar</v>
      </c>
      <c r="AG354" t="str">
        <f>_xlfn.LET(_xlpm.city,LOWER(TRIM(tbl_FinancialData[[#This Row],[City]])),_xlpm.st,PROPER(TRIM(tbl_FinancialData[[#This Row],[State]])),IF(_xlpm.city="pune","Maharashtra",IF(_xlpm.city="jamshedpur","Jharkhand",IF(_xlpm.city="bhilai","Chhattisgarh",IF(_xlpm.city="mumbai","Maharashtra",_xlpm.st)))))</f>
        <v>Punjab</v>
      </c>
      <c r="AH354" t="str">
        <f>_xlfn.LET(_xlpm.d,PROPER(TRIM(tbl_FinancialData[[#This Row],[Department]])),IF(_xlpm.d="It","IT",_xlpm.d))</f>
        <v>IT</v>
      </c>
      <c r="AI354" t="str">
        <f>_xlfn.LET(_xlpm.pid,tbl_FinancialData[[#This Row],[Product ID]],_xlpm.n,PROPER(TRIM(tbl_FinancialData[[#This Row],[Product Name]])),IF(_xlpm.pid="P020","Document Scanner",IF(_xlpm.pid="P015","Network Router",SUBSTITUTE(SUBSTITUTE(_xlpm.n,"Crm","CRM"),"Ups","UPS"))))</f>
        <v>Keyboard</v>
      </c>
      <c r="AJ354" s="3" t="str">
        <f>UPPER(TRIM(tbl_FinancialData[[#This Row],[Cost Center]]))</f>
        <v>CC-1001</v>
      </c>
    </row>
    <row r="355" spans="1:36" x14ac:dyDescent="0.25">
      <c r="A355" s="3" t="s">
        <v>555</v>
      </c>
      <c r="B355" s="2">
        <v>46108</v>
      </c>
      <c r="C355" t="s">
        <v>125</v>
      </c>
      <c r="D355" s="3" t="str">
        <f t="shared" si="23"/>
        <v>Q4</v>
      </c>
      <c r="E355" s="3" t="str">
        <f t="shared" si="24"/>
        <v>FY2026</v>
      </c>
      <c r="F355" s="8" t="s">
        <v>59</v>
      </c>
      <c r="G355" s="3" t="s">
        <v>35</v>
      </c>
      <c r="H355" t="s">
        <v>230</v>
      </c>
      <c r="I355" t="s">
        <v>301</v>
      </c>
      <c r="J355" s="3" t="s">
        <v>80</v>
      </c>
      <c r="K355" t="s">
        <v>71</v>
      </c>
      <c r="L355" s="3" t="s">
        <v>51</v>
      </c>
      <c r="M355" s="3" t="s">
        <v>82</v>
      </c>
      <c r="N355" t="s">
        <v>83</v>
      </c>
      <c r="O355" t="s">
        <v>43</v>
      </c>
      <c r="P355" t="s">
        <v>75</v>
      </c>
      <c r="Q355" s="3">
        <v>22886.9</v>
      </c>
      <c r="R355" s="3">
        <v>22497.599999999999</v>
      </c>
      <c r="S355" s="3">
        <v>12790.5</v>
      </c>
      <c r="T355" s="3">
        <v>2247.0500000000002</v>
      </c>
      <c r="U355" s="3">
        <v>1051.68</v>
      </c>
      <c r="V355" s="3">
        <v>2337.9299999999998</v>
      </c>
      <c r="W355" s="3">
        <v>285.58</v>
      </c>
      <c r="X355" s="3">
        <v>18712.740000000002</v>
      </c>
      <c r="Y355" s="3">
        <v>10096.4</v>
      </c>
      <c r="Z355" s="3">
        <f t="shared" si="25"/>
        <v>4174.16</v>
      </c>
      <c r="AA355" s="37">
        <f t="shared" si="26"/>
        <v>0.18238206135387491</v>
      </c>
      <c r="AB355" s="3">
        <v>389.3</v>
      </c>
      <c r="AC355" s="3">
        <v>1144.3499999999999</v>
      </c>
      <c r="AD355" s="3">
        <v>3913.66</v>
      </c>
      <c r="AE355" s="3">
        <v>25656.22</v>
      </c>
      <c r="AF355" t="str">
        <f>IF(tbl_FinancialData[[#This Row],[City]]="","Unknown",PROPER(TRIM(tbl_FinancialData[[#This Row],[City]])))</f>
        <v>Amritsar</v>
      </c>
      <c r="AG355" t="str">
        <f>_xlfn.LET(_xlpm.city,LOWER(TRIM(tbl_FinancialData[[#This Row],[City]])),_xlpm.st,PROPER(TRIM(tbl_FinancialData[[#This Row],[State]])),IF(_xlpm.city="pune","Maharashtra",IF(_xlpm.city="jamshedpur","Jharkhand",IF(_xlpm.city="bhilai","Chhattisgarh",IF(_xlpm.city="mumbai","Maharashtra",_xlpm.st)))))</f>
        <v>Punjab</v>
      </c>
      <c r="AH355" t="str">
        <f>_xlfn.LET(_xlpm.d,PROPER(TRIM(tbl_FinancialData[[#This Row],[Department]])),IF(_xlpm.d="It","IT",_xlpm.d))</f>
        <v>Marketing</v>
      </c>
      <c r="AI355" t="str">
        <f>_xlfn.LET(_xlpm.pid,tbl_FinancialData[[#This Row],[Product ID]],_xlpm.n,PROPER(TRIM(tbl_FinancialData[[#This Row],[Product Name]])),IF(_xlpm.pid="P020","Document Scanner",IF(_xlpm.pid="P015","Network Router",SUBSTITUTE(SUBSTITUTE(_xlpm.n,"Crm","CRM"),"Ups","UPS"))))</f>
        <v>Business Laptop</v>
      </c>
      <c r="AJ355" s="3" t="str">
        <f>UPPER(TRIM(tbl_FinancialData[[#This Row],[Cost Center]]))</f>
        <v>CC-1003</v>
      </c>
    </row>
    <row r="356" spans="1:36" x14ac:dyDescent="0.25">
      <c r="A356" s="3" t="s">
        <v>556</v>
      </c>
      <c r="B356" s="2">
        <v>45897</v>
      </c>
      <c r="C356" t="s">
        <v>117</v>
      </c>
      <c r="D356" s="3" t="str">
        <f t="shared" si="23"/>
        <v>Q2</v>
      </c>
      <c r="E356" s="3" t="str">
        <f t="shared" si="24"/>
        <v>FY2026</v>
      </c>
      <c r="F356" s="8" t="s">
        <v>34</v>
      </c>
      <c r="G356" s="3" t="s">
        <v>35</v>
      </c>
      <c r="H356" t="s">
        <v>36</v>
      </c>
      <c r="I356" t="s">
        <v>145</v>
      </c>
      <c r="J356" s="3" t="s">
        <v>80</v>
      </c>
      <c r="K356" t="s">
        <v>50</v>
      </c>
      <c r="L356" s="3" t="s">
        <v>94</v>
      </c>
      <c r="M356" s="3" t="s">
        <v>95</v>
      </c>
      <c r="N356" t="s">
        <v>96</v>
      </c>
      <c r="O356" t="s">
        <v>43</v>
      </c>
      <c r="P356" t="s">
        <v>90</v>
      </c>
      <c r="Q356" s="3">
        <v>55040.39</v>
      </c>
      <c r="R356" s="3">
        <v>61462.400000000001</v>
      </c>
      <c r="S356" s="3">
        <v>36651.25</v>
      </c>
      <c r="T356" s="3">
        <v>3710.73</v>
      </c>
      <c r="U356" s="3">
        <v>3598.53</v>
      </c>
      <c r="V356" s="3">
        <v>2413.3200000000002</v>
      </c>
      <c r="W356" s="3">
        <v>1481.97</v>
      </c>
      <c r="X356" s="3">
        <v>47855.79</v>
      </c>
      <c r="Y356" s="3">
        <v>18389.14</v>
      </c>
      <c r="Z356" s="3">
        <f t="shared" si="25"/>
        <v>7184.5999999999985</v>
      </c>
      <c r="AA356" s="37">
        <f t="shared" si="26"/>
        <v>0.13053323205013626</v>
      </c>
      <c r="AB356" s="3">
        <v>-6422.01</v>
      </c>
      <c r="AC356" s="3">
        <v>0</v>
      </c>
      <c r="AD356" s="3">
        <v>9907.27</v>
      </c>
      <c r="AE356" s="3">
        <v>64947.67</v>
      </c>
      <c r="AF356" t="str">
        <f>IF(tbl_FinancialData[[#This Row],[City]]="","Unknown",PROPER(TRIM(tbl_FinancialData[[#This Row],[City]])))</f>
        <v>Panaji</v>
      </c>
      <c r="AG356" t="str">
        <f>_xlfn.LET(_xlpm.city,LOWER(TRIM(tbl_FinancialData[[#This Row],[City]])),_xlpm.st,PROPER(TRIM(tbl_FinancialData[[#This Row],[State]])),IF(_xlpm.city="pune","Maharashtra",IF(_xlpm.city="jamshedpur","Jharkhand",IF(_xlpm.city="bhilai","Chhattisgarh",IF(_xlpm.city="mumbai","Maharashtra",_xlpm.st)))))</f>
        <v>Goa</v>
      </c>
      <c r="AH356" t="str">
        <f>_xlfn.LET(_xlpm.d,PROPER(TRIM(tbl_FinancialData[[#This Row],[Department]])),IF(_xlpm.d="It","IT",_xlpm.d))</f>
        <v>Sales</v>
      </c>
      <c r="AI356" t="str">
        <f>_xlfn.LET(_xlpm.pid,tbl_FinancialData[[#This Row],[Product ID]],_xlpm.n,PROPER(TRIM(tbl_FinancialData[[#This Row],[Product Name]])),IF(_xlpm.pid="P020","Document Scanner",IF(_xlpm.pid="P015","Network Router",SUBSTITUTE(SUBSTITUTE(_xlpm.n,"Crm","CRM"),"Ups","UPS"))))</f>
        <v>Document Scanner</v>
      </c>
      <c r="AJ356" s="3" t="str">
        <f>UPPER(TRIM(tbl_FinancialData[[#This Row],[Cost Center]]))</f>
        <v>CC-1001</v>
      </c>
    </row>
    <row r="357" spans="1:36" x14ac:dyDescent="0.25">
      <c r="A357" s="3" t="s">
        <v>557</v>
      </c>
      <c r="B357" s="2">
        <v>45771</v>
      </c>
      <c r="C357" t="s">
        <v>128</v>
      </c>
      <c r="D357" s="3" t="str">
        <f t="shared" si="23"/>
        <v>Q1</v>
      </c>
      <c r="E357" s="3" t="str">
        <f t="shared" si="24"/>
        <v>FY2026</v>
      </c>
      <c r="F357" s="8" t="s">
        <v>67</v>
      </c>
      <c r="G357" s="3" t="s">
        <v>35</v>
      </c>
      <c r="H357" t="s">
        <v>118</v>
      </c>
      <c r="I357" t="s">
        <v>227</v>
      </c>
      <c r="J357" s="3" t="s">
        <v>80</v>
      </c>
      <c r="K357" t="s">
        <v>50</v>
      </c>
      <c r="L357" s="3" t="s">
        <v>94</v>
      </c>
      <c r="M357" s="3" t="s">
        <v>73</v>
      </c>
      <c r="N357" t="s">
        <v>74</v>
      </c>
      <c r="O357" t="s">
        <v>43</v>
      </c>
      <c r="P357" t="s">
        <v>75</v>
      </c>
      <c r="Q357" s="3">
        <v>55216.77</v>
      </c>
      <c r="R357" s="3">
        <v>53717.01</v>
      </c>
      <c r="S357" s="3">
        <v>32440.58</v>
      </c>
      <c r="T357" s="3">
        <v>4551.95</v>
      </c>
      <c r="U357" s="3">
        <v>4912.3999999999996</v>
      </c>
      <c r="V357" s="3">
        <v>3499.63</v>
      </c>
      <c r="W357" s="3">
        <v>1121.93</v>
      </c>
      <c r="X357" s="3">
        <v>46526.49</v>
      </c>
      <c r="Y357" s="3">
        <v>22776.19</v>
      </c>
      <c r="Z357" s="3">
        <f t="shared" si="25"/>
        <v>8690.2799999999988</v>
      </c>
      <c r="AA357" s="37">
        <f t="shared" si="26"/>
        <v>0.15738479451079807</v>
      </c>
      <c r="AB357" s="3">
        <v>1499.76</v>
      </c>
      <c r="AC357" s="3">
        <v>1656.5</v>
      </c>
      <c r="AD357" s="3">
        <v>6427.23</v>
      </c>
      <c r="AE357" s="3">
        <v>59987.5</v>
      </c>
      <c r="AF357" t="str">
        <f>IF(tbl_FinancialData[[#This Row],[City]]="","Unknown",PROPER(TRIM(tbl_FinancialData[[#This Row],[City]])))</f>
        <v>Dhanbad</v>
      </c>
      <c r="AG357" t="str">
        <f>_xlfn.LET(_xlpm.city,LOWER(TRIM(tbl_FinancialData[[#This Row],[City]])),_xlpm.st,PROPER(TRIM(tbl_FinancialData[[#This Row],[State]])),IF(_xlpm.city="pune","Maharashtra",IF(_xlpm.city="jamshedpur","Jharkhand",IF(_xlpm.city="bhilai","Chhattisgarh",IF(_xlpm.city="mumbai","Maharashtra",_xlpm.st)))))</f>
        <v>Jharkhand</v>
      </c>
      <c r="AH357" t="str">
        <f>_xlfn.LET(_xlpm.d,PROPER(TRIM(tbl_FinancialData[[#This Row],[Department]])),IF(_xlpm.d="It","IT",_xlpm.d))</f>
        <v>Sales</v>
      </c>
      <c r="AI357" t="str">
        <f>_xlfn.LET(_xlpm.pid,tbl_FinancialData[[#This Row],[Product ID]],_xlpm.n,PROPER(TRIM(tbl_FinancialData[[#This Row],[Product Name]])),IF(_xlpm.pid="P020","Document Scanner",IF(_xlpm.pid="P015","Network Router",SUBSTITUTE(SUBSTITUTE(_xlpm.n,"Crm","CRM"),"Ups","UPS"))))</f>
        <v>Monitor</v>
      </c>
      <c r="AJ357" s="3" t="str">
        <f>UPPER(TRIM(tbl_FinancialData[[#This Row],[Cost Center]]))</f>
        <v>CC-1001</v>
      </c>
    </row>
    <row r="358" spans="1:36" x14ac:dyDescent="0.25">
      <c r="A358" s="3" t="s">
        <v>558</v>
      </c>
      <c r="B358" s="2">
        <v>46062</v>
      </c>
      <c r="C358" t="s">
        <v>57</v>
      </c>
      <c r="D358" s="3" t="str">
        <f t="shared" si="23"/>
        <v>Q4</v>
      </c>
      <c r="E358" s="3" t="str">
        <f t="shared" si="24"/>
        <v>FY2026</v>
      </c>
      <c r="F358" s="8" t="s">
        <v>67</v>
      </c>
      <c r="G358" s="3" t="s">
        <v>35</v>
      </c>
      <c r="H358" t="s">
        <v>118</v>
      </c>
      <c r="I358" t="s">
        <v>227</v>
      </c>
      <c r="J358" s="3" t="s">
        <v>80</v>
      </c>
      <c r="K358" t="s">
        <v>160</v>
      </c>
      <c r="L358" s="3" t="s">
        <v>81</v>
      </c>
      <c r="M358" s="3" t="s">
        <v>171</v>
      </c>
      <c r="N358" t="s">
        <v>172</v>
      </c>
      <c r="O358" t="s">
        <v>173</v>
      </c>
      <c r="P358" t="s">
        <v>174</v>
      </c>
      <c r="Q358" s="3">
        <v>32851.440000000002</v>
      </c>
      <c r="R358" s="3">
        <v>30572.36</v>
      </c>
      <c r="S358" s="3">
        <v>23403.31</v>
      </c>
      <c r="T358" s="3">
        <v>2832.8</v>
      </c>
      <c r="U358" s="3">
        <v>2840.71</v>
      </c>
      <c r="V358" s="3">
        <v>3092.82</v>
      </c>
      <c r="W358" s="3">
        <v>675.28</v>
      </c>
      <c r="X358" s="3">
        <v>32844.92</v>
      </c>
      <c r="Y358" s="3">
        <v>9448.1200000000008</v>
      </c>
      <c r="Z358" s="3">
        <f t="shared" si="25"/>
        <v>6.5200000000040745</v>
      </c>
      <c r="AA358" s="37">
        <f t="shared" si="26"/>
        <v>1.9846922996386382E-4</v>
      </c>
      <c r="AB358" s="3">
        <v>2279.0700000000002</v>
      </c>
      <c r="AC358" s="3">
        <v>657.03</v>
      </c>
      <c r="AD358" s="3">
        <v>3863.33</v>
      </c>
      <c r="AE358" s="3">
        <v>36057.74</v>
      </c>
      <c r="AF358" t="str">
        <f>IF(tbl_FinancialData[[#This Row],[City]]="","Unknown",PROPER(TRIM(tbl_FinancialData[[#This Row],[City]])))</f>
        <v>Dhanbad</v>
      </c>
      <c r="AG358" t="str">
        <f>_xlfn.LET(_xlpm.city,LOWER(TRIM(tbl_FinancialData[[#This Row],[City]])),_xlpm.st,PROPER(TRIM(tbl_FinancialData[[#This Row],[State]])),IF(_xlpm.city="pune","Maharashtra",IF(_xlpm.city="jamshedpur","Jharkhand",IF(_xlpm.city="bhilai","Chhattisgarh",IF(_xlpm.city="mumbai","Maharashtra",_xlpm.st)))))</f>
        <v>Jharkhand</v>
      </c>
      <c r="AH358" t="str">
        <f>_xlfn.LET(_xlpm.d,PROPER(TRIM(tbl_FinancialData[[#This Row],[Department]])),IF(_xlpm.d="It","IT",_xlpm.d))</f>
        <v>IT</v>
      </c>
      <c r="AI358" t="str">
        <f>_xlfn.LET(_xlpm.pid,tbl_FinancialData[[#This Row],[Product ID]],_xlpm.n,PROPER(TRIM(tbl_FinancialData[[#This Row],[Product Name]])),IF(_xlpm.pid="P020","Document Scanner",IF(_xlpm.pid="P015","Network Router",SUBSTITUTE(SUBSTITUTE(_xlpm.n,"Crm","CRM"),"Ups","UPS"))))</f>
        <v>Network Switch</v>
      </c>
      <c r="AJ358" s="3" t="str">
        <f>UPPER(TRIM(tbl_FinancialData[[#This Row],[Cost Center]]))</f>
        <v>CC-1005</v>
      </c>
    </row>
    <row r="359" spans="1:36" x14ac:dyDescent="0.25">
      <c r="A359" s="3" t="s">
        <v>559</v>
      </c>
      <c r="B359" s="2">
        <v>46057</v>
      </c>
      <c r="C359" t="s">
        <v>57</v>
      </c>
      <c r="D359" s="3" t="str">
        <f t="shared" si="23"/>
        <v>Q4</v>
      </c>
      <c r="E359" s="3" t="str">
        <f t="shared" si="24"/>
        <v>FY2026</v>
      </c>
      <c r="F359" s="8" t="s">
        <v>47</v>
      </c>
      <c r="G359" s="3" t="s">
        <v>35</v>
      </c>
      <c r="H359" t="s">
        <v>206</v>
      </c>
      <c r="I359" t="s">
        <v>344</v>
      </c>
      <c r="J359" s="3" t="s">
        <v>38</v>
      </c>
      <c r="K359" t="s">
        <v>101</v>
      </c>
      <c r="L359" s="3" t="s">
        <v>94</v>
      </c>
      <c r="M359" s="3" t="s">
        <v>110</v>
      </c>
      <c r="N359" t="s">
        <v>111</v>
      </c>
      <c r="O359" t="s">
        <v>112</v>
      </c>
      <c r="P359" t="s">
        <v>113</v>
      </c>
      <c r="Q359" s="3">
        <v>9201.58</v>
      </c>
      <c r="R359" s="3">
        <v>9873.56</v>
      </c>
      <c r="S359" s="3">
        <v>4852.21</v>
      </c>
      <c r="T359" s="3">
        <v>531.92999999999995</v>
      </c>
      <c r="U359" s="3">
        <v>329.83</v>
      </c>
      <c r="V359" s="3">
        <v>1048.05</v>
      </c>
      <c r="W359" s="3">
        <v>356.57</v>
      </c>
      <c r="X359" s="3">
        <v>7118.6</v>
      </c>
      <c r="Y359" s="3">
        <v>4349.37</v>
      </c>
      <c r="Z359" s="3">
        <f t="shared" si="25"/>
        <v>2082.9799999999996</v>
      </c>
      <c r="AA359" s="37">
        <f t="shared" si="26"/>
        <v>0.22637199263604724</v>
      </c>
      <c r="AB359" s="3">
        <v>-671.98</v>
      </c>
      <c r="AC359" s="3">
        <v>276.05</v>
      </c>
      <c r="AD359" s="3">
        <v>1606.6</v>
      </c>
      <c r="AE359" s="3">
        <v>10532.13</v>
      </c>
      <c r="AF359" t="str">
        <f>IF(tbl_FinancialData[[#This Row],[City]]="","Unknown",PROPER(TRIM(tbl_FinancialData[[#This Row],[City]])))</f>
        <v>Hyderabad</v>
      </c>
      <c r="AG359" t="str">
        <f>_xlfn.LET(_xlpm.city,LOWER(TRIM(tbl_FinancialData[[#This Row],[City]])),_xlpm.st,PROPER(TRIM(tbl_FinancialData[[#This Row],[State]])),IF(_xlpm.city="pune","Maharashtra",IF(_xlpm.city="jamshedpur","Jharkhand",IF(_xlpm.city="bhilai","Chhattisgarh",IF(_xlpm.city="mumbai","Maharashtra",_xlpm.st)))))</f>
        <v>Telangana</v>
      </c>
      <c r="AH359" t="str">
        <f>_xlfn.LET(_xlpm.d,PROPER(TRIM(tbl_FinancialData[[#This Row],[Department]])),IF(_xlpm.d="It","IT",_xlpm.d))</f>
        <v>Finance</v>
      </c>
      <c r="AI359" t="str">
        <f>_xlfn.LET(_xlpm.pid,tbl_FinancialData[[#This Row],[Product ID]],_xlpm.n,PROPER(TRIM(tbl_FinancialData[[#This Row],[Product Name]])),IF(_xlpm.pid="P020","Document Scanner",IF(_xlpm.pid="P015","Network Router",SUBSTITUTE(SUBSTITUTE(_xlpm.n,"Crm","CRM"),"Ups","UPS"))))</f>
        <v>Office Desk</v>
      </c>
      <c r="AJ359" s="3" t="str">
        <f>UPPER(TRIM(tbl_FinancialData[[#This Row],[Cost Center]]))</f>
        <v>CC-1001</v>
      </c>
    </row>
    <row r="360" spans="1:36" x14ac:dyDescent="0.25">
      <c r="A360" s="3" t="s">
        <v>560</v>
      </c>
      <c r="B360" s="2">
        <v>45769</v>
      </c>
      <c r="C360" t="s">
        <v>128</v>
      </c>
      <c r="D360" s="3" t="str">
        <f t="shared" si="23"/>
        <v>Q1</v>
      </c>
      <c r="E360" s="3" t="str">
        <f t="shared" si="24"/>
        <v>FY2026</v>
      </c>
      <c r="F360" s="8" t="s">
        <v>47</v>
      </c>
      <c r="G360" s="3" t="s">
        <v>35</v>
      </c>
      <c r="H360" t="s">
        <v>78</v>
      </c>
      <c r="I360" t="s">
        <v>183</v>
      </c>
      <c r="J360" s="3" t="s">
        <v>70</v>
      </c>
      <c r="K360" t="s">
        <v>50</v>
      </c>
      <c r="L360" s="3" t="s">
        <v>40</v>
      </c>
      <c r="M360" s="3" t="s">
        <v>130</v>
      </c>
      <c r="N360" t="s">
        <v>131</v>
      </c>
      <c r="O360" t="s">
        <v>43</v>
      </c>
      <c r="P360" t="s">
        <v>132</v>
      </c>
      <c r="Q360" s="3">
        <v>65366.28</v>
      </c>
      <c r="R360" s="3">
        <v>73845.42</v>
      </c>
      <c r="S360" s="3">
        <v>46932.33</v>
      </c>
      <c r="T360" s="3">
        <v>4123.91</v>
      </c>
      <c r="U360" s="3">
        <v>4573.3900000000003</v>
      </c>
      <c r="V360" s="3">
        <v>6140.74</v>
      </c>
      <c r="W360" s="3">
        <v>2895.62</v>
      </c>
      <c r="X360" s="3">
        <v>64665.99</v>
      </c>
      <c r="Y360" s="3">
        <v>18433.96</v>
      </c>
      <c r="Z360" s="3">
        <f t="shared" si="25"/>
        <v>700.29000000000087</v>
      </c>
      <c r="AA360" s="37">
        <f t="shared" si="26"/>
        <v>1.0713321914601854E-2</v>
      </c>
      <c r="AB360" s="3">
        <v>-8479.14</v>
      </c>
      <c r="AC360" s="3">
        <v>6536.63</v>
      </c>
      <c r="AD360" s="3">
        <v>10589.34</v>
      </c>
      <c r="AE360" s="3">
        <v>69418.990000000005</v>
      </c>
      <c r="AF360" t="str">
        <f>IF(tbl_FinancialData[[#This Row],[City]]="","Unknown",PROPER(TRIM(tbl_FinancialData[[#This Row],[City]])))</f>
        <v>Kozhikode</v>
      </c>
      <c r="AG360" t="str">
        <f>_xlfn.LET(_xlpm.city,LOWER(TRIM(tbl_FinancialData[[#This Row],[City]])),_xlpm.st,PROPER(TRIM(tbl_FinancialData[[#This Row],[State]])),IF(_xlpm.city="pune","Maharashtra",IF(_xlpm.city="jamshedpur","Jharkhand",IF(_xlpm.city="bhilai","Chhattisgarh",IF(_xlpm.city="mumbai","Maharashtra",_xlpm.st)))))</f>
        <v>Kerala</v>
      </c>
      <c r="AH360" t="str">
        <f>_xlfn.LET(_xlpm.d,PROPER(TRIM(tbl_FinancialData[[#This Row],[Department]])),IF(_xlpm.d="It","IT",_xlpm.d))</f>
        <v>Sales</v>
      </c>
      <c r="AI360" t="str">
        <f>_xlfn.LET(_xlpm.pid,tbl_FinancialData[[#This Row],[Product ID]],_xlpm.n,PROPER(TRIM(tbl_FinancialData[[#This Row],[Product Name]])),IF(_xlpm.pid="P020","Document Scanner",IF(_xlpm.pid="P015","Network Router",SUBSTITUTE(SUBSTITUTE(_xlpm.n,"Crm","CRM"),"Ups","UPS"))))</f>
        <v>UPS System</v>
      </c>
      <c r="AJ360" s="3" t="str">
        <f>UPPER(TRIM(tbl_FinancialData[[#This Row],[Cost Center]]))</f>
        <v>CC-1002</v>
      </c>
    </row>
    <row r="361" spans="1:36" x14ac:dyDescent="0.25">
      <c r="A361" s="3" t="s">
        <v>561</v>
      </c>
      <c r="B361" s="2">
        <v>45749</v>
      </c>
      <c r="C361" t="s">
        <v>128</v>
      </c>
      <c r="D361" s="3" t="str">
        <f t="shared" si="23"/>
        <v>Q1</v>
      </c>
      <c r="E361" s="3" t="str">
        <f t="shared" si="24"/>
        <v>FY2026</v>
      </c>
      <c r="F361" s="8" t="s">
        <v>59</v>
      </c>
      <c r="G361" s="3" t="s">
        <v>35</v>
      </c>
      <c r="H361" t="s">
        <v>139</v>
      </c>
      <c r="I361" t="s">
        <v>152</v>
      </c>
      <c r="J361" s="3" t="s">
        <v>80</v>
      </c>
      <c r="K361" t="s">
        <v>71</v>
      </c>
      <c r="L361" s="3" t="s">
        <v>72</v>
      </c>
      <c r="M361" s="3" t="s">
        <v>102</v>
      </c>
      <c r="N361" t="s">
        <v>103</v>
      </c>
      <c r="O361" t="s">
        <v>104</v>
      </c>
      <c r="P361" t="s">
        <v>105</v>
      </c>
      <c r="Q361" s="3">
        <v>14312.75</v>
      </c>
      <c r="R361" s="3">
        <v>12931.43</v>
      </c>
      <c r="S361" s="3">
        <v>8839.89</v>
      </c>
      <c r="T361" s="3">
        <v>828.24</v>
      </c>
      <c r="U361" s="3">
        <v>775.79</v>
      </c>
      <c r="V361" s="3">
        <v>1649.4</v>
      </c>
      <c r="W361" s="3">
        <v>620.45000000000005</v>
      </c>
      <c r="X361" s="3">
        <v>12713.77</v>
      </c>
      <c r="Y361" s="3">
        <v>5472.86</v>
      </c>
      <c r="Z361" s="3">
        <f t="shared" si="25"/>
        <v>1598.9799999999996</v>
      </c>
      <c r="AA361" s="37">
        <f t="shared" si="26"/>
        <v>0.11171717524584721</v>
      </c>
      <c r="AB361" s="3">
        <v>1381.32</v>
      </c>
      <c r="AC361" s="3">
        <v>286.25</v>
      </c>
      <c r="AD361" s="3">
        <v>2524.77</v>
      </c>
      <c r="AE361" s="3">
        <v>16551.259999999998</v>
      </c>
      <c r="AF361" t="str">
        <f>IF(tbl_FinancialData[[#This Row],[City]]="","Unknown",PROPER(TRIM(tbl_FinancialData[[#This Row],[City]])))</f>
        <v>Panipat</v>
      </c>
      <c r="AG361" t="str">
        <f>_xlfn.LET(_xlpm.city,LOWER(TRIM(tbl_FinancialData[[#This Row],[City]])),_xlpm.st,PROPER(TRIM(tbl_FinancialData[[#This Row],[State]])),IF(_xlpm.city="pune","Maharashtra",IF(_xlpm.city="jamshedpur","Jharkhand",IF(_xlpm.city="bhilai","Chhattisgarh",IF(_xlpm.city="mumbai","Maharashtra",_xlpm.st)))))</f>
        <v>Haryana</v>
      </c>
      <c r="AH361" t="str">
        <f>_xlfn.LET(_xlpm.d,PROPER(TRIM(tbl_FinancialData[[#This Row],[Department]])),IF(_xlpm.d="It","IT",_xlpm.d))</f>
        <v>Marketing</v>
      </c>
      <c r="AI361" t="str">
        <f>_xlfn.LET(_xlpm.pid,tbl_FinancialData[[#This Row],[Product ID]],_xlpm.n,PROPER(TRIM(tbl_FinancialData[[#This Row],[Product Name]])),IF(_xlpm.pid="P020","Document Scanner",IF(_xlpm.pid="P015","Network Router",SUBSTITUTE(SUBSTITUTE(_xlpm.n,"Crm","CRM"),"Ups","UPS"))))</f>
        <v>Accounting Software</v>
      </c>
      <c r="AJ361" s="3" t="str">
        <f>UPPER(TRIM(tbl_FinancialData[[#This Row],[Cost Center]]))</f>
        <v>CC-1004</v>
      </c>
    </row>
    <row r="362" spans="1:36" x14ac:dyDescent="0.25">
      <c r="A362" s="3" t="s">
        <v>562</v>
      </c>
      <c r="B362" s="2">
        <v>45847</v>
      </c>
      <c r="C362" t="s">
        <v>32</v>
      </c>
      <c r="D362" s="3" t="str">
        <f t="shared" si="23"/>
        <v>Q2</v>
      </c>
      <c r="E362" s="3" t="str">
        <f t="shared" si="24"/>
        <v>FY2026</v>
      </c>
      <c r="F362" s="8" t="s">
        <v>85</v>
      </c>
      <c r="G362" s="3" t="s">
        <v>35</v>
      </c>
      <c r="H362" t="s">
        <v>178</v>
      </c>
      <c r="I362" t="s">
        <v>329</v>
      </c>
      <c r="J362" s="3" t="s">
        <v>80</v>
      </c>
      <c r="K362" t="s">
        <v>39</v>
      </c>
      <c r="L362" s="3" t="s">
        <v>94</v>
      </c>
      <c r="M362" s="3" t="s">
        <v>186</v>
      </c>
      <c r="N362" t="s">
        <v>187</v>
      </c>
      <c r="O362" t="s">
        <v>173</v>
      </c>
      <c r="P362" t="s">
        <v>174</v>
      </c>
      <c r="Q362" s="3">
        <v>19401.349999999999</v>
      </c>
      <c r="R362" s="3">
        <v>21034.32</v>
      </c>
      <c r="S362" s="3">
        <v>10707.48</v>
      </c>
      <c r="T362" s="3">
        <v>1680.54</v>
      </c>
      <c r="U362" s="3">
        <v>605.54</v>
      </c>
      <c r="V362" s="3">
        <v>2170.0700000000002</v>
      </c>
      <c r="W362" s="3">
        <v>829.21</v>
      </c>
      <c r="X362" s="3">
        <v>15992.84</v>
      </c>
      <c r="Y362" s="3">
        <v>8693.8700000000008</v>
      </c>
      <c r="Z362" s="3">
        <f t="shared" si="25"/>
        <v>3408.5099999999984</v>
      </c>
      <c r="AA362" s="37">
        <f t="shared" si="26"/>
        <v>0.17568416630801459</v>
      </c>
      <c r="AB362" s="3">
        <v>-1632.98</v>
      </c>
      <c r="AC362" s="3">
        <v>1940.13</v>
      </c>
      <c r="AD362" s="3">
        <v>3143.02</v>
      </c>
      <c r="AE362" s="3">
        <v>20604.23</v>
      </c>
      <c r="AF362" t="str">
        <f>IF(tbl_FinancialData[[#This Row],[City]]="","Unknown",PROPER(TRIM(tbl_FinancialData[[#This Row],[City]])))</f>
        <v>Raipur</v>
      </c>
      <c r="AG362" t="str">
        <f>_xlfn.LET(_xlpm.city,LOWER(TRIM(tbl_FinancialData[[#This Row],[City]])),_xlpm.st,PROPER(TRIM(tbl_FinancialData[[#This Row],[State]])),IF(_xlpm.city="pune","Maharashtra",IF(_xlpm.city="jamshedpur","Jharkhand",IF(_xlpm.city="bhilai","Chhattisgarh",IF(_xlpm.city="mumbai","Maharashtra",_xlpm.st)))))</f>
        <v>Chhattisgarh</v>
      </c>
      <c r="AH362" t="str">
        <f>_xlfn.LET(_xlpm.d,PROPER(TRIM(tbl_FinancialData[[#This Row],[Department]])),IF(_xlpm.d="It","IT",_xlpm.d))</f>
        <v>Operations</v>
      </c>
      <c r="AI362" t="str">
        <f>_xlfn.LET(_xlpm.pid,tbl_FinancialData[[#This Row],[Product ID]],_xlpm.n,PROPER(TRIM(tbl_FinancialData[[#This Row],[Product Name]])),IF(_xlpm.pid="P020","Document Scanner",IF(_xlpm.pid="P015","Network Router",SUBSTITUTE(SUBSTITUTE(_xlpm.n,"Crm","CRM"),"Ups","UPS"))))</f>
        <v>Network Router</v>
      </c>
      <c r="AJ362" s="3" t="str">
        <f>UPPER(TRIM(tbl_FinancialData[[#This Row],[Cost Center]]))</f>
        <v>CC-1001</v>
      </c>
    </row>
    <row r="363" spans="1:36" x14ac:dyDescent="0.25">
      <c r="A363" s="3" t="s">
        <v>563</v>
      </c>
      <c r="B363" s="2">
        <v>46109</v>
      </c>
      <c r="C363" t="s">
        <v>125</v>
      </c>
      <c r="D363" s="3" t="str">
        <f t="shared" si="23"/>
        <v>Q4</v>
      </c>
      <c r="E363" s="3" t="str">
        <f t="shared" si="24"/>
        <v>FY2026</v>
      </c>
      <c r="F363" s="8" t="s">
        <v>59</v>
      </c>
      <c r="G363" s="3" t="s">
        <v>35</v>
      </c>
      <c r="H363" t="s">
        <v>254</v>
      </c>
      <c r="I363" t="s">
        <v>200</v>
      </c>
      <c r="J363" s="3" t="s">
        <v>100</v>
      </c>
      <c r="K363" t="s">
        <v>160</v>
      </c>
      <c r="L363" s="3" t="s">
        <v>72</v>
      </c>
      <c r="M363" s="3" t="s">
        <v>171</v>
      </c>
      <c r="N363" t="s">
        <v>172</v>
      </c>
      <c r="O363" t="s">
        <v>173</v>
      </c>
      <c r="P363" t="s">
        <v>174</v>
      </c>
      <c r="Q363" s="3">
        <v>30674.1</v>
      </c>
      <c r="R363" s="3">
        <v>29433.37</v>
      </c>
      <c r="S363" s="3">
        <v>19603.400000000001</v>
      </c>
      <c r="T363" s="3">
        <v>3902.85</v>
      </c>
      <c r="U363" s="3">
        <v>2592.8200000000002</v>
      </c>
      <c r="V363" s="3">
        <v>2460.98</v>
      </c>
      <c r="W363" s="3">
        <v>1160.3699999999999</v>
      </c>
      <c r="X363" s="3">
        <v>29720.42</v>
      </c>
      <c r="Y363" s="3">
        <v>11070.7</v>
      </c>
      <c r="Z363" s="3">
        <f t="shared" si="25"/>
        <v>953.68000000000029</v>
      </c>
      <c r="AA363" s="37">
        <f t="shared" si="26"/>
        <v>3.1090724748240383E-2</v>
      </c>
      <c r="AB363" s="3">
        <v>1240.73</v>
      </c>
      <c r="AC363" s="3">
        <v>0</v>
      </c>
      <c r="AD363" s="3">
        <v>5521.34</v>
      </c>
      <c r="AE363" s="3">
        <v>36195.440000000002</v>
      </c>
      <c r="AF363" t="str">
        <f>IF(tbl_FinancialData[[#This Row],[City]]="","Unknown",PROPER(TRIM(tbl_FinancialData[[#This Row],[City]])))</f>
        <v>Gurugram</v>
      </c>
      <c r="AG363" t="str">
        <f>_xlfn.LET(_xlpm.city,LOWER(TRIM(tbl_FinancialData[[#This Row],[City]])),_xlpm.st,PROPER(TRIM(tbl_FinancialData[[#This Row],[State]])),IF(_xlpm.city="pune","Maharashtra",IF(_xlpm.city="jamshedpur","Jharkhand",IF(_xlpm.city="bhilai","Chhattisgarh",IF(_xlpm.city="mumbai","Maharashtra",_xlpm.st)))))</f>
        <v>Delhi</v>
      </c>
      <c r="AH363" t="str">
        <f>_xlfn.LET(_xlpm.d,PROPER(TRIM(tbl_FinancialData[[#This Row],[Department]])),IF(_xlpm.d="It","IT",_xlpm.d))</f>
        <v>IT</v>
      </c>
      <c r="AI363" t="str">
        <f>_xlfn.LET(_xlpm.pid,tbl_FinancialData[[#This Row],[Product ID]],_xlpm.n,PROPER(TRIM(tbl_FinancialData[[#This Row],[Product Name]])),IF(_xlpm.pid="P020","Document Scanner",IF(_xlpm.pid="P015","Network Router",SUBSTITUTE(SUBSTITUTE(_xlpm.n,"Crm","CRM"),"Ups","UPS"))))</f>
        <v>Network Switch</v>
      </c>
      <c r="AJ363" s="3" t="str">
        <f>UPPER(TRIM(tbl_FinancialData[[#This Row],[Cost Center]]))</f>
        <v>CC-1004</v>
      </c>
    </row>
    <row r="364" spans="1:36" x14ac:dyDescent="0.25">
      <c r="A364" s="3" t="s">
        <v>564</v>
      </c>
      <c r="B364" s="2">
        <v>45884</v>
      </c>
      <c r="C364" t="s">
        <v>117</v>
      </c>
      <c r="D364" s="3" t="str">
        <f t="shared" si="23"/>
        <v>Q2</v>
      </c>
      <c r="E364" s="3" t="str">
        <f t="shared" si="24"/>
        <v>FY2026</v>
      </c>
      <c r="F364" s="8" t="s">
        <v>59</v>
      </c>
      <c r="G364" s="3" t="s">
        <v>35</v>
      </c>
      <c r="H364" t="s">
        <v>254</v>
      </c>
      <c r="I364" t="s">
        <v>200</v>
      </c>
      <c r="J364" s="3" t="s">
        <v>70</v>
      </c>
      <c r="K364" t="s">
        <v>50</v>
      </c>
      <c r="L364" s="3" t="s">
        <v>72</v>
      </c>
      <c r="M364" s="3" t="s">
        <v>88</v>
      </c>
      <c r="N364" t="s">
        <v>89</v>
      </c>
      <c r="O364" t="s">
        <v>43</v>
      </c>
      <c r="P364" t="s">
        <v>90</v>
      </c>
      <c r="Q364" s="3">
        <v>24995.26</v>
      </c>
      <c r="R364" s="3">
        <v>22689.66</v>
      </c>
      <c r="S364" s="3">
        <v>14393.87</v>
      </c>
      <c r="T364" s="3">
        <v>2087.46</v>
      </c>
      <c r="U364" s="3">
        <v>1460.89</v>
      </c>
      <c r="V364" s="3">
        <v>2417.4699999999998</v>
      </c>
      <c r="W364" s="3">
        <v>1042.6400000000001</v>
      </c>
      <c r="X364" s="3">
        <v>21402.33</v>
      </c>
      <c r="Y364" s="3">
        <v>10601.4</v>
      </c>
      <c r="Z364" s="3">
        <f t="shared" si="25"/>
        <v>3592.9299999999967</v>
      </c>
      <c r="AA364" s="37">
        <f t="shared" si="26"/>
        <v>0.14374445394846849</v>
      </c>
      <c r="AB364" s="3">
        <v>2305.6</v>
      </c>
      <c r="AC364" s="3">
        <v>0</v>
      </c>
      <c r="AD364" s="3">
        <v>1249.76</v>
      </c>
      <c r="AE364" s="3">
        <v>26245.03</v>
      </c>
      <c r="AF364" t="str">
        <f>IF(tbl_FinancialData[[#This Row],[City]]="","Unknown",PROPER(TRIM(tbl_FinancialData[[#This Row],[City]])))</f>
        <v>Gurugram</v>
      </c>
      <c r="AG364" t="str">
        <f>_xlfn.LET(_xlpm.city,LOWER(TRIM(tbl_FinancialData[[#This Row],[City]])),_xlpm.st,PROPER(TRIM(tbl_FinancialData[[#This Row],[State]])),IF(_xlpm.city="pune","Maharashtra",IF(_xlpm.city="jamshedpur","Jharkhand",IF(_xlpm.city="bhilai","Chhattisgarh",IF(_xlpm.city="mumbai","Maharashtra",_xlpm.st)))))</f>
        <v>Delhi</v>
      </c>
      <c r="AH364" t="str">
        <f>_xlfn.LET(_xlpm.d,PROPER(TRIM(tbl_FinancialData[[#This Row],[Department]])),IF(_xlpm.d="It","IT",_xlpm.d))</f>
        <v>Sales</v>
      </c>
      <c r="AI364" t="str">
        <f>_xlfn.LET(_xlpm.pid,tbl_FinancialData[[#This Row],[Product ID]],_xlpm.n,PROPER(TRIM(tbl_FinancialData[[#This Row],[Product Name]])),IF(_xlpm.pid="P020","Document Scanner",IF(_xlpm.pid="P015","Network Router",SUBSTITUTE(SUBSTITUTE(_xlpm.n,"Crm","CRM"),"Ups","UPS"))))</f>
        <v>Printer</v>
      </c>
      <c r="AJ364" s="3" t="str">
        <f>UPPER(TRIM(tbl_FinancialData[[#This Row],[Cost Center]]))</f>
        <v>CC-1004</v>
      </c>
    </row>
    <row r="365" spans="1:36" x14ac:dyDescent="0.25">
      <c r="A365" s="3" t="s">
        <v>565</v>
      </c>
      <c r="B365" s="2">
        <v>45877</v>
      </c>
      <c r="C365" t="s">
        <v>117</v>
      </c>
      <c r="D365" s="3" t="str">
        <f t="shared" si="23"/>
        <v>Q2</v>
      </c>
      <c r="E365" s="3" t="str">
        <f t="shared" si="24"/>
        <v>FY2026</v>
      </c>
      <c r="F365" s="8" t="s">
        <v>59</v>
      </c>
      <c r="G365" s="3" t="s">
        <v>35</v>
      </c>
      <c r="H365" t="s">
        <v>254</v>
      </c>
      <c r="I365" t="s">
        <v>255</v>
      </c>
      <c r="J365" s="3" t="s">
        <v>38</v>
      </c>
      <c r="K365" t="s">
        <v>71</v>
      </c>
      <c r="L365" s="3" t="s">
        <v>40</v>
      </c>
      <c r="M365" s="3" t="s">
        <v>189</v>
      </c>
      <c r="N365" t="s">
        <v>190</v>
      </c>
      <c r="O365" t="s">
        <v>104</v>
      </c>
      <c r="P365" t="s">
        <v>105</v>
      </c>
      <c r="Q365" s="3">
        <v>24815.31</v>
      </c>
      <c r="R365" s="3">
        <v>27112.59</v>
      </c>
      <c r="S365" s="3">
        <v>16270.15</v>
      </c>
      <c r="T365" s="3">
        <v>1586.12</v>
      </c>
      <c r="U365" s="3">
        <v>1203.02</v>
      </c>
      <c r="V365" s="3">
        <v>2257.8000000000002</v>
      </c>
      <c r="W365" s="3">
        <v>309.56</v>
      </c>
      <c r="X365" s="3">
        <v>21626.65</v>
      </c>
      <c r="Y365" s="3">
        <v>8545.17</v>
      </c>
      <c r="Z365" s="3">
        <f t="shared" si="25"/>
        <v>3188.66</v>
      </c>
      <c r="AA365" s="37">
        <f t="shared" si="26"/>
        <v>0.12849567464601488</v>
      </c>
      <c r="AB365" s="3">
        <v>-2297.2800000000002</v>
      </c>
      <c r="AC365" s="3">
        <v>744.46</v>
      </c>
      <c r="AD365" s="3">
        <v>2888.5</v>
      </c>
      <c r="AE365" s="3">
        <v>26959.35</v>
      </c>
      <c r="AF365" t="str">
        <f>IF(tbl_FinancialData[[#This Row],[City]]="","Unknown",PROPER(TRIM(tbl_FinancialData[[#This Row],[City]])))</f>
        <v>Noida</v>
      </c>
      <c r="AG365" t="str">
        <f>_xlfn.LET(_xlpm.city,LOWER(TRIM(tbl_FinancialData[[#This Row],[City]])),_xlpm.st,PROPER(TRIM(tbl_FinancialData[[#This Row],[State]])),IF(_xlpm.city="pune","Maharashtra",IF(_xlpm.city="jamshedpur","Jharkhand",IF(_xlpm.city="bhilai","Chhattisgarh",IF(_xlpm.city="mumbai","Maharashtra",_xlpm.st)))))</f>
        <v>Delhi</v>
      </c>
      <c r="AH365" t="str">
        <f>_xlfn.LET(_xlpm.d,PROPER(TRIM(tbl_FinancialData[[#This Row],[Department]])),IF(_xlpm.d="It","IT",_xlpm.d))</f>
        <v>Marketing</v>
      </c>
      <c r="AI365" t="str">
        <f>_xlfn.LET(_xlpm.pid,tbl_FinancialData[[#This Row],[Product ID]],_xlpm.n,PROPER(TRIM(tbl_FinancialData[[#This Row],[Product Name]])),IF(_xlpm.pid="P020","Document Scanner",IF(_xlpm.pid="P015","Network Router",SUBSTITUTE(SUBSTITUTE(_xlpm.n,"Crm","CRM"),"Ups","UPS"))))</f>
        <v>CRM Software</v>
      </c>
      <c r="AJ365" s="3" t="str">
        <f>UPPER(TRIM(tbl_FinancialData[[#This Row],[Cost Center]]))</f>
        <v>CC-1002</v>
      </c>
    </row>
    <row r="366" spans="1:36" x14ac:dyDescent="0.25">
      <c r="A366" s="3" t="s">
        <v>566</v>
      </c>
      <c r="B366" s="2">
        <v>45750</v>
      </c>
      <c r="C366" t="s">
        <v>128</v>
      </c>
      <c r="D366" s="3" t="str">
        <f t="shared" si="23"/>
        <v>Q1</v>
      </c>
      <c r="E366" s="3" t="str">
        <f t="shared" si="24"/>
        <v>FY2026</v>
      </c>
      <c r="F366" s="8" t="s">
        <v>67</v>
      </c>
      <c r="G366" s="3" t="s">
        <v>35</v>
      </c>
      <c r="H366" t="s">
        <v>68</v>
      </c>
      <c r="I366" t="s">
        <v>69</v>
      </c>
      <c r="J366" s="3" t="s">
        <v>100</v>
      </c>
      <c r="K366" t="s">
        <v>71</v>
      </c>
      <c r="L366" s="3" t="s">
        <v>40</v>
      </c>
      <c r="M366" s="3" t="s">
        <v>130</v>
      </c>
      <c r="N366" t="s">
        <v>131</v>
      </c>
      <c r="O366" t="s">
        <v>43</v>
      </c>
      <c r="P366" t="s">
        <v>132</v>
      </c>
      <c r="Q366" s="3">
        <v>59465.05</v>
      </c>
      <c r="R366" s="3">
        <v>63109.74</v>
      </c>
      <c r="S366" s="3">
        <v>37534.61</v>
      </c>
      <c r="T366" s="3">
        <v>4958.83</v>
      </c>
      <c r="U366" s="3">
        <v>2044.43</v>
      </c>
      <c r="V366" s="3">
        <v>2823.68</v>
      </c>
      <c r="W366" s="3">
        <v>629.35</v>
      </c>
      <c r="X366" s="3">
        <v>47990.89</v>
      </c>
      <c r="Y366" s="3">
        <v>21930.44</v>
      </c>
      <c r="Z366" s="3">
        <f t="shared" si="25"/>
        <v>11474.160000000003</v>
      </c>
      <c r="AA366" s="37">
        <f t="shared" si="26"/>
        <v>0.1929563668070573</v>
      </c>
      <c r="AB366" s="3">
        <v>-3644.69</v>
      </c>
      <c r="AC366" s="3">
        <v>4757.2</v>
      </c>
      <c r="AD366" s="3">
        <v>2735.39</v>
      </c>
      <c r="AE366" s="3">
        <v>57443.24</v>
      </c>
      <c r="AF366" t="str">
        <f>IF(tbl_FinancialData[[#This Row],[City]]="","Unknown",PROPER(TRIM(tbl_FinancialData[[#This Row],[City]])))</f>
        <v>Bhubaneswar</v>
      </c>
      <c r="AG366" t="str">
        <f>_xlfn.LET(_xlpm.city,LOWER(TRIM(tbl_FinancialData[[#This Row],[City]])),_xlpm.st,PROPER(TRIM(tbl_FinancialData[[#This Row],[State]])),IF(_xlpm.city="pune","Maharashtra",IF(_xlpm.city="jamshedpur","Jharkhand",IF(_xlpm.city="bhilai","Chhattisgarh",IF(_xlpm.city="mumbai","Maharashtra",_xlpm.st)))))</f>
        <v>Odisha</v>
      </c>
      <c r="AH366" t="str">
        <f>_xlfn.LET(_xlpm.d,PROPER(TRIM(tbl_FinancialData[[#This Row],[Department]])),IF(_xlpm.d="It","IT",_xlpm.d))</f>
        <v>Marketing</v>
      </c>
      <c r="AI366" t="str">
        <f>_xlfn.LET(_xlpm.pid,tbl_FinancialData[[#This Row],[Product ID]],_xlpm.n,PROPER(TRIM(tbl_FinancialData[[#This Row],[Product Name]])),IF(_xlpm.pid="P020","Document Scanner",IF(_xlpm.pid="P015","Network Router",SUBSTITUTE(SUBSTITUTE(_xlpm.n,"Crm","CRM"),"Ups","UPS"))))</f>
        <v>UPS System</v>
      </c>
      <c r="AJ366" s="3" t="str">
        <f>UPPER(TRIM(tbl_FinancialData[[#This Row],[Cost Center]]))</f>
        <v>CC-1002</v>
      </c>
    </row>
    <row r="367" spans="1:36" x14ac:dyDescent="0.25">
      <c r="A367" s="3" t="s">
        <v>567</v>
      </c>
      <c r="B367" s="2">
        <v>45861</v>
      </c>
      <c r="C367" t="s">
        <v>32</v>
      </c>
      <c r="D367" s="3" t="str">
        <f t="shared" si="23"/>
        <v>Q2</v>
      </c>
      <c r="E367" s="3" t="str">
        <f t="shared" si="24"/>
        <v>FY2026</v>
      </c>
      <c r="F367" s="8" t="s">
        <v>47</v>
      </c>
      <c r="G367" s="3" t="s">
        <v>35</v>
      </c>
      <c r="H367" t="s">
        <v>214</v>
      </c>
      <c r="I367" t="s">
        <v>220</v>
      </c>
      <c r="J367" s="3" t="s">
        <v>38</v>
      </c>
      <c r="K367" t="s">
        <v>160</v>
      </c>
      <c r="L367" s="3" t="s">
        <v>94</v>
      </c>
      <c r="M367" s="3" t="s">
        <v>41</v>
      </c>
      <c r="N367" t="s">
        <v>42</v>
      </c>
      <c r="O367" t="s">
        <v>43</v>
      </c>
      <c r="P367" t="s">
        <v>44</v>
      </c>
      <c r="Q367" s="3">
        <v>73590.73</v>
      </c>
      <c r="R367" s="3">
        <v>73740.28</v>
      </c>
      <c r="S367" s="3">
        <v>48788.2</v>
      </c>
      <c r="T367" s="3">
        <v>4526.57</v>
      </c>
      <c r="U367" s="3">
        <v>1881</v>
      </c>
      <c r="V367" s="3">
        <v>3061.22</v>
      </c>
      <c r="W367" s="3">
        <v>2246.8000000000002</v>
      </c>
      <c r="X367" s="3">
        <v>60503.79</v>
      </c>
      <c r="Y367" s="3">
        <v>24802.53</v>
      </c>
      <c r="Z367" s="3">
        <f t="shared" si="25"/>
        <v>13086.939999999995</v>
      </c>
      <c r="AA367" s="37">
        <f t="shared" si="26"/>
        <v>0.17783408317868291</v>
      </c>
      <c r="AB367" s="3">
        <v>-149.55000000000001</v>
      </c>
      <c r="AC367" s="3">
        <v>2207.7199999999998</v>
      </c>
      <c r="AD367" s="3">
        <v>8565.9599999999991</v>
      </c>
      <c r="AE367" s="3">
        <v>79948.97</v>
      </c>
      <c r="AF367" t="str">
        <f>IF(tbl_FinancialData[[#This Row],[City]]="","Unknown",PROPER(TRIM(tbl_FinancialData[[#This Row],[City]])))</f>
        <v>Mysuru</v>
      </c>
      <c r="AG367" t="str">
        <f>_xlfn.LET(_xlpm.city,LOWER(TRIM(tbl_FinancialData[[#This Row],[City]])),_xlpm.st,PROPER(TRIM(tbl_FinancialData[[#This Row],[State]])),IF(_xlpm.city="pune","Maharashtra",IF(_xlpm.city="jamshedpur","Jharkhand",IF(_xlpm.city="bhilai","Chhattisgarh",IF(_xlpm.city="mumbai","Maharashtra",_xlpm.st)))))</f>
        <v>Karnataka</v>
      </c>
      <c r="AH367" t="str">
        <f>_xlfn.LET(_xlpm.d,PROPER(TRIM(tbl_FinancialData[[#This Row],[Department]])),IF(_xlpm.d="It","IT",_xlpm.d))</f>
        <v>IT</v>
      </c>
      <c r="AI367" t="str">
        <f>_xlfn.LET(_xlpm.pid,tbl_FinancialData[[#This Row],[Product ID]],_xlpm.n,PROPER(TRIM(tbl_FinancialData[[#This Row],[Product Name]])),IF(_xlpm.pid="P020","Document Scanner",IF(_xlpm.pid="P015","Network Router",SUBSTITUTE(SUBSTITUTE(_xlpm.n,"Crm","CRM"),"Ups","UPS"))))</f>
        <v>Conference Camera</v>
      </c>
      <c r="AJ367" s="3" t="str">
        <f>UPPER(TRIM(tbl_FinancialData[[#This Row],[Cost Center]]))</f>
        <v>CC-1001</v>
      </c>
    </row>
    <row r="368" spans="1:36" x14ac:dyDescent="0.25">
      <c r="A368" s="3" t="s">
        <v>568</v>
      </c>
      <c r="B368" s="2">
        <v>45917</v>
      </c>
      <c r="C368" t="s">
        <v>46</v>
      </c>
      <c r="D368" s="3" t="str">
        <f t="shared" si="23"/>
        <v>Q2</v>
      </c>
      <c r="E368" s="3" t="str">
        <f t="shared" si="24"/>
        <v>FY2026</v>
      </c>
      <c r="F368" s="8" t="s">
        <v>34</v>
      </c>
      <c r="G368" s="3" t="s">
        <v>35</v>
      </c>
      <c r="H368" t="s">
        <v>134</v>
      </c>
      <c r="I368" t="s">
        <v>176</v>
      </c>
      <c r="J368" s="3" t="s">
        <v>80</v>
      </c>
      <c r="K368" t="s">
        <v>101</v>
      </c>
      <c r="L368" s="3" t="s">
        <v>51</v>
      </c>
      <c r="M368" s="3" t="s">
        <v>82</v>
      </c>
      <c r="N368" t="s">
        <v>83</v>
      </c>
      <c r="O368" t="s">
        <v>43</v>
      </c>
      <c r="P368" t="s">
        <v>75</v>
      </c>
      <c r="Q368" s="3">
        <v>35839.120000000003</v>
      </c>
      <c r="R368" s="3">
        <v>37865.08</v>
      </c>
      <c r="S368" s="3">
        <v>19015.63</v>
      </c>
      <c r="T368" s="3">
        <v>2470.66</v>
      </c>
      <c r="U368" s="3">
        <v>2359</v>
      </c>
      <c r="V368" s="3">
        <v>3813.11</v>
      </c>
      <c r="W368" s="3">
        <v>879.74</v>
      </c>
      <c r="X368" s="3">
        <v>28538.15</v>
      </c>
      <c r="Y368" s="3">
        <v>16823.490000000002</v>
      </c>
      <c r="Z368" s="3">
        <f t="shared" si="25"/>
        <v>7300.9700000000012</v>
      </c>
      <c r="AA368" s="37">
        <f t="shared" si="26"/>
        <v>0.20371510237974594</v>
      </c>
      <c r="AB368" s="3">
        <v>-2025.96</v>
      </c>
      <c r="AC368" s="3">
        <v>716.78</v>
      </c>
      <c r="AD368" s="3">
        <v>6322.02</v>
      </c>
      <c r="AE368" s="3">
        <v>41444.36</v>
      </c>
      <c r="AF368" t="str">
        <f>IF(tbl_FinancialData[[#This Row],[City]]="","Unknown",PROPER(TRIM(tbl_FinancialData[[#This Row],[City]])))</f>
        <v>Jaipur</v>
      </c>
      <c r="AG368" t="str">
        <f>_xlfn.LET(_xlpm.city,LOWER(TRIM(tbl_FinancialData[[#This Row],[City]])),_xlpm.st,PROPER(TRIM(tbl_FinancialData[[#This Row],[State]])),IF(_xlpm.city="pune","Maharashtra",IF(_xlpm.city="jamshedpur","Jharkhand",IF(_xlpm.city="bhilai","Chhattisgarh",IF(_xlpm.city="mumbai","Maharashtra",_xlpm.st)))))</f>
        <v>Rajasthan</v>
      </c>
      <c r="AH368" t="str">
        <f>_xlfn.LET(_xlpm.d,PROPER(TRIM(tbl_FinancialData[[#This Row],[Department]])),IF(_xlpm.d="It","IT",_xlpm.d))</f>
        <v>Finance</v>
      </c>
      <c r="AI368" t="str">
        <f>_xlfn.LET(_xlpm.pid,tbl_FinancialData[[#This Row],[Product ID]],_xlpm.n,PROPER(TRIM(tbl_FinancialData[[#This Row],[Product Name]])),IF(_xlpm.pid="P020","Document Scanner",IF(_xlpm.pid="P015","Network Router",SUBSTITUTE(SUBSTITUTE(_xlpm.n,"Crm","CRM"),"Ups","UPS"))))</f>
        <v>Business Laptop</v>
      </c>
      <c r="AJ368" s="3" t="str">
        <f>UPPER(TRIM(tbl_FinancialData[[#This Row],[Cost Center]]))</f>
        <v>CC-1003</v>
      </c>
    </row>
    <row r="369" spans="1:36" x14ac:dyDescent="0.25">
      <c r="A369" s="3" t="s">
        <v>569</v>
      </c>
      <c r="B369" s="2">
        <v>45908</v>
      </c>
      <c r="C369" t="s">
        <v>46</v>
      </c>
      <c r="D369" s="3" t="str">
        <f t="shared" si="23"/>
        <v>Q2</v>
      </c>
      <c r="E369" s="3" t="str">
        <f t="shared" si="24"/>
        <v>FY2026</v>
      </c>
      <c r="F369" s="8" t="s">
        <v>67</v>
      </c>
      <c r="G369" s="3" t="s">
        <v>35</v>
      </c>
      <c r="H369" t="s">
        <v>168</v>
      </c>
      <c r="I369" t="s">
        <v>278</v>
      </c>
      <c r="J369" s="3" t="s">
        <v>100</v>
      </c>
      <c r="K369" t="s">
        <v>50</v>
      </c>
      <c r="L369" s="3" t="s">
        <v>40</v>
      </c>
      <c r="M369" s="3" t="s">
        <v>171</v>
      </c>
      <c r="N369" t="s">
        <v>172</v>
      </c>
      <c r="O369" t="s">
        <v>173</v>
      </c>
      <c r="P369" t="s">
        <v>174</v>
      </c>
      <c r="Q369" s="3">
        <v>28109.43</v>
      </c>
      <c r="R369" s="3">
        <v>28459.42</v>
      </c>
      <c r="S369" s="3">
        <v>14374.08</v>
      </c>
      <c r="T369" s="3">
        <v>2059.86</v>
      </c>
      <c r="U369" s="3">
        <v>2290.42</v>
      </c>
      <c r="V369" s="3">
        <v>3158.27</v>
      </c>
      <c r="W369" s="3">
        <v>281.83</v>
      </c>
      <c r="X369" s="3">
        <v>22164.45</v>
      </c>
      <c r="Y369" s="3">
        <v>13735.35</v>
      </c>
      <c r="Z369" s="3">
        <f t="shared" si="25"/>
        <v>5944.98</v>
      </c>
      <c r="AA369" s="37">
        <f t="shared" si="26"/>
        <v>0.21149414982801143</v>
      </c>
      <c r="AB369" s="3">
        <v>-350</v>
      </c>
      <c r="AC369" s="3">
        <v>1405.47</v>
      </c>
      <c r="AD369" s="3">
        <v>4806.71</v>
      </c>
      <c r="AE369" s="3">
        <v>31510.67</v>
      </c>
      <c r="AF369" t="str">
        <f>IF(tbl_FinancialData[[#This Row],[City]]="","Unknown",PROPER(TRIM(tbl_FinancialData[[#This Row],[City]])))</f>
        <v>Siliguri</v>
      </c>
      <c r="AG369" t="str">
        <f>_xlfn.LET(_xlpm.city,LOWER(TRIM(tbl_FinancialData[[#This Row],[City]])),_xlpm.st,PROPER(TRIM(tbl_FinancialData[[#This Row],[State]])),IF(_xlpm.city="pune","Maharashtra",IF(_xlpm.city="jamshedpur","Jharkhand",IF(_xlpm.city="bhilai","Chhattisgarh",IF(_xlpm.city="mumbai","Maharashtra",_xlpm.st)))))</f>
        <v>West Bengal</v>
      </c>
      <c r="AH369" t="str">
        <f>_xlfn.LET(_xlpm.d,PROPER(TRIM(tbl_FinancialData[[#This Row],[Department]])),IF(_xlpm.d="It","IT",_xlpm.d))</f>
        <v>Sales</v>
      </c>
      <c r="AI369" t="str">
        <f>_xlfn.LET(_xlpm.pid,tbl_FinancialData[[#This Row],[Product ID]],_xlpm.n,PROPER(TRIM(tbl_FinancialData[[#This Row],[Product Name]])),IF(_xlpm.pid="P020","Document Scanner",IF(_xlpm.pid="P015","Network Router",SUBSTITUTE(SUBSTITUTE(_xlpm.n,"Crm","CRM"),"Ups","UPS"))))</f>
        <v>Network Switch</v>
      </c>
      <c r="AJ369" s="3" t="str">
        <f>UPPER(TRIM(tbl_FinancialData[[#This Row],[Cost Center]]))</f>
        <v>CC-1002</v>
      </c>
    </row>
    <row r="370" spans="1:36" x14ac:dyDescent="0.25">
      <c r="A370" s="3" t="s">
        <v>570</v>
      </c>
      <c r="B370" s="2">
        <v>46077</v>
      </c>
      <c r="C370" t="s">
        <v>57</v>
      </c>
      <c r="D370" s="3" t="str">
        <f t="shared" si="23"/>
        <v>Q4</v>
      </c>
      <c r="E370" s="3" t="str">
        <f t="shared" si="24"/>
        <v>FY2026</v>
      </c>
      <c r="F370" s="8" t="s">
        <v>59</v>
      </c>
      <c r="G370" s="3" t="s">
        <v>35</v>
      </c>
      <c r="H370" t="s">
        <v>230</v>
      </c>
      <c r="I370" t="s">
        <v>231</v>
      </c>
      <c r="J370" s="3" t="s">
        <v>100</v>
      </c>
      <c r="K370" t="s">
        <v>160</v>
      </c>
      <c r="L370" s="3" t="s">
        <v>40</v>
      </c>
      <c r="M370" s="3" t="s">
        <v>161</v>
      </c>
      <c r="N370" t="s">
        <v>162</v>
      </c>
      <c r="O370" t="s">
        <v>43</v>
      </c>
      <c r="P370" t="s">
        <v>163</v>
      </c>
      <c r="Q370" s="3">
        <v>70131.63</v>
      </c>
      <c r="R370" s="3">
        <v>80623.34</v>
      </c>
      <c r="S370" s="3">
        <v>41346.949999999997</v>
      </c>
      <c r="T370" s="3">
        <v>4345</v>
      </c>
      <c r="U370" s="3">
        <v>5992.45</v>
      </c>
      <c r="V370" s="3">
        <v>5378.84</v>
      </c>
      <c r="W370" s="3">
        <v>1147.1500000000001</v>
      </c>
      <c r="X370" s="3">
        <v>58210.400000000001</v>
      </c>
      <c r="Y370" s="3">
        <v>28784.68</v>
      </c>
      <c r="Z370" s="3">
        <f t="shared" si="25"/>
        <v>11921.230000000003</v>
      </c>
      <c r="AA370" s="37">
        <f t="shared" si="26"/>
        <v>0.16998364361415816</v>
      </c>
      <c r="AB370" s="3">
        <v>-10491.71</v>
      </c>
      <c r="AC370" s="3">
        <v>1402.63</v>
      </c>
      <c r="AD370" s="3">
        <v>3436.45</v>
      </c>
      <c r="AE370" s="3">
        <v>72165.45</v>
      </c>
      <c r="AF370" t="str">
        <f>IF(tbl_FinancialData[[#This Row],[City]]="","Unknown",PROPER(TRIM(tbl_FinancialData[[#This Row],[City]])))</f>
        <v>Ludhiana</v>
      </c>
      <c r="AG370" t="str">
        <f>_xlfn.LET(_xlpm.city,LOWER(TRIM(tbl_FinancialData[[#This Row],[City]])),_xlpm.st,PROPER(TRIM(tbl_FinancialData[[#This Row],[State]])),IF(_xlpm.city="pune","Maharashtra",IF(_xlpm.city="jamshedpur","Jharkhand",IF(_xlpm.city="bhilai","Chhattisgarh",IF(_xlpm.city="mumbai","Maharashtra",_xlpm.st)))))</f>
        <v>Punjab</v>
      </c>
      <c r="AH370" t="str">
        <f>_xlfn.LET(_xlpm.d,PROPER(TRIM(tbl_FinancialData[[#This Row],[Department]])),IF(_xlpm.d="It","IT",_xlpm.d))</f>
        <v>IT</v>
      </c>
      <c r="AI370" t="str">
        <f>_xlfn.LET(_xlpm.pid,tbl_FinancialData[[#This Row],[Product ID]],_xlpm.n,PROPER(TRIM(tbl_FinancialData[[#This Row],[Product Name]])),IF(_xlpm.pid="P020","Document Scanner",IF(_xlpm.pid="P015","Network Router",SUBSTITUTE(SUBSTITUTE(_xlpm.n,"Crm","CRM"),"Ups","UPS"))))</f>
        <v>Tablet</v>
      </c>
      <c r="AJ370" s="3" t="str">
        <f>UPPER(TRIM(tbl_FinancialData[[#This Row],[Cost Center]]))</f>
        <v>CC-1002</v>
      </c>
    </row>
    <row r="371" spans="1:36" x14ac:dyDescent="0.25">
      <c r="A371" s="3" t="s">
        <v>571</v>
      </c>
      <c r="B371" s="2">
        <v>45799</v>
      </c>
      <c r="C371" t="s">
        <v>65</v>
      </c>
      <c r="D371" s="3" t="str">
        <f t="shared" si="23"/>
        <v>Q1</v>
      </c>
      <c r="E371" s="3" t="str">
        <f t="shared" si="24"/>
        <v>FY2026</v>
      </c>
      <c r="F371" s="8" t="s">
        <v>67</v>
      </c>
      <c r="G371" s="3" t="s">
        <v>35</v>
      </c>
      <c r="H371" t="s">
        <v>168</v>
      </c>
      <c r="I371" t="s">
        <v>251</v>
      </c>
      <c r="J371" s="3" t="s">
        <v>70</v>
      </c>
      <c r="K371" t="s">
        <v>160</v>
      </c>
      <c r="L371" s="3" t="s">
        <v>51</v>
      </c>
      <c r="M371" s="3" t="s">
        <v>197</v>
      </c>
      <c r="N371" t="s">
        <v>198</v>
      </c>
      <c r="O371" t="s">
        <v>43</v>
      </c>
      <c r="P371" t="s">
        <v>163</v>
      </c>
      <c r="Q371" s="3">
        <v>27576.400000000001</v>
      </c>
      <c r="R371" s="3">
        <v>31341.95</v>
      </c>
      <c r="S371" s="3">
        <v>15611.04</v>
      </c>
      <c r="T371" s="3">
        <v>2771.14</v>
      </c>
      <c r="U371" s="3">
        <v>1970.84</v>
      </c>
      <c r="V371" s="3">
        <v>2051.34</v>
      </c>
      <c r="W371" s="3">
        <v>571.53</v>
      </c>
      <c r="X371" s="3">
        <v>22975.89</v>
      </c>
      <c r="Y371" s="3">
        <v>11965.36</v>
      </c>
      <c r="Z371" s="3">
        <f t="shared" si="25"/>
        <v>4600.510000000002</v>
      </c>
      <c r="AA371" s="37">
        <f t="shared" si="26"/>
        <v>0.16682779478104473</v>
      </c>
      <c r="AB371" s="3">
        <v>-3765.55</v>
      </c>
      <c r="AC371" s="3">
        <v>2757.64</v>
      </c>
      <c r="AD371" s="3">
        <v>4467.38</v>
      </c>
      <c r="AE371" s="3">
        <v>29286.14</v>
      </c>
      <c r="AF371" t="str">
        <f>IF(tbl_FinancialData[[#This Row],[City]]="","Unknown",PROPER(TRIM(tbl_FinancialData[[#This Row],[City]])))</f>
        <v>Durgapur</v>
      </c>
      <c r="AG371" t="str">
        <f>_xlfn.LET(_xlpm.city,LOWER(TRIM(tbl_FinancialData[[#This Row],[City]])),_xlpm.st,PROPER(TRIM(tbl_FinancialData[[#This Row],[State]])),IF(_xlpm.city="pune","Maharashtra",IF(_xlpm.city="jamshedpur","Jharkhand",IF(_xlpm.city="bhilai","Chhattisgarh",IF(_xlpm.city="mumbai","Maharashtra",_xlpm.st)))))</f>
        <v>West Bengal</v>
      </c>
      <c r="AH371" t="str">
        <f>_xlfn.LET(_xlpm.d,PROPER(TRIM(tbl_FinancialData[[#This Row],[Department]])),IF(_xlpm.d="It","IT",_xlpm.d))</f>
        <v>IT</v>
      </c>
      <c r="AI371" t="str">
        <f>_xlfn.LET(_xlpm.pid,tbl_FinancialData[[#This Row],[Product ID]],_xlpm.n,PROPER(TRIM(tbl_FinancialData[[#This Row],[Product Name]])),IF(_xlpm.pid="P020","Document Scanner",IF(_xlpm.pid="P015","Network Router",SUBSTITUTE(SUBSTITUTE(_xlpm.n,"Crm","CRM"),"Ups","UPS"))))</f>
        <v>Smartphone</v>
      </c>
      <c r="AJ371" s="3" t="str">
        <f>UPPER(TRIM(tbl_FinancialData[[#This Row],[Cost Center]]))</f>
        <v>CC-1003</v>
      </c>
    </row>
    <row r="372" spans="1:36" x14ac:dyDescent="0.25">
      <c r="A372" s="3" t="s">
        <v>572</v>
      </c>
      <c r="B372" s="2">
        <v>45868</v>
      </c>
      <c r="C372" t="s">
        <v>32</v>
      </c>
      <c r="D372" s="3" t="str">
        <f t="shared" si="23"/>
        <v>Q2</v>
      </c>
      <c r="E372" s="3" t="str">
        <f t="shared" si="24"/>
        <v>FY2026</v>
      </c>
      <c r="F372" s="8" t="s">
        <v>34</v>
      </c>
      <c r="G372" s="3" t="s">
        <v>35</v>
      </c>
      <c r="H372" t="s">
        <v>98</v>
      </c>
      <c r="I372" t="s">
        <v>99</v>
      </c>
      <c r="J372" s="3" t="s">
        <v>70</v>
      </c>
      <c r="K372" t="s">
        <v>50</v>
      </c>
      <c r="L372" s="3" t="s">
        <v>81</v>
      </c>
      <c r="M372" s="3" t="s">
        <v>120</v>
      </c>
      <c r="N372" t="s">
        <v>121</v>
      </c>
      <c r="O372" t="s">
        <v>43</v>
      </c>
      <c r="P372" t="s">
        <v>122</v>
      </c>
      <c r="Q372" s="3">
        <v>23982.43</v>
      </c>
      <c r="R372" s="3">
        <v>21282.03</v>
      </c>
      <c r="S372" s="3">
        <v>13853.59</v>
      </c>
      <c r="T372" s="3">
        <v>1622.55</v>
      </c>
      <c r="U372" s="3">
        <v>1430.91</v>
      </c>
      <c r="V372" s="3">
        <v>2870.21</v>
      </c>
      <c r="W372" s="3">
        <v>911.78</v>
      </c>
      <c r="X372" s="3">
        <v>20689.04</v>
      </c>
      <c r="Y372" s="3">
        <v>10128.84</v>
      </c>
      <c r="Z372" s="3">
        <f t="shared" si="25"/>
        <v>3293.3899999999994</v>
      </c>
      <c r="AA372" s="37">
        <f t="shared" si="26"/>
        <v>0.13732511676256323</v>
      </c>
      <c r="AB372" s="3">
        <v>2700.4</v>
      </c>
      <c r="AC372" s="3">
        <v>1918.59</v>
      </c>
      <c r="AD372" s="3">
        <v>3971.49</v>
      </c>
      <c r="AE372" s="3">
        <v>26035.33</v>
      </c>
      <c r="AF372" t="str">
        <f>IF(tbl_FinancialData[[#This Row],[City]]="","Unknown",PROPER(TRIM(tbl_FinancialData[[#This Row],[City]])))</f>
        <v>Mumbai</v>
      </c>
      <c r="AG372" t="str">
        <f>_xlfn.LET(_xlpm.city,LOWER(TRIM(tbl_FinancialData[[#This Row],[City]])),_xlpm.st,PROPER(TRIM(tbl_FinancialData[[#This Row],[State]])),IF(_xlpm.city="pune","Maharashtra",IF(_xlpm.city="jamshedpur","Jharkhand",IF(_xlpm.city="bhilai","Chhattisgarh",IF(_xlpm.city="mumbai","Maharashtra",_xlpm.st)))))</f>
        <v>Maharashtra</v>
      </c>
      <c r="AH372" t="str">
        <f>_xlfn.LET(_xlpm.d,PROPER(TRIM(tbl_FinancialData[[#This Row],[Department]])),IF(_xlpm.d="It","IT",_xlpm.d))</f>
        <v>Sales</v>
      </c>
      <c r="AI372" t="str">
        <f>_xlfn.LET(_xlpm.pid,tbl_FinancialData[[#This Row],[Product ID]],_xlpm.n,PROPER(TRIM(tbl_FinancialData[[#This Row],[Product Name]])),IF(_xlpm.pid="P020","Document Scanner",IF(_xlpm.pid="P015","Network Router",SUBSTITUTE(SUBSTITUTE(_xlpm.n,"Crm","CRM"),"Ups","UPS"))))</f>
        <v>Projector</v>
      </c>
      <c r="AJ372" s="3" t="str">
        <f>UPPER(TRIM(tbl_FinancialData[[#This Row],[Cost Center]]))</f>
        <v>CC-1005</v>
      </c>
    </row>
    <row r="373" spans="1:36" x14ac:dyDescent="0.25">
      <c r="A373" s="3" t="s">
        <v>573</v>
      </c>
      <c r="B373" s="2">
        <v>45890</v>
      </c>
      <c r="C373" t="s">
        <v>117</v>
      </c>
      <c r="D373" s="3" t="str">
        <f t="shared" si="23"/>
        <v>Q2</v>
      </c>
      <c r="E373" s="3" t="str">
        <f t="shared" si="24"/>
        <v>FY2026</v>
      </c>
      <c r="F373" s="8" t="s">
        <v>67</v>
      </c>
      <c r="G373" s="3" t="s">
        <v>35</v>
      </c>
      <c r="H373" t="s">
        <v>68</v>
      </c>
      <c r="I373" t="s">
        <v>69</v>
      </c>
      <c r="J373" s="3" t="s">
        <v>70</v>
      </c>
      <c r="K373" t="s">
        <v>50</v>
      </c>
      <c r="L373" s="3" t="s">
        <v>94</v>
      </c>
      <c r="M373" s="3" t="s">
        <v>41</v>
      </c>
      <c r="N373" t="s">
        <v>42</v>
      </c>
      <c r="O373" t="s">
        <v>43</v>
      </c>
      <c r="P373" t="s">
        <v>44</v>
      </c>
      <c r="Q373" s="3">
        <v>25576.66</v>
      </c>
      <c r="R373" s="3">
        <v>27727.02</v>
      </c>
      <c r="S373" s="3">
        <v>17343.669999999998</v>
      </c>
      <c r="T373" s="3">
        <v>1578.81</v>
      </c>
      <c r="U373" s="3">
        <v>904.86</v>
      </c>
      <c r="V373" s="3">
        <v>2639.68</v>
      </c>
      <c r="W373" s="3">
        <v>807.46</v>
      </c>
      <c r="X373" s="3">
        <v>23274.49</v>
      </c>
      <c r="Y373" s="3">
        <v>8232.98</v>
      </c>
      <c r="Z373" s="3">
        <f t="shared" si="25"/>
        <v>2302.1699999999983</v>
      </c>
      <c r="AA373" s="37">
        <f t="shared" si="26"/>
        <v>9.0010579958446427E-2</v>
      </c>
      <c r="AB373" s="3">
        <v>-2150.36</v>
      </c>
      <c r="AC373" s="3">
        <v>0</v>
      </c>
      <c r="AD373" s="3">
        <v>4603.8</v>
      </c>
      <c r="AE373" s="3">
        <v>30180.45</v>
      </c>
      <c r="AF373" t="str">
        <f>IF(tbl_FinancialData[[#This Row],[City]]="","Unknown",PROPER(TRIM(tbl_FinancialData[[#This Row],[City]])))</f>
        <v>Bhubaneswar</v>
      </c>
      <c r="AG373" t="str">
        <f>_xlfn.LET(_xlpm.city,LOWER(TRIM(tbl_FinancialData[[#This Row],[City]])),_xlpm.st,PROPER(TRIM(tbl_FinancialData[[#This Row],[State]])),IF(_xlpm.city="pune","Maharashtra",IF(_xlpm.city="jamshedpur","Jharkhand",IF(_xlpm.city="bhilai","Chhattisgarh",IF(_xlpm.city="mumbai","Maharashtra",_xlpm.st)))))</f>
        <v>Odisha</v>
      </c>
      <c r="AH373" t="str">
        <f>_xlfn.LET(_xlpm.d,PROPER(TRIM(tbl_FinancialData[[#This Row],[Department]])),IF(_xlpm.d="It","IT",_xlpm.d))</f>
        <v>Sales</v>
      </c>
      <c r="AI373" t="str">
        <f>_xlfn.LET(_xlpm.pid,tbl_FinancialData[[#This Row],[Product ID]],_xlpm.n,PROPER(TRIM(tbl_FinancialData[[#This Row],[Product Name]])),IF(_xlpm.pid="P020","Document Scanner",IF(_xlpm.pid="P015","Network Router",SUBSTITUTE(SUBSTITUTE(_xlpm.n,"Crm","CRM"),"Ups","UPS"))))</f>
        <v>Conference Camera</v>
      </c>
      <c r="AJ373" s="3" t="str">
        <f>UPPER(TRIM(tbl_FinancialData[[#This Row],[Cost Center]]))</f>
        <v>CC-1001</v>
      </c>
    </row>
    <row r="374" spans="1:36" x14ac:dyDescent="0.25">
      <c r="A374" s="3" t="s">
        <v>574</v>
      </c>
      <c r="B374" s="2">
        <v>46093</v>
      </c>
      <c r="C374" t="s">
        <v>125</v>
      </c>
      <c r="D374" s="3" t="str">
        <f t="shared" si="23"/>
        <v>Q4</v>
      </c>
      <c r="E374" s="3" t="str">
        <f t="shared" si="24"/>
        <v>FY2026</v>
      </c>
      <c r="F374" s="8" t="s">
        <v>85</v>
      </c>
      <c r="G374" s="3" t="s">
        <v>35</v>
      </c>
      <c r="H374" t="s">
        <v>178</v>
      </c>
      <c r="I374" t="s">
        <v>179</v>
      </c>
      <c r="J374" s="3" t="s">
        <v>80</v>
      </c>
      <c r="K374" t="s">
        <v>71</v>
      </c>
      <c r="L374" s="3" t="s">
        <v>81</v>
      </c>
      <c r="M374" s="3" t="s">
        <v>52</v>
      </c>
      <c r="N374" t="s">
        <v>53</v>
      </c>
      <c r="O374" t="s">
        <v>54</v>
      </c>
      <c r="P374" t="s">
        <v>55</v>
      </c>
      <c r="Q374" s="3">
        <v>2428.64</v>
      </c>
      <c r="R374" s="3">
        <v>2164.25</v>
      </c>
      <c r="S374" s="3">
        <v>1212.77</v>
      </c>
      <c r="T374" s="3">
        <v>252.06</v>
      </c>
      <c r="U374" s="3">
        <v>169.51</v>
      </c>
      <c r="V374" s="3">
        <v>163.49</v>
      </c>
      <c r="W374" s="3">
        <v>42.61</v>
      </c>
      <c r="X374" s="3">
        <v>1840.45</v>
      </c>
      <c r="Y374" s="3">
        <v>1215.8699999999999</v>
      </c>
      <c r="Z374" s="3">
        <f t="shared" si="25"/>
        <v>588.18999999999983</v>
      </c>
      <c r="AA374" s="37">
        <f t="shared" si="26"/>
        <v>0.24218904407404962</v>
      </c>
      <c r="AB374" s="3">
        <v>264.39999999999998</v>
      </c>
      <c r="AC374" s="3">
        <v>194.29</v>
      </c>
      <c r="AD374" s="3">
        <v>111.72</v>
      </c>
      <c r="AE374" s="3">
        <v>2346.0700000000002</v>
      </c>
      <c r="AF374" t="str">
        <f>IF(tbl_FinancialData[[#This Row],[City]]="","Unknown",PROPER(TRIM(tbl_FinancialData[[#This Row],[City]])))</f>
        <v>Bilaspur</v>
      </c>
      <c r="AG374" t="str">
        <f>_xlfn.LET(_xlpm.city,LOWER(TRIM(tbl_FinancialData[[#This Row],[City]])),_xlpm.st,PROPER(TRIM(tbl_FinancialData[[#This Row],[State]])),IF(_xlpm.city="pune","Maharashtra",IF(_xlpm.city="jamshedpur","Jharkhand",IF(_xlpm.city="bhilai","Chhattisgarh",IF(_xlpm.city="mumbai","Maharashtra",_xlpm.st)))))</f>
        <v>Chhattisgarh</v>
      </c>
      <c r="AH374" t="str">
        <f>_xlfn.LET(_xlpm.d,PROPER(TRIM(tbl_FinancialData[[#This Row],[Department]])),IF(_xlpm.d="It","IT",_xlpm.d))</f>
        <v>Marketing</v>
      </c>
      <c r="AI374" t="str">
        <f>_xlfn.LET(_xlpm.pid,tbl_FinancialData[[#This Row],[Product ID]],_xlpm.n,PROPER(TRIM(tbl_FinancialData[[#This Row],[Product Name]])),IF(_xlpm.pid="P020","Document Scanner",IF(_xlpm.pid="P015","Network Router",SUBSTITUTE(SUBSTITUTE(_xlpm.n,"Crm","CRM"),"Ups","UPS"))))</f>
        <v>Mouse</v>
      </c>
      <c r="AJ374" s="3" t="str">
        <f>UPPER(TRIM(tbl_FinancialData[[#This Row],[Cost Center]]))</f>
        <v>CC-1005</v>
      </c>
    </row>
    <row r="375" spans="1:36" x14ac:dyDescent="0.25">
      <c r="A375" s="3" t="s">
        <v>575</v>
      </c>
      <c r="B375" s="2">
        <v>46049</v>
      </c>
      <c r="C375" t="s">
        <v>77</v>
      </c>
      <c r="D375" s="3" t="str">
        <f t="shared" si="23"/>
        <v>Q4</v>
      </c>
      <c r="E375" s="3" t="str">
        <f t="shared" si="24"/>
        <v>FY2026</v>
      </c>
      <c r="F375" s="8" t="s">
        <v>34</v>
      </c>
      <c r="G375" s="3" t="s">
        <v>35</v>
      </c>
      <c r="H375" t="s">
        <v>157</v>
      </c>
      <c r="I375" t="s">
        <v>158</v>
      </c>
      <c r="J375" s="3" t="s">
        <v>80</v>
      </c>
      <c r="K375" t="s">
        <v>160</v>
      </c>
      <c r="L375" s="3" t="s">
        <v>81</v>
      </c>
      <c r="M375" s="3" t="s">
        <v>88</v>
      </c>
      <c r="N375" t="s">
        <v>89</v>
      </c>
      <c r="O375" t="s">
        <v>43</v>
      </c>
      <c r="P375" t="s">
        <v>90</v>
      </c>
      <c r="Q375" s="3">
        <v>43606.9</v>
      </c>
      <c r="R375" s="3">
        <v>50997.33</v>
      </c>
      <c r="S375" s="3">
        <v>23794.11</v>
      </c>
      <c r="T375" s="3">
        <v>3574.57</v>
      </c>
      <c r="U375" s="3">
        <v>3876.04</v>
      </c>
      <c r="V375" s="3">
        <v>3615.78</v>
      </c>
      <c r="W375" s="3">
        <v>1203.2</v>
      </c>
      <c r="X375" s="3">
        <v>36063.699999999997</v>
      </c>
      <c r="Y375" s="3">
        <v>19812.79</v>
      </c>
      <c r="Z375" s="3">
        <f t="shared" si="25"/>
        <v>7543.2000000000044</v>
      </c>
      <c r="AA375" s="37">
        <f t="shared" si="26"/>
        <v>0.17298179875203246</v>
      </c>
      <c r="AB375" s="3">
        <v>-7390.43</v>
      </c>
      <c r="AC375" s="3">
        <v>872.14</v>
      </c>
      <c r="AD375" s="3">
        <v>7692.26</v>
      </c>
      <c r="AE375" s="3">
        <v>50427.01</v>
      </c>
      <c r="AF375" t="str">
        <f>IF(tbl_FinancialData[[#This Row],[City]]="","Unknown",PROPER(TRIM(tbl_FinancialData[[#This Row],[City]])))</f>
        <v>Ahmedabad</v>
      </c>
      <c r="AG375" t="str">
        <f>_xlfn.LET(_xlpm.city,LOWER(TRIM(tbl_FinancialData[[#This Row],[City]])),_xlpm.st,PROPER(TRIM(tbl_FinancialData[[#This Row],[State]])),IF(_xlpm.city="pune","Maharashtra",IF(_xlpm.city="jamshedpur","Jharkhand",IF(_xlpm.city="bhilai","Chhattisgarh",IF(_xlpm.city="mumbai","Maharashtra",_xlpm.st)))))</f>
        <v>Gujarat</v>
      </c>
      <c r="AH375" t="str">
        <f>_xlfn.LET(_xlpm.d,PROPER(TRIM(tbl_FinancialData[[#This Row],[Department]])),IF(_xlpm.d="It","IT",_xlpm.d))</f>
        <v>IT</v>
      </c>
      <c r="AI375" t="str">
        <f>_xlfn.LET(_xlpm.pid,tbl_FinancialData[[#This Row],[Product ID]],_xlpm.n,PROPER(TRIM(tbl_FinancialData[[#This Row],[Product Name]])),IF(_xlpm.pid="P020","Document Scanner",IF(_xlpm.pid="P015","Network Router",SUBSTITUTE(SUBSTITUTE(_xlpm.n,"Crm","CRM"),"Ups","UPS"))))</f>
        <v>Printer</v>
      </c>
      <c r="AJ375" s="3" t="str">
        <f>UPPER(TRIM(tbl_FinancialData[[#This Row],[Cost Center]]))</f>
        <v>CC-1005</v>
      </c>
    </row>
    <row r="376" spans="1:36" x14ac:dyDescent="0.25">
      <c r="A376" s="3" t="s">
        <v>576</v>
      </c>
      <c r="B376" s="2">
        <v>45774</v>
      </c>
      <c r="C376" t="s">
        <v>128</v>
      </c>
      <c r="D376" s="3" t="str">
        <f t="shared" si="23"/>
        <v>Q1</v>
      </c>
      <c r="E376" s="3" t="str">
        <f t="shared" si="24"/>
        <v>FY2026</v>
      </c>
      <c r="F376" s="8" t="s">
        <v>85</v>
      </c>
      <c r="G376" s="3" t="s">
        <v>35</v>
      </c>
      <c r="H376" t="s">
        <v>60</v>
      </c>
      <c r="I376" t="s">
        <v>61</v>
      </c>
      <c r="J376" s="3" t="s">
        <v>80</v>
      </c>
      <c r="K376" t="s">
        <v>50</v>
      </c>
      <c r="L376" s="3" t="s">
        <v>72</v>
      </c>
      <c r="M376" s="3" t="s">
        <v>189</v>
      </c>
      <c r="N376" t="s">
        <v>190</v>
      </c>
      <c r="O376" t="s">
        <v>104</v>
      </c>
      <c r="P376" t="s">
        <v>105</v>
      </c>
      <c r="Q376" s="3">
        <v>30366.82</v>
      </c>
      <c r="R376" s="3">
        <v>34176.14</v>
      </c>
      <c r="S376" s="3">
        <v>19439.61</v>
      </c>
      <c r="T376" s="3">
        <v>1823.42</v>
      </c>
      <c r="U376" s="3">
        <v>2270.23</v>
      </c>
      <c r="V376" s="3">
        <v>1725.3</v>
      </c>
      <c r="W376" s="3">
        <v>647.44000000000005</v>
      </c>
      <c r="X376" s="3">
        <v>25906</v>
      </c>
      <c r="Y376" s="3">
        <v>10927.21</v>
      </c>
      <c r="Z376" s="3">
        <f t="shared" si="25"/>
        <v>4460.82</v>
      </c>
      <c r="AA376" s="37">
        <f t="shared" si="26"/>
        <v>0.14689783125134603</v>
      </c>
      <c r="AB376" s="3">
        <v>-3809.32</v>
      </c>
      <c r="AC376" s="3">
        <v>2429.35</v>
      </c>
      <c r="AD376" s="3">
        <v>3352.5</v>
      </c>
      <c r="AE376" s="3">
        <v>31289.97</v>
      </c>
      <c r="AF376" t="str">
        <f>IF(tbl_FinancialData[[#This Row],[City]]="","Unknown",PROPER(TRIM(tbl_FinancialData[[#This Row],[City]])))</f>
        <v>Lucknow</v>
      </c>
      <c r="AG376" t="str">
        <f>_xlfn.LET(_xlpm.city,LOWER(TRIM(tbl_FinancialData[[#This Row],[City]])),_xlpm.st,PROPER(TRIM(tbl_FinancialData[[#This Row],[State]])),IF(_xlpm.city="pune","Maharashtra",IF(_xlpm.city="jamshedpur","Jharkhand",IF(_xlpm.city="bhilai","Chhattisgarh",IF(_xlpm.city="mumbai","Maharashtra",_xlpm.st)))))</f>
        <v>Uttar Pradesh</v>
      </c>
      <c r="AH376" t="str">
        <f>_xlfn.LET(_xlpm.d,PROPER(TRIM(tbl_FinancialData[[#This Row],[Department]])),IF(_xlpm.d="It","IT",_xlpm.d))</f>
        <v>Sales</v>
      </c>
      <c r="AI376" t="str">
        <f>_xlfn.LET(_xlpm.pid,tbl_FinancialData[[#This Row],[Product ID]],_xlpm.n,PROPER(TRIM(tbl_FinancialData[[#This Row],[Product Name]])),IF(_xlpm.pid="P020","Document Scanner",IF(_xlpm.pid="P015","Network Router",SUBSTITUTE(SUBSTITUTE(_xlpm.n,"Crm","CRM"),"Ups","UPS"))))</f>
        <v>CRM Software</v>
      </c>
      <c r="AJ376" s="3" t="str">
        <f>UPPER(TRIM(tbl_FinancialData[[#This Row],[Cost Center]]))</f>
        <v>CC-1004</v>
      </c>
    </row>
    <row r="377" spans="1:36" x14ac:dyDescent="0.25">
      <c r="A377" s="3" t="s">
        <v>577</v>
      </c>
      <c r="B377" s="2">
        <v>46008</v>
      </c>
      <c r="C377" t="s">
        <v>107</v>
      </c>
      <c r="D377" s="3" t="str">
        <f t="shared" si="23"/>
        <v>Q3</v>
      </c>
      <c r="E377" s="3" t="str">
        <f t="shared" si="24"/>
        <v>FY2026</v>
      </c>
      <c r="F377" s="8" t="s">
        <v>85</v>
      </c>
      <c r="G377" s="3" t="s">
        <v>35</v>
      </c>
      <c r="H377" t="s">
        <v>86</v>
      </c>
      <c r="I377" t="s">
        <v>181</v>
      </c>
      <c r="J377" s="3" t="s">
        <v>70</v>
      </c>
      <c r="K377" t="s">
        <v>39</v>
      </c>
      <c r="L377" s="3" t="s">
        <v>81</v>
      </c>
      <c r="M377" s="3" t="s">
        <v>73</v>
      </c>
      <c r="N377" t="s">
        <v>74</v>
      </c>
      <c r="O377" t="s">
        <v>43</v>
      </c>
      <c r="P377" t="s">
        <v>75</v>
      </c>
      <c r="Q377" s="3">
        <v>42806.13</v>
      </c>
      <c r="R377" s="3">
        <v>47990.29</v>
      </c>
      <c r="S377" s="3">
        <v>28948.81</v>
      </c>
      <c r="T377" s="3">
        <v>5492.7</v>
      </c>
      <c r="U377" s="3">
        <v>2466.5500000000002</v>
      </c>
      <c r="V377" s="3">
        <v>3270.24</v>
      </c>
      <c r="W377" s="3">
        <v>1556.93</v>
      </c>
      <c r="X377" s="3">
        <v>41735.24</v>
      </c>
      <c r="Y377" s="3">
        <v>13857.31</v>
      </c>
      <c r="Z377" s="3">
        <f t="shared" si="25"/>
        <v>1070.8899999999994</v>
      </c>
      <c r="AA377" s="37">
        <f t="shared" si="26"/>
        <v>2.5017211319967477E-2</v>
      </c>
      <c r="AB377" s="3">
        <v>-5184.17</v>
      </c>
      <c r="AC377" s="3">
        <v>0</v>
      </c>
      <c r="AD377" s="3">
        <v>5136.74</v>
      </c>
      <c r="AE377" s="3">
        <v>47942.86</v>
      </c>
      <c r="AF377" t="str">
        <f>IF(tbl_FinancialData[[#This Row],[City]]="","Unknown",PROPER(TRIM(tbl_FinancialData[[#This Row],[City]])))</f>
        <v>Bhopal</v>
      </c>
      <c r="AG377" t="str">
        <f>_xlfn.LET(_xlpm.city,LOWER(TRIM(tbl_FinancialData[[#This Row],[City]])),_xlpm.st,PROPER(TRIM(tbl_FinancialData[[#This Row],[State]])),IF(_xlpm.city="pune","Maharashtra",IF(_xlpm.city="jamshedpur","Jharkhand",IF(_xlpm.city="bhilai","Chhattisgarh",IF(_xlpm.city="mumbai","Maharashtra",_xlpm.st)))))</f>
        <v>Madhya Pradesh</v>
      </c>
      <c r="AH377" t="str">
        <f>_xlfn.LET(_xlpm.d,PROPER(TRIM(tbl_FinancialData[[#This Row],[Department]])),IF(_xlpm.d="It","IT",_xlpm.d))</f>
        <v>Operations</v>
      </c>
      <c r="AI377" t="str">
        <f>_xlfn.LET(_xlpm.pid,tbl_FinancialData[[#This Row],[Product ID]],_xlpm.n,PROPER(TRIM(tbl_FinancialData[[#This Row],[Product Name]])),IF(_xlpm.pid="P020","Document Scanner",IF(_xlpm.pid="P015","Network Router",SUBSTITUTE(SUBSTITUTE(_xlpm.n,"Crm","CRM"),"Ups","UPS"))))</f>
        <v>Monitor</v>
      </c>
      <c r="AJ377" s="3" t="str">
        <f>UPPER(TRIM(tbl_FinancialData[[#This Row],[Cost Center]]))</f>
        <v>CC-1005</v>
      </c>
    </row>
    <row r="378" spans="1:36" x14ac:dyDescent="0.25">
      <c r="A378" s="3" t="s">
        <v>578</v>
      </c>
      <c r="B378" s="2">
        <v>45763</v>
      </c>
      <c r="C378" t="s">
        <v>128</v>
      </c>
      <c r="D378" s="3" t="str">
        <f t="shared" si="23"/>
        <v>Q1</v>
      </c>
      <c r="E378" s="3" t="str">
        <f t="shared" si="24"/>
        <v>FY2026</v>
      </c>
      <c r="F378" s="8" t="s">
        <v>59</v>
      </c>
      <c r="G378" s="3" t="s">
        <v>35</v>
      </c>
      <c r="H378" t="s">
        <v>60</v>
      </c>
      <c r="I378" t="s">
        <v>61</v>
      </c>
      <c r="J378" s="3" t="s">
        <v>80</v>
      </c>
      <c r="K378" t="s">
        <v>50</v>
      </c>
      <c r="L378" s="3" t="s">
        <v>94</v>
      </c>
      <c r="M378" s="3" t="s">
        <v>235</v>
      </c>
      <c r="N378" t="s">
        <v>236</v>
      </c>
      <c r="O378" t="s">
        <v>104</v>
      </c>
      <c r="P378" t="s">
        <v>237</v>
      </c>
      <c r="Q378" s="3">
        <v>31552.41</v>
      </c>
      <c r="R378" s="3">
        <v>28514.63</v>
      </c>
      <c r="S378" s="3">
        <v>18533.91</v>
      </c>
      <c r="T378" s="3">
        <v>1834.81</v>
      </c>
      <c r="U378" s="3">
        <v>821.46</v>
      </c>
      <c r="V378" s="3">
        <v>2817.46</v>
      </c>
      <c r="W378" s="3">
        <v>1376.6</v>
      </c>
      <c r="X378" s="3">
        <v>25384.240000000002</v>
      </c>
      <c r="Y378" s="3">
        <v>13018.5</v>
      </c>
      <c r="Z378" s="3">
        <f t="shared" si="25"/>
        <v>6168.1699999999983</v>
      </c>
      <c r="AA378" s="37">
        <f t="shared" si="26"/>
        <v>0.19548966307169557</v>
      </c>
      <c r="AB378" s="3">
        <v>3037.78</v>
      </c>
      <c r="AC378" s="3">
        <v>2524.19</v>
      </c>
      <c r="AD378" s="3">
        <v>5225.08</v>
      </c>
      <c r="AE378" s="3">
        <v>34253.300000000003</v>
      </c>
      <c r="AF378" t="str">
        <f>IF(tbl_FinancialData[[#This Row],[City]]="","Unknown",PROPER(TRIM(tbl_FinancialData[[#This Row],[City]])))</f>
        <v>Lucknow</v>
      </c>
      <c r="AG378" t="str">
        <f>_xlfn.LET(_xlpm.city,LOWER(TRIM(tbl_FinancialData[[#This Row],[City]])),_xlpm.st,PROPER(TRIM(tbl_FinancialData[[#This Row],[State]])),IF(_xlpm.city="pune","Maharashtra",IF(_xlpm.city="jamshedpur","Jharkhand",IF(_xlpm.city="bhilai","Chhattisgarh",IF(_xlpm.city="mumbai","Maharashtra",_xlpm.st)))))</f>
        <v>Uttar Pradesh</v>
      </c>
      <c r="AH378" t="str">
        <f>_xlfn.LET(_xlpm.d,PROPER(TRIM(tbl_FinancialData[[#This Row],[Department]])),IF(_xlpm.d="It","IT",_xlpm.d))</f>
        <v>Sales</v>
      </c>
      <c r="AI378" t="str">
        <f>_xlfn.LET(_xlpm.pid,tbl_FinancialData[[#This Row],[Product ID]],_xlpm.n,PROPER(TRIM(tbl_FinancialData[[#This Row],[Product Name]])),IF(_xlpm.pid="P020","Document Scanner",IF(_xlpm.pid="P015","Network Router",SUBSTITUTE(SUBSTITUTE(_xlpm.n,"Crm","CRM"),"Ups","UPS"))))</f>
        <v>Data Storage</v>
      </c>
      <c r="AJ378" s="3" t="str">
        <f>UPPER(TRIM(tbl_FinancialData[[#This Row],[Cost Center]]))</f>
        <v>CC-1001</v>
      </c>
    </row>
    <row r="379" spans="1:36" x14ac:dyDescent="0.25">
      <c r="A379" s="3" t="s">
        <v>579</v>
      </c>
      <c r="B379" s="2">
        <v>46066</v>
      </c>
      <c r="C379" t="s">
        <v>57</v>
      </c>
      <c r="D379" s="3" t="str">
        <f t="shared" si="23"/>
        <v>Q4</v>
      </c>
      <c r="E379" s="3" t="str">
        <f t="shared" si="24"/>
        <v>FY2026</v>
      </c>
      <c r="F379" s="8" t="s">
        <v>47</v>
      </c>
      <c r="G379" s="3" t="s">
        <v>35</v>
      </c>
      <c r="H379" t="s">
        <v>78</v>
      </c>
      <c r="I379" t="s">
        <v>79</v>
      </c>
      <c r="J379" s="3" t="s">
        <v>100</v>
      </c>
      <c r="K379" t="s">
        <v>71</v>
      </c>
      <c r="L379" s="3" t="s">
        <v>94</v>
      </c>
      <c r="M379" s="3" t="s">
        <v>120</v>
      </c>
      <c r="N379" t="s">
        <v>121</v>
      </c>
      <c r="O379" t="s">
        <v>43</v>
      </c>
      <c r="P379" t="s">
        <v>122</v>
      </c>
      <c r="Q379" s="3">
        <v>64963.9</v>
      </c>
      <c r="R379" s="3">
        <v>59645.51</v>
      </c>
      <c r="S379" s="3">
        <v>37848.620000000003</v>
      </c>
      <c r="T379" s="3">
        <v>4084.2</v>
      </c>
      <c r="U379" s="3">
        <v>4581.42</v>
      </c>
      <c r="V379" s="3">
        <v>6542.48</v>
      </c>
      <c r="W379" s="3">
        <v>890.19</v>
      </c>
      <c r="X379" s="3">
        <v>53946.92</v>
      </c>
      <c r="Y379" s="3">
        <v>27115.279999999999</v>
      </c>
      <c r="Z379" s="3">
        <f t="shared" si="25"/>
        <v>11016.980000000003</v>
      </c>
      <c r="AA379" s="37">
        <f t="shared" si="26"/>
        <v>0.16958618555844096</v>
      </c>
      <c r="AB379" s="3">
        <v>5318.39</v>
      </c>
      <c r="AC379" s="3">
        <v>1948.92</v>
      </c>
      <c r="AD379" s="3">
        <v>11342.7</v>
      </c>
      <c r="AE379" s="3">
        <v>74357.679999999993</v>
      </c>
      <c r="AF379" t="str">
        <f>IF(tbl_FinancialData[[#This Row],[City]]="","Unknown",PROPER(TRIM(tbl_FinancialData[[#This Row],[City]])))</f>
        <v>Kochi</v>
      </c>
      <c r="AG379" t="str">
        <f>_xlfn.LET(_xlpm.city,LOWER(TRIM(tbl_FinancialData[[#This Row],[City]])),_xlpm.st,PROPER(TRIM(tbl_FinancialData[[#This Row],[State]])),IF(_xlpm.city="pune","Maharashtra",IF(_xlpm.city="jamshedpur","Jharkhand",IF(_xlpm.city="bhilai","Chhattisgarh",IF(_xlpm.city="mumbai","Maharashtra",_xlpm.st)))))</f>
        <v>Kerala</v>
      </c>
      <c r="AH379" t="str">
        <f>_xlfn.LET(_xlpm.d,PROPER(TRIM(tbl_FinancialData[[#This Row],[Department]])),IF(_xlpm.d="It","IT",_xlpm.d))</f>
        <v>Marketing</v>
      </c>
      <c r="AI379" t="str">
        <f>_xlfn.LET(_xlpm.pid,tbl_FinancialData[[#This Row],[Product ID]],_xlpm.n,PROPER(TRIM(tbl_FinancialData[[#This Row],[Product Name]])),IF(_xlpm.pid="P020","Document Scanner",IF(_xlpm.pid="P015","Network Router",SUBSTITUTE(SUBSTITUTE(_xlpm.n,"Crm","CRM"),"Ups","UPS"))))</f>
        <v>Projector</v>
      </c>
      <c r="AJ379" s="3" t="str">
        <f>UPPER(TRIM(tbl_FinancialData[[#This Row],[Cost Center]]))</f>
        <v>CC-1001</v>
      </c>
    </row>
    <row r="380" spans="1:36" x14ac:dyDescent="0.25">
      <c r="A380" s="3" t="s">
        <v>580</v>
      </c>
      <c r="B380" s="2">
        <v>46026</v>
      </c>
      <c r="C380" t="s">
        <v>77</v>
      </c>
      <c r="D380" s="3" t="str">
        <f t="shared" si="23"/>
        <v>Q4</v>
      </c>
      <c r="E380" s="3" t="str">
        <f t="shared" si="24"/>
        <v>FY2026</v>
      </c>
      <c r="F380" s="8" t="s">
        <v>67</v>
      </c>
      <c r="G380" s="3" t="s">
        <v>35</v>
      </c>
      <c r="H380" t="s">
        <v>168</v>
      </c>
      <c r="I380" t="s">
        <v>251</v>
      </c>
      <c r="J380" s="3" t="s">
        <v>100</v>
      </c>
      <c r="K380" t="s">
        <v>39</v>
      </c>
      <c r="L380" s="3" t="s">
        <v>51</v>
      </c>
      <c r="M380" s="3" t="s">
        <v>161</v>
      </c>
      <c r="N380" t="s">
        <v>162</v>
      </c>
      <c r="O380" t="s">
        <v>43</v>
      </c>
      <c r="P380" t="s">
        <v>163</v>
      </c>
      <c r="Q380" s="3">
        <v>41962.87</v>
      </c>
      <c r="R380" s="3">
        <v>41190.06</v>
      </c>
      <c r="S380" s="3">
        <v>20700.45</v>
      </c>
      <c r="T380" s="3">
        <v>3958.57</v>
      </c>
      <c r="U380" s="3">
        <v>2652.63</v>
      </c>
      <c r="V380" s="3">
        <v>4815.79</v>
      </c>
      <c r="W380" s="3">
        <v>1486</v>
      </c>
      <c r="X380" s="3">
        <v>33613.43</v>
      </c>
      <c r="Y380" s="3">
        <v>21262.42</v>
      </c>
      <c r="Z380" s="3">
        <f t="shared" si="25"/>
        <v>8349.4400000000023</v>
      </c>
      <c r="AA380" s="37">
        <f t="shared" si="26"/>
        <v>0.1989720912797433</v>
      </c>
      <c r="AB380" s="3">
        <v>772.81</v>
      </c>
      <c r="AC380" s="3">
        <v>3357.03</v>
      </c>
      <c r="AD380" s="3">
        <v>6949.05</v>
      </c>
      <c r="AE380" s="3">
        <v>45554.89</v>
      </c>
      <c r="AF380" t="str">
        <f>IF(tbl_FinancialData[[#This Row],[City]]="","Unknown",PROPER(TRIM(tbl_FinancialData[[#This Row],[City]])))</f>
        <v>Durgapur</v>
      </c>
      <c r="AG380" t="str">
        <f>_xlfn.LET(_xlpm.city,LOWER(TRIM(tbl_FinancialData[[#This Row],[City]])),_xlpm.st,PROPER(TRIM(tbl_FinancialData[[#This Row],[State]])),IF(_xlpm.city="pune","Maharashtra",IF(_xlpm.city="jamshedpur","Jharkhand",IF(_xlpm.city="bhilai","Chhattisgarh",IF(_xlpm.city="mumbai","Maharashtra",_xlpm.st)))))</f>
        <v>West Bengal</v>
      </c>
      <c r="AH380" t="str">
        <f>_xlfn.LET(_xlpm.d,PROPER(TRIM(tbl_FinancialData[[#This Row],[Department]])),IF(_xlpm.d="It","IT",_xlpm.d))</f>
        <v>Operations</v>
      </c>
      <c r="AI380" t="str">
        <f>_xlfn.LET(_xlpm.pid,tbl_FinancialData[[#This Row],[Product ID]],_xlpm.n,PROPER(TRIM(tbl_FinancialData[[#This Row],[Product Name]])),IF(_xlpm.pid="P020","Document Scanner",IF(_xlpm.pid="P015","Network Router",SUBSTITUTE(SUBSTITUTE(_xlpm.n,"Crm","CRM"),"Ups","UPS"))))</f>
        <v>Tablet</v>
      </c>
      <c r="AJ380" s="3" t="str">
        <f>UPPER(TRIM(tbl_FinancialData[[#This Row],[Cost Center]]))</f>
        <v>CC-1003</v>
      </c>
    </row>
    <row r="381" spans="1:36" x14ac:dyDescent="0.25">
      <c r="A381" s="3" t="s">
        <v>581</v>
      </c>
      <c r="B381" s="2">
        <v>45867</v>
      </c>
      <c r="C381" t="s">
        <v>32</v>
      </c>
      <c r="D381" s="3" t="str">
        <f t="shared" si="23"/>
        <v>Q2</v>
      </c>
      <c r="E381" s="3" t="str">
        <f t="shared" si="24"/>
        <v>FY2026</v>
      </c>
      <c r="F381" s="8" t="s">
        <v>67</v>
      </c>
      <c r="G381" s="3" t="s">
        <v>35</v>
      </c>
      <c r="H381" t="s">
        <v>118</v>
      </c>
      <c r="I381" t="s">
        <v>119</v>
      </c>
      <c r="J381" s="3" t="s">
        <v>38</v>
      </c>
      <c r="K381" t="s">
        <v>160</v>
      </c>
      <c r="L381" s="3" t="s">
        <v>81</v>
      </c>
      <c r="M381" s="3" t="s">
        <v>221</v>
      </c>
      <c r="N381" t="s">
        <v>222</v>
      </c>
      <c r="O381" t="s">
        <v>104</v>
      </c>
      <c r="P381" t="s">
        <v>223</v>
      </c>
      <c r="Q381" s="3">
        <v>10230.51</v>
      </c>
      <c r="R381" s="3">
        <v>10416.719999999999</v>
      </c>
      <c r="S381" s="3">
        <v>5664.64</v>
      </c>
      <c r="T381" s="3">
        <v>540.29999999999995</v>
      </c>
      <c r="U381" s="3">
        <v>470.65</v>
      </c>
      <c r="V381" s="3">
        <v>854.54</v>
      </c>
      <c r="W381" s="3">
        <v>299.86</v>
      </c>
      <c r="X381" s="3">
        <v>7829.99</v>
      </c>
      <c r="Y381" s="3">
        <v>4565.87</v>
      </c>
      <c r="Z381" s="3">
        <f t="shared" si="25"/>
        <v>2400.5200000000004</v>
      </c>
      <c r="AA381" s="37">
        <f t="shared" si="26"/>
        <v>0.23464323870461984</v>
      </c>
      <c r="AB381" s="3">
        <v>-186.21</v>
      </c>
      <c r="AC381" s="3">
        <v>306.92</v>
      </c>
      <c r="AD381" s="3">
        <v>1190.83</v>
      </c>
      <c r="AE381" s="3">
        <v>11114.42</v>
      </c>
      <c r="AF381" t="str">
        <f>IF(tbl_FinancialData[[#This Row],[City]]="","Unknown",PROPER(TRIM(tbl_FinancialData[[#This Row],[City]])))</f>
        <v>Ranchi</v>
      </c>
      <c r="AG381" t="str">
        <f>_xlfn.LET(_xlpm.city,LOWER(TRIM(tbl_FinancialData[[#This Row],[City]])),_xlpm.st,PROPER(TRIM(tbl_FinancialData[[#This Row],[State]])),IF(_xlpm.city="pune","Maharashtra",IF(_xlpm.city="jamshedpur","Jharkhand",IF(_xlpm.city="bhilai","Chhattisgarh",IF(_xlpm.city="mumbai","Maharashtra",_xlpm.st)))))</f>
        <v>Jharkhand</v>
      </c>
      <c r="AH381" t="str">
        <f>_xlfn.LET(_xlpm.d,PROPER(TRIM(tbl_FinancialData[[#This Row],[Department]])),IF(_xlpm.d="It","IT",_xlpm.d))</f>
        <v>IT</v>
      </c>
      <c r="AI381" t="str">
        <f>_xlfn.LET(_xlpm.pid,tbl_FinancialData[[#This Row],[Product ID]],_xlpm.n,PROPER(TRIM(tbl_FinancialData[[#This Row],[Product Name]])),IF(_xlpm.pid="P020","Document Scanner",IF(_xlpm.pid="P015","Network Router",SUBSTITUTE(SUBSTITUTE(_xlpm.n,"Crm","CRM"),"Ups","UPS"))))</f>
        <v>Cloud Software</v>
      </c>
      <c r="AJ381" s="3" t="str">
        <f>UPPER(TRIM(tbl_FinancialData[[#This Row],[Cost Center]]))</f>
        <v>CC-1005</v>
      </c>
    </row>
    <row r="382" spans="1:36" x14ac:dyDescent="0.25">
      <c r="A382" s="3" t="s">
        <v>582</v>
      </c>
      <c r="B382" s="2">
        <v>45925</v>
      </c>
      <c r="C382" t="s">
        <v>46</v>
      </c>
      <c r="D382" s="3" t="str">
        <f t="shared" si="23"/>
        <v>Q2</v>
      </c>
      <c r="E382" s="3" t="str">
        <f t="shared" si="24"/>
        <v>FY2026</v>
      </c>
      <c r="F382" s="8" t="s">
        <v>47</v>
      </c>
      <c r="G382" s="3" t="s">
        <v>35</v>
      </c>
      <c r="H382" t="s">
        <v>78</v>
      </c>
      <c r="I382" t="s">
        <v>79</v>
      </c>
      <c r="J382" s="3" t="s">
        <v>38</v>
      </c>
      <c r="K382" t="s">
        <v>50</v>
      </c>
      <c r="L382" s="3" t="s">
        <v>51</v>
      </c>
      <c r="M382" s="3" t="s">
        <v>95</v>
      </c>
      <c r="N382" t="s">
        <v>96</v>
      </c>
      <c r="O382" t="s">
        <v>43</v>
      </c>
      <c r="P382" t="s">
        <v>90</v>
      </c>
      <c r="Q382" s="3">
        <v>41675.17</v>
      </c>
      <c r="R382" s="3">
        <v>44976.25</v>
      </c>
      <c r="S382" s="3">
        <v>22380.17</v>
      </c>
      <c r="T382" s="3">
        <v>3715.02</v>
      </c>
      <c r="U382" s="3">
        <v>1816.86</v>
      </c>
      <c r="V382" s="3">
        <v>4076.73</v>
      </c>
      <c r="W382" s="3">
        <v>1795.61</v>
      </c>
      <c r="X382" s="3">
        <v>33784.39</v>
      </c>
      <c r="Y382" s="3">
        <v>19295</v>
      </c>
      <c r="Z382" s="3">
        <f t="shared" si="25"/>
        <v>7890.7799999999988</v>
      </c>
      <c r="AA382" s="37">
        <f t="shared" si="26"/>
        <v>0.18934007947658041</v>
      </c>
      <c r="AB382" s="3">
        <v>-3301.09</v>
      </c>
      <c r="AC382" s="3">
        <v>3334.01</v>
      </c>
      <c r="AD382" s="3">
        <v>4600.9399999999996</v>
      </c>
      <c r="AE382" s="3">
        <v>42942.09</v>
      </c>
      <c r="AF382" t="str">
        <f>IF(tbl_FinancialData[[#This Row],[City]]="","Unknown",PROPER(TRIM(tbl_FinancialData[[#This Row],[City]])))</f>
        <v>Kochi</v>
      </c>
      <c r="AG382" t="str">
        <f>_xlfn.LET(_xlpm.city,LOWER(TRIM(tbl_FinancialData[[#This Row],[City]])),_xlpm.st,PROPER(TRIM(tbl_FinancialData[[#This Row],[State]])),IF(_xlpm.city="pune","Maharashtra",IF(_xlpm.city="jamshedpur","Jharkhand",IF(_xlpm.city="bhilai","Chhattisgarh",IF(_xlpm.city="mumbai","Maharashtra",_xlpm.st)))))</f>
        <v>Kerala</v>
      </c>
      <c r="AH382" t="str">
        <f>_xlfn.LET(_xlpm.d,PROPER(TRIM(tbl_FinancialData[[#This Row],[Department]])),IF(_xlpm.d="It","IT",_xlpm.d))</f>
        <v>Sales</v>
      </c>
      <c r="AI382" t="str">
        <f>_xlfn.LET(_xlpm.pid,tbl_FinancialData[[#This Row],[Product ID]],_xlpm.n,PROPER(TRIM(tbl_FinancialData[[#This Row],[Product Name]])),IF(_xlpm.pid="P020","Document Scanner",IF(_xlpm.pid="P015","Network Router",SUBSTITUTE(SUBSTITUTE(_xlpm.n,"Crm","CRM"),"Ups","UPS"))))</f>
        <v>Document Scanner</v>
      </c>
      <c r="AJ382" s="3" t="str">
        <f>UPPER(TRIM(tbl_FinancialData[[#This Row],[Cost Center]]))</f>
        <v>CC-1003</v>
      </c>
    </row>
    <row r="383" spans="1:36" x14ac:dyDescent="0.25">
      <c r="A383" s="3" t="s">
        <v>583</v>
      </c>
      <c r="B383" s="2">
        <v>45984</v>
      </c>
      <c r="C383" t="s">
        <v>147</v>
      </c>
      <c r="D383" s="3" t="str">
        <f t="shared" si="23"/>
        <v>Q3</v>
      </c>
      <c r="E383" s="3" t="str">
        <f t="shared" si="24"/>
        <v>FY2026</v>
      </c>
      <c r="F383" s="8" t="s">
        <v>85</v>
      </c>
      <c r="G383" s="3" t="s">
        <v>35</v>
      </c>
      <c r="H383" t="s">
        <v>178</v>
      </c>
      <c r="I383" t="s">
        <v>249</v>
      </c>
      <c r="J383" s="3" t="s">
        <v>100</v>
      </c>
      <c r="K383" t="s">
        <v>50</v>
      </c>
      <c r="L383" s="3" t="s">
        <v>40</v>
      </c>
      <c r="M383" s="3" t="s">
        <v>52</v>
      </c>
      <c r="N383" t="s">
        <v>53</v>
      </c>
      <c r="O383" t="s">
        <v>54</v>
      </c>
      <c r="P383" t="s">
        <v>55</v>
      </c>
      <c r="Q383" s="3">
        <v>3488.92</v>
      </c>
      <c r="R383" s="3">
        <v>3315.56</v>
      </c>
      <c r="S383" s="3">
        <v>1778.15</v>
      </c>
      <c r="T383" s="3">
        <v>208.97</v>
      </c>
      <c r="U383" s="3">
        <v>219.5</v>
      </c>
      <c r="V383" s="3">
        <v>344.64</v>
      </c>
      <c r="W383" s="3">
        <v>74.150000000000006</v>
      </c>
      <c r="X383" s="3">
        <v>2625.41</v>
      </c>
      <c r="Y383" s="3">
        <v>1710.77</v>
      </c>
      <c r="Z383" s="3">
        <f t="shared" si="25"/>
        <v>863.51000000000022</v>
      </c>
      <c r="AA383" s="37">
        <f t="shared" si="26"/>
        <v>0.24750065922979037</v>
      </c>
      <c r="AB383" s="3">
        <v>173.36</v>
      </c>
      <c r="AC383" s="3">
        <v>0</v>
      </c>
      <c r="AD383" s="3">
        <v>174.45</v>
      </c>
      <c r="AE383" s="3">
        <v>3663.37</v>
      </c>
      <c r="AF383" t="str">
        <f>IF(tbl_FinancialData[[#This Row],[City]]="","Unknown",PROPER(TRIM(tbl_FinancialData[[#This Row],[City]])))</f>
        <v>Bhilai</v>
      </c>
      <c r="AG383" t="str">
        <f>_xlfn.LET(_xlpm.city,LOWER(TRIM(tbl_FinancialData[[#This Row],[City]])),_xlpm.st,PROPER(TRIM(tbl_FinancialData[[#This Row],[State]])),IF(_xlpm.city="pune","Maharashtra",IF(_xlpm.city="jamshedpur","Jharkhand",IF(_xlpm.city="bhilai","Chhattisgarh",IF(_xlpm.city="mumbai","Maharashtra",_xlpm.st)))))</f>
        <v>Chhattisgarh</v>
      </c>
      <c r="AH383" t="str">
        <f>_xlfn.LET(_xlpm.d,PROPER(TRIM(tbl_FinancialData[[#This Row],[Department]])),IF(_xlpm.d="It","IT",_xlpm.d))</f>
        <v>Sales</v>
      </c>
      <c r="AI383" t="str">
        <f>_xlfn.LET(_xlpm.pid,tbl_FinancialData[[#This Row],[Product ID]],_xlpm.n,PROPER(TRIM(tbl_FinancialData[[#This Row],[Product Name]])),IF(_xlpm.pid="P020","Document Scanner",IF(_xlpm.pid="P015","Network Router",SUBSTITUTE(SUBSTITUTE(_xlpm.n,"Crm","CRM"),"Ups","UPS"))))</f>
        <v>Mouse</v>
      </c>
      <c r="AJ383" s="3" t="str">
        <f>UPPER(TRIM(tbl_FinancialData[[#This Row],[Cost Center]]))</f>
        <v>CC-1002</v>
      </c>
    </row>
    <row r="384" spans="1:36" x14ac:dyDescent="0.25">
      <c r="A384" s="3" t="s">
        <v>584</v>
      </c>
      <c r="B384" s="2">
        <v>45784</v>
      </c>
      <c r="C384" t="s">
        <v>65</v>
      </c>
      <c r="D384" s="3" t="str">
        <f t="shared" si="23"/>
        <v>Q1</v>
      </c>
      <c r="E384" s="3" t="str">
        <f t="shared" si="24"/>
        <v>FY2026</v>
      </c>
      <c r="F384" s="8" t="s">
        <v>34</v>
      </c>
      <c r="G384" s="3" t="s">
        <v>35</v>
      </c>
      <c r="H384" t="s">
        <v>134</v>
      </c>
      <c r="I384" t="s">
        <v>154</v>
      </c>
      <c r="J384" s="3" t="s">
        <v>38</v>
      </c>
      <c r="K384" t="s">
        <v>50</v>
      </c>
      <c r="L384" s="3" t="s">
        <v>40</v>
      </c>
      <c r="M384" s="3" t="s">
        <v>41</v>
      </c>
      <c r="N384" t="s">
        <v>42</v>
      </c>
      <c r="O384" t="s">
        <v>43</v>
      </c>
      <c r="P384" t="s">
        <v>44</v>
      </c>
      <c r="Q384" s="3">
        <v>22439.43</v>
      </c>
      <c r="R384" s="3">
        <v>22327.59</v>
      </c>
      <c r="S384" s="3">
        <v>15279.43</v>
      </c>
      <c r="T384" s="3">
        <v>2675.31</v>
      </c>
      <c r="U384" s="3">
        <v>1440.27</v>
      </c>
      <c r="V384" s="3">
        <v>2203.62</v>
      </c>
      <c r="W384" s="3">
        <v>314.83999999999997</v>
      </c>
      <c r="X384" s="3">
        <v>21913.46</v>
      </c>
      <c r="Y384" s="3">
        <v>7160</v>
      </c>
      <c r="Z384" s="3">
        <f t="shared" si="25"/>
        <v>525.97000000000116</v>
      </c>
      <c r="AA384" s="37">
        <f t="shared" si="26"/>
        <v>2.3439543696074327E-2</v>
      </c>
      <c r="AB384" s="3">
        <v>111.83</v>
      </c>
      <c r="AC384" s="3">
        <v>1121.97</v>
      </c>
      <c r="AD384" s="3">
        <v>3837.14</v>
      </c>
      <c r="AE384" s="3">
        <v>25154.6</v>
      </c>
      <c r="AF384" t="str">
        <f>IF(tbl_FinancialData[[#This Row],[City]]="","Unknown",PROPER(TRIM(tbl_FinancialData[[#This Row],[City]])))</f>
        <v>Udaipur</v>
      </c>
      <c r="AG384" t="str">
        <f>_xlfn.LET(_xlpm.city,LOWER(TRIM(tbl_FinancialData[[#This Row],[City]])),_xlpm.st,PROPER(TRIM(tbl_FinancialData[[#This Row],[State]])),IF(_xlpm.city="pune","Maharashtra",IF(_xlpm.city="jamshedpur","Jharkhand",IF(_xlpm.city="bhilai","Chhattisgarh",IF(_xlpm.city="mumbai","Maharashtra",_xlpm.st)))))</f>
        <v>Rajasthan</v>
      </c>
      <c r="AH384" t="str">
        <f>_xlfn.LET(_xlpm.d,PROPER(TRIM(tbl_FinancialData[[#This Row],[Department]])),IF(_xlpm.d="It","IT",_xlpm.d))</f>
        <v>Sales</v>
      </c>
      <c r="AI384" t="str">
        <f>_xlfn.LET(_xlpm.pid,tbl_FinancialData[[#This Row],[Product ID]],_xlpm.n,PROPER(TRIM(tbl_FinancialData[[#This Row],[Product Name]])),IF(_xlpm.pid="P020","Document Scanner",IF(_xlpm.pid="P015","Network Router",SUBSTITUTE(SUBSTITUTE(_xlpm.n,"Crm","CRM"),"Ups","UPS"))))</f>
        <v>Conference Camera</v>
      </c>
      <c r="AJ384" s="3" t="str">
        <f>UPPER(TRIM(tbl_FinancialData[[#This Row],[Cost Center]]))</f>
        <v>CC-1002</v>
      </c>
    </row>
    <row r="385" spans="1:36" x14ac:dyDescent="0.25">
      <c r="A385" s="3" t="s">
        <v>585</v>
      </c>
      <c r="B385" s="2">
        <v>45912</v>
      </c>
      <c r="C385" t="s">
        <v>46</v>
      </c>
      <c r="D385" s="3" t="str">
        <f t="shared" si="23"/>
        <v>Q2</v>
      </c>
      <c r="E385" s="3" t="str">
        <f t="shared" si="24"/>
        <v>FY2026</v>
      </c>
      <c r="F385" s="8" t="s">
        <v>34</v>
      </c>
      <c r="G385" s="3" t="s">
        <v>35</v>
      </c>
      <c r="H385" t="s">
        <v>157</v>
      </c>
      <c r="I385" t="s">
        <v>166</v>
      </c>
      <c r="J385" s="3" t="s">
        <v>100</v>
      </c>
      <c r="K385" t="s">
        <v>50</v>
      </c>
      <c r="L385" s="3" t="s">
        <v>72</v>
      </c>
      <c r="M385" s="3" t="s">
        <v>186</v>
      </c>
      <c r="N385" t="s">
        <v>187</v>
      </c>
      <c r="O385" t="s">
        <v>173</v>
      </c>
      <c r="P385" t="s">
        <v>174</v>
      </c>
      <c r="Q385" s="3">
        <v>29093.17</v>
      </c>
      <c r="R385" s="3">
        <v>26579.62</v>
      </c>
      <c r="S385" s="3">
        <v>19895.990000000002</v>
      </c>
      <c r="T385" s="3">
        <v>2694.84</v>
      </c>
      <c r="U385" s="3">
        <v>1618.62</v>
      </c>
      <c r="V385" s="3">
        <v>3447.19</v>
      </c>
      <c r="W385" s="3">
        <v>1044.83</v>
      </c>
      <c r="X385" s="3">
        <v>28701.46</v>
      </c>
      <c r="Y385" s="3">
        <v>9197.18</v>
      </c>
      <c r="Z385" s="3">
        <f t="shared" si="25"/>
        <v>391.70999999999913</v>
      </c>
      <c r="AA385" s="37">
        <f t="shared" si="26"/>
        <v>1.3463984845927727E-2</v>
      </c>
      <c r="AB385" s="3">
        <v>2513.5500000000002</v>
      </c>
      <c r="AC385" s="3">
        <v>0</v>
      </c>
      <c r="AD385" s="3">
        <v>5236.7700000000004</v>
      </c>
      <c r="AE385" s="3">
        <v>34329.94</v>
      </c>
      <c r="AF385" t="str">
        <f>IF(tbl_FinancialData[[#This Row],[City]]="","Unknown",PROPER(TRIM(tbl_FinancialData[[#This Row],[City]])))</f>
        <v>Vadodara</v>
      </c>
      <c r="AG385" t="str">
        <f>_xlfn.LET(_xlpm.city,LOWER(TRIM(tbl_FinancialData[[#This Row],[City]])),_xlpm.st,PROPER(TRIM(tbl_FinancialData[[#This Row],[State]])),IF(_xlpm.city="pune","Maharashtra",IF(_xlpm.city="jamshedpur","Jharkhand",IF(_xlpm.city="bhilai","Chhattisgarh",IF(_xlpm.city="mumbai","Maharashtra",_xlpm.st)))))</f>
        <v>Gujarat</v>
      </c>
      <c r="AH385" t="str">
        <f>_xlfn.LET(_xlpm.d,PROPER(TRIM(tbl_FinancialData[[#This Row],[Department]])),IF(_xlpm.d="It","IT",_xlpm.d))</f>
        <v>Sales</v>
      </c>
      <c r="AI385" t="str">
        <f>_xlfn.LET(_xlpm.pid,tbl_FinancialData[[#This Row],[Product ID]],_xlpm.n,PROPER(TRIM(tbl_FinancialData[[#This Row],[Product Name]])),IF(_xlpm.pid="P020","Document Scanner",IF(_xlpm.pid="P015","Network Router",SUBSTITUTE(SUBSTITUTE(_xlpm.n,"Crm","CRM"),"Ups","UPS"))))</f>
        <v>Network Router</v>
      </c>
      <c r="AJ385" s="3" t="str">
        <f>UPPER(TRIM(tbl_FinancialData[[#This Row],[Cost Center]]))</f>
        <v>CC-1004</v>
      </c>
    </row>
    <row r="386" spans="1:36" x14ac:dyDescent="0.25">
      <c r="A386" s="3" t="s">
        <v>586</v>
      </c>
      <c r="B386" s="2">
        <v>45797</v>
      </c>
      <c r="C386" t="s">
        <v>65</v>
      </c>
      <c r="D386" s="3" t="str">
        <f t="shared" ref="D386:D449" si="27">"Q"&amp;INT(MOD(MONTH(B386)-4,12)/3)+1</f>
        <v>Q1</v>
      </c>
      <c r="E386" s="3" t="str">
        <f t="shared" ref="E386:E449" si="28">"FY"&amp; (YEAR(B386)+(MONTH(B386)&gt;=4))</f>
        <v>FY2026</v>
      </c>
      <c r="F386" s="8" t="s">
        <v>59</v>
      </c>
      <c r="G386" s="3" t="s">
        <v>35</v>
      </c>
      <c r="H386" t="s">
        <v>230</v>
      </c>
      <c r="I386" t="s">
        <v>363</v>
      </c>
      <c r="J386" s="3" t="s">
        <v>80</v>
      </c>
      <c r="K386" t="s">
        <v>160</v>
      </c>
      <c r="L386" s="3" t="s">
        <v>72</v>
      </c>
      <c r="M386" s="3" t="s">
        <v>102</v>
      </c>
      <c r="N386" t="s">
        <v>103</v>
      </c>
      <c r="O386" t="s">
        <v>104</v>
      </c>
      <c r="P386" t="s">
        <v>105</v>
      </c>
      <c r="Q386" s="3">
        <v>10649.76</v>
      </c>
      <c r="R386" s="3">
        <v>10986.36</v>
      </c>
      <c r="S386" s="3">
        <v>6849.85</v>
      </c>
      <c r="T386" s="3">
        <v>705.33</v>
      </c>
      <c r="U386" s="3">
        <v>782.39</v>
      </c>
      <c r="V386" s="3">
        <v>1274.24</v>
      </c>
      <c r="W386" s="3">
        <v>354.61</v>
      </c>
      <c r="X386" s="3">
        <v>9966.43</v>
      </c>
      <c r="Y386" s="3">
        <v>3799.91</v>
      </c>
      <c r="Z386" s="3">
        <f t="shared" si="25"/>
        <v>683.32999999999993</v>
      </c>
      <c r="AA386" s="37">
        <f t="shared" si="26"/>
        <v>6.4163887261309172E-2</v>
      </c>
      <c r="AB386" s="3">
        <v>-336.6</v>
      </c>
      <c r="AC386" s="3">
        <v>319.49</v>
      </c>
      <c r="AD386" s="3">
        <v>1859.45</v>
      </c>
      <c r="AE386" s="3">
        <v>12189.72</v>
      </c>
      <c r="AF386" t="str">
        <f>IF(tbl_FinancialData[[#This Row],[City]]="","Unknown",PROPER(TRIM(tbl_FinancialData[[#This Row],[City]])))</f>
        <v>Jalandhar</v>
      </c>
      <c r="AG386" t="str">
        <f>_xlfn.LET(_xlpm.city,LOWER(TRIM(tbl_FinancialData[[#This Row],[City]])),_xlpm.st,PROPER(TRIM(tbl_FinancialData[[#This Row],[State]])),IF(_xlpm.city="pune","Maharashtra",IF(_xlpm.city="jamshedpur","Jharkhand",IF(_xlpm.city="bhilai","Chhattisgarh",IF(_xlpm.city="mumbai","Maharashtra",_xlpm.st)))))</f>
        <v>Punjab</v>
      </c>
      <c r="AH386" t="str">
        <f>_xlfn.LET(_xlpm.d,PROPER(TRIM(tbl_FinancialData[[#This Row],[Department]])),IF(_xlpm.d="It","IT",_xlpm.d))</f>
        <v>IT</v>
      </c>
      <c r="AI386" t="str">
        <f>_xlfn.LET(_xlpm.pid,tbl_FinancialData[[#This Row],[Product ID]],_xlpm.n,PROPER(TRIM(tbl_FinancialData[[#This Row],[Product Name]])),IF(_xlpm.pid="P020","Document Scanner",IF(_xlpm.pid="P015","Network Router",SUBSTITUTE(SUBSTITUTE(_xlpm.n,"Crm","CRM"),"Ups","UPS"))))</f>
        <v>Accounting Software</v>
      </c>
      <c r="AJ386" s="3" t="str">
        <f>UPPER(TRIM(tbl_FinancialData[[#This Row],[Cost Center]]))</f>
        <v>CC-1004</v>
      </c>
    </row>
    <row r="387" spans="1:36" x14ac:dyDescent="0.25">
      <c r="A387" s="3" t="s">
        <v>587</v>
      </c>
      <c r="B387" s="2">
        <v>46053</v>
      </c>
      <c r="C387" t="s">
        <v>77</v>
      </c>
      <c r="D387" s="3" t="str">
        <f t="shared" si="27"/>
        <v>Q4</v>
      </c>
      <c r="E387" s="3" t="str">
        <f t="shared" si="28"/>
        <v>FY2026</v>
      </c>
      <c r="F387" s="8" t="s">
        <v>34</v>
      </c>
      <c r="G387" s="3" t="s">
        <v>35</v>
      </c>
      <c r="H387" t="s">
        <v>98</v>
      </c>
      <c r="I387" t="s">
        <v>304</v>
      </c>
      <c r="J387" s="3" t="s">
        <v>38</v>
      </c>
      <c r="K387" t="s">
        <v>101</v>
      </c>
      <c r="L387" s="3" t="s">
        <v>51</v>
      </c>
      <c r="M387" s="3" t="s">
        <v>88</v>
      </c>
      <c r="N387" t="s">
        <v>89</v>
      </c>
      <c r="O387" t="s">
        <v>43</v>
      </c>
      <c r="P387" t="s">
        <v>90</v>
      </c>
      <c r="Q387" s="3">
        <v>17231.2</v>
      </c>
      <c r="R387" s="3">
        <v>15436.53</v>
      </c>
      <c r="S387" s="3">
        <v>10859.13</v>
      </c>
      <c r="T387" s="3">
        <v>936.7</v>
      </c>
      <c r="U387" s="3">
        <v>1367.62</v>
      </c>
      <c r="V387" s="3">
        <v>1394.95</v>
      </c>
      <c r="W387" s="3">
        <v>490.15</v>
      </c>
      <c r="X387" s="3">
        <v>15048.55</v>
      </c>
      <c r="Y387" s="3">
        <v>6372.07</v>
      </c>
      <c r="Z387" s="3">
        <f t="shared" ref="Z387:Z450" si="29">Q387-X387</f>
        <v>2182.6500000000015</v>
      </c>
      <c r="AA387" s="37">
        <f t="shared" ref="AA387:AA450" si="30">Z387/Q387</f>
        <v>0.12666848507358752</v>
      </c>
      <c r="AB387" s="3">
        <v>1794.67</v>
      </c>
      <c r="AC387" s="3">
        <v>861.56</v>
      </c>
      <c r="AD387" s="3">
        <v>818.48</v>
      </c>
      <c r="AE387" s="3">
        <v>17188.12</v>
      </c>
      <c r="AF387" t="str">
        <f>IF(tbl_FinancialData[[#This Row],[City]]="","Unknown",PROPER(TRIM(tbl_FinancialData[[#This Row],[City]])))</f>
        <v>Pune</v>
      </c>
      <c r="AG387" t="str">
        <f>_xlfn.LET(_xlpm.city,LOWER(TRIM(tbl_FinancialData[[#This Row],[City]])),_xlpm.st,PROPER(TRIM(tbl_FinancialData[[#This Row],[State]])),IF(_xlpm.city="pune","Maharashtra",IF(_xlpm.city="jamshedpur","Jharkhand",IF(_xlpm.city="bhilai","Chhattisgarh",IF(_xlpm.city="mumbai","Maharashtra",_xlpm.st)))))</f>
        <v>Maharashtra</v>
      </c>
      <c r="AH387" t="str">
        <f>_xlfn.LET(_xlpm.d,PROPER(TRIM(tbl_FinancialData[[#This Row],[Department]])),IF(_xlpm.d="It","IT",_xlpm.d))</f>
        <v>Finance</v>
      </c>
      <c r="AI387" t="str">
        <f>_xlfn.LET(_xlpm.pid,tbl_FinancialData[[#This Row],[Product ID]],_xlpm.n,PROPER(TRIM(tbl_FinancialData[[#This Row],[Product Name]])),IF(_xlpm.pid="P020","Document Scanner",IF(_xlpm.pid="P015","Network Router",SUBSTITUTE(SUBSTITUTE(_xlpm.n,"Crm","CRM"),"Ups","UPS"))))</f>
        <v>Printer</v>
      </c>
      <c r="AJ387" s="3" t="str">
        <f>UPPER(TRIM(tbl_FinancialData[[#This Row],[Cost Center]]))</f>
        <v>CC-1003</v>
      </c>
    </row>
    <row r="388" spans="1:36" x14ac:dyDescent="0.25">
      <c r="A388" s="3" t="s">
        <v>588</v>
      </c>
      <c r="B388" s="2">
        <v>45984</v>
      </c>
      <c r="C388" t="s">
        <v>147</v>
      </c>
      <c r="D388" s="3" t="str">
        <f t="shared" si="27"/>
        <v>Q3</v>
      </c>
      <c r="E388" s="3" t="str">
        <f t="shared" si="28"/>
        <v>FY2026</v>
      </c>
      <c r="F388" s="8" t="s">
        <v>47</v>
      </c>
      <c r="G388" s="3" t="s">
        <v>35</v>
      </c>
      <c r="H388" t="s">
        <v>206</v>
      </c>
      <c r="I388" t="s">
        <v>207</v>
      </c>
      <c r="J388" s="3" t="s">
        <v>80</v>
      </c>
      <c r="K388" t="s">
        <v>50</v>
      </c>
      <c r="L388" s="3" t="s">
        <v>72</v>
      </c>
      <c r="M388" s="3" t="s">
        <v>235</v>
      </c>
      <c r="N388" t="s">
        <v>236</v>
      </c>
      <c r="O388" t="s">
        <v>104</v>
      </c>
      <c r="P388" t="s">
        <v>237</v>
      </c>
      <c r="Q388" s="3">
        <v>6780.78</v>
      </c>
      <c r="R388" s="3">
        <v>7570.13</v>
      </c>
      <c r="S388" s="3">
        <v>3738.45</v>
      </c>
      <c r="T388" s="3">
        <v>412.61</v>
      </c>
      <c r="U388" s="3">
        <v>233.71</v>
      </c>
      <c r="V388" s="3">
        <v>649.55999999999995</v>
      </c>
      <c r="W388" s="3">
        <v>220.36</v>
      </c>
      <c r="X388" s="3">
        <v>5254.7</v>
      </c>
      <c r="Y388" s="3">
        <v>3042.32</v>
      </c>
      <c r="Z388" s="3">
        <f t="shared" si="29"/>
        <v>1526.08</v>
      </c>
      <c r="AA388" s="37">
        <f t="shared" si="30"/>
        <v>0.22505965390412314</v>
      </c>
      <c r="AB388" s="3">
        <v>-789.35</v>
      </c>
      <c r="AC388" s="3">
        <v>542.46</v>
      </c>
      <c r="AD388" s="3">
        <v>1122.9000000000001</v>
      </c>
      <c r="AE388" s="3">
        <v>7361.21</v>
      </c>
      <c r="AF388" t="str">
        <f>IF(tbl_FinancialData[[#This Row],[City]]="","Unknown",PROPER(TRIM(tbl_FinancialData[[#This Row],[City]])))</f>
        <v>Nizamabad</v>
      </c>
      <c r="AG388" t="str">
        <f>_xlfn.LET(_xlpm.city,LOWER(TRIM(tbl_FinancialData[[#This Row],[City]])),_xlpm.st,PROPER(TRIM(tbl_FinancialData[[#This Row],[State]])),IF(_xlpm.city="pune","Maharashtra",IF(_xlpm.city="jamshedpur","Jharkhand",IF(_xlpm.city="bhilai","Chhattisgarh",IF(_xlpm.city="mumbai","Maharashtra",_xlpm.st)))))</f>
        <v>Telangana</v>
      </c>
      <c r="AH388" t="str">
        <f>_xlfn.LET(_xlpm.d,PROPER(TRIM(tbl_FinancialData[[#This Row],[Department]])),IF(_xlpm.d="It","IT",_xlpm.d))</f>
        <v>Sales</v>
      </c>
      <c r="AI388" t="str">
        <f>_xlfn.LET(_xlpm.pid,tbl_FinancialData[[#This Row],[Product ID]],_xlpm.n,PROPER(TRIM(tbl_FinancialData[[#This Row],[Product Name]])),IF(_xlpm.pid="P020","Document Scanner",IF(_xlpm.pid="P015","Network Router",SUBSTITUTE(SUBSTITUTE(_xlpm.n,"Crm","CRM"),"Ups","UPS"))))</f>
        <v>Data Storage</v>
      </c>
      <c r="AJ388" s="3" t="str">
        <f>UPPER(TRIM(tbl_FinancialData[[#This Row],[Cost Center]]))</f>
        <v>CC-1004</v>
      </c>
    </row>
    <row r="389" spans="1:36" x14ac:dyDescent="0.25">
      <c r="A389" s="3" t="s">
        <v>589</v>
      </c>
      <c r="B389" s="2">
        <v>45950</v>
      </c>
      <c r="C389" t="s">
        <v>92</v>
      </c>
      <c r="D389" s="3" t="str">
        <f t="shared" si="27"/>
        <v>Q3</v>
      </c>
      <c r="E389" s="3" t="str">
        <f t="shared" si="28"/>
        <v>FY2026</v>
      </c>
      <c r="F389" s="8" t="s">
        <v>34</v>
      </c>
      <c r="G389" s="3" t="s">
        <v>35</v>
      </c>
      <c r="H389" t="s">
        <v>134</v>
      </c>
      <c r="I389" t="s">
        <v>176</v>
      </c>
      <c r="J389" s="3" t="s">
        <v>100</v>
      </c>
      <c r="K389" t="s">
        <v>71</v>
      </c>
      <c r="L389" s="3" t="s">
        <v>94</v>
      </c>
      <c r="M389" s="3" t="s">
        <v>221</v>
      </c>
      <c r="N389" t="s">
        <v>222</v>
      </c>
      <c r="O389" t="s">
        <v>104</v>
      </c>
      <c r="P389" t="s">
        <v>223</v>
      </c>
      <c r="Q389" s="3">
        <v>7814.7</v>
      </c>
      <c r="R389" s="3">
        <v>7820.62</v>
      </c>
      <c r="S389" s="3">
        <v>5476.62</v>
      </c>
      <c r="T389" s="3">
        <v>797.26</v>
      </c>
      <c r="U389" s="3">
        <v>241.3</v>
      </c>
      <c r="V389" s="3">
        <v>905.16</v>
      </c>
      <c r="W389" s="3">
        <v>148.87</v>
      </c>
      <c r="X389" s="3">
        <v>7569.2</v>
      </c>
      <c r="Y389" s="3">
        <v>2338.08</v>
      </c>
      <c r="Z389" s="3">
        <f t="shared" si="29"/>
        <v>245.5</v>
      </c>
      <c r="AA389" s="37">
        <f t="shared" si="30"/>
        <v>3.1415153492776432E-2</v>
      </c>
      <c r="AB389" s="3">
        <v>-5.92</v>
      </c>
      <c r="AC389" s="3">
        <v>234.44</v>
      </c>
      <c r="AD389" s="3">
        <v>909.63</v>
      </c>
      <c r="AE389" s="3">
        <v>8489.89</v>
      </c>
      <c r="AF389" t="str">
        <f>IF(tbl_FinancialData[[#This Row],[City]]="","Unknown",PROPER(TRIM(tbl_FinancialData[[#This Row],[City]])))</f>
        <v>Jaipur</v>
      </c>
      <c r="AG389" t="str">
        <f>_xlfn.LET(_xlpm.city,LOWER(TRIM(tbl_FinancialData[[#This Row],[City]])),_xlpm.st,PROPER(TRIM(tbl_FinancialData[[#This Row],[State]])),IF(_xlpm.city="pune","Maharashtra",IF(_xlpm.city="jamshedpur","Jharkhand",IF(_xlpm.city="bhilai","Chhattisgarh",IF(_xlpm.city="mumbai","Maharashtra",_xlpm.st)))))</f>
        <v>Rajasthan</v>
      </c>
      <c r="AH389" t="str">
        <f>_xlfn.LET(_xlpm.d,PROPER(TRIM(tbl_FinancialData[[#This Row],[Department]])),IF(_xlpm.d="It","IT",_xlpm.d))</f>
        <v>Marketing</v>
      </c>
      <c r="AI389" t="str">
        <f>_xlfn.LET(_xlpm.pid,tbl_FinancialData[[#This Row],[Product ID]],_xlpm.n,PROPER(TRIM(tbl_FinancialData[[#This Row],[Product Name]])),IF(_xlpm.pid="P020","Document Scanner",IF(_xlpm.pid="P015","Network Router",SUBSTITUTE(SUBSTITUTE(_xlpm.n,"Crm","CRM"),"Ups","UPS"))))</f>
        <v>Cloud Software</v>
      </c>
      <c r="AJ389" s="3" t="str">
        <f>UPPER(TRIM(tbl_FinancialData[[#This Row],[Cost Center]]))</f>
        <v>CC-1001</v>
      </c>
    </row>
    <row r="390" spans="1:36" x14ac:dyDescent="0.25">
      <c r="A390" s="3" t="s">
        <v>590</v>
      </c>
      <c r="B390" s="2">
        <v>46027</v>
      </c>
      <c r="C390" t="s">
        <v>77</v>
      </c>
      <c r="D390" s="3" t="str">
        <f t="shared" si="27"/>
        <v>Q4</v>
      </c>
      <c r="E390" s="3" t="str">
        <f t="shared" si="28"/>
        <v>FY2026</v>
      </c>
      <c r="F390" s="8" t="s">
        <v>34</v>
      </c>
      <c r="G390" s="3" t="s">
        <v>35</v>
      </c>
      <c r="H390" t="s">
        <v>157</v>
      </c>
      <c r="I390" t="s">
        <v>158</v>
      </c>
      <c r="J390" s="3" t="s">
        <v>80</v>
      </c>
      <c r="K390" t="s">
        <v>101</v>
      </c>
      <c r="L390" s="3" t="s">
        <v>51</v>
      </c>
      <c r="M390" s="3" t="s">
        <v>211</v>
      </c>
      <c r="N390" t="s">
        <v>212</v>
      </c>
      <c r="O390" t="s">
        <v>112</v>
      </c>
      <c r="P390" t="s">
        <v>113</v>
      </c>
      <c r="Q390" s="3">
        <v>30800.62</v>
      </c>
      <c r="R390" s="3">
        <v>28522.1</v>
      </c>
      <c r="S390" s="3">
        <v>17493.900000000001</v>
      </c>
      <c r="T390" s="3">
        <v>2459.9899999999998</v>
      </c>
      <c r="U390" s="3">
        <v>1073.1500000000001</v>
      </c>
      <c r="V390" s="3">
        <v>3199.45</v>
      </c>
      <c r="W390" s="3">
        <v>1070.4100000000001</v>
      </c>
      <c r="X390" s="3">
        <v>25296.9</v>
      </c>
      <c r="Y390" s="3">
        <v>13306.72</v>
      </c>
      <c r="Z390" s="3">
        <f t="shared" si="29"/>
        <v>5503.7199999999975</v>
      </c>
      <c r="AA390" s="37">
        <f t="shared" si="30"/>
        <v>0.17868861081367834</v>
      </c>
      <c r="AB390" s="3">
        <v>2278.5100000000002</v>
      </c>
      <c r="AC390" s="3">
        <v>616.01</v>
      </c>
      <c r="AD390" s="3">
        <v>3622.15</v>
      </c>
      <c r="AE390" s="3">
        <v>33806.76</v>
      </c>
      <c r="AF390" t="str">
        <f>IF(tbl_FinancialData[[#This Row],[City]]="","Unknown",PROPER(TRIM(tbl_FinancialData[[#This Row],[City]])))</f>
        <v>Ahmedabad</v>
      </c>
      <c r="AG390" t="str">
        <f>_xlfn.LET(_xlpm.city,LOWER(TRIM(tbl_FinancialData[[#This Row],[City]])),_xlpm.st,PROPER(TRIM(tbl_FinancialData[[#This Row],[State]])),IF(_xlpm.city="pune","Maharashtra",IF(_xlpm.city="jamshedpur","Jharkhand",IF(_xlpm.city="bhilai","Chhattisgarh",IF(_xlpm.city="mumbai","Maharashtra",_xlpm.st)))))</f>
        <v>Gujarat</v>
      </c>
      <c r="AH390" t="str">
        <f>_xlfn.LET(_xlpm.d,PROPER(TRIM(tbl_FinancialData[[#This Row],[Department]])),IF(_xlpm.d="It","IT",_xlpm.d))</f>
        <v>Finance</v>
      </c>
      <c r="AI390" t="str">
        <f>_xlfn.LET(_xlpm.pid,tbl_FinancialData[[#This Row],[Product ID]],_xlpm.n,PROPER(TRIM(tbl_FinancialData[[#This Row],[Product Name]])),IF(_xlpm.pid="P020","Document Scanner",IF(_xlpm.pid="P015","Network Router",SUBSTITUTE(SUBSTITUTE(_xlpm.n,"Crm","CRM"),"Ups","UPS"))))</f>
        <v>Office Chair</v>
      </c>
      <c r="AJ390" s="3" t="str">
        <f>UPPER(TRIM(tbl_FinancialData[[#This Row],[Cost Center]]))</f>
        <v>CC-1003</v>
      </c>
    </row>
    <row r="391" spans="1:36" x14ac:dyDescent="0.25">
      <c r="A391" s="3" t="s">
        <v>591</v>
      </c>
      <c r="B391" s="2">
        <v>45800</v>
      </c>
      <c r="C391" t="s">
        <v>65</v>
      </c>
      <c r="D391" s="3" t="str">
        <f t="shared" si="27"/>
        <v>Q1</v>
      </c>
      <c r="E391" s="3" t="str">
        <f t="shared" si="28"/>
        <v>FY2026</v>
      </c>
      <c r="F391" s="8" t="s">
        <v>59</v>
      </c>
      <c r="G391" s="3" t="s">
        <v>35</v>
      </c>
      <c r="H391" t="s">
        <v>60</v>
      </c>
      <c r="I391" t="s">
        <v>185</v>
      </c>
      <c r="J391" s="3" t="s">
        <v>100</v>
      </c>
      <c r="K391" t="s">
        <v>50</v>
      </c>
      <c r="L391" s="3" t="s">
        <v>94</v>
      </c>
      <c r="M391" s="3" t="s">
        <v>161</v>
      </c>
      <c r="N391" t="s">
        <v>162</v>
      </c>
      <c r="O391" t="s">
        <v>43</v>
      </c>
      <c r="P391" t="s">
        <v>163</v>
      </c>
      <c r="Q391" s="3">
        <v>30986</v>
      </c>
      <c r="R391" s="3">
        <v>31926.39</v>
      </c>
      <c r="S391" s="3">
        <v>17727.259999999998</v>
      </c>
      <c r="T391" s="3">
        <v>3958.97</v>
      </c>
      <c r="U391" s="3">
        <v>1095.21</v>
      </c>
      <c r="V391" s="3">
        <v>2117.35</v>
      </c>
      <c r="W391" s="3">
        <v>764.79</v>
      </c>
      <c r="X391" s="3">
        <v>25663.58</v>
      </c>
      <c r="Y391" s="3">
        <v>13258.74</v>
      </c>
      <c r="Z391" s="3">
        <f t="shared" si="29"/>
        <v>5322.4199999999983</v>
      </c>
      <c r="AA391" s="37">
        <f t="shared" si="30"/>
        <v>0.17176854063125277</v>
      </c>
      <c r="AB391" s="3">
        <v>-940.39</v>
      </c>
      <c r="AC391" s="3">
        <v>929.58</v>
      </c>
      <c r="AD391" s="3">
        <v>5410.16</v>
      </c>
      <c r="AE391" s="3">
        <v>35466.58</v>
      </c>
      <c r="AF391" t="str">
        <f>IF(tbl_FinancialData[[#This Row],[City]]="","Unknown",PROPER(TRIM(tbl_FinancialData[[#This Row],[City]])))</f>
        <v>Kanpur</v>
      </c>
      <c r="AG391" t="str">
        <f>_xlfn.LET(_xlpm.city,LOWER(TRIM(tbl_FinancialData[[#This Row],[City]])),_xlpm.st,PROPER(TRIM(tbl_FinancialData[[#This Row],[State]])),IF(_xlpm.city="pune","Maharashtra",IF(_xlpm.city="jamshedpur","Jharkhand",IF(_xlpm.city="bhilai","Chhattisgarh",IF(_xlpm.city="mumbai","Maharashtra",_xlpm.st)))))</f>
        <v>Uttar Pradesh</v>
      </c>
      <c r="AH391" t="str">
        <f>_xlfn.LET(_xlpm.d,PROPER(TRIM(tbl_FinancialData[[#This Row],[Department]])),IF(_xlpm.d="It","IT",_xlpm.d))</f>
        <v>Sales</v>
      </c>
      <c r="AI391" t="str">
        <f>_xlfn.LET(_xlpm.pid,tbl_FinancialData[[#This Row],[Product ID]],_xlpm.n,PROPER(TRIM(tbl_FinancialData[[#This Row],[Product Name]])),IF(_xlpm.pid="P020","Document Scanner",IF(_xlpm.pid="P015","Network Router",SUBSTITUTE(SUBSTITUTE(_xlpm.n,"Crm","CRM"),"Ups","UPS"))))</f>
        <v>Tablet</v>
      </c>
      <c r="AJ391" s="3" t="str">
        <f>UPPER(TRIM(tbl_FinancialData[[#This Row],[Cost Center]]))</f>
        <v>CC-1001</v>
      </c>
    </row>
    <row r="392" spans="1:36" x14ac:dyDescent="0.25">
      <c r="A392" s="3" t="s">
        <v>592</v>
      </c>
      <c r="B392" s="2">
        <v>46037</v>
      </c>
      <c r="C392" t="s">
        <v>77</v>
      </c>
      <c r="D392" s="3" t="str">
        <f t="shared" si="27"/>
        <v>Q4</v>
      </c>
      <c r="E392" s="3" t="str">
        <f t="shared" si="28"/>
        <v>FY2026</v>
      </c>
      <c r="F392" s="8" t="s">
        <v>67</v>
      </c>
      <c r="G392" s="3" t="s">
        <v>35</v>
      </c>
      <c r="H392" t="s">
        <v>68</v>
      </c>
      <c r="I392" t="s">
        <v>69</v>
      </c>
      <c r="J392" s="3" t="s">
        <v>38</v>
      </c>
      <c r="K392" t="s">
        <v>101</v>
      </c>
      <c r="L392" s="3" t="s">
        <v>94</v>
      </c>
      <c r="M392" s="3" t="s">
        <v>171</v>
      </c>
      <c r="N392" t="s">
        <v>172</v>
      </c>
      <c r="O392" t="s">
        <v>173</v>
      </c>
      <c r="P392" t="s">
        <v>174</v>
      </c>
      <c r="Q392" s="3">
        <v>9265.6299999999992</v>
      </c>
      <c r="R392" s="3">
        <v>8407.89</v>
      </c>
      <c r="S392" s="3">
        <v>5685.77</v>
      </c>
      <c r="T392" s="3">
        <v>1124.3800000000001</v>
      </c>
      <c r="U392" s="3">
        <v>404.59</v>
      </c>
      <c r="V392" s="3">
        <v>613.57000000000005</v>
      </c>
      <c r="W392" s="3">
        <v>130.15</v>
      </c>
      <c r="X392" s="3">
        <v>7958.46</v>
      </c>
      <c r="Y392" s="3">
        <v>3579.86</v>
      </c>
      <c r="Z392" s="3">
        <f t="shared" si="29"/>
        <v>1307.1699999999992</v>
      </c>
      <c r="AA392" s="37">
        <f t="shared" si="30"/>
        <v>0.1410772931792009</v>
      </c>
      <c r="AB392" s="3">
        <v>857.74</v>
      </c>
      <c r="AC392" s="3">
        <v>277.97000000000003</v>
      </c>
      <c r="AD392" s="3">
        <v>449.38</v>
      </c>
      <c r="AE392" s="3">
        <v>9437.0499999999993</v>
      </c>
      <c r="AF392" t="str">
        <f>IF(tbl_FinancialData[[#This Row],[City]]="","Unknown",PROPER(TRIM(tbl_FinancialData[[#This Row],[City]])))</f>
        <v>Bhubaneswar</v>
      </c>
      <c r="AG392" t="str">
        <f>_xlfn.LET(_xlpm.city,LOWER(TRIM(tbl_FinancialData[[#This Row],[City]])),_xlpm.st,PROPER(TRIM(tbl_FinancialData[[#This Row],[State]])),IF(_xlpm.city="pune","Maharashtra",IF(_xlpm.city="jamshedpur","Jharkhand",IF(_xlpm.city="bhilai","Chhattisgarh",IF(_xlpm.city="mumbai","Maharashtra",_xlpm.st)))))</f>
        <v>Odisha</v>
      </c>
      <c r="AH392" t="str">
        <f>_xlfn.LET(_xlpm.d,PROPER(TRIM(tbl_FinancialData[[#This Row],[Department]])),IF(_xlpm.d="It","IT",_xlpm.d))</f>
        <v>Finance</v>
      </c>
      <c r="AI392" t="str">
        <f>_xlfn.LET(_xlpm.pid,tbl_FinancialData[[#This Row],[Product ID]],_xlpm.n,PROPER(TRIM(tbl_FinancialData[[#This Row],[Product Name]])),IF(_xlpm.pid="P020","Document Scanner",IF(_xlpm.pid="P015","Network Router",SUBSTITUTE(SUBSTITUTE(_xlpm.n,"Crm","CRM"),"Ups","UPS"))))</f>
        <v>Network Switch</v>
      </c>
      <c r="AJ392" s="3" t="str">
        <f>UPPER(TRIM(tbl_FinancialData[[#This Row],[Cost Center]]))</f>
        <v>CC-1001</v>
      </c>
    </row>
    <row r="393" spans="1:36" x14ac:dyDescent="0.25">
      <c r="A393" s="3" t="s">
        <v>593</v>
      </c>
      <c r="B393" s="2">
        <v>46031</v>
      </c>
      <c r="C393" t="s">
        <v>77</v>
      </c>
      <c r="D393" s="3" t="str">
        <f t="shared" si="27"/>
        <v>Q4</v>
      </c>
      <c r="E393" s="3" t="str">
        <f t="shared" si="28"/>
        <v>FY2026</v>
      </c>
      <c r="F393" s="8" t="s">
        <v>34</v>
      </c>
      <c r="G393" s="3" t="s">
        <v>35</v>
      </c>
      <c r="H393" t="s">
        <v>36</v>
      </c>
      <c r="I393" t="s">
        <v>245</v>
      </c>
      <c r="J393" s="3" t="s">
        <v>80</v>
      </c>
      <c r="K393" t="s">
        <v>160</v>
      </c>
      <c r="L393" s="3" t="s">
        <v>51</v>
      </c>
      <c r="M393" s="3" t="s">
        <v>88</v>
      </c>
      <c r="N393" t="s">
        <v>89</v>
      </c>
      <c r="O393" t="s">
        <v>43</v>
      </c>
      <c r="P393" t="s">
        <v>90</v>
      </c>
      <c r="Q393" s="3">
        <v>27690.94</v>
      </c>
      <c r="R393" s="3">
        <v>31869.74</v>
      </c>
      <c r="S393" s="3">
        <v>13629.62</v>
      </c>
      <c r="T393" s="3">
        <v>3297.56</v>
      </c>
      <c r="U393" s="3">
        <v>1305.95</v>
      </c>
      <c r="V393" s="3">
        <v>3100.31</v>
      </c>
      <c r="W393" s="3">
        <v>1188.79</v>
      </c>
      <c r="X393" s="3">
        <v>22522.23</v>
      </c>
      <c r="Y393" s="3">
        <v>14061.33</v>
      </c>
      <c r="Z393" s="3">
        <f t="shared" si="29"/>
        <v>5168.7099999999991</v>
      </c>
      <c r="AA393" s="37">
        <f t="shared" si="30"/>
        <v>0.18665707989689043</v>
      </c>
      <c r="AB393" s="3">
        <v>-4178.79</v>
      </c>
      <c r="AC393" s="3">
        <v>1384.55</v>
      </c>
      <c r="AD393" s="3">
        <v>4735.1499999999996</v>
      </c>
      <c r="AE393" s="3">
        <v>31041.55</v>
      </c>
      <c r="AF393" t="str">
        <f>IF(tbl_FinancialData[[#This Row],[City]]="","Unknown",PROPER(TRIM(tbl_FinancialData[[#This Row],[City]])))</f>
        <v>Margao</v>
      </c>
      <c r="AG393" t="str">
        <f>_xlfn.LET(_xlpm.city,LOWER(TRIM(tbl_FinancialData[[#This Row],[City]])),_xlpm.st,PROPER(TRIM(tbl_FinancialData[[#This Row],[State]])),IF(_xlpm.city="pune","Maharashtra",IF(_xlpm.city="jamshedpur","Jharkhand",IF(_xlpm.city="bhilai","Chhattisgarh",IF(_xlpm.city="mumbai","Maharashtra",_xlpm.st)))))</f>
        <v>Goa</v>
      </c>
      <c r="AH393" t="str">
        <f>_xlfn.LET(_xlpm.d,PROPER(TRIM(tbl_FinancialData[[#This Row],[Department]])),IF(_xlpm.d="It","IT",_xlpm.d))</f>
        <v>IT</v>
      </c>
      <c r="AI393" t="str">
        <f>_xlfn.LET(_xlpm.pid,tbl_FinancialData[[#This Row],[Product ID]],_xlpm.n,PROPER(TRIM(tbl_FinancialData[[#This Row],[Product Name]])),IF(_xlpm.pid="P020","Document Scanner",IF(_xlpm.pid="P015","Network Router",SUBSTITUTE(SUBSTITUTE(_xlpm.n,"Crm","CRM"),"Ups","UPS"))))</f>
        <v>Printer</v>
      </c>
      <c r="AJ393" s="3" t="str">
        <f>UPPER(TRIM(tbl_FinancialData[[#This Row],[Cost Center]]))</f>
        <v>CC-1003</v>
      </c>
    </row>
    <row r="394" spans="1:36" x14ac:dyDescent="0.25">
      <c r="A394" s="3" t="s">
        <v>594</v>
      </c>
      <c r="B394" s="2">
        <v>46096</v>
      </c>
      <c r="C394" t="s">
        <v>125</v>
      </c>
      <c r="D394" s="3" t="str">
        <f t="shared" si="27"/>
        <v>Q4</v>
      </c>
      <c r="E394" s="3" t="str">
        <f t="shared" si="28"/>
        <v>FY2026</v>
      </c>
      <c r="F394" s="8" t="s">
        <v>67</v>
      </c>
      <c r="G394" s="3" t="s">
        <v>35</v>
      </c>
      <c r="H394" t="s">
        <v>68</v>
      </c>
      <c r="I394" t="s">
        <v>260</v>
      </c>
      <c r="J394" s="3" t="s">
        <v>38</v>
      </c>
      <c r="K394" t="s">
        <v>50</v>
      </c>
      <c r="L394" s="3" t="s">
        <v>72</v>
      </c>
      <c r="M394" s="3" t="s">
        <v>82</v>
      </c>
      <c r="N394" t="s">
        <v>83</v>
      </c>
      <c r="O394" t="s">
        <v>43</v>
      </c>
      <c r="P394" t="s">
        <v>75</v>
      </c>
      <c r="Q394" s="3">
        <v>49983.16</v>
      </c>
      <c r="R394" s="3">
        <v>56384.02</v>
      </c>
      <c r="S394" s="3">
        <v>30741.51</v>
      </c>
      <c r="T394" s="3">
        <v>5546.88</v>
      </c>
      <c r="U394" s="3">
        <v>3568.02</v>
      </c>
      <c r="V394" s="3">
        <v>2829.09</v>
      </c>
      <c r="W394" s="3">
        <v>1494.92</v>
      </c>
      <c r="X394" s="3">
        <v>44180.42</v>
      </c>
      <c r="Y394" s="3">
        <v>19241.650000000001</v>
      </c>
      <c r="Z394" s="3">
        <f t="shared" si="29"/>
        <v>5802.7400000000052</v>
      </c>
      <c r="AA394" s="37">
        <f t="shared" si="30"/>
        <v>0.11609390042566346</v>
      </c>
      <c r="AB394" s="3">
        <v>-6400.86</v>
      </c>
      <c r="AC394" s="3">
        <v>3998.65</v>
      </c>
      <c r="AD394" s="3">
        <v>5518.14</v>
      </c>
      <c r="AE394" s="3">
        <v>51502.65</v>
      </c>
      <c r="AF394" t="str">
        <f>IF(tbl_FinancialData[[#This Row],[City]]="","Unknown",PROPER(TRIM(tbl_FinancialData[[#This Row],[City]])))</f>
        <v>Rourkela</v>
      </c>
      <c r="AG394" t="str">
        <f>_xlfn.LET(_xlpm.city,LOWER(TRIM(tbl_FinancialData[[#This Row],[City]])),_xlpm.st,PROPER(TRIM(tbl_FinancialData[[#This Row],[State]])),IF(_xlpm.city="pune","Maharashtra",IF(_xlpm.city="jamshedpur","Jharkhand",IF(_xlpm.city="bhilai","Chhattisgarh",IF(_xlpm.city="mumbai","Maharashtra",_xlpm.st)))))</f>
        <v>Odisha</v>
      </c>
      <c r="AH394" t="str">
        <f>_xlfn.LET(_xlpm.d,PROPER(TRIM(tbl_FinancialData[[#This Row],[Department]])),IF(_xlpm.d="It","IT",_xlpm.d))</f>
        <v>Sales</v>
      </c>
      <c r="AI394" t="str">
        <f>_xlfn.LET(_xlpm.pid,tbl_FinancialData[[#This Row],[Product ID]],_xlpm.n,PROPER(TRIM(tbl_FinancialData[[#This Row],[Product Name]])),IF(_xlpm.pid="P020","Document Scanner",IF(_xlpm.pid="P015","Network Router",SUBSTITUTE(SUBSTITUTE(_xlpm.n,"Crm","CRM"),"Ups","UPS"))))</f>
        <v>Business Laptop</v>
      </c>
      <c r="AJ394" s="3" t="str">
        <f>UPPER(TRIM(tbl_FinancialData[[#This Row],[Cost Center]]))</f>
        <v>CC-1004</v>
      </c>
    </row>
    <row r="395" spans="1:36" x14ac:dyDescent="0.25">
      <c r="A395" s="3" t="s">
        <v>595</v>
      </c>
      <c r="B395" s="2">
        <v>45804</v>
      </c>
      <c r="C395" t="s">
        <v>65</v>
      </c>
      <c r="D395" s="3" t="str">
        <f t="shared" si="27"/>
        <v>Q1</v>
      </c>
      <c r="E395" s="3" t="str">
        <f t="shared" si="28"/>
        <v>FY2026</v>
      </c>
      <c r="F395" s="8" t="s">
        <v>59</v>
      </c>
      <c r="G395" s="3" t="s">
        <v>35</v>
      </c>
      <c r="H395" t="s">
        <v>254</v>
      </c>
      <c r="I395" t="s">
        <v>255</v>
      </c>
      <c r="J395" s="3" t="s">
        <v>70</v>
      </c>
      <c r="K395" t="s">
        <v>160</v>
      </c>
      <c r="L395" s="3" t="s">
        <v>81</v>
      </c>
      <c r="M395" s="3" t="s">
        <v>95</v>
      </c>
      <c r="N395" t="s">
        <v>96</v>
      </c>
      <c r="O395" t="s">
        <v>43</v>
      </c>
      <c r="P395" t="s">
        <v>90</v>
      </c>
      <c r="Q395" s="3">
        <v>47075.13</v>
      </c>
      <c r="R395" s="3">
        <v>50917.2</v>
      </c>
      <c r="S395" s="3">
        <v>30529.05</v>
      </c>
      <c r="T395" s="3">
        <v>3753.68</v>
      </c>
      <c r="U395" s="3">
        <v>1231.08</v>
      </c>
      <c r="V395" s="3">
        <v>4531.26</v>
      </c>
      <c r="W395" s="3">
        <v>506.5</v>
      </c>
      <c r="X395" s="3">
        <v>40551.58</v>
      </c>
      <c r="Y395" s="3">
        <v>16546.080000000002</v>
      </c>
      <c r="Z395" s="3">
        <f t="shared" si="29"/>
        <v>6523.5499999999956</v>
      </c>
      <c r="AA395" s="37">
        <f t="shared" si="30"/>
        <v>0.13857741869220533</v>
      </c>
      <c r="AB395" s="3">
        <v>-3842.07</v>
      </c>
      <c r="AC395" s="3">
        <v>2353.7600000000002</v>
      </c>
      <c r="AD395" s="3">
        <v>2236.0700000000002</v>
      </c>
      <c r="AE395" s="3">
        <v>46957.440000000002</v>
      </c>
      <c r="AF395" t="str">
        <f>IF(tbl_FinancialData[[#This Row],[City]]="","Unknown",PROPER(TRIM(tbl_FinancialData[[#This Row],[City]])))</f>
        <v>Noida</v>
      </c>
      <c r="AG395" t="str">
        <f>_xlfn.LET(_xlpm.city,LOWER(TRIM(tbl_FinancialData[[#This Row],[City]])),_xlpm.st,PROPER(TRIM(tbl_FinancialData[[#This Row],[State]])),IF(_xlpm.city="pune","Maharashtra",IF(_xlpm.city="jamshedpur","Jharkhand",IF(_xlpm.city="bhilai","Chhattisgarh",IF(_xlpm.city="mumbai","Maharashtra",_xlpm.st)))))</f>
        <v>Delhi</v>
      </c>
      <c r="AH395" t="str">
        <f>_xlfn.LET(_xlpm.d,PROPER(TRIM(tbl_FinancialData[[#This Row],[Department]])),IF(_xlpm.d="It","IT",_xlpm.d))</f>
        <v>IT</v>
      </c>
      <c r="AI395" t="str">
        <f>_xlfn.LET(_xlpm.pid,tbl_FinancialData[[#This Row],[Product ID]],_xlpm.n,PROPER(TRIM(tbl_FinancialData[[#This Row],[Product Name]])),IF(_xlpm.pid="P020","Document Scanner",IF(_xlpm.pid="P015","Network Router",SUBSTITUTE(SUBSTITUTE(_xlpm.n,"Crm","CRM"),"Ups","UPS"))))</f>
        <v>Document Scanner</v>
      </c>
      <c r="AJ395" s="3" t="str">
        <f>UPPER(TRIM(tbl_FinancialData[[#This Row],[Cost Center]]))</f>
        <v>CC-1005</v>
      </c>
    </row>
    <row r="396" spans="1:36" x14ac:dyDescent="0.25">
      <c r="A396" s="3" t="s">
        <v>596</v>
      </c>
      <c r="B396" s="2">
        <v>45883</v>
      </c>
      <c r="C396" t="s">
        <v>117</v>
      </c>
      <c r="D396" s="3" t="str">
        <f t="shared" si="27"/>
        <v>Q2</v>
      </c>
      <c r="E396" s="3" t="str">
        <f t="shared" si="28"/>
        <v>FY2026</v>
      </c>
      <c r="F396" s="8" t="s">
        <v>67</v>
      </c>
      <c r="G396" s="3" t="s">
        <v>35</v>
      </c>
      <c r="H396" t="s">
        <v>217</v>
      </c>
      <c r="I396" t="s">
        <v>218</v>
      </c>
      <c r="J396" s="3" t="s">
        <v>38</v>
      </c>
      <c r="K396" t="s">
        <v>39</v>
      </c>
      <c r="L396" s="3" t="s">
        <v>94</v>
      </c>
      <c r="M396" s="3" t="s">
        <v>82</v>
      </c>
      <c r="N396" t="s">
        <v>83</v>
      </c>
      <c r="O396" t="s">
        <v>43</v>
      </c>
      <c r="P396" t="s">
        <v>75</v>
      </c>
      <c r="Q396" s="3">
        <v>49139.86</v>
      </c>
      <c r="R396" s="3">
        <v>47215.14</v>
      </c>
      <c r="S396" s="3">
        <v>26860.11</v>
      </c>
      <c r="T396" s="3">
        <v>6126.42</v>
      </c>
      <c r="U396" s="3">
        <v>3539.53</v>
      </c>
      <c r="V396" s="3">
        <v>4234.62</v>
      </c>
      <c r="W396" s="3">
        <v>1605.41</v>
      </c>
      <c r="X396" s="3">
        <v>42366.09</v>
      </c>
      <c r="Y396" s="3">
        <v>22279.74</v>
      </c>
      <c r="Z396" s="3">
        <f t="shared" si="29"/>
        <v>6773.7700000000041</v>
      </c>
      <c r="AA396" s="37">
        <f t="shared" si="30"/>
        <v>0.13784675007214112</v>
      </c>
      <c r="AB396" s="3">
        <v>1924.72</v>
      </c>
      <c r="AC396" s="3">
        <v>0</v>
      </c>
      <c r="AD396" s="3">
        <v>8845.17</v>
      </c>
      <c r="AE396" s="3">
        <v>57985.03</v>
      </c>
      <c r="AF396" t="str">
        <f>IF(tbl_FinancialData[[#This Row],[City]]="","Unknown",PROPER(TRIM(tbl_FinancialData[[#This Row],[City]])))</f>
        <v>Gaya</v>
      </c>
      <c r="AG396" t="str">
        <f>_xlfn.LET(_xlpm.city,LOWER(TRIM(tbl_FinancialData[[#This Row],[City]])),_xlpm.st,PROPER(TRIM(tbl_FinancialData[[#This Row],[State]])),IF(_xlpm.city="pune","Maharashtra",IF(_xlpm.city="jamshedpur","Jharkhand",IF(_xlpm.city="bhilai","Chhattisgarh",IF(_xlpm.city="mumbai","Maharashtra",_xlpm.st)))))</f>
        <v>Bihar</v>
      </c>
      <c r="AH396" t="str">
        <f>_xlfn.LET(_xlpm.d,PROPER(TRIM(tbl_FinancialData[[#This Row],[Department]])),IF(_xlpm.d="It","IT",_xlpm.d))</f>
        <v>Operations</v>
      </c>
      <c r="AI396" t="str">
        <f>_xlfn.LET(_xlpm.pid,tbl_FinancialData[[#This Row],[Product ID]],_xlpm.n,PROPER(TRIM(tbl_FinancialData[[#This Row],[Product Name]])),IF(_xlpm.pid="P020","Document Scanner",IF(_xlpm.pid="P015","Network Router",SUBSTITUTE(SUBSTITUTE(_xlpm.n,"Crm","CRM"),"Ups","UPS"))))</f>
        <v>Business Laptop</v>
      </c>
      <c r="AJ396" s="3" t="str">
        <f>UPPER(TRIM(tbl_FinancialData[[#This Row],[Cost Center]]))</f>
        <v>CC-1001</v>
      </c>
    </row>
    <row r="397" spans="1:36" x14ac:dyDescent="0.25">
      <c r="A397" s="3" t="s">
        <v>597</v>
      </c>
      <c r="B397" s="2">
        <v>45868</v>
      </c>
      <c r="C397" t="s">
        <v>32</v>
      </c>
      <c r="D397" s="3" t="str">
        <f t="shared" si="27"/>
        <v>Q2</v>
      </c>
      <c r="E397" s="3" t="str">
        <f t="shared" si="28"/>
        <v>FY2026</v>
      </c>
      <c r="F397" s="8" t="s">
        <v>47</v>
      </c>
      <c r="G397" s="3" t="s">
        <v>35</v>
      </c>
      <c r="H397" t="s">
        <v>78</v>
      </c>
      <c r="I397" t="s">
        <v>79</v>
      </c>
      <c r="J397" s="3" t="s">
        <v>70</v>
      </c>
      <c r="K397" t="s">
        <v>50</v>
      </c>
      <c r="L397" s="3" t="s">
        <v>40</v>
      </c>
      <c r="M397" s="3" t="s">
        <v>62</v>
      </c>
      <c r="N397" t="s">
        <v>63</v>
      </c>
      <c r="O397" t="s">
        <v>54</v>
      </c>
      <c r="P397" t="s">
        <v>55</v>
      </c>
      <c r="Q397" s="3">
        <v>8574.6200000000008</v>
      </c>
      <c r="R397" s="3">
        <v>8746.16</v>
      </c>
      <c r="S397" s="3">
        <v>4224.29</v>
      </c>
      <c r="T397" s="3">
        <v>454.5</v>
      </c>
      <c r="U397" s="3">
        <v>614.09</v>
      </c>
      <c r="V397" s="3">
        <v>712.1</v>
      </c>
      <c r="W397" s="3">
        <v>238.41</v>
      </c>
      <c r="X397" s="3">
        <v>6243.39</v>
      </c>
      <c r="Y397" s="3">
        <v>4350.33</v>
      </c>
      <c r="Z397" s="3">
        <f t="shared" si="29"/>
        <v>2331.2300000000005</v>
      </c>
      <c r="AA397" s="37">
        <f t="shared" si="30"/>
        <v>0.271875604983078</v>
      </c>
      <c r="AB397" s="3">
        <v>-171.53</v>
      </c>
      <c r="AC397" s="3">
        <v>171.49</v>
      </c>
      <c r="AD397" s="3">
        <v>1512.56</v>
      </c>
      <c r="AE397" s="3">
        <v>9915.69</v>
      </c>
      <c r="AF397" t="str">
        <f>IF(tbl_FinancialData[[#This Row],[City]]="","Unknown",PROPER(TRIM(tbl_FinancialData[[#This Row],[City]])))</f>
        <v>Kochi</v>
      </c>
      <c r="AG397" t="str">
        <f>_xlfn.LET(_xlpm.city,LOWER(TRIM(tbl_FinancialData[[#This Row],[City]])),_xlpm.st,PROPER(TRIM(tbl_FinancialData[[#This Row],[State]])),IF(_xlpm.city="pune","Maharashtra",IF(_xlpm.city="jamshedpur","Jharkhand",IF(_xlpm.city="bhilai","Chhattisgarh",IF(_xlpm.city="mumbai","Maharashtra",_xlpm.st)))))</f>
        <v>Kerala</v>
      </c>
      <c r="AH397" t="str">
        <f>_xlfn.LET(_xlpm.d,PROPER(TRIM(tbl_FinancialData[[#This Row],[Department]])),IF(_xlpm.d="It","IT",_xlpm.d))</f>
        <v>Sales</v>
      </c>
      <c r="AI397" t="str">
        <f>_xlfn.LET(_xlpm.pid,tbl_FinancialData[[#This Row],[Product ID]],_xlpm.n,PROPER(TRIM(tbl_FinancialData[[#This Row],[Product Name]])),IF(_xlpm.pid="P020","Document Scanner",IF(_xlpm.pid="P015","Network Router",SUBSTITUTE(SUBSTITUTE(_xlpm.n,"Crm","CRM"),"Ups","UPS"))))</f>
        <v>Keyboard</v>
      </c>
      <c r="AJ397" s="3" t="str">
        <f>UPPER(TRIM(tbl_FinancialData[[#This Row],[Cost Center]]))</f>
        <v>CC-1002</v>
      </c>
    </row>
    <row r="398" spans="1:36" x14ac:dyDescent="0.25">
      <c r="A398" s="3" t="s">
        <v>598</v>
      </c>
      <c r="B398" s="2">
        <v>46107</v>
      </c>
      <c r="C398" t="s">
        <v>125</v>
      </c>
      <c r="D398" s="3" t="str">
        <f t="shared" si="27"/>
        <v>Q4</v>
      </c>
      <c r="E398" s="3" t="str">
        <f t="shared" si="28"/>
        <v>FY2026</v>
      </c>
      <c r="F398" s="8" t="s">
        <v>67</v>
      </c>
      <c r="G398" s="3" t="s">
        <v>35</v>
      </c>
      <c r="H398" t="s">
        <v>68</v>
      </c>
      <c r="I398" t="s">
        <v>69</v>
      </c>
      <c r="J398" s="3" t="s">
        <v>100</v>
      </c>
      <c r="K398" t="s">
        <v>39</v>
      </c>
      <c r="L398" s="3" t="s">
        <v>51</v>
      </c>
      <c r="M398" s="3" t="s">
        <v>189</v>
      </c>
      <c r="N398" t="s">
        <v>190</v>
      </c>
      <c r="O398" t="s">
        <v>104</v>
      </c>
      <c r="P398" t="s">
        <v>105</v>
      </c>
      <c r="Q398" s="3">
        <v>23141.5</v>
      </c>
      <c r="R398" s="3">
        <v>25958.5</v>
      </c>
      <c r="S398" s="3">
        <v>15691.32</v>
      </c>
      <c r="T398" s="3">
        <v>2764.4</v>
      </c>
      <c r="U398" s="3">
        <v>1201.47</v>
      </c>
      <c r="V398" s="3">
        <v>2217.63</v>
      </c>
      <c r="W398" s="3">
        <v>448.69</v>
      </c>
      <c r="X398" s="3">
        <v>22323.51</v>
      </c>
      <c r="Y398" s="3">
        <v>7450.18</v>
      </c>
      <c r="Z398" s="3">
        <f t="shared" si="29"/>
        <v>817.9900000000016</v>
      </c>
      <c r="AA398" s="37">
        <f t="shared" si="30"/>
        <v>3.5347319750232337E-2</v>
      </c>
      <c r="AB398" s="3">
        <v>-2817</v>
      </c>
      <c r="AC398" s="3">
        <v>2314.15</v>
      </c>
      <c r="AD398" s="3">
        <v>1041.3699999999999</v>
      </c>
      <c r="AE398" s="3">
        <v>21868.720000000001</v>
      </c>
      <c r="AF398" t="str">
        <f>IF(tbl_FinancialData[[#This Row],[City]]="","Unknown",PROPER(TRIM(tbl_FinancialData[[#This Row],[City]])))</f>
        <v>Bhubaneswar</v>
      </c>
      <c r="AG398" t="str">
        <f>_xlfn.LET(_xlpm.city,LOWER(TRIM(tbl_FinancialData[[#This Row],[City]])),_xlpm.st,PROPER(TRIM(tbl_FinancialData[[#This Row],[State]])),IF(_xlpm.city="pune","Maharashtra",IF(_xlpm.city="jamshedpur","Jharkhand",IF(_xlpm.city="bhilai","Chhattisgarh",IF(_xlpm.city="mumbai","Maharashtra",_xlpm.st)))))</f>
        <v>Odisha</v>
      </c>
      <c r="AH398" t="str">
        <f>_xlfn.LET(_xlpm.d,PROPER(TRIM(tbl_FinancialData[[#This Row],[Department]])),IF(_xlpm.d="It","IT",_xlpm.d))</f>
        <v>Operations</v>
      </c>
      <c r="AI398" t="str">
        <f>_xlfn.LET(_xlpm.pid,tbl_FinancialData[[#This Row],[Product ID]],_xlpm.n,PROPER(TRIM(tbl_FinancialData[[#This Row],[Product Name]])),IF(_xlpm.pid="P020","Document Scanner",IF(_xlpm.pid="P015","Network Router",SUBSTITUTE(SUBSTITUTE(_xlpm.n,"Crm","CRM"),"Ups","UPS"))))</f>
        <v>CRM Software</v>
      </c>
      <c r="AJ398" s="3" t="str">
        <f>UPPER(TRIM(tbl_FinancialData[[#This Row],[Cost Center]]))</f>
        <v>CC-1003</v>
      </c>
    </row>
    <row r="399" spans="1:36" x14ac:dyDescent="0.25">
      <c r="A399" s="3" t="s">
        <v>599</v>
      </c>
      <c r="B399" s="2">
        <v>45754</v>
      </c>
      <c r="C399" t="s">
        <v>128</v>
      </c>
      <c r="D399" s="3" t="str">
        <f t="shared" si="27"/>
        <v>Q1</v>
      </c>
      <c r="E399" s="3" t="str">
        <f t="shared" si="28"/>
        <v>FY2026</v>
      </c>
      <c r="F399" s="8" t="s">
        <v>59</v>
      </c>
      <c r="G399" s="3" t="s">
        <v>35</v>
      </c>
      <c r="H399" t="s">
        <v>139</v>
      </c>
      <c r="I399" t="s">
        <v>152</v>
      </c>
      <c r="J399" s="3" t="s">
        <v>100</v>
      </c>
      <c r="K399" t="s">
        <v>101</v>
      </c>
      <c r="L399" s="3" t="s">
        <v>40</v>
      </c>
      <c r="M399" s="3" t="s">
        <v>141</v>
      </c>
      <c r="N399" t="s">
        <v>142</v>
      </c>
      <c r="O399" t="s">
        <v>54</v>
      </c>
      <c r="P399" t="s">
        <v>143</v>
      </c>
      <c r="Q399" s="3">
        <v>11259.34</v>
      </c>
      <c r="R399" s="3">
        <v>10959.37</v>
      </c>
      <c r="S399" s="3">
        <v>5969.41</v>
      </c>
      <c r="T399" s="3">
        <v>1327.23</v>
      </c>
      <c r="U399" s="3">
        <v>944.56</v>
      </c>
      <c r="V399" s="3">
        <v>938.22</v>
      </c>
      <c r="W399" s="3">
        <v>360.63</v>
      </c>
      <c r="X399" s="3">
        <v>9540.0499999999993</v>
      </c>
      <c r="Y399" s="3">
        <v>5289.93</v>
      </c>
      <c r="Z399" s="3">
        <f t="shared" si="29"/>
        <v>1719.2900000000009</v>
      </c>
      <c r="AA399" s="37">
        <f t="shared" si="30"/>
        <v>0.15269900367161848</v>
      </c>
      <c r="AB399" s="3">
        <v>299.97000000000003</v>
      </c>
      <c r="AC399" s="3">
        <v>225.19</v>
      </c>
      <c r="AD399" s="3">
        <v>1986.15</v>
      </c>
      <c r="AE399" s="3">
        <v>13020.3</v>
      </c>
      <c r="AF399" t="str">
        <f>IF(tbl_FinancialData[[#This Row],[City]]="","Unknown",PROPER(TRIM(tbl_FinancialData[[#This Row],[City]])))</f>
        <v>Panipat</v>
      </c>
      <c r="AG399" t="str">
        <f>_xlfn.LET(_xlpm.city,LOWER(TRIM(tbl_FinancialData[[#This Row],[City]])),_xlpm.st,PROPER(TRIM(tbl_FinancialData[[#This Row],[State]])),IF(_xlpm.city="pune","Maharashtra",IF(_xlpm.city="jamshedpur","Jharkhand",IF(_xlpm.city="bhilai","Chhattisgarh",IF(_xlpm.city="mumbai","Maharashtra",_xlpm.st)))))</f>
        <v>Haryana</v>
      </c>
      <c r="AH399" t="str">
        <f>_xlfn.LET(_xlpm.d,PROPER(TRIM(tbl_FinancialData[[#This Row],[Department]])),IF(_xlpm.d="It","IT",_xlpm.d))</f>
        <v>Finance</v>
      </c>
      <c r="AI399" t="str">
        <f>_xlfn.LET(_xlpm.pid,tbl_FinancialData[[#This Row],[Product ID]],_xlpm.n,PROPER(TRIM(tbl_FinancialData[[#This Row],[Product Name]])),IF(_xlpm.pid="P020","Document Scanner",IF(_xlpm.pid="P015","Network Router",SUBSTITUTE(SUBSTITUTE(_xlpm.n,"Crm","CRM"),"Ups","UPS"))))</f>
        <v>Headset</v>
      </c>
      <c r="AJ399" s="3" t="str">
        <f>UPPER(TRIM(tbl_FinancialData[[#This Row],[Cost Center]]))</f>
        <v>CC-1002</v>
      </c>
    </row>
    <row r="400" spans="1:36" x14ac:dyDescent="0.25">
      <c r="A400" s="3" t="s">
        <v>600</v>
      </c>
      <c r="B400" s="2">
        <v>45890</v>
      </c>
      <c r="C400" t="s">
        <v>117</v>
      </c>
      <c r="D400" s="3" t="str">
        <f t="shared" si="27"/>
        <v>Q2</v>
      </c>
      <c r="E400" s="3" t="str">
        <f t="shared" si="28"/>
        <v>FY2026</v>
      </c>
      <c r="F400" s="8" t="s">
        <v>59</v>
      </c>
      <c r="G400" s="3" t="s">
        <v>35</v>
      </c>
      <c r="H400" t="s">
        <v>139</v>
      </c>
      <c r="I400" t="s">
        <v>200</v>
      </c>
      <c r="J400" s="3" t="s">
        <v>38</v>
      </c>
      <c r="K400" t="s">
        <v>160</v>
      </c>
      <c r="L400" s="3" t="s">
        <v>81</v>
      </c>
      <c r="M400" s="3" t="s">
        <v>62</v>
      </c>
      <c r="N400" t="s">
        <v>63</v>
      </c>
      <c r="O400" t="s">
        <v>54</v>
      </c>
      <c r="P400" t="s">
        <v>55</v>
      </c>
      <c r="Q400" s="3">
        <v>3010.68</v>
      </c>
      <c r="R400" s="3">
        <v>3261.28</v>
      </c>
      <c r="S400" s="3">
        <v>1825.03</v>
      </c>
      <c r="T400" s="3">
        <v>323.49</v>
      </c>
      <c r="U400" s="3">
        <v>189.05</v>
      </c>
      <c r="V400" s="3">
        <v>348.7</v>
      </c>
      <c r="W400" s="3">
        <v>35.770000000000003</v>
      </c>
      <c r="X400" s="3">
        <v>2722.04</v>
      </c>
      <c r="Y400" s="3">
        <v>1185.6500000000001</v>
      </c>
      <c r="Z400" s="3">
        <f t="shared" si="29"/>
        <v>288.63999999999987</v>
      </c>
      <c r="AA400" s="37">
        <f t="shared" si="30"/>
        <v>9.587202891041223E-2</v>
      </c>
      <c r="AB400" s="3">
        <v>-250.61</v>
      </c>
      <c r="AC400" s="3">
        <v>0</v>
      </c>
      <c r="AD400" s="3">
        <v>150.53</v>
      </c>
      <c r="AE400" s="3">
        <v>3161.21</v>
      </c>
      <c r="AF400" t="str">
        <f>IF(tbl_FinancialData[[#This Row],[City]]="","Unknown",PROPER(TRIM(tbl_FinancialData[[#This Row],[City]])))</f>
        <v>Gurugram</v>
      </c>
      <c r="AG400" t="str">
        <f>_xlfn.LET(_xlpm.city,LOWER(TRIM(tbl_FinancialData[[#This Row],[City]])),_xlpm.st,PROPER(TRIM(tbl_FinancialData[[#This Row],[State]])),IF(_xlpm.city="pune","Maharashtra",IF(_xlpm.city="jamshedpur","Jharkhand",IF(_xlpm.city="bhilai","Chhattisgarh",IF(_xlpm.city="mumbai","Maharashtra",_xlpm.st)))))</f>
        <v>Haryana</v>
      </c>
      <c r="AH400" t="str">
        <f>_xlfn.LET(_xlpm.d,PROPER(TRIM(tbl_FinancialData[[#This Row],[Department]])),IF(_xlpm.d="It","IT",_xlpm.d))</f>
        <v>IT</v>
      </c>
      <c r="AI400" t="str">
        <f>_xlfn.LET(_xlpm.pid,tbl_FinancialData[[#This Row],[Product ID]],_xlpm.n,PROPER(TRIM(tbl_FinancialData[[#This Row],[Product Name]])),IF(_xlpm.pid="P020","Document Scanner",IF(_xlpm.pid="P015","Network Router",SUBSTITUTE(SUBSTITUTE(_xlpm.n,"Crm","CRM"),"Ups","UPS"))))</f>
        <v>Keyboard</v>
      </c>
      <c r="AJ400" s="3" t="str">
        <f>UPPER(TRIM(tbl_FinancialData[[#This Row],[Cost Center]]))</f>
        <v>CC-1005</v>
      </c>
    </row>
    <row r="401" spans="1:36" x14ac:dyDescent="0.25">
      <c r="A401" s="3" t="s">
        <v>601</v>
      </c>
      <c r="B401" s="2">
        <v>46046</v>
      </c>
      <c r="C401" t="s">
        <v>77</v>
      </c>
      <c r="D401" s="3" t="str">
        <f t="shared" si="27"/>
        <v>Q4</v>
      </c>
      <c r="E401" s="3" t="str">
        <f t="shared" si="28"/>
        <v>FY2026</v>
      </c>
      <c r="F401" s="8" t="s">
        <v>59</v>
      </c>
      <c r="G401" s="3" t="s">
        <v>35</v>
      </c>
      <c r="H401" t="s">
        <v>139</v>
      </c>
      <c r="I401" t="s">
        <v>152</v>
      </c>
      <c r="J401" s="3" t="s">
        <v>70</v>
      </c>
      <c r="K401" t="s">
        <v>71</v>
      </c>
      <c r="L401" s="3" t="s">
        <v>51</v>
      </c>
      <c r="M401" s="3" t="s">
        <v>189</v>
      </c>
      <c r="N401" t="s">
        <v>190</v>
      </c>
      <c r="O401" t="s">
        <v>104</v>
      </c>
      <c r="P401" t="s">
        <v>105</v>
      </c>
      <c r="Q401" s="3">
        <v>13899.66</v>
      </c>
      <c r="R401" s="3">
        <v>14011.37</v>
      </c>
      <c r="S401" s="3">
        <v>8835.9599999999991</v>
      </c>
      <c r="T401" s="3">
        <v>1503.69</v>
      </c>
      <c r="U401" s="3">
        <v>920.07</v>
      </c>
      <c r="V401" s="3">
        <v>712.23</v>
      </c>
      <c r="W401" s="3">
        <v>354.49</v>
      </c>
      <c r="X401" s="3">
        <v>12326.44</v>
      </c>
      <c r="Y401" s="3">
        <v>5063.7</v>
      </c>
      <c r="Z401" s="3">
        <f t="shared" si="29"/>
        <v>1573.2199999999993</v>
      </c>
      <c r="AA401" s="37">
        <f t="shared" si="30"/>
        <v>0.11318406349507826</v>
      </c>
      <c r="AB401" s="3">
        <v>-111.71</v>
      </c>
      <c r="AC401" s="3">
        <v>694.98</v>
      </c>
      <c r="AD401" s="3">
        <v>2376.84</v>
      </c>
      <c r="AE401" s="3">
        <v>15581.52</v>
      </c>
      <c r="AF401" t="str">
        <f>IF(tbl_FinancialData[[#This Row],[City]]="","Unknown",PROPER(TRIM(tbl_FinancialData[[#This Row],[City]])))</f>
        <v>Panipat</v>
      </c>
      <c r="AG401" t="str">
        <f>_xlfn.LET(_xlpm.city,LOWER(TRIM(tbl_FinancialData[[#This Row],[City]])),_xlpm.st,PROPER(TRIM(tbl_FinancialData[[#This Row],[State]])),IF(_xlpm.city="pune","Maharashtra",IF(_xlpm.city="jamshedpur","Jharkhand",IF(_xlpm.city="bhilai","Chhattisgarh",IF(_xlpm.city="mumbai","Maharashtra",_xlpm.st)))))</f>
        <v>Haryana</v>
      </c>
      <c r="AH401" t="str">
        <f>_xlfn.LET(_xlpm.d,PROPER(TRIM(tbl_FinancialData[[#This Row],[Department]])),IF(_xlpm.d="It","IT",_xlpm.d))</f>
        <v>Marketing</v>
      </c>
      <c r="AI401" t="str">
        <f>_xlfn.LET(_xlpm.pid,tbl_FinancialData[[#This Row],[Product ID]],_xlpm.n,PROPER(TRIM(tbl_FinancialData[[#This Row],[Product Name]])),IF(_xlpm.pid="P020","Document Scanner",IF(_xlpm.pid="P015","Network Router",SUBSTITUTE(SUBSTITUTE(_xlpm.n,"Crm","CRM"),"Ups","UPS"))))</f>
        <v>CRM Software</v>
      </c>
      <c r="AJ401" s="3" t="str">
        <f>UPPER(TRIM(tbl_FinancialData[[#This Row],[Cost Center]]))</f>
        <v>CC-1003</v>
      </c>
    </row>
    <row r="402" spans="1:36" x14ac:dyDescent="0.25">
      <c r="A402" s="3" t="s">
        <v>602</v>
      </c>
      <c r="B402" s="2">
        <v>45883</v>
      </c>
      <c r="C402" t="s">
        <v>117</v>
      </c>
      <c r="D402" s="3" t="str">
        <f t="shared" si="27"/>
        <v>Q2</v>
      </c>
      <c r="E402" s="3" t="str">
        <f t="shared" si="28"/>
        <v>FY2026</v>
      </c>
      <c r="F402" s="8" t="s">
        <v>67</v>
      </c>
      <c r="G402" s="3" t="s">
        <v>35</v>
      </c>
      <c r="H402" t="s">
        <v>68</v>
      </c>
      <c r="I402" t="s">
        <v>69</v>
      </c>
      <c r="J402" s="3" t="s">
        <v>80</v>
      </c>
      <c r="K402" t="s">
        <v>39</v>
      </c>
      <c r="L402" s="3" t="s">
        <v>81</v>
      </c>
      <c r="M402" s="3" t="s">
        <v>120</v>
      </c>
      <c r="N402" t="s">
        <v>121</v>
      </c>
      <c r="O402" t="s">
        <v>43</v>
      </c>
      <c r="P402" t="s">
        <v>122</v>
      </c>
      <c r="Q402" s="3">
        <v>46403.28</v>
      </c>
      <c r="R402" s="3">
        <v>53205.07</v>
      </c>
      <c r="S402" s="3">
        <v>25938.400000000001</v>
      </c>
      <c r="T402" s="3">
        <v>3488</v>
      </c>
      <c r="U402" s="3">
        <v>2704.65</v>
      </c>
      <c r="V402" s="3">
        <v>5348.22</v>
      </c>
      <c r="W402" s="3">
        <v>541.64</v>
      </c>
      <c r="X402" s="3">
        <v>38020.9</v>
      </c>
      <c r="Y402" s="3">
        <v>20464.88</v>
      </c>
      <c r="Z402" s="3">
        <f t="shared" si="29"/>
        <v>8382.3799999999974</v>
      </c>
      <c r="AA402" s="37">
        <f t="shared" si="30"/>
        <v>0.18064197186060979</v>
      </c>
      <c r="AB402" s="3">
        <v>-6801.78</v>
      </c>
      <c r="AC402" s="3">
        <v>1392.1</v>
      </c>
      <c r="AD402" s="3">
        <v>8102.01</v>
      </c>
      <c r="AE402" s="3">
        <v>53113.2</v>
      </c>
      <c r="AF402" t="str">
        <f>IF(tbl_FinancialData[[#This Row],[City]]="","Unknown",PROPER(TRIM(tbl_FinancialData[[#This Row],[City]])))</f>
        <v>Bhubaneswar</v>
      </c>
      <c r="AG402" t="str">
        <f>_xlfn.LET(_xlpm.city,LOWER(TRIM(tbl_FinancialData[[#This Row],[City]])),_xlpm.st,PROPER(TRIM(tbl_FinancialData[[#This Row],[State]])),IF(_xlpm.city="pune","Maharashtra",IF(_xlpm.city="jamshedpur","Jharkhand",IF(_xlpm.city="bhilai","Chhattisgarh",IF(_xlpm.city="mumbai","Maharashtra",_xlpm.st)))))</f>
        <v>Odisha</v>
      </c>
      <c r="AH402" t="str">
        <f>_xlfn.LET(_xlpm.d,PROPER(TRIM(tbl_FinancialData[[#This Row],[Department]])),IF(_xlpm.d="It","IT",_xlpm.d))</f>
        <v>Operations</v>
      </c>
      <c r="AI402" t="str">
        <f>_xlfn.LET(_xlpm.pid,tbl_FinancialData[[#This Row],[Product ID]],_xlpm.n,PROPER(TRIM(tbl_FinancialData[[#This Row],[Product Name]])),IF(_xlpm.pid="P020","Document Scanner",IF(_xlpm.pid="P015","Network Router",SUBSTITUTE(SUBSTITUTE(_xlpm.n,"Crm","CRM"),"Ups","UPS"))))</f>
        <v>Projector</v>
      </c>
      <c r="AJ402" s="3" t="str">
        <f>UPPER(TRIM(tbl_FinancialData[[#This Row],[Cost Center]]))</f>
        <v>CC-1005</v>
      </c>
    </row>
    <row r="403" spans="1:36" x14ac:dyDescent="0.25">
      <c r="A403" s="3" t="s">
        <v>603</v>
      </c>
      <c r="B403" s="2">
        <v>45826</v>
      </c>
      <c r="C403" t="s">
        <v>156</v>
      </c>
      <c r="D403" s="3" t="str">
        <f t="shared" si="27"/>
        <v>Q1</v>
      </c>
      <c r="E403" s="3" t="str">
        <f t="shared" si="28"/>
        <v>FY2026</v>
      </c>
      <c r="F403" s="8" t="s">
        <v>59</v>
      </c>
      <c r="G403" s="3" t="s">
        <v>35</v>
      </c>
      <c r="H403" t="s">
        <v>230</v>
      </c>
      <c r="I403" t="s">
        <v>231</v>
      </c>
      <c r="J403" s="3" t="s">
        <v>70</v>
      </c>
      <c r="K403" t="s">
        <v>71</v>
      </c>
      <c r="L403" s="3" t="s">
        <v>40</v>
      </c>
      <c r="M403" s="3" t="s">
        <v>102</v>
      </c>
      <c r="N403" t="s">
        <v>103</v>
      </c>
      <c r="O403" t="s">
        <v>104</v>
      </c>
      <c r="P403" t="s">
        <v>105</v>
      </c>
      <c r="Q403" s="3">
        <v>12324.69</v>
      </c>
      <c r="R403" s="3">
        <v>11815.46</v>
      </c>
      <c r="S403" s="3">
        <v>7205.71</v>
      </c>
      <c r="T403" s="3">
        <v>770.94</v>
      </c>
      <c r="U403" s="3">
        <v>1067.22</v>
      </c>
      <c r="V403" s="3">
        <v>1249.08</v>
      </c>
      <c r="W403" s="3">
        <v>238.98</v>
      </c>
      <c r="X403" s="3">
        <v>10531.92</v>
      </c>
      <c r="Y403" s="3">
        <v>5118.97</v>
      </c>
      <c r="Z403" s="3">
        <f t="shared" si="29"/>
        <v>1792.7700000000004</v>
      </c>
      <c r="AA403" s="37">
        <f t="shared" si="30"/>
        <v>0.14546167084121389</v>
      </c>
      <c r="AB403" s="3">
        <v>509.23</v>
      </c>
      <c r="AC403" s="3">
        <v>616.23</v>
      </c>
      <c r="AD403" s="3">
        <v>2107.52</v>
      </c>
      <c r="AE403" s="3">
        <v>13815.97</v>
      </c>
      <c r="AF403" t="str">
        <f>IF(tbl_FinancialData[[#This Row],[City]]="","Unknown",PROPER(TRIM(tbl_FinancialData[[#This Row],[City]])))</f>
        <v>Ludhiana</v>
      </c>
      <c r="AG403" t="str">
        <f>_xlfn.LET(_xlpm.city,LOWER(TRIM(tbl_FinancialData[[#This Row],[City]])),_xlpm.st,PROPER(TRIM(tbl_FinancialData[[#This Row],[State]])),IF(_xlpm.city="pune","Maharashtra",IF(_xlpm.city="jamshedpur","Jharkhand",IF(_xlpm.city="bhilai","Chhattisgarh",IF(_xlpm.city="mumbai","Maharashtra",_xlpm.st)))))</f>
        <v>Punjab</v>
      </c>
      <c r="AH403" t="str">
        <f>_xlfn.LET(_xlpm.d,PROPER(TRIM(tbl_FinancialData[[#This Row],[Department]])),IF(_xlpm.d="It","IT",_xlpm.d))</f>
        <v>Marketing</v>
      </c>
      <c r="AI403" t="str">
        <f>_xlfn.LET(_xlpm.pid,tbl_FinancialData[[#This Row],[Product ID]],_xlpm.n,PROPER(TRIM(tbl_FinancialData[[#This Row],[Product Name]])),IF(_xlpm.pid="P020","Document Scanner",IF(_xlpm.pid="P015","Network Router",SUBSTITUTE(SUBSTITUTE(_xlpm.n,"Crm","CRM"),"Ups","UPS"))))</f>
        <v>Accounting Software</v>
      </c>
      <c r="AJ403" s="3" t="str">
        <f>UPPER(TRIM(tbl_FinancialData[[#This Row],[Cost Center]]))</f>
        <v>CC-1002</v>
      </c>
    </row>
    <row r="404" spans="1:36" x14ac:dyDescent="0.25">
      <c r="A404" s="3" t="s">
        <v>604</v>
      </c>
      <c r="B404" s="2">
        <v>45931</v>
      </c>
      <c r="C404" t="s">
        <v>92</v>
      </c>
      <c r="D404" s="3" t="str">
        <f t="shared" si="27"/>
        <v>Q3</v>
      </c>
      <c r="E404" s="3" t="str">
        <f t="shared" si="28"/>
        <v>FY2026</v>
      </c>
      <c r="F404" s="8" t="s">
        <v>67</v>
      </c>
      <c r="G404" s="3" t="s">
        <v>35</v>
      </c>
      <c r="H404" t="s">
        <v>168</v>
      </c>
      <c r="I404" t="s">
        <v>251</v>
      </c>
      <c r="J404" s="3" t="s">
        <v>70</v>
      </c>
      <c r="K404" t="s">
        <v>39</v>
      </c>
      <c r="L404" s="3" t="s">
        <v>94</v>
      </c>
      <c r="M404" s="3" t="s">
        <v>171</v>
      </c>
      <c r="N404" t="s">
        <v>172</v>
      </c>
      <c r="O404" t="s">
        <v>173</v>
      </c>
      <c r="P404" t="s">
        <v>174</v>
      </c>
      <c r="Q404" s="3">
        <v>31601.85</v>
      </c>
      <c r="R404" s="3">
        <v>30202.54</v>
      </c>
      <c r="S404" s="3">
        <v>20150.47</v>
      </c>
      <c r="T404" s="3">
        <v>2081.19</v>
      </c>
      <c r="U404" s="3">
        <v>1085.8499999999999</v>
      </c>
      <c r="V404" s="3">
        <v>3790.88</v>
      </c>
      <c r="W404" s="3">
        <v>1004.41</v>
      </c>
      <c r="X404" s="3">
        <v>28112.79</v>
      </c>
      <c r="Y404" s="3">
        <v>11451.38</v>
      </c>
      <c r="Z404" s="3">
        <f t="shared" si="29"/>
        <v>3489.0599999999977</v>
      </c>
      <c r="AA404" s="37">
        <f t="shared" si="30"/>
        <v>0.11040682744839299</v>
      </c>
      <c r="AB404" s="3">
        <v>1399.31</v>
      </c>
      <c r="AC404" s="3">
        <v>948.06</v>
      </c>
      <c r="AD404" s="3">
        <v>3678.46</v>
      </c>
      <c r="AE404" s="3">
        <v>34332.25</v>
      </c>
      <c r="AF404" t="str">
        <f>IF(tbl_FinancialData[[#This Row],[City]]="","Unknown",PROPER(TRIM(tbl_FinancialData[[#This Row],[City]])))</f>
        <v>Durgapur</v>
      </c>
      <c r="AG404" t="str">
        <f>_xlfn.LET(_xlpm.city,LOWER(TRIM(tbl_FinancialData[[#This Row],[City]])),_xlpm.st,PROPER(TRIM(tbl_FinancialData[[#This Row],[State]])),IF(_xlpm.city="pune","Maharashtra",IF(_xlpm.city="jamshedpur","Jharkhand",IF(_xlpm.city="bhilai","Chhattisgarh",IF(_xlpm.city="mumbai","Maharashtra",_xlpm.st)))))</f>
        <v>West Bengal</v>
      </c>
      <c r="AH404" t="str">
        <f>_xlfn.LET(_xlpm.d,PROPER(TRIM(tbl_FinancialData[[#This Row],[Department]])),IF(_xlpm.d="It","IT",_xlpm.d))</f>
        <v>Operations</v>
      </c>
      <c r="AI404" t="str">
        <f>_xlfn.LET(_xlpm.pid,tbl_FinancialData[[#This Row],[Product ID]],_xlpm.n,PROPER(TRIM(tbl_FinancialData[[#This Row],[Product Name]])),IF(_xlpm.pid="P020","Document Scanner",IF(_xlpm.pid="P015","Network Router",SUBSTITUTE(SUBSTITUTE(_xlpm.n,"Crm","CRM"),"Ups","UPS"))))</f>
        <v>Network Switch</v>
      </c>
      <c r="AJ404" s="3" t="str">
        <f>UPPER(TRIM(tbl_FinancialData[[#This Row],[Cost Center]]))</f>
        <v>CC-1001</v>
      </c>
    </row>
    <row r="405" spans="1:36" x14ac:dyDescent="0.25">
      <c r="A405" s="3" t="s">
        <v>605</v>
      </c>
      <c r="B405" s="2">
        <v>45781</v>
      </c>
      <c r="C405" t="s">
        <v>65</v>
      </c>
      <c r="D405" s="3" t="str">
        <f t="shared" si="27"/>
        <v>Q1</v>
      </c>
      <c r="E405" s="3" t="str">
        <f t="shared" si="28"/>
        <v>FY2026</v>
      </c>
      <c r="F405" s="8" t="s">
        <v>59</v>
      </c>
      <c r="G405" s="3" t="s">
        <v>35</v>
      </c>
      <c r="H405" t="s">
        <v>230</v>
      </c>
      <c r="I405" t="s">
        <v>231</v>
      </c>
      <c r="J405" s="3" t="s">
        <v>100</v>
      </c>
      <c r="K405" t="s">
        <v>50</v>
      </c>
      <c r="L405" s="3" t="s">
        <v>94</v>
      </c>
      <c r="M405" s="3" t="s">
        <v>88</v>
      </c>
      <c r="N405" t="s">
        <v>89</v>
      </c>
      <c r="O405" t="s">
        <v>43</v>
      </c>
      <c r="P405" t="s">
        <v>90</v>
      </c>
      <c r="Q405" s="3">
        <v>33473.449999999997</v>
      </c>
      <c r="R405" s="3">
        <v>39316.879999999997</v>
      </c>
      <c r="S405" s="3">
        <v>21619.35</v>
      </c>
      <c r="T405" s="3">
        <v>4038.75</v>
      </c>
      <c r="U405" s="3">
        <v>2899.9</v>
      </c>
      <c r="V405" s="3">
        <v>2642.4</v>
      </c>
      <c r="W405" s="3">
        <v>1157.56</v>
      </c>
      <c r="X405" s="3">
        <v>32357.96</v>
      </c>
      <c r="Y405" s="3">
        <v>11854.11</v>
      </c>
      <c r="Z405" s="3">
        <f t="shared" si="29"/>
        <v>1115.489999999998</v>
      </c>
      <c r="AA405" s="37">
        <f t="shared" si="30"/>
        <v>3.3324619959998088E-2</v>
      </c>
      <c r="AB405" s="3">
        <v>-5843.43</v>
      </c>
      <c r="AC405" s="3">
        <v>2677.88</v>
      </c>
      <c r="AD405" s="3">
        <v>3695.47</v>
      </c>
      <c r="AE405" s="3">
        <v>34491.050000000003</v>
      </c>
      <c r="AF405" t="str">
        <f>IF(tbl_FinancialData[[#This Row],[City]]="","Unknown",PROPER(TRIM(tbl_FinancialData[[#This Row],[City]])))</f>
        <v>Ludhiana</v>
      </c>
      <c r="AG405" t="str">
        <f>_xlfn.LET(_xlpm.city,LOWER(TRIM(tbl_FinancialData[[#This Row],[City]])),_xlpm.st,PROPER(TRIM(tbl_FinancialData[[#This Row],[State]])),IF(_xlpm.city="pune","Maharashtra",IF(_xlpm.city="jamshedpur","Jharkhand",IF(_xlpm.city="bhilai","Chhattisgarh",IF(_xlpm.city="mumbai","Maharashtra",_xlpm.st)))))</f>
        <v>Punjab</v>
      </c>
      <c r="AH405" t="str">
        <f>_xlfn.LET(_xlpm.d,PROPER(TRIM(tbl_FinancialData[[#This Row],[Department]])),IF(_xlpm.d="It","IT",_xlpm.d))</f>
        <v>Sales</v>
      </c>
      <c r="AI405" t="str">
        <f>_xlfn.LET(_xlpm.pid,tbl_FinancialData[[#This Row],[Product ID]],_xlpm.n,PROPER(TRIM(tbl_FinancialData[[#This Row],[Product Name]])),IF(_xlpm.pid="P020","Document Scanner",IF(_xlpm.pid="P015","Network Router",SUBSTITUTE(SUBSTITUTE(_xlpm.n,"Crm","CRM"),"Ups","UPS"))))</f>
        <v>Printer</v>
      </c>
      <c r="AJ405" s="3" t="str">
        <f>UPPER(TRIM(tbl_FinancialData[[#This Row],[Cost Center]]))</f>
        <v>CC-1001</v>
      </c>
    </row>
    <row r="406" spans="1:36" x14ac:dyDescent="0.25">
      <c r="A406" s="3" t="s">
        <v>606</v>
      </c>
      <c r="B406" s="2">
        <v>46065</v>
      </c>
      <c r="C406" t="s">
        <v>57</v>
      </c>
      <c r="D406" s="3" t="str">
        <f t="shared" si="27"/>
        <v>Q4</v>
      </c>
      <c r="E406" s="3" t="str">
        <f t="shared" si="28"/>
        <v>FY2026</v>
      </c>
      <c r="F406" s="8" t="s">
        <v>85</v>
      </c>
      <c r="G406" s="3" t="s">
        <v>35</v>
      </c>
      <c r="H406" t="s">
        <v>60</v>
      </c>
      <c r="I406" t="s">
        <v>108</v>
      </c>
      <c r="J406" s="3" t="s">
        <v>38</v>
      </c>
      <c r="K406" t="s">
        <v>71</v>
      </c>
      <c r="L406" s="3" t="s">
        <v>51</v>
      </c>
      <c r="M406" s="3" t="s">
        <v>62</v>
      </c>
      <c r="N406" t="s">
        <v>63</v>
      </c>
      <c r="O406" t="s">
        <v>54</v>
      </c>
      <c r="P406" t="s">
        <v>55</v>
      </c>
      <c r="Q406" s="3">
        <v>8831.99</v>
      </c>
      <c r="R406" s="3">
        <v>9142.34</v>
      </c>
      <c r="S406" s="3">
        <v>4487.49</v>
      </c>
      <c r="T406" s="3">
        <v>814.79</v>
      </c>
      <c r="U406" s="3">
        <v>293.63</v>
      </c>
      <c r="V406" s="3">
        <v>771.91</v>
      </c>
      <c r="W406" s="3">
        <v>237.47</v>
      </c>
      <c r="X406" s="3">
        <v>6605.3</v>
      </c>
      <c r="Y406" s="3">
        <v>4344.5</v>
      </c>
      <c r="Z406" s="3">
        <f t="shared" si="29"/>
        <v>2226.6899999999996</v>
      </c>
      <c r="AA406" s="37">
        <f t="shared" si="30"/>
        <v>0.25211645393620236</v>
      </c>
      <c r="AB406" s="3">
        <v>-310.35000000000002</v>
      </c>
      <c r="AC406" s="3">
        <v>441.6</v>
      </c>
      <c r="AD406" s="3">
        <v>419.52</v>
      </c>
      <c r="AE406" s="3">
        <v>8809.91</v>
      </c>
      <c r="AF406" t="str">
        <f>IF(tbl_FinancialData[[#This Row],[City]]="","Unknown",PROPER(TRIM(tbl_FinancialData[[#This Row],[City]])))</f>
        <v>Agra</v>
      </c>
      <c r="AG406" t="str">
        <f>_xlfn.LET(_xlpm.city,LOWER(TRIM(tbl_FinancialData[[#This Row],[City]])),_xlpm.st,PROPER(TRIM(tbl_FinancialData[[#This Row],[State]])),IF(_xlpm.city="pune","Maharashtra",IF(_xlpm.city="jamshedpur","Jharkhand",IF(_xlpm.city="bhilai","Chhattisgarh",IF(_xlpm.city="mumbai","Maharashtra",_xlpm.st)))))</f>
        <v>Uttar Pradesh</v>
      </c>
      <c r="AH406" t="str">
        <f>_xlfn.LET(_xlpm.d,PROPER(TRIM(tbl_FinancialData[[#This Row],[Department]])),IF(_xlpm.d="It","IT",_xlpm.d))</f>
        <v>Marketing</v>
      </c>
      <c r="AI406" t="str">
        <f>_xlfn.LET(_xlpm.pid,tbl_FinancialData[[#This Row],[Product ID]],_xlpm.n,PROPER(TRIM(tbl_FinancialData[[#This Row],[Product Name]])),IF(_xlpm.pid="P020","Document Scanner",IF(_xlpm.pid="P015","Network Router",SUBSTITUTE(SUBSTITUTE(_xlpm.n,"Crm","CRM"),"Ups","UPS"))))</f>
        <v>Keyboard</v>
      </c>
      <c r="AJ406" s="3" t="str">
        <f>UPPER(TRIM(tbl_FinancialData[[#This Row],[Cost Center]]))</f>
        <v>CC-1003</v>
      </c>
    </row>
    <row r="407" spans="1:36" x14ac:dyDescent="0.25">
      <c r="A407" s="3" t="s">
        <v>607</v>
      </c>
      <c r="B407" s="2">
        <v>46009</v>
      </c>
      <c r="C407" t="s">
        <v>107</v>
      </c>
      <c r="D407" s="3" t="str">
        <f t="shared" si="27"/>
        <v>Q3</v>
      </c>
      <c r="E407" s="3" t="str">
        <f t="shared" si="28"/>
        <v>FY2026</v>
      </c>
      <c r="F407" s="8" t="s">
        <v>59</v>
      </c>
      <c r="G407" s="3" t="s">
        <v>35</v>
      </c>
      <c r="H407" t="s">
        <v>60</v>
      </c>
      <c r="I407" t="s">
        <v>185</v>
      </c>
      <c r="J407" s="3" t="s">
        <v>38</v>
      </c>
      <c r="K407" t="s">
        <v>101</v>
      </c>
      <c r="L407" s="3" t="s">
        <v>94</v>
      </c>
      <c r="M407" s="3" t="s">
        <v>130</v>
      </c>
      <c r="N407" t="s">
        <v>131</v>
      </c>
      <c r="O407" t="s">
        <v>43</v>
      </c>
      <c r="P407" t="s">
        <v>132</v>
      </c>
      <c r="Q407" s="3">
        <v>43101.9</v>
      </c>
      <c r="R407" s="3">
        <v>43241.760000000002</v>
      </c>
      <c r="S407" s="3">
        <v>22940.9</v>
      </c>
      <c r="T407" s="3">
        <v>5486.08</v>
      </c>
      <c r="U407" s="3">
        <v>1443.54</v>
      </c>
      <c r="V407" s="3">
        <v>3006.23</v>
      </c>
      <c r="W407" s="3">
        <v>470</v>
      </c>
      <c r="X407" s="3">
        <v>33346.74</v>
      </c>
      <c r="Y407" s="3">
        <v>20161</v>
      </c>
      <c r="Z407" s="3">
        <f t="shared" si="29"/>
        <v>9755.1600000000035</v>
      </c>
      <c r="AA407" s="37">
        <f t="shared" si="30"/>
        <v>0.22632784169607378</v>
      </c>
      <c r="AB407" s="3">
        <v>-139.86000000000001</v>
      </c>
      <c r="AC407" s="3">
        <v>862.04</v>
      </c>
      <c r="AD407" s="3">
        <v>7603.18</v>
      </c>
      <c r="AE407" s="3">
        <v>49843.040000000001</v>
      </c>
      <c r="AF407" t="str">
        <f>IF(tbl_FinancialData[[#This Row],[City]]="","Unknown",PROPER(TRIM(tbl_FinancialData[[#This Row],[City]])))</f>
        <v>Kanpur</v>
      </c>
      <c r="AG407" t="str">
        <f>_xlfn.LET(_xlpm.city,LOWER(TRIM(tbl_FinancialData[[#This Row],[City]])),_xlpm.st,PROPER(TRIM(tbl_FinancialData[[#This Row],[State]])),IF(_xlpm.city="pune","Maharashtra",IF(_xlpm.city="jamshedpur","Jharkhand",IF(_xlpm.city="bhilai","Chhattisgarh",IF(_xlpm.city="mumbai","Maharashtra",_xlpm.st)))))</f>
        <v>Uttar Pradesh</v>
      </c>
      <c r="AH407" t="str">
        <f>_xlfn.LET(_xlpm.d,PROPER(TRIM(tbl_FinancialData[[#This Row],[Department]])),IF(_xlpm.d="It","IT",_xlpm.d))</f>
        <v>Finance</v>
      </c>
      <c r="AI407" t="str">
        <f>_xlfn.LET(_xlpm.pid,tbl_FinancialData[[#This Row],[Product ID]],_xlpm.n,PROPER(TRIM(tbl_FinancialData[[#This Row],[Product Name]])),IF(_xlpm.pid="P020","Document Scanner",IF(_xlpm.pid="P015","Network Router",SUBSTITUTE(SUBSTITUTE(_xlpm.n,"Crm","CRM"),"Ups","UPS"))))</f>
        <v>UPS System</v>
      </c>
      <c r="AJ407" s="3" t="str">
        <f>UPPER(TRIM(tbl_FinancialData[[#This Row],[Cost Center]]))</f>
        <v>CC-1001</v>
      </c>
    </row>
    <row r="408" spans="1:36" x14ac:dyDescent="0.25">
      <c r="A408" s="3" t="s">
        <v>608</v>
      </c>
      <c r="B408" s="2">
        <v>45841</v>
      </c>
      <c r="C408" t="s">
        <v>32</v>
      </c>
      <c r="D408" s="3" t="str">
        <f t="shared" si="27"/>
        <v>Q2</v>
      </c>
      <c r="E408" s="3" t="str">
        <f t="shared" si="28"/>
        <v>FY2026</v>
      </c>
      <c r="F408" s="8" t="s">
        <v>34</v>
      </c>
      <c r="G408" s="3" t="s">
        <v>35</v>
      </c>
      <c r="H408" t="s">
        <v>36</v>
      </c>
      <c r="I408" t="s">
        <v>245</v>
      </c>
      <c r="J408" s="3" t="s">
        <v>38</v>
      </c>
      <c r="K408" t="s">
        <v>50</v>
      </c>
      <c r="L408" s="3" t="s">
        <v>72</v>
      </c>
      <c r="M408" s="3" t="s">
        <v>88</v>
      </c>
      <c r="N408" t="s">
        <v>89</v>
      </c>
      <c r="O408" t="s">
        <v>43</v>
      </c>
      <c r="P408" t="s">
        <v>90</v>
      </c>
      <c r="Q408" s="3">
        <v>67871.070000000007</v>
      </c>
      <c r="R408" s="3">
        <v>78359.97</v>
      </c>
      <c r="S408" s="3">
        <v>46497.36</v>
      </c>
      <c r="T408" s="3">
        <v>7102.98</v>
      </c>
      <c r="U408" s="3">
        <v>1927.65</v>
      </c>
      <c r="V408" s="3">
        <v>6965.46</v>
      </c>
      <c r="W408" s="3">
        <v>2687.21</v>
      </c>
      <c r="X408" s="3">
        <v>65180.67</v>
      </c>
      <c r="Y408" s="3">
        <v>21373.71</v>
      </c>
      <c r="Z408" s="3">
        <f t="shared" si="29"/>
        <v>2690.4000000000087</v>
      </c>
      <c r="AA408" s="37">
        <f t="shared" si="30"/>
        <v>3.9639864230813046E-2</v>
      </c>
      <c r="AB408" s="3">
        <v>-10488.91</v>
      </c>
      <c r="AC408" s="3">
        <v>5429.69</v>
      </c>
      <c r="AD408" s="3">
        <v>7492.97</v>
      </c>
      <c r="AE408" s="3">
        <v>69934.350000000006</v>
      </c>
      <c r="AF408" t="str">
        <f>IF(tbl_FinancialData[[#This Row],[City]]="","Unknown",PROPER(TRIM(tbl_FinancialData[[#This Row],[City]])))</f>
        <v>Margao</v>
      </c>
      <c r="AG408" t="str">
        <f>_xlfn.LET(_xlpm.city,LOWER(TRIM(tbl_FinancialData[[#This Row],[City]])),_xlpm.st,PROPER(TRIM(tbl_FinancialData[[#This Row],[State]])),IF(_xlpm.city="pune","Maharashtra",IF(_xlpm.city="jamshedpur","Jharkhand",IF(_xlpm.city="bhilai","Chhattisgarh",IF(_xlpm.city="mumbai","Maharashtra",_xlpm.st)))))</f>
        <v>Goa</v>
      </c>
      <c r="AH408" t="str">
        <f>_xlfn.LET(_xlpm.d,PROPER(TRIM(tbl_FinancialData[[#This Row],[Department]])),IF(_xlpm.d="It","IT",_xlpm.d))</f>
        <v>Sales</v>
      </c>
      <c r="AI408" t="str">
        <f>_xlfn.LET(_xlpm.pid,tbl_FinancialData[[#This Row],[Product ID]],_xlpm.n,PROPER(TRIM(tbl_FinancialData[[#This Row],[Product Name]])),IF(_xlpm.pid="P020","Document Scanner",IF(_xlpm.pid="P015","Network Router",SUBSTITUTE(SUBSTITUTE(_xlpm.n,"Crm","CRM"),"Ups","UPS"))))</f>
        <v>Printer</v>
      </c>
      <c r="AJ408" s="3" t="str">
        <f>UPPER(TRIM(tbl_FinancialData[[#This Row],[Cost Center]]))</f>
        <v>CC-1004</v>
      </c>
    </row>
    <row r="409" spans="1:36" x14ac:dyDescent="0.25">
      <c r="A409" s="3" t="s">
        <v>609</v>
      </c>
      <c r="B409" s="2">
        <v>45875</v>
      </c>
      <c r="C409" t="s">
        <v>117</v>
      </c>
      <c r="D409" s="3" t="str">
        <f t="shared" si="27"/>
        <v>Q2</v>
      </c>
      <c r="E409" s="3" t="str">
        <f t="shared" si="28"/>
        <v>FY2026</v>
      </c>
      <c r="F409" s="8" t="s">
        <v>34</v>
      </c>
      <c r="G409" s="3" t="s">
        <v>35</v>
      </c>
      <c r="H409" t="s">
        <v>36</v>
      </c>
      <c r="I409" t="s">
        <v>245</v>
      </c>
      <c r="J409" s="3" t="s">
        <v>70</v>
      </c>
      <c r="K409" t="s">
        <v>610</v>
      </c>
      <c r="L409" s="3" t="s">
        <v>51</v>
      </c>
      <c r="M409" s="3" t="s">
        <v>73</v>
      </c>
      <c r="N409" t="s">
        <v>74</v>
      </c>
      <c r="O409" t="s">
        <v>43</v>
      </c>
      <c r="P409" t="s">
        <v>75</v>
      </c>
      <c r="Q409" s="3">
        <v>25089.93</v>
      </c>
      <c r="R409" s="3">
        <v>28044.560000000001</v>
      </c>
      <c r="S409" s="3">
        <v>13168.64</v>
      </c>
      <c r="T409" s="3">
        <v>1388.3</v>
      </c>
      <c r="U409" s="3">
        <v>2255.75</v>
      </c>
      <c r="V409" s="3">
        <v>1053.4100000000001</v>
      </c>
      <c r="W409" s="3">
        <v>984.37</v>
      </c>
      <c r="X409" s="3">
        <v>18850.46</v>
      </c>
      <c r="Y409" s="3">
        <v>11921.28</v>
      </c>
      <c r="Z409" s="3">
        <f t="shared" si="29"/>
        <v>6239.4700000000012</v>
      </c>
      <c r="AA409" s="37">
        <f t="shared" si="30"/>
        <v>0.24868423307677626</v>
      </c>
      <c r="AB409" s="3">
        <v>-2954.64</v>
      </c>
      <c r="AC409" s="3">
        <v>752.7</v>
      </c>
      <c r="AD409" s="3">
        <v>4380.7</v>
      </c>
      <c r="AE409" s="3">
        <v>28717.93</v>
      </c>
      <c r="AF409" t="str">
        <f>IF(tbl_FinancialData[[#This Row],[City]]="","Unknown",PROPER(TRIM(tbl_FinancialData[[#This Row],[City]])))</f>
        <v>Margao</v>
      </c>
      <c r="AG409" t="str">
        <f>_xlfn.LET(_xlpm.city,LOWER(TRIM(tbl_FinancialData[[#This Row],[City]])),_xlpm.st,PROPER(TRIM(tbl_FinancialData[[#This Row],[State]])),IF(_xlpm.city="pune","Maharashtra",IF(_xlpm.city="jamshedpur","Jharkhand",IF(_xlpm.city="bhilai","Chhattisgarh",IF(_xlpm.city="mumbai","Maharashtra",_xlpm.st)))))</f>
        <v>Goa</v>
      </c>
      <c r="AH409" t="str">
        <f>_xlfn.LET(_xlpm.d,PROPER(TRIM(tbl_FinancialData[[#This Row],[Department]])),IF(_xlpm.d="It","IT",_xlpm.d))</f>
        <v>Marketing</v>
      </c>
      <c r="AI409" t="str">
        <f>_xlfn.LET(_xlpm.pid,tbl_FinancialData[[#This Row],[Product ID]],_xlpm.n,PROPER(TRIM(tbl_FinancialData[[#This Row],[Product Name]])),IF(_xlpm.pid="P020","Document Scanner",IF(_xlpm.pid="P015","Network Router",SUBSTITUTE(SUBSTITUTE(_xlpm.n,"Crm","CRM"),"Ups","UPS"))))</f>
        <v>Monitor</v>
      </c>
      <c r="AJ409" s="3" t="str">
        <f>UPPER(TRIM(tbl_FinancialData[[#This Row],[Cost Center]]))</f>
        <v>CC-1003</v>
      </c>
    </row>
    <row r="410" spans="1:36" x14ac:dyDescent="0.25">
      <c r="A410" s="3" t="s">
        <v>611</v>
      </c>
      <c r="B410" s="2">
        <v>46044</v>
      </c>
      <c r="C410" t="s">
        <v>77</v>
      </c>
      <c r="D410" s="3" t="str">
        <f t="shared" si="27"/>
        <v>Q4</v>
      </c>
      <c r="E410" s="3" t="str">
        <f t="shared" si="28"/>
        <v>FY2026</v>
      </c>
      <c r="F410" s="8" t="s">
        <v>85</v>
      </c>
      <c r="G410" s="3" t="s">
        <v>35</v>
      </c>
      <c r="H410" t="s">
        <v>178</v>
      </c>
      <c r="I410" t="s">
        <v>329</v>
      </c>
      <c r="J410" s="3" t="s">
        <v>100</v>
      </c>
      <c r="K410" t="s">
        <v>50</v>
      </c>
      <c r="L410" s="3" t="s">
        <v>51</v>
      </c>
      <c r="M410" s="3" t="s">
        <v>197</v>
      </c>
      <c r="N410" t="s">
        <v>198</v>
      </c>
      <c r="O410" t="s">
        <v>43</v>
      </c>
      <c r="P410" t="s">
        <v>163</v>
      </c>
      <c r="Q410" s="3">
        <v>32640.75</v>
      </c>
      <c r="R410" s="3">
        <v>35721.01</v>
      </c>
      <c r="S410" s="3">
        <v>20551.23</v>
      </c>
      <c r="T410" s="3">
        <v>4166.41</v>
      </c>
      <c r="U410" s="3">
        <v>2001.92</v>
      </c>
      <c r="V410" s="3">
        <v>2184.04</v>
      </c>
      <c r="W410" s="3">
        <v>919.35</v>
      </c>
      <c r="X410" s="3">
        <v>29822.95</v>
      </c>
      <c r="Y410" s="3">
        <v>12089.52</v>
      </c>
      <c r="Z410" s="3">
        <f t="shared" si="29"/>
        <v>2817.7999999999993</v>
      </c>
      <c r="AA410" s="37">
        <f t="shared" si="30"/>
        <v>8.6327673230547686E-2</v>
      </c>
      <c r="AB410" s="3">
        <v>-3080.27</v>
      </c>
      <c r="AC410" s="3">
        <v>3264.07</v>
      </c>
      <c r="AD410" s="3">
        <v>5287.8</v>
      </c>
      <c r="AE410" s="3">
        <v>34664.47</v>
      </c>
      <c r="AF410" t="str">
        <f>IF(tbl_FinancialData[[#This Row],[City]]="","Unknown",PROPER(TRIM(tbl_FinancialData[[#This Row],[City]])))</f>
        <v>Raipur</v>
      </c>
      <c r="AG410" t="str">
        <f>_xlfn.LET(_xlpm.city,LOWER(TRIM(tbl_FinancialData[[#This Row],[City]])),_xlpm.st,PROPER(TRIM(tbl_FinancialData[[#This Row],[State]])),IF(_xlpm.city="pune","Maharashtra",IF(_xlpm.city="jamshedpur","Jharkhand",IF(_xlpm.city="bhilai","Chhattisgarh",IF(_xlpm.city="mumbai","Maharashtra",_xlpm.st)))))</f>
        <v>Chhattisgarh</v>
      </c>
      <c r="AH410" t="str">
        <f>_xlfn.LET(_xlpm.d,PROPER(TRIM(tbl_FinancialData[[#This Row],[Department]])),IF(_xlpm.d="It","IT",_xlpm.d))</f>
        <v>Sales</v>
      </c>
      <c r="AI410" t="str">
        <f>_xlfn.LET(_xlpm.pid,tbl_FinancialData[[#This Row],[Product ID]],_xlpm.n,PROPER(TRIM(tbl_FinancialData[[#This Row],[Product Name]])),IF(_xlpm.pid="P020","Document Scanner",IF(_xlpm.pid="P015","Network Router",SUBSTITUTE(SUBSTITUTE(_xlpm.n,"Crm","CRM"),"Ups","UPS"))))</f>
        <v>Smartphone</v>
      </c>
      <c r="AJ410" s="3" t="str">
        <f>UPPER(TRIM(tbl_FinancialData[[#This Row],[Cost Center]]))</f>
        <v>CC-1003</v>
      </c>
    </row>
    <row r="411" spans="1:36" x14ac:dyDescent="0.25">
      <c r="A411" s="3" t="s">
        <v>612</v>
      </c>
      <c r="B411" s="2">
        <v>45940</v>
      </c>
      <c r="C411" t="s">
        <v>92</v>
      </c>
      <c r="D411" s="3" t="str">
        <f t="shared" si="27"/>
        <v>Q3</v>
      </c>
      <c r="E411" s="3" t="str">
        <f t="shared" si="28"/>
        <v>FY2026</v>
      </c>
      <c r="F411" s="8" t="s">
        <v>67</v>
      </c>
      <c r="G411" s="3" t="s">
        <v>35</v>
      </c>
      <c r="H411" t="s">
        <v>68</v>
      </c>
      <c r="I411" t="s">
        <v>204</v>
      </c>
      <c r="J411" s="3" t="s">
        <v>38</v>
      </c>
      <c r="K411" t="s">
        <v>71</v>
      </c>
      <c r="L411" s="3" t="s">
        <v>94</v>
      </c>
      <c r="M411" s="3" t="s">
        <v>189</v>
      </c>
      <c r="N411" t="s">
        <v>190</v>
      </c>
      <c r="O411" t="s">
        <v>104</v>
      </c>
      <c r="P411" t="s">
        <v>105</v>
      </c>
      <c r="Q411" s="3">
        <v>14944.42</v>
      </c>
      <c r="R411" s="3">
        <v>14310.95</v>
      </c>
      <c r="S411" s="3">
        <v>7266.2</v>
      </c>
      <c r="T411" s="3">
        <v>1088.21</v>
      </c>
      <c r="U411" s="3">
        <v>911.73</v>
      </c>
      <c r="V411" s="3">
        <v>599.69000000000005</v>
      </c>
      <c r="W411" s="3">
        <v>297.58</v>
      </c>
      <c r="X411" s="3">
        <v>10163.42</v>
      </c>
      <c r="Y411" s="3">
        <v>7678.22</v>
      </c>
      <c r="Z411" s="3">
        <f t="shared" si="29"/>
        <v>4781</v>
      </c>
      <c r="AA411" s="37">
        <f t="shared" si="30"/>
        <v>0.31991873890053946</v>
      </c>
      <c r="AB411" s="3">
        <v>633.47</v>
      </c>
      <c r="AC411" s="3">
        <v>1195.55</v>
      </c>
      <c r="AD411" s="3">
        <v>1649.86</v>
      </c>
      <c r="AE411" s="3">
        <v>15398.74</v>
      </c>
      <c r="AF411" t="str">
        <f>IF(tbl_FinancialData[[#This Row],[City]]="","Unknown",PROPER(TRIM(tbl_FinancialData[[#This Row],[City]])))</f>
        <v>Cuttack</v>
      </c>
      <c r="AG411" t="str">
        <f>_xlfn.LET(_xlpm.city,LOWER(TRIM(tbl_FinancialData[[#This Row],[City]])),_xlpm.st,PROPER(TRIM(tbl_FinancialData[[#This Row],[State]])),IF(_xlpm.city="pune","Maharashtra",IF(_xlpm.city="jamshedpur","Jharkhand",IF(_xlpm.city="bhilai","Chhattisgarh",IF(_xlpm.city="mumbai","Maharashtra",_xlpm.st)))))</f>
        <v>Odisha</v>
      </c>
      <c r="AH411" t="str">
        <f>_xlfn.LET(_xlpm.d,PROPER(TRIM(tbl_FinancialData[[#This Row],[Department]])),IF(_xlpm.d="It","IT",_xlpm.d))</f>
        <v>Marketing</v>
      </c>
      <c r="AI411" t="str">
        <f>_xlfn.LET(_xlpm.pid,tbl_FinancialData[[#This Row],[Product ID]],_xlpm.n,PROPER(TRIM(tbl_FinancialData[[#This Row],[Product Name]])),IF(_xlpm.pid="P020","Document Scanner",IF(_xlpm.pid="P015","Network Router",SUBSTITUTE(SUBSTITUTE(_xlpm.n,"Crm","CRM"),"Ups","UPS"))))</f>
        <v>CRM Software</v>
      </c>
      <c r="AJ411" s="3" t="str">
        <f>UPPER(TRIM(tbl_FinancialData[[#This Row],[Cost Center]]))</f>
        <v>CC-1001</v>
      </c>
    </row>
    <row r="412" spans="1:36" x14ac:dyDescent="0.25">
      <c r="A412" s="3" t="s">
        <v>613</v>
      </c>
      <c r="B412" s="2">
        <v>45900</v>
      </c>
      <c r="C412" t="s">
        <v>117</v>
      </c>
      <c r="D412" s="3" t="str">
        <f t="shared" si="27"/>
        <v>Q2</v>
      </c>
      <c r="E412" s="3" t="str">
        <f t="shared" si="28"/>
        <v>FY2026</v>
      </c>
      <c r="F412" s="8" t="s">
        <v>67</v>
      </c>
      <c r="G412" s="3" t="s">
        <v>35</v>
      </c>
      <c r="H412" t="s">
        <v>68</v>
      </c>
      <c r="I412" t="s">
        <v>69</v>
      </c>
      <c r="J412" s="3" t="s">
        <v>38</v>
      </c>
      <c r="K412" t="s">
        <v>50</v>
      </c>
      <c r="L412" s="3" t="s">
        <v>72</v>
      </c>
      <c r="M412" s="3" t="s">
        <v>189</v>
      </c>
      <c r="N412" t="s">
        <v>190</v>
      </c>
      <c r="O412" t="s">
        <v>104</v>
      </c>
      <c r="P412" t="s">
        <v>105</v>
      </c>
      <c r="Q412" s="3">
        <v>19177.830000000002</v>
      </c>
      <c r="R412" s="3">
        <v>21177.200000000001</v>
      </c>
      <c r="S412" s="3">
        <v>11735.75</v>
      </c>
      <c r="T412" s="3">
        <v>1652.9</v>
      </c>
      <c r="U412" s="3">
        <v>690.64</v>
      </c>
      <c r="V412" s="3">
        <v>1744.14</v>
      </c>
      <c r="W412" s="3">
        <v>846.07</v>
      </c>
      <c r="X412" s="3">
        <v>16669.509999999998</v>
      </c>
      <c r="Y412" s="3">
        <v>7442.08</v>
      </c>
      <c r="Z412" s="3">
        <f t="shared" si="29"/>
        <v>2508.3200000000033</v>
      </c>
      <c r="AA412" s="37">
        <f t="shared" si="30"/>
        <v>0.13079269135246288</v>
      </c>
      <c r="AB412" s="3">
        <v>-1999.36</v>
      </c>
      <c r="AC412" s="3">
        <v>1534.23</v>
      </c>
      <c r="AD412" s="3">
        <v>882.18</v>
      </c>
      <c r="AE412" s="3">
        <v>18525.79</v>
      </c>
      <c r="AF412" t="str">
        <f>IF(tbl_FinancialData[[#This Row],[City]]="","Unknown",PROPER(TRIM(tbl_FinancialData[[#This Row],[City]])))</f>
        <v>Bhubaneswar</v>
      </c>
      <c r="AG412" t="str">
        <f>_xlfn.LET(_xlpm.city,LOWER(TRIM(tbl_FinancialData[[#This Row],[City]])),_xlpm.st,PROPER(TRIM(tbl_FinancialData[[#This Row],[State]])),IF(_xlpm.city="pune","Maharashtra",IF(_xlpm.city="jamshedpur","Jharkhand",IF(_xlpm.city="bhilai","Chhattisgarh",IF(_xlpm.city="mumbai","Maharashtra",_xlpm.st)))))</f>
        <v>Odisha</v>
      </c>
      <c r="AH412" t="str">
        <f>_xlfn.LET(_xlpm.d,PROPER(TRIM(tbl_FinancialData[[#This Row],[Department]])),IF(_xlpm.d="It","IT",_xlpm.d))</f>
        <v>Sales</v>
      </c>
      <c r="AI412" t="str">
        <f>_xlfn.LET(_xlpm.pid,tbl_FinancialData[[#This Row],[Product ID]],_xlpm.n,PROPER(TRIM(tbl_FinancialData[[#This Row],[Product Name]])),IF(_xlpm.pid="P020","Document Scanner",IF(_xlpm.pid="P015","Network Router",SUBSTITUTE(SUBSTITUTE(_xlpm.n,"Crm","CRM"),"Ups","UPS"))))</f>
        <v>CRM Software</v>
      </c>
      <c r="AJ412" s="3" t="str">
        <f>UPPER(TRIM(tbl_FinancialData[[#This Row],[Cost Center]]))</f>
        <v>CC-1004</v>
      </c>
    </row>
    <row r="413" spans="1:36" x14ac:dyDescent="0.25">
      <c r="A413" s="3" t="s">
        <v>614</v>
      </c>
      <c r="B413" s="2">
        <v>45967</v>
      </c>
      <c r="C413" t="s">
        <v>147</v>
      </c>
      <c r="D413" s="3" t="str">
        <f t="shared" si="27"/>
        <v>Q3</v>
      </c>
      <c r="E413" s="3" t="str">
        <f t="shared" si="28"/>
        <v>FY2026</v>
      </c>
      <c r="F413" s="8" t="s">
        <v>85</v>
      </c>
      <c r="G413" s="3" t="s">
        <v>35</v>
      </c>
      <c r="H413" t="s">
        <v>60</v>
      </c>
      <c r="I413" t="s">
        <v>61</v>
      </c>
      <c r="J413" s="3" t="s">
        <v>70</v>
      </c>
      <c r="K413" t="s">
        <v>160</v>
      </c>
      <c r="L413" s="3" t="s">
        <v>72</v>
      </c>
      <c r="M413" s="3" t="s">
        <v>52</v>
      </c>
      <c r="N413" t="s">
        <v>53</v>
      </c>
      <c r="O413" t="s">
        <v>54</v>
      </c>
      <c r="P413" t="s">
        <v>55</v>
      </c>
      <c r="Q413" s="3">
        <v>6394.89</v>
      </c>
      <c r="R413" s="3">
        <v>6530.53</v>
      </c>
      <c r="S413" s="3">
        <v>3144.98</v>
      </c>
      <c r="T413" s="3">
        <v>417.49</v>
      </c>
      <c r="U413" s="3">
        <v>488.46</v>
      </c>
      <c r="V413" s="3">
        <v>488.04</v>
      </c>
      <c r="W413" s="3">
        <v>131.47</v>
      </c>
      <c r="X413" s="3">
        <v>4670.4399999999996</v>
      </c>
      <c r="Y413" s="3">
        <v>3249.91</v>
      </c>
      <c r="Z413" s="3">
        <f t="shared" si="29"/>
        <v>1724.4500000000007</v>
      </c>
      <c r="AA413" s="37">
        <f t="shared" si="30"/>
        <v>0.26966061965100269</v>
      </c>
      <c r="AB413" s="3">
        <v>-135.63999999999999</v>
      </c>
      <c r="AC413" s="3">
        <v>191.85</v>
      </c>
      <c r="AD413" s="3">
        <v>1116.55</v>
      </c>
      <c r="AE413" s="3">
        <v>7319.6</v>
      </c>
      <c r="AF413" t="str">
        <f>IF(tbl_FinancialData[[#This Row],[City]]="","Unknown",PROPER(TRIM(tbl_FinancialData[[#This Row],[City]])))</f>
        <v>Lucknow</v>
      </c>
      <c r="AG413" t="str">
        <f>_xlfn.LET(_xlpm.city,LOWER(TRIM(tbl_FinancialData[[#This Row],[City]])),_xlpm.st,PROPER(TRIM(tbl_FinancialData[[#This Row],[State]])),IF(_xlpm.city="pune","Maharashtra",IF(_xlpm.city="jamshedpur","Jharkhand",IF(_xlpm.city="bhilai","Chhattisgarh",IF(_xlpm.city="mumbai","Maharashtra",_xlpm.st)))))</f>
        <v>Uttar Pradesh</v>
      </c>
      <c r="AH413" t="str">
        <f>_xlfn.LET(_xlpm.d,PROPER(TRIM(tbl_FinancialData[[#This Row],[Department]])),IF(_xlpm.d="It","IT",_xlpm.d))</f>
        <v>IT</v>
      </c>
      <c r="AI413" t="str">
        <f>_xlfn.LET(_xlpm.pid,tbl_FinancialData[[#This Row],[Product ID]],_xlpm.n,PROPER(TRIM(tbl_FinancialData[[#This Row],[Product Name]])),IF(_xlpm.pid="P020","Document Scanner",IF(_xlpm.pid="P015","Network Router",SUBSTITUTE(SUBSTITUTE(_xlpm.n,"Crm","CRM"),"Ups","UPS"))))</f>
        <v>Mouse</v>
      </c>
      <c r="AJ413" s="3" t="str">
        <f>UPPER(TRIM(tbl_FinancialData[[#This Row],[Cost Center]]))</f>
        <v>CC-1004</v>
      </c>
    </row>
    <row r="414" spans="1:36" x14ac:dyDescent="0.25">
      <c r="A414" s="3" t="s">
        <v>615</v>
      </c>
      <c r="B414" s="2">
        <v>45841</v>
      </c>
      <c r="C414" t="s">
        <v>32</v>
      </c>
      <c r="D414" s="3" t="str">
        <f t="shared" si="27"/>
        <v>Q2</v>
      </c>
      <c r="E414" s="3" t="str">
        <f t="shared" si="28"/>
        <v>FY2026</v>
      </c>
      <c r="F414" s="8" t="s">
        <v>47</v>
      </c>
      <c r="G414" s="3" t="s">
        <v>35</v>
      </c>
      <c r="H414" t="s">
        <v>206</v>
      </c>
      <c r="I414" t="s">
        <v>296</v>
      </c>
      <c r="J414" s="3" t="s">
        <v>38</v>
      </c>
      <c r="K414" t="s">
        <v>50</v>
      </c>
      <c r="L414" s="3" t="s">
        <v>81</v>
      </c>
      <c r="M414" s="3" t="s">
        <v>221</v>
      </c>
      <c r="N414" t="s">
        <v>222</v>
      </c>
      <c r="O414" t="s">
        <v>104</v>
      </c>
      <c r="P414" t="s">
        <v>223</v>
      </c>
      <c r="Q414" s="3">
        <v>19664.52</v>
      </c>
      <c r="R414" s="3">
        <v>20823.12</v>
      </c>
      <c r="S414" s="3">
        <v>11166.43</v>
      </c>
      <c r="T414" s="3">
        <v>2252.94</v>
      </c>
      <c r="U414" s="3">
        <v>1160.47</v>
      </c>
      <c r="V414" s="3">
        <v>970.24</v>
      </c>
      <c r="W414" s="3">
        <v>285.48</v>
      </c>
      <c r="X414" s="3">
        <v>15835.56</v>
      </c>
      <c r="Y414" s="3">
        <v>8498.09</v>
      </c>
      <c r="Z414" s="3">
        <f t="shared" si="29"/>
        <v>3828.9600000000009</v>
      </c>
      <c r="AA414" s="37">
        <f t="shared" si="30"/>
        <v>0.19471413489879238</v>
      </c>
      <c r="AB414" s="3">
        <v>-1158.5999999999999</v>
      </c>
      <c r="AC414" s="3">
        <v>983.23</v>
      </c>
      <c r="AD414" s="3">
        <v>3362.63</v>
      </c>
      <c r="AE414" s="3">
        <v>22043.93</v>
      </c>
      <c r="AF414" t="str">
        <f>IF(tbl_FinancialData[[#This Row],[City]]="","Unknown",PROPER(TRIM(tbl_FinancialData[[#This Row],[City]])))</f>
        <v>Warangal</v>
      </c>
      <c r="AG414" t="str">
        <f>_xlfn.LET(_xlpm.city,LOWER(TRIM(tbl_FinancialData[[#This Row],[City]])),_xlpm.st,PROPER(TRIM(tbl_FinancialData[[#This Row],[State]])),IF(_xlpm.city="pune","Maharashtra",IF(_xlpm.city="jamshedpur","Jharkhand",IF(_xlpm.city="bhilai","Chhattisgarh",IF(_xlpm.city="mumbai","Maharashtra",_xlpm.st)))))</f>
        <v>Telangana</v>
      </c>
      <c r="AH414" t="str">
        <f>_xlfn.LET(_xlpm.d,PROPER(TRIM(tbl_FinancialData[[#This Row],[Department]])),IF(_xlpm.d="It","IT",_xlpm.d))</f>
        <v>Sales</v>
      </c>
      <c r="AI414" t="str">
        <f>_xlfn.LET(_xlpm.pid,tbl_FinancialData[[#This Row],[Product ID]],_xlpm.n,PROPER(TRIM(tbl_FinancialData[[#This Row],[Product Name]])),IF(_xlpm.pid="P020","Document Scanner",IF(_xlpm.pid="P015","Network Router",SUBSTITUTE(SUBSTITUTE(_xlpm.n,"Crm","CRM"),"Ups","UPS"))))</f>
        <v>Cloud Software</v>
      </c>
      <c r="AJ414" s="3" t="str">
        <f>UPPER(TRIM(tbl_FinancialData[[#This Row],[Cost Center]]))</f>
        <v>CC-1005</v>
      </c>
    </row>
    <row r="415" spans="1:36" x14ac:dyDescent="0.25">
      <c r="A415" s="3" t="s">
        <v>616</v>
      </c>
      <c r="B415" s="2">
        <v>45790</v>
      </c>
      <c r="C415" t="s">
        <v>65</v>
      </c>
      <c r="D415" s="3" t="str">
        <f t="shared" si="27"/>
        <v>Q1</v>
      </c>
      <c r="E415" s="3" t="str">
        <f t="shared" si="28"/>
        <v>FY2026</v>
      </c>
      <c r="F415" s="8" t="s">
        <v>59</v>
      </c>
      <c r="G415" s="3" t="s">
        <v>35</v>
      </c>
      <c r="H415" t="s">
        <v>139</v>
      </c>
      <c r="I415" t="s">
        <v>140</v>
      </c>
      <c r="J415" s="3" t="s">
        <v>80</v>
      </c>
      <c r="K415" t="s">
        <v>50</v>
      </c>
      <c r="L415" s="3" t="s">
        <v>94</v>
      </c>
      <c r="M415" s="3" t="s">
        <v>197</v>
      </c>
      <c r="N415" t="s">
        <v>198</v>
      </c>
      <c r="O415" t="s">
        <v>43</v>
      </c>
      <c r="P415" t="s">
        <v>163</v>
      </c>
      <c r="Q415" s="3">
        <v>49269.46</v>
      </c>
      <c r="R415" s="3">
        <v>52080.35</v>
      </c>
      <c r="S415" s="3">
        <v>28647.66</v>
      </c>
      <c r="T415" s="3">
        <v>3255.24</v>
      </c>
      <c r="U415" s="3">
        <v>2210.75</v>
      </c>
      <c r="V415" s="3">
        <v>4038.13</v>
      </c>
      <c r="W415" s="3">
        <v>1616.8</v>
      </c>
      <c r="X415" s="3">
        <v>39768.58</v>
      </c>
      <c r="Y415" s="3">
        <v>20621.8</v>
      </c>
      <c r="Z415" s="3">
        <f t="shared" si="29"/>
        <v>9500.8799999999974</v>
      </c>
      <c r="AA415" s="37">
        <f t="shared" si="30"/>
        <v>0.19283507470956648</v>
      </c>
      <c r="AB415" s="3">
        <v>-2810.88</v>
      </c>
      <c r="AC415" s="3">
        <v>2463.4699999999998</v>
      </c>
      <c r="AD415" s="3">
        <v>8425.08</v>
      </c>
      <c r="AE415" s="3">
        <v>55231.07</v>
      </c>
      <c r="AF415" t="str">
        <f>IF(tbl_FinancialData[[#This Row],[City]]="","Unknown",PROPER(TRIM(tbl_FinancialData[[#This Row],[City]])))</f>
        <v>Faridabad</v>
      </c>
      <c r="AG415" t="str">
        <f>_xlfn.LET(_xlpm.city,LOWER(TRIM(tbl_FinancialData[[#This Row],[City]])),_xlpm.st,PROPER(TRIM(tbl_FinancialData[[#This Row],[State]])),IF(_xlpm.city="pune","Maharashtra",IF(_xlpm.city="jamshedpur","Jharkhand",IF(_xlpm.city="bhilai","Chhattisgarh",IF(_xlpm.city="mumbai","Maharashtra",_xlpm.st)))))</f>
        <v>Haryana</v>
      </c>
      <c r="AH415" t="str">
        <f>_xlfn.LET(_xlpm.d,PROPER(TRIM(tbl_FinancialData[[#This Row],[Department]])),IF(_xlpm.d="It","IT",_xlpm.d))</f>
        <v>Sales</v>
      </c>
      <c r="AI415" t="str">
        <f>_xlfn.LET(_xlpm.pid,tbl_FinancialData[[#This Row],[Product ID]],_xlpm.n,PROPER(TRIM(tbl_FinancialData[[#This Row],[Product Name]])),IF(_xlpm.pid="P020","Document Scanner",IF(_xlpm.pid="P015","Network Router",SUBSTITUTE(SUBSTITUTE(_xlpm.n,"Crm","CRM"),"Ups","UPS"))))</f>
        <v>Smartphone</v>
      </c>
      <c r="AJ415" s="3" t="str">
        <f>UPPER(TRIM(tbl_FinancialData[[#This Row],[Cost Center]]))</f>
        <v>CC-1001</v>
      </c>
    </row>
    <row r="416" spans="1:36" x14ac:dyDescent="0.25">
      <c r="A416" s="3" t="s">
        <v>617</v>
      </c>
      <c r="B416" s="2">
        <v>46049</v>
      </c>
      <c r="C416" t="s">
        <v>77</v>
      </c>
      <c r="D416" s="3" t="str">
        <f t="shared" si="27"/>
        <v>Q4</v>
      </c>
      <c r="E416" s="3" t="str">
        <f t="shared" si="28"/>
        <v>FY2026</v>
      </c>
      <c r="F416" s="8" t="s">
        <v>59</v>
      </c>
      <c r="G416" s="3" t="s">
        <v>35</v>
      </c>
      <c r="H416" t="s">
        <v>60</v>
      </c>
      <c r="I416" t="s">
        <v>185</v>
      </c>
      <c r="J416" s="3" t="s">
        <v>70</v>
      </c>
      <c r="K416" t="s">
        <v>50</v>
      </c>
      <c r="L416" s="3" t="s">
        <v>40</v>
      </c>
      <c r="M416" s="3" t="s">
        <v>161</v>
      </c>
      <c r="N416" t="s">
        <v>162</v>
      </c>
      <c r="O416" t="s">
        <v>43</v>
      </c>
      <c r="P416" t="s">
        <v>163</v>
      </c>
      <c r="Q416" s="3">
        <v>47879.12</v>
      </c>
      <c r="R416" s="3">
        <v>50024.01</v>
      </c>
      <c r="S416" s="3">
        <v>33666.199999999997</v>
      </c>
      <c r="T416" s="3">
        <v>6024.59</v>
      </c>
      <c r="U416" s="3">
        <v>1412.66</v>
      </c>
      <c r="V416" s="3">
        <v>3663.38</v>
      </c>
      <c r="W416" s="3">
        <v>1500.49</v>
      </c>
      <c r="X416" s="3">
        <v>46267.32</v>
      </c>
      <c r="Y416" s="3">
        <v>14212.92</v>
      </c>
      <c r="Z416" s="3">
        <f t="shared" si="29"/>
        <v>1611.8000000000029</v>
      </c>
      <c r="AA416" s="37">
        <f t="shared" si="30"/>
        <v>3.3663943698213392E-2</v>
      </c>
      <c r="AB416" s="3">
        <v>-2144.88</v>
      </c>
      <c r="AC416" s="3">
        <v>957.58</v>
      </c>
      <c r="AD416" s="3">
        <v>5630.58</v>
      </c>
      <c r="AE416" s="3">
        <v>52552.12</v>
      </c>
      <c r="AF416" t="str">
        <f>IF(tbl_FinancialData[[#This Row],[City]]="","Unknown",PROPER(TRIM(tbl_FinancialData[[#This Row],[City]])))</f>
        <v>Kanpur</v>
      </c>
      <c r="AG416" t="str">
        <f>_xlfn.LET(_xlpm.city,LOWER(TRIM(tbl_FinancialData[[#This Row],[City]])),_xlpm.st,PROPER(TRIM(tbl_FinancialData[[#This Row],[State]])),IF(_xlpm.city="pune","Maharashtra",IF(_xlpm.city="jamshedpur","Jharkhand",IF(_xlpm.city="bhilai","Chhattisgarh",IF(_xlpm.city="mumbai","Maharashtra",_xlpm.st)))))</f>
        <v>Uttar Pradesh</v>
      </c>
      <c r="AH416" t="str">
        <f>_xlfn.LET(_xlpm.d,PROPER(TRIM(tbl_FinancialData[[#This Row],[Department]])),IF(_xlpm.d="It","IT",_xlpm.d))</f>
        <v>Sales</v>
      </c>
      <c r="AI416" t="str">
        <f>_xlfn.LET(_xlpm.pid,tbl_FinancialData[[#This Row],[Product ID]],_xlpm.n,PROPER(TRIM(tbl_FinancialData[[#This Row],[Product Name]])),IF(_xlpm.pid="P020","Document Scanner",IF(_xlpm.pid="P015","Network Router",SUBSTITUTE(SUBSTITUTE(_xlpm.n,"Crm","CRM"),"Ups","UPS"))))</f>
        <v>Tablet</v>
      </c>
      <c r="AJ416" s="3" t="str">
        <f>UPPER(TRIM(tbl_FinancialData[[#This Row],[Cost Center]]))</f>
        <v>CC-1002</v>
      </c>
    </row>
    <row r="417" spans="1:36" x14ac:dyDescent="0.25">
      <c r="A417" s="3" t="s">
        <v>618</v>
      </c>
      <c r="B417" s="2">
        <v>45977</v>
      </c>
      <c r="C417" t="s">
        <v>147</v>
      </c>
      <c r="D417" s="3" t="str">
        <f t="shared" si="27"/>
        <v>Q3</v>
      </c>
      <c r="E417" s="3" t="str">
        <f t="shared" si="28"/>
        <v>FY2026</v>
      </c>
      <c r="F417" s="8" t="s">
        <v>47</v>
      </c>
      <c r="G417" s="3" t="s">
        <v>35</v>
      </c>
      <c r="H417" t="s">
        <v>206</v>
      </c>
      <c r="I417" t="s">
        <v>207</v>
      </c>
      <c r="J417" s="3" t="s">
        <v>100</v>
      </c>
      <c r="K417" t="s">
        <v>160</v>
      </c>
      <c r="L417" s="3" t="s">
        <v>51</v>
      </c>
      <c r="M417" s="3" t="s">
        <v>186</v>
      </c>
      <c r="N417" t="s">
        <v>187</v>
      </c>
      <c r="O417" t="s">
        <v>173</v>
      </c>
      <c r="P417" t="s">
        <v>174</v>
      </c>
      <c r="Q417" s="3">
        <v>17018.71</v>
      </c>
      <c r="R417" s="3">
        <v>15944.26</v>
      </c>
      <c r="S417" s="3">
        <v>11813.32</v>
      </c>
      <c r="T417" s="3">
        <v>1437.66</v>
      </c>
      <c r="U417" s="3">
        <v>644.5</v>
      </c>
      <c r="V417" s="3">
        <v>1277.1099999999999</v>
      </c>
      <c r="W417" s="3">
        <v>413.66</v>
      </c>
      <c r="X417" s="3">
        <v>15586.25</v>
      </c>
      <c r="Y417" s="3">
        <v>5205.3900000000003</v>
      </c>
      <c r="Z417" s="3">
        <f t="shared" si="29"/>
        <v>1432.4599999999991</v>
      </c>
      <c r="AA417" s="37">
        <f t="shared" si="30"/>
        <v>8.4169716741163067E-2</v>
      </c>
      <c r="AB417" s="3">
        <v>1074.45</v>
      </c>
      <c r="AC417" s="3">
        <v>510.56</v>
      </c>
      <c r="AD417" s="3">
        <v>1980.98</v>
      </c>
      <c r="AE417" s="3">
        <v>18489.12</v>
      </c>
      <c r="AF417" t="str">
        <f>IF(tbl_FinancialData[[#This Row],[City]]="","Unknown",PROPER(TRIM(tbl_FinancialData[[#This Row],[City]])))</f>
        <v>Nizamabad</v>
      </c>
      <c r="AG417" t="str">
        <f>_xlfn.LET(_xlpm.city,LOWER(TRIM(tbl_FinancialData[[#This Row],[City]])),_xlpm.st,PROPER(TRIM(tbl_FinancialData[[#This Row],[State]])),IF(_xlpm.city="pune","Maharashtra",IF(_xlpm.city="jamshedpur","Jharkhand",IF(_xlpm.city="bhilai","Chhattisgarh",IF(_xlpm.city="mumbai","Maharashtra",_xlpm.st)))))</f>
        <v>Telangana</v>
      </c>
      <c r="AH417" t="str">
        <f>_xlfn.LET(_xlpm.d,PROPER(TRIM(tbl_FinancialData[[#This Row],[Department]])),IF(_xlpm.d="It","IT",_xlpm.d))</f>
        <v>IT</v>
      </c>
      <c r="AI417" t="str">
        <f>_xlfn.LET(_xlpm.pid,tbl_FinancialData[[#This Row],[Product ID]],_xlpm.n,PROPER(TRIM(tbl_FinancialData[[#This Row],[Product Name]])),IF(_xlpm.pid="P020","Document Scanner",IF(_xlpm.pid="P015","Network Router",SUBSTITUTE(SUBSTITUTE(_xlpm.n,"Crm","CRM"),"Ups","UPS"))))</f>
        <v>Network Router</v>
      </c>
      <c r="AJ417" s="3" t="str">
        <f>UPPER(TRIM(tbl_FinancialData[[#This Row],[Cost Center]]))</f>
        <v>CC-1003</v>
      </c>
    </row>
    <row r="418" spans="1:36" x14ac:dyDescent="0.25">
      <c r="A418" s="3" t="s">
        <v>619</v>
      </c>
      <c r="B418" s="2">
        <v>45790</v>
      </c>
      <c r="C418" t="s">
        <v>65</v>
      </c>
      <c r="D418" s="3" t="str">
        <f t="shared" si="27"/>
        <v>Q1</v>
      </c>
      <c r="E418" s="3" t="str">
        <f t="shared" si="28"/>
        <v>FY2026</v>
      </c>
      <c r="F418" s="8" t="s">
        <v>47</v>
      </c>
      <c r="G418" s="3" t="s">
        <v>35</v>
      </c>
      <c r="H418" t="s">
        <v>48</v>
      </c>
      <c r="I418" t="s">
        <v>126</v>
      </c>
      <c r="J418" s="3" t="s">
        <v>100</v>
      </c>
      <c r="K418" t="s">
        <v>71</v>
      </c>
      <c r="L418" s="3" t="s">
        <v>94</v>
      </c>
      <c r="M418" s="3" t="s">
        <v>73</v>
      </c>
      <c r="N418" t="s">
        <v>74</v>
      </c>
      <c r="O418" t="s">
        <v>43</v>
      </c>
      <c r="P418" t="s">
        <v>75</v>
      </c>
      <c r="Q418" s="3">
        <v>43068.71</v>
      </c>
      <c r="R418" s="3">
        <v>42914.42</v>
      </c>
      <c r="S418" s="3">
        <v>28900.47</v>
      </c>
      <c r="T418" s="3">
        <v>3206.92</v>
      </c>
      <c r="U418" s="3">
        <v>1280.6500000000001</v>
      </c>
      <c r="V418" s="3">
        <v>4936.16</v>
      </c>
      <c r="W418" s="3">
        <v>1025.44</v>
      </c>
      <c r="X418" s="3">
        <v>39349.620000000003</v>
      </c>
      <c r="Y418" s="3">
        <v>14168.24</v>
      </c>
      <c r="Z418" s="3">
        <f t="shared" si="29"/>
        <v>3719.0899999999965</v>
      </c>
      <c r="AA418" s="37">
        <f t="shared" si="30"/>
        <v>8.6352481883018944E-2</v>
      </c>
      <c r="AB418" s="3">
        <v>154.29</v>
      </c>
      <c r="AC418" s="3">
        <v>3445.5</v>
      </c>
      <c r="AD418" s="3">
        <v>4754.79</v>
      </c>
      <c r="AE418" s="3">
        <v>44378</v>
      </c>
      <c r="AF418" t="str">
        <f>IF(tbl_FinancialData[[#This Row],[City]]="","Unknown",PROPER(TRIM(tbl_FinancialData[[#This Row],[City]])))</f>
        <v>Coimbatore</v>
      </c>
      <c r="AG418" t="str">
        <f>_xlfn.LET(_xlpm.city,LOWER(TRIM(tbl_FinancialData[[#This Row],[City]])),_xlpm.st,PROPER(TRIM(tbl_FinancialData[[#This Row],[State]])),IF(_xlpm.city="pune","Maharashtra",IF(_xlpm.city="jamshedpur","Jharkhand",IF(_xlpm.city="bhilai","Chhattisgarh",IF(_xlpm.city="mumbai","Maharashtra",_xlpm.st)))))</f>
        <v>Tamil Nadu</v>
      </c>
      <c r="AH418" t="str">
        <f>_xlfn.LET(_xlpm.d,PROPER(TRIM(tbl_FinancialData[[#This Row],[Department]])),IF(_xlpm.d="It","IT",_xlpm.d))</f>
        <v>Marketing</v>
      </c>
      <c r="AI418" t="str">
        <f>_xlfn.LET(_xlpm.pid,tbl_FinancialData[[#This Row],[Product ID]],_xlpm.n,PROPER(TRIM(tbl_FinancialData[[#This Row],[Product Name]])),IF(_xlpm.pid="P020","Document Scanner",IF(_xlpm.pid="P015","Network Router",SUBSTITUTE(SUBSTITUTE(_xlpm.n,"Crm","CRM"),"Ups","UPS"))))</f>
        <v>Monitor</v>
      </c>
      <c r="AJ418" s="3" t="str">
        <f>UPPER(TRIM(tbl_FinancialData[[#This Row],[Cost Center]]))</f>
        <v>CC-1001</v>
      </c>
    </row>
    <row r="419" spans="1:36" x14ac:dyDescent="0.25">
      <c r="A419" s="3" t="s">
        <v>620</v>
      </c>
      <c r="B419" s="2">
        <v>46027</v>
      </c>
      <c r="C419" t="s">
        <v>77</v>
      </c>
      <c r="D419" s="3" t="str">
        <f t="shared" si="27"/>
        <v>Q4</v>
      </c>
      <c r="E419" s="3" t="str">
        <f t="shared" si="28"/>
        <v>FY2026</v>
      </c>
      <c r="F419" s="8" t="s">
        <v>34</v>
      </c>
      <c r="G419" s="3" t="s">
        <v>35</v>
      </c>
      <c r="H419" t="s">
        <v>98</v>
      </c>
      <c r="I419" t="s">
        <v>149</v>
      </c>
      <c r="J419" s="3" t="s">
        <v>38</v>
      </c>
      <c r="K419" t="s">
        <v>71</v>
      </c>
      <c r="L419" s="3" t="s">
        <v>81</v>
      </c>
      <c r="M419" s="3" t="s">
        <v>171</v>
      </c>
      <c r="N419" t="s">
        <v>172</v>
      </c>
      <c r="O419" t="s">
        <v>173</v>
      </c>
      <c r="P419" t="s">
        <v>174</v>
      </c>
      <c r="Q419" s="3">
        <v>22318.87</v>
      </c>
      <c r="R419" s="3">
        <v>23358.68</v>
      </c>
      <c r="S419" s="3">
        <v>13539.05</v>
      </c>
      <c r="T419" s="3">
        <v>2286.23</v>
      </c>
      <c r="U419" s="3">
        <v>896.26</v>
      </c>
      <c r="V419" s="3">
        <v>2436.15</v>
      </c>
      <c r="W419" s="3">
        <v>464.86</v>
      </c>
      <c r="X419" s="3">
        <v>19622.560000000001</v>
      </c>
      <c r="Y419" s="3">
        <v>8779.82</v>
      </c>
      <c r="Z419" s="3">
        <f t="shared" si="29"/>
        <v>2696.3099999999977</v>
      </c>
      <c r="AA419" s="37">
        <f t="shared" si="30"/>
        <v>0.12080853555757966</v>
      </c>
      <c r="AB419" s="3">
        <v>-1039.81</v>
      </c>
      <c r="AC419" s="3">
        <v>1115.94</v>
      </c>
      <c r="AD419" s="3">
        <v>1060.1500000000001</v>
      </c>
      <c r="AE419" s="3">
        <v>22263.07</v>
      </c>
      <c r="AF419" t="str">
        <f>IF(tbl_FinancialData[[#This Row],[City]]="","Unknown",PROPER(TRIM(tbl_FinancialData[[#This Row],[City]])))</f>
        <v>Nagpur</v>
      </c>
      <c r="AG419" t="str">
        <f>_xlfn.LET(_xlpm.city,LOWER(TRIM(tbl_FinancialData[[#This Row],[City]])),_xlpm.st,PROPER(TRIM(tbl_FinancialData[[#This Row],[State]])),IF(_xlpm.city="pune","Maharashtra",IF(_xlpm.city="jamshedpur","Jharkhand",IF(_xlpm.city="bhilai","Chhattisgarh",IF(_xlpm.city="mumbai","Maharashtra",_xlpm.st)))))</f>
        <v>Maharashtra</v>
      </c>
      <c r="AH419" t="str">
        <f>_xlfn.LET(_xlpm.d,PROPER(TRIM(tbl_FinancialData[[#This Row],[Department]])),IF(_xlpm.d="It","IT",_xlpm.d))</f>
        <v>Marketing</v>
      </c>
      <c r="AI419" t="str">
        <f>_xlfn.LET(_xlpm.pid,tbl_FinancialData[[#This Row],[Product ID]],_xlpm.n,PROPER(TRIM(tbl_FinancialData[[#This Row],[Product Name]])),IF(_xlpm.pid="P020","Document Scanner",IF(_xlpm.pid="P015","Network Router",SUBSTITUTE(SUBSTITUTE(_xlpm.n,"Crm","CRM"),"Ups","UPS"))))</f>
        <v>Network Switch</v>
      </c>
      <c r="AJ419" s="3" t="str">
        <f>UPPER(TRIM(tbl_FinancialData[[#This Row],[Cost Center]]))</f>
        <v>CC-1005</v>
      </c>
    </row>
    <row r="420" spans="1:36" x14ac:dyDescent="0.25">
      <c r="A420" s="3" t="s">
        <v>621</v>
      </c>
      <c r="B420" s="2">
        <v>46042</v>
      </c>
      <c r="C420" t="s">
        <v>77</v>
      </c>
      <c r="D420" s="3" t="str">
        <f t="shared" si="27"/>
        <v>Q4</v>
      </c>
      <c r="E420" s="3" t="str">
        <f t="shared" si="28"/>
        <v>FY2026</v>
      </c>
      <c r="F420" s="8" t="s">
        <v>47</v>
      </c>
      <c r="G420" s="3" t="s">
        <v>35</v>
      </c>
      <c r="H420" t="s">
        <v>214</v>
      </c>
      <c r="I420" t="s">
        <v>215</v>
      </c>
      <c r="J420" s="3" t="s">
        <v>70</v>
      </c>
      <c r="K420" t="s">
        <v>50</v>
      </c>
      <c r="L420" s="3" t="s">
        <v>51</v>
      </c>
      <c r="M420" s="3" t="s">
        <v>52</v>
      </c>
      <c r="N420" t="s">
        <v>53</v>
      </c>
      <c r="O420" t="s">
        <v>54</v>
      </c>
      <c r="P420" t="s">
        <v>55</v>
      </c>
      <c r="Q420" s="3">
        <v>3351.53</v>
      </c>
      <c r="R420" s="3">
        <v>3756.94</v>
      </c>
      <c r="S420" s="3">
        <v>2060.69</v>
      </c>
      <c r="T420" s="3">
        <v>366.22</v>
      </c>
      <c r="U420" s="3">
        <v>227.97</v>
      </c>
      <c r="V420" s="3">
        <v>229.39</v>
      </c>
      <c r="W420" s="3">
        <v>128.4</v>
      </c>
      <c r="X420" s="3">
        <v>3012.67</v>
      </c>
      <c r="Y420" s="3">
        <v>1290.8399999999999</v>
      </c>
      <c r="Z420" s="3">
        <f t="shared" si="29"/>
        <v>338.86000000000013</v>
      </c>
      <c r="AA420" s="37">
        <f t="shared" si="30"/>
        <v>0.10110606200750108</v>
      </c>
      <c r="AB420" s="3">
        <v>-405.41</v>
      </c>
      <c r="AC420" s="3">
        <v>67.03</v>
      </c>
      <c r="AD420" s="3">
        <v>394.14</v>
      </c>
      <c r="AE420" s="3">
        <v>3678.64</v>
      </c>
      <c r="AF420" t="str">
        <f>IF(tbl_FinancialData[[#This Row],[City]]="","Unknown",PROPER(TRIM(tbl_FinancialData[[#This Row],[City]])))</f>
        <v>Mangaluru</v>
      </c>
      <c r="AG420" t="str">
        <f>_xlfn.LET(_xlpm.city,LOWER(TRIM(tbl_FinancialData[[#This Row],[City]])),_xlpm.st,PROPER(TRIM(tbl_FinancialData[[#This Row],[State]])),IF(_xlpm.city="pune","Maharashtra",IF(_xlpm.city="jamshedpur","Jharkhand",IF(_xlpm.city="bhilai","Chhattisgarh",IF(_xlpm.city="mumbai","Maharashtra",_xlpm.st)))))</f>
        <v>Karnataka</v>
      </c>
      <c r="AH420" t="str">
        <f>_xlfn.LET(_xlpm.d,PROPER(TRIM(tbl_FinancialData[[#This Row],[Department]])),IF(_xlpm.d="It","IT",_xlpm.d))</f>
        <v>Sales</v>
      </c>
      <c r="AI420" t="str">
        <f>_xlfn.LET(_xlpm.pid,tbl_FinancialData[[#This Row],[Product ID]],_xlpm.n,PROPER(TRIM(tbl_FinancialData[[#This Row],[Product Name]])),IF(_xlpm.pid="P020","Document Scanner",IF(_xlpm.pid="P015","Network Router",SUBSTITUTE(SUBSTITUTE(_xlpm.n,"Crm","CRM"),"Ups","UPS"))))</f>
        <v>Mouse</v>
      </c>
      <c r="AJ420" s="3" t="str">
        <f>UPPER(TRIM(tbl_FinancialData[[#This Row],[Cost Center]]))</f>
        <v>CC-1003</v>
      </c>
    </row>
    <row r="421" spans="1:36" x14ac:dyDescent="0.25">
      <c r="A421" s="3" t="s">
        <v>622</v>
      </c>
      <c r="B421" s="2">
        <v>45978</v>
      </c>
      <c r="C421" t="s">
        <v>147</v>
      </c>
      <c r="D421" s="3" t="str">
        <f t="shared" si="27"/>
        <v>Q3</v>
      </c>
      <c r="E421" s="3" t="str">
        <f t="shared" si="28"/>
        <v>FY2026</v>
      </c>
      <c r="F421" s="8" t="s">
        <v>59</v>
      </c>
      <c r="G421" s="3" t="s">
        <v>35</v>
      </c>
      <c r="H421" t="s">
        <v>139</v>
      </c>
      <c r="I421" t="s">
        <v>200</v>
      </c>
      <c r="J421" s="3" t="s">
        <v>100</v>
      </c>
      <c r="K421" t="s">
        <v>101</v>
      </c>
      <c r="L421" s="3" t="s">
        <v>94</v>
      </c>
      <c r="M421" s="3" t="s">
        <v>82</v>
      </c>
      <c r="N421" t="s">
        <v>83</v>
      </c>
      <c r="O421" t="s">
        <v>43</v>
      </c>
      <c r="P421" t="s">
        <v>75</v>
      </c>
      <c r="Q421" s="3">
        <v>66460.800000000003</v>
      </c>
      <c r="R421" s="3">
        <v>71673.97</v>
      </c>
      <c r="S421" s="3">
        <v>46308.93</v>
      </c>
      <c r="T421" s="3">
        <v>3847</v>
      </c>
      <c r="U421" s="3">
        <v>2664.09</v>
      </c>
      <c r="V421" s="3">
        <v>6427.56</v>
      </c>
      <c r="W421" s="3">
        <v>2580.7399999999998</v>
      </c>
      <c r="X421" s="3">
        <v>61828.32</v>
      </c>
      <c r="Y421" s="3">
        <v>20151.87</v>
      </c>
      <c r="Z421" s="3">
        <f t="shared" si="29"/>
        <v>4632.4800000000032</v>
      </c>
      <c r="AA421" s="37">
        <f t="shared" si="30"/>
        <v>6.9702441138234913E-2</v>
      </c>
      <c r="AB421" s="3">
        <v>-5213.18</v>
      </c>
      <c r="AC421" s="3">
        <v>5316.86</v>
      </c>
      <c r="AD421" s="3">
        <v>7337.27</v>
      </c>
      <c r="AE421" s="3">
        <v>68481.210000000006</v>
      </c>
      <c r="AF421" t="str">
        <f>IF(tbl_FinancialData[[#This Row],[City]]="","Unknown",PROPER(TRIM(tbl_FinancialData[[#This Row],[City]])))</f>
        <v>Gurugram</v>
      </c>
      <c r="AG421" t="str">
        <f>_xlfn.LET(_xlpm.city,LOWER(TRIM(tbl_FinancialData[[#This Row],[City]])),_xlpm.st,PROPER(TRIM(tbl_FinancialData[[#This Row],[State]])),IF(_xlpm.city="pune","Maharashtra",IF(_xlpm.city="jamshedpur","Jharkhand",IF(_xlpm.city="bhilai","Chhattisgarh",IF(_xlpm.city="mumbai","Maharashtra",_xlpm.st)))))</f>
        <v>Haryana</v>
      </c>
      <c r="AH421" t="str">
        <f>_xlfn.LET(_xlpm.d,PROPER(TRIM(tbl_FinancialData[[#This Row],[Department]])),IF(_xlpm.d="It","IT",_xlpm.d))</f>
        <v>Finance</v>
      </c>
      <c r="AI421" t="str">
        <f>_xlfn.LET(_xlpm.pid,tbl_FinancialData[[#This Row],[Product ID]],_xlpm.n,PROPER(TRIM(tbl_FinancialData[[#This Row],[Product Name]])),IF(_xlpm.pid="P020","Document Scanner",IF(_xlpm.pid="P015","Network Router",SUBSTITUTE(SUBSTITUTE(_xlpm.n,"Crm","CRM"),"Ups","UPS"))))</f>
        <v>Business Laptop</v>
      </c>
      <c r="AJ421" s="3" t="str">
        <f>UPPER(TRIM(tbl_FinancialData[[#This Row],[Cost Center]]))</f>
        <v>CC-1001</v>
      </c>
    </row>
    <row r="422" spans="1:36" x14ac:dyDescent="0.25">
      <c r="A422" s="3" t="s">
        <v>623</v>
      </c>
      <c r="B422" s="2">
        <v>45958</v>
      </c>
      <c r="C422" t="s">
        <v>92</v>
      </c>
      <c r="D422" s="3" t="str">
        <f t="shared" si="27"/>
        <v>Q3</v>
      </c>
      <c r="E422" s="3" t="str">
        <f t="shared" si="28"/>
        <v>FY2026</v>
      </c>
      <c r="F422" s="8" t="s">
        <v>34</v>
      </c>
      <c r="G422" s="3" t="s">
        <v>35</v>
      </c>
      <c r="H422" t="s">
        <v>36</v>
      </c>
      <c r="I422" t="s">
        <v>37</v>
      </c>
      <c r="J422" s="3" t="s">
        <v>38</v>
      </c>
      <c r="K422" t="s">
        <v>50</v>
      </c>
      <c r="L422" s="3" t="s">
        <v>94</v>
      </c>
      <c r="M422" s="3" t="s">
        <v>41</v>
      </c>
      <c r="N422" t="s">
        <v>42</v>
      </c>
      <c r="O422" t="s">
        <v>43</v>
      </c>
      <c r="P422" t="s">
        <v>44</v>
      </c>
      <c r="Q422" s="3">
        <v>26862.84</v>
      </c>
      <c r="R422" s="3">
        <v>27085.82</v>
      </c>
      <c r="S422" s="3">
        <v>16737.04</v>
      </c>
      <c r="T422" s="3">
        <v>1535.81</v>
      </c>
      <c r="U422" s="3">
        <v>1260.6300000000001</v>
      </c>
      <c r="V422" s="3">
        <v>1267.28</v>
      </c>
      <c r="W422" s="3">
        <v>1172.67</v>
      </c>
      <c r="X422" s="3">
        <v>21973.43</v>
      </c>
      <c r="Y422" s="3">
        <v>10125.799999999999</v>
      </c>
      <c r="Z422" s="3">
        <f t="shared" si="29"/>
        <v>4889.41</v>
      </c>
      <c r="AA422" s="37">
        <f t="shared" si="30"/>
        <v>0.18201388981954253</v>
      </c>
      <c r="AB422" s="3">
        <v>-222.98</v>
      </c>
      <c r="AC422" s="3">
        <v>2149.0300000000002</v>
      </c>
      <c r="AD422" s="3">
        <v>2965.66</v>
      </c>
      <c r="AE422" s="3">
        <v>27679.47</v>
      </c>
      <c r="AF422" t="str">
        <f>IF(tbl_FinancialData[[#This Row],[City]]="","Unknown",PROPER(TRIM(tbl_FinancialData[[#This Row],[City]])))</f>
        <v>Vasco Da Gama</v>
      </c>
      <c r="AG422" t="str">
        <f>_xlfn.LET(_xlpm.city,LOWER(TRIM(tbl_FinancialData[[#This Row],[City]])),_xlpm.st,PROPER(TRIM(tbl_FinancialData[[#This Row],[State]])),IF(_xlpm.city="pune","Maharashtra",IF(_xlpm.city="jamshedpur","Jharkhand",IF(_xlpm.city="bhilai","Chhattisgarh",IF(_xlpm.city="mumbai","Maharashtra",_xlpm.st)))))</f>
        <v>Goa</v>
      </c>
      <c r="AH422" t="str">
        <f>_xlfn.LET(_xlpm.d,PROPER(TRIM(tbl_FinancialData[[#This Row],[Department]])),IF(_xlpm.d="It","IT",_xlpm.d))</f>
        <v>Sales</v>
      </c>
      <c r="AI422" t="str">
        <f>_xlfn.LET(_xlpm.pid,tbl_FinancialData[[#This Row],[Product ID]],_xlpm.n,PROPER(TRIM(tbl_FinancialData[[#This Row],[Product Name]])),IF(_xlpm.pid="P020","Document Scanner",IF(_xlpm.pid="P015","Network Router",SUBSTITUTE(SUBSTITUTE(_xlpm.n,"Crm","CRM"),"Ups","UPS"))))</f>
        <v>Conference Camera</v>
      </c>
      <c r="AJ422" s="3" t="str">
        <f>UPPER(TRIM(tbl_FinancialData[[#This Row],[Cost Center]]))</f>
        <v>CC-1001</v>
      </c>
    </row>
    <row r="423" spans="1:36" x14ac:dyDescent="0.25">
      <c r="A423" s="3" t="s">
        <v>624</v>
      </c>
      <c r="B423" s="2">
        <v>45829</v>
      </c>
      <c r="C423" t="s">
        <v>156</v>
      </c>
      <c r="D423" s="3" t="str">
        <f t="shared" si="27"/>
        <v>Q1</v>
      </c>
      <c r="E423" s="3" t="str">
        <f t="shared" si="28"/>
        <v>FY2026</v>
      </c>
      <c r="F423" s="8" t="s">
        <v>59</v>
      </c>
      <c r="G423" s="3" t="s">
        <v>35</v>
      </c>
      <c r="H423" t="s">
        <v>230</v>
      </c>
      <c r="I423" t="s">
        <v>231</v>
      </c>
      <c r="J423" s="3" t="s">
        <v>38</v>
      </c>
      <c r="K423" t="s">
        <v>71</v>
      </c>
      <c r="L423" s="3" t="s">
        <v>81</v>
      </c>
      <c r="M423" s="3" t="s">
        <v>120</v>
      </c>
      <c r="N423" t="s">
        <v>121</v>
      </c>
      <c r="O423" t="s">
        <v>43</v>
      </c>
      <c r="P423" t="s">
        <v>122</v>
      </c>
      <c r="Q423" s="3">
        <v>60666.13</v>
      </c>
      <c r="R423" s="3">
        <v>55985.97</v>
      </c>
      <c r="S423" s="3">
        <v>40247.15</v>
      </c>
      <c r="T423" s="3">
        <v>6867.28</v>
      </c>
      <c r="U423" s="3">
        <v>4037.59</v>
      </c>
      <c r="V423" s="3">
        <v>6568.76</v>
      </c>
      <c r="W423" s="3">
        <v>2172.34</v>
      </c>
      <c r="X423" s="3">
        <v>59893.11</v>
      </c>
      <c r="Y423" s="3">
        <v>20418.98</v>
      </c>
      <c r="Z423" s="3">
        <f t="shared" si="29"/>
        <v>773.0199999999968</v>
      </c>
      <c r="AA423" s="37">
        <f t="shared" si="30"/>
        <v>1.2742200631554986E-2</v>
      </c>
      <c r="AB423" s="3">
        <v>4680.16</v>
      </c>
      <c r="AC423" s="3">
        <v>4853.29</v>
      </c>
      <c r="AD423" s="3">
        <v>6697.54</v>
      </c>
      <c r="AE423" s="3">
        <v>62510.38</v>
      </c>
      <c r="AF423" t="str">
        <f>IF(tbl_FinancialData[[#This Row],[City]]="","Unknown",PROPER(TRIM(tbl_FinancialData[[#This Row],[City]])))</f>
        <v>Ludhiana</v>
      </c>
      <c r="AG423" t="str">
        <f>_xlfn.LET(_xlpm.city,LOWER(TRIM(tbl_FinancialData[[#This Row],[City]])),_xlpm.st,PROPER(TRIM(tbl_FinancialData[[#This Row],[State]])),IF(_xlpm.city="pune","Maharashtra",IF(_xlpm.city="jamshedpur","Jharkhand",IF(_xlpm.city="bhilai","Chhattisgarh",IF(_xlpm.city="mumbai","Maharashtra",_xlpm.st)))))</f>
        <v>Punjab</v>
      </c>
      <c r="AH423" t="str">
        <f>_xlfn.LET(_xlpm.d,PROPER(TRIM(tbl_FinancialData[[#This Row],[Department]])),IF(_xlpm.d="It","IT",_xlpm.d))</f>
        <v>Marketing</v>
      </c>
      <c r="AI423" t="str">
        <f>_xlfn.LET(_xlpm.pid,tbl_FinancialData[[#This Row],[Product ID]],_xlpm.n,PROPER(TRIM(tbl_FinancialData[[#This Row],[Product Name]])),IF(_xlpm.pid="P020","Document Scanner",IF(_xlpm.pid="P015","Network Router",SUBSTITUTE(SUBSTITUTE(_xlpm.n,"Crm","CRM"),"Ups","UPS"))))</f>
        <v>Projector</v>
      </c>
      <c r="AJ423" s="3" t="str">
        <f>UPPER(TRIM(tbl_FinancialData[[#This Row],[Cost Center]]))</f>
        <v>CC-1005</v>
      </c>
    </row>
    <row r="424" spans="1:36" x14ac:dyDescent="0.25">
      <c r="A424" s="3" t="s">
        <v>625</v>
      </c>
      <c r="B424" s="2">
        <v>45858</v>
      </c>
      <c r="C424" t="s">
        <v>32</v>
      </c>
      <c r="D424" s="3" t="str">
        <f t="shared" si="27"/>
        <v>Q2</v>
      </c>
      <c r="E424" s="3" t="str">
        <f t="shared" si="28"/>
        <v>FY2026</v>
      </c>
      <c r="F424" s="8" t="s">
        <v>85</v>
      </c>
      <c r="G424" s="3" t="s">
        <v>35</v>
      </c>
      <c r="H424" t="s">
        <v>86</v>
      </c>
      <c r="I424" t="s">
        <v>181</v>
      </c>
      <c r="J424" s="3" t="s">
        <v>80</v>
      </c>
      <c r="K424" t="s">
        <v>50</v>
      </c>
      <c r="L424" s="3" t="s">
        <v>94</v>
      </c>
      <c r="M424" s="3" t="s">
        <v>161</v>
      </c>
      <c r="N424" t="s">
        <v>162</v>
      </c>
      <c r="O424" t="s">
        <v>43</v>
      </c>
      <c r="P424" t="s">
        <v>163</v>
      </c>
      <c r="Q424" s="3">
        <v>34770.589999999997</v>
      </c>
      <c r="R424" s="3">
        <v>32429.63</v>
      </c>
      <c r="S424" s="3">
        <v>18171.599999999999</v>
      </c>
      <c r="T424" s="3">
        <v>4284.2</v>
      </c>
      <c r="U424" s="3">
        <v>1920.67</v>
      </c>
      <c r="V424" s="3">
        <v>1566.59</v>
      </c>
      <c r="W424" s="3">
        <v>1075.68</v>
      </c>
      <c r="X424" s="3">
        <v>27018.74</v>
      </c>
      <c r="Y424" s="3">
        <v>16599</v>
      </c>
      <c r="Z424" s="3">
        <f t="shared" si="29"/>
        <v>7751.8499999999949</v>
      </c>
      <c r="AA424" s="37">
        <f t="shared" si="30"/>
        <v>0.22294272257100026</v>
      </c>
      <c r="AB424" s="3">
        <v>2340.9699999999998</v>
      </c>
      <c r="AC424" s="3">
        <v>1738.53</v>
      </c>
      <c r="AD424" s="3">
        <v>1651.6</v>
      </c>
      <c r="AE424" s="3">
        <v>34683.67</v>
      </c>
      <c r="AF424" t="str">
        <f>IF(tbl_FinancialData[[#This Row],[City]]="","Unknown",PROPER(TRIM(tbl_FinancialData[[#This Row],[City]])))</f>
        <v>Bhopal</v>
      </c>
      <c r="AG424" t="str">
        <f>_xlfn.LET(_xlpm.city,LOWER(TRIM(tbl_FinancialData[[#This Row],[City]])),_xlpm.st,PROPER(TRIM(tbl_FinancialData[[#This Row],[State]])),IF(_xlpm.city="pune","Maharashtra",IF(_xlpm.city="jamshedpur","Jharkhand",IF(_xlpm.city="bhilai","Chhattisgarh",IF(_xlpm.city="mumbai","Maharashtra",_xlpm.st)))))</f>
        <v>Madhya Pradesh</v>
      </c>
      <c r="AH424" t="str">
        <f>_xlfn.LET(_xlpm.d,PROPER(TRIM(tbl_FinancialData[[#This Row],[Department]])),IF(_xlpm.d="It","IT",_xlpm.d))</f>
        <v>Sales</v>
      </c>
      <c r="AI424" t="str">
        <f>_xlfn.LET(_xlpm.pid,tbl_FinancialData[[#This Row],[Product ID]],_xlpm.n,PROPER(TRIM(tbl_FinancialData[[#This Row],[Product Name]])),IF(_xlpm.pid="P020","Document Scanner",IF(_xlpm.pid="P015","Network Router",SUBSTITUTE(SUBSTITUTE(_xlpm.n,"Crm","CRM"),"Ups","UPS"))))</f>
        <v>Tablet</v>
      </c>
      <c r="AJ424" s="3" t="str">
        <f>UPPER(TRIM(tbl_FinancialData[[#This Row],[Cost Center]]))</f>
        <v>CC-1001</v>
      </c>
    </row>
    <row r="425" spans="1:36" x14ac:dyDescent="0.25">
      <c r="A425" s="3" t="s">
        <v>626</v>
      </c>
      <c r="B425" s="2">
        <v>45916</v>
      </c>
      <c r="C425" t="s">
        <v>46</v>
      </c>
      <c r="D425" s="3" t="str">
        <f t="shared" si="27"/>
        <v>Q2</v>
      </c>
      <c r="E425" s="3" t="str">
        <f t="shared" si="28"/>
        <v>FY2026</v>
      </c>
      <c r="F425" s="8" t="s">
        <v>67</v>
      </c>
      <c r="G425" s="3" t="s">
        <v>35</v>
      </c>
      <c r="H425" t="s">
        <v>68</v>
      </c>
      <c r="I425" t="s">
        <v>204</v>
      </c>
      <c r="J425" s="3" t="s">
        <v>38</v>
      </c>
      <c r="K425" t="s">
        <v>50</v>
      </c>
      <c r="L425" s="3" t="s">
        <v>40</v>
      </c>
      <c r="M425" s="3" t="s">
        <v>211</v>
      </c>
      <c r="N425" t="s">
        <v>212</v>
      </c>
      <c r="O425" t="s">
        <v>112</v>
      </c>
      <c r="P425" t="s">
        <v>113</v>
      </c>
      <c r="Q425" s="3">
        <v>13333.89</v>
      </c>
      <c r="R425" s="3">
        <v>14278.35</v>
      </c>
      <c r="S425" s="3">
        <v>6927.43</v>
      </c>
      <c r="T425" s="3">
        <v>1125.2</v>
      </c>
      <c r="U425" s="3">
        <v>582.30999999999995</v>
      </c>
      <c r="V425" s="3">
        <v>1319.3</v>
      </c>
      <c r="W425" s="3">
        <v>344.94</v>
      </c>
      <c r="X425" s="3">
        <v>10299.18</v>
      </c>
      <c r="Y425" s="3">
        <v>6406.46</v>
      </c>
      <c r="Z425" s="3">
        <f t="shared" si="29"/>
        <v>3034.7099999999991</v>
      </c>
      <c r="AA425" s="37">
        <f t="shared" si="30"/>
        <v>0.22759374796102258</v>
      </c>
      <c r="AB425" s="3">
        <v>-944.46</v>
      </c>
      <c r="AC425" s="3">
        <v>1333.39</v>
      </c>
      <c r="AD425" s="3">
        <v>600.02</v>
      </c>
      <c r="AE425" s="3">
        <v>12600.52</v>
      </c>
      <c r="AF425" t="str">
        <f>IF(tbl_FinancialData[[#This Row],[City]]="","Unknown",PROPER(TRIM(tbl_FinancialData[[#This Row],[City]])))</f>
        <v>Cuttack</v>
      </c>
      <c r="AG425" t="str">
        <f>_xlfn.LET(_xlpm.city,LOWER(TRIM(tbl_FinancialData[[#This Row],[City]])),_xlpm.st,PROPER(TRIM(tbl_FinancialData[[#This Row],[State]])),IF(_xlpm.city="pune","Maharashtra",IF(_xlpm.city="jamshedpur","Jharkhand",IF(_xlpm.city="bhilai","Chhattisgarh",IF(_xlpm.city="mumbai","Maharashtra",_xlpm.st)))))</f>
        <v>Odisha</v>
      </c>
      <c r="AH425" t="str">
        <f>_xlfn.LET(_xlpm.d,PROPER(TRIM(tbl_FinancialData[[#This Row],[Department]])),IF(_xlpm.d="It","IT",_xlpm.d))</f>
        <v>Sales</v>
      </c>
      <c r="AI425" t="str">
        <f>_xlfn.LET(_xlpm.pid,tbl_FinancialData[[#This Row],[Product ID]],_xlpm.n,PROPER(TRIM(tbl_FinancialData[[#This Row],[Product Name]])),IF(_xlpm.pid="P020","Document Scanner",IF(_xlpm.pid="P015","Network Router",SUBSTITUTE(SUBSTITUTE(_xlpm.n,"Crm","CRM"),"Ups","UPS"))))</f>
        <v>Office Chair</v>
      </c>
      <c r="AJ425" s="3" t="str">
        <f>UPPER(TRIM(tbl_FinancialData[[#This Row],[Cost Center]]))</f>
        <v>CC-1002</v>
      </c>
    </row>
    <row r="426" spans="1:36" x14ac:dyDescent="0.25">
      <c r="A426" s="3" t="s">
        <v>627</v>
      </c>
      <c r="B426" s="2">
        <v>46004</v>
      </c>
      <c r="C426" t="s">
        <v>107</v>
      </c>
      <c r="D426" s="3" t="str">
        <f t="shared" si="27"/>
        <v>Q3</v>
      </c>
      <c r="E426" s="3" t="str">
        <f t="shared" si="28"/>
        <v>FY2026</v>
      </c>
      <c r="F426" s="8" t="s">
        <v>67</v>
      </c>
      <c r="G426" s="3" t="s">
        <v>35</v>
      </c>
      <c r="H426" t="s">
        <v>168</v>
      </c>
      <c r="I426" t="s">
        <v>278</v>
      </c>
      <c r="J426" s="3" t="s">
        <v>38</v>
      </c>
      <c r="K426" t="s">
        <v>50</v>
      </c>
      <c r="L426" s="3" t="s">
        <v>72</v>
      </c>
      <c r="M426" s="3" t="s">
        <v>52</v>
      </c>
      <c r="N426" t="s">
        <v>53</v>
      </c>
      <c r="O426" t="s">
        <v>54</v>
      </c>
      <c r="P426" t="s">
        <v>55</v>
      </c>
      <c r="Q426" s="3">
        <v>9559.4500000000007</v>
      </c>
      <c r="R426" s="3">
        <v>10884.05</v>
      </c>
      <c r="S426" s="3">
        <v>5883.16</v>
      </c>
      <c r="T426" s="3">
        <v>791.75</v>
      </c>
      <c r="U426" s="3">
        <v>445.87</v>
      </c>
      <c r="V426" s="3">
        <v>477.94</v>
      </c>
      <c r="W426" s="3">
        <v>131.24</v>
      </c>
      <c r="X426" s="3">
        <v>7729.96</v>
      </c>
      <c r="Y426" s="3">
        <v>3676.3</v>
      </c>
      <c r="Z426" s="3">
        <f t="shared" si="29"/>
        <v>1829.4900000000007</v>
      </c>
      <c r="AA426" s="37">
        <f t="shared" si="30"/>
        <v>0.1913802572323722</v>
      </c>
      <c r="AB426" s="3">
        <v>-1324.6</v>
      </c>
      <c r="AC426" s="3">
        <v>477.97</v>
      </c>
      <c r="AD426" s="3">
        <v>1089.78</v>
      </c>
      <c r="AE426" s="3">
        <v>10171.26</v>
      </c>
      <c r="AF426" t="str">
        <f>IF(tbl_FinancialData[[#This Row],[City]]="","Unknown",PROPER(TRIM(tbl_FinancialData[[#This Row],[City]])))</f>
        <v>Siliguri</v>
      </c>
      <c r="AG426" t="str">
        <f>_xlfn.LET(_xlpm.city,LOWER(TRIM(tbl_FinancialData[[#This Row],[City]])),_xlpm.st,PROPER(TRIM(tbl_FinancialData[[#This Row],[State]])),IF(_xlpm.city="pune","Maharashtra",IF(_xlpm.city="jamshedpur","Jharkhand",IF(_xlpm.city="bhilai","Chhattisgarh",IF(_xlpm.city="mumbai","Maharashtra",_xlpm.st)))))</f>
        <v>West Bengal</v>
      </c>
      <c r="AH426" t="str">
        <f>_xlfn.LET(_xlpm.d,PROPER(TRIM(tbl_FinancialData[[#This Row],[Department]])),IF(_xlpm.d="It","IT",_xlpm.d))</f>
        <v>Sales</v>
      </c>
      <c r="AI426" t="str">
        <f>_xlfn.LET(_xlpm.pid,tbl_FinancialData[[#This Row],[Product ID]],_xlpm.n,PROPER(TRIM(tbl_FinancialData[[#This Row],[Product Name]])),IF(_xlpm.pid="P020","Document Scanner",IF(_xlpm.pid="P015","Network Router",SUBSTITUTE(SUBSTITUTE(_xlpm.n,"Crm","CRM"),"Ups","UPS"))))</f>
        <v>Mouse</v>
      </c>
      <c r="AJ426" s="3" t="str">
        <f>UPPER(TRIM(tbl_FinancialData[[#This Row],[Cost Center]]))</f>
        <v>CC-1004</v>
      </c>
    </row>
    <row r="427" spans="1:36" x14ac:dyDescent="0.25">
      <c r="A427" s="3" t="s">
        <v>628</v>
      </c>
      <c r="B427" s="2">
        <v>45775</v>
      </c>
      <c r="C427" t="s">
        <v>128</v>
      </c>
      <c r="D427" s="3" t="str">
        <f t="shared" si="27"/>
        <v>Q1</v>
      </c>
      <c r="E427" s="3" t="str">
        <f t="shared" si="28"/>
        <v>FY2026</v>
      </c>
      <c r="F427" s="8" t="s">
        <v>85</v>
      </c>
      <c r="G427" s="3" t="s">
        <v>35</v>
      </c>
      <c r="H427" t="s">
        <v>86</v>
      </c>
      <c r="I427" t="s">
        <v>262</v>
      </c>
      <c r="J427" s="3" t="s">
        <v>80</v>
      </c>
      <c r="K427" t="s">
        <v>39</v>
      </c>
      <c r="L427" s="3" t="s">
        <v>81</v>
      </c>
      <c r="M427" s="3" t="s">
        <v>235</v>
      </c>
      <c r="N427" t="s">
        <v>236</v>
      </c>
      <c r="O427" t="s">
        <v>104</v>
      </c>
      <c r="P427" t="s">
        <v>237</v>
      </c>
      <c r="Q427" s="3">
        <v>6649.72</v>
      </c>
      <c r="R427" s="3">
        <v>6778.09</v>
      </c>
      <c r="S427" s="3">
        <v>3883.3</v>
      </c>
      <c r="T427" s="3">
        <v>757.9</v>
      </c>
      <c r="U427" s="3">
        <v>485.87</v>
      </c>
      <c r="V427" s="3">
        <v>492.78</v>
      </c>
      <c r="W427" s="3">
        <v>144.16</v>
      </c>
      <c r="X427" s="3">
        <v>5764.02</v>
      </c>
      <c r="Y427" s="3">
        <v>2766.41</v>
      </c>
      <c r="Z427" s="3">
        <f t="shared" si="29"/>
        <v>885.69999999999982</v>
      </c>
      <c r="AA427" s="37">
        <f t="shared" si="30"/>
        <v>0.13319357807546781</v>
      </c>
      <c r="AB427" s="3">
        <v>-128.37</v>
      </c>
      <c r="AC427" s="3">
        <v>132.99</v>
      </c>
      <c r="AD427" s="3">
        <v>1173.01</v>
      </c>
      <c r="AE427" s="3">
        <v>7689.73</v>
      </c>
      <c r="AF427" t="str">
        <f>IF(tbl_FinancialData[[#This Row],[City]]="","Unknown",PROPER(TRIM(tbl_FinancialData[[#This Row],[City]])))</f>
        <v>Gwalior</v>
      </c>
      <c r="AG427" t="str">
        <f>_xlfn.LET(_xlpm.city,LOWER(TRIM(tbl_FinancialData[[#This Row],[City]])),_xlpm.st,PROPER(TRIM(tbl_FinancialData[[#This Row],[State]])),IF(_xlpm.city="pune","Maharashtra",IF(_xlpm.city="jamshedpur","Jharkhand",IF(_xlpm.city="bhilai","Chhattisgarh",IF(_xlpm.city="mumbai","Maharashtra",_xlpm.st)))))</f>
        <v>Madhya Pradesh</v>
      </c>
      <c r="AH427" t="str">
        <f>_xlfn.LET(_xlpm.d,PROPER(TRIM(tbl_FinancialData[[#This Row],[Department]])),IF(_xlpm.d="It","IT",_xlpm.d))</f>
        <v>Operations</v>
      </c>
      <c r="AI427" t="str">
        <f>_xlfn.LET(_xlpm.pid,tbl_FinancialData[[#This Row],[Product ID]],_xlpm.n,PROPER(TRIM(tbl_FinancialData[[#This Row],[Product Name]])),IF(_xlpm.pid="P020","Document Scanner",IF(_xlpm.pid="P015","Network Router",SUBSTITUTE(SUBSTITUTE(_xlpm.n,"Crm","CRM"),"Ups","UPS"))))</f>
        <v>Data Storage</v>
      </c>
      <c r="AJ427" s="3" t="str">
        <f>UPPER(TRIM(tbl_FinancialData[[#This Row],[Cost Center]]))</f>
        <v>CC-1005</v>
      </c>
    </row>
    <row r="428" spans="1:36" x14ac:dyDescent="0.25">
      <c r="A428" s="3" t="s">
        <v>629</v>
      </c>
      <c r="B428" s="2">
        <v>45777</v>
      </c>
      <c r="C428" t="s">
        <v>128</v>
      </c>
      <c r="D428" s="3" t="str">
        <f t="shared" si="27"/>
        <v>Q1</v>
      </c>
      <c r="E428" s="3" t="str">
        <f t="shared" si="28"/>
        <v>FY2026</v>
      </c>
      <c r="F428" s="8" t="s">
        <v>59</v>
      </c>
      <c r="G428" s="3" t="s">
        <v>35</v>
      </c>
      <c r="H428" t="s">
        <v>139</v>
      </c>
      <c r="I428" t="s">
        <v>200</v>
      </c>
      <c r="J428" s="3" t="s">
        <v>100</v>
      </c>
      <c r="K428" t="s">
        <v>50</v>
      </c>
      <c r="L428" s="3" t="s">
        <v>72</v>
      </c>
      <c r="M428" s="3" t="s">
        <v>211</v>
      </c>
      <c r="N428" t="s">
        <v>212</v>
      </c>
      <c r="O428" t="s">
        <v>112</v>
      </c>
      <c r="P428" t="s">
        <v>113</v>
      </c>
      <c r="Q428" s="3">
        <v>36091.599999999999</v>
      </c>
      <c r="R428" s="3">
        <v>39445.79</v>
      </c>
      <c r="S428" s="3">
        <v>21500.99</v>
      </c>
      <c r="T428" s="3">
        <v>3306.92</v>
      </c>
      <c r="U428" s="3">
        <v>3190.17</v>
      </c>
      <c r="V428" s="3">
        <v>4232.16</v>
      </c>
      <c r="W428" s="3">
        <v>632.85</v>
      </c>
      <c r="X428" s="3">
        <v>32863.089999999997</v>
      </c>
      <c r="Y428" s="3">
        <v>14590.6</v>
      </c>
      <c r="Z428" s="3">
        <f t="shared" si="29"/>
        <v>3228.510000000002</v>
      </c>
      <c r="AA428" s="37">
        <f t="shared" si="30"/>
        <v>8.9453224573030898E-2</v>
      </c>
      <c r="AB428" s="3">
        <v>-3354.19</v>
      </c>
      <c r="AC428" s="3">
        <v>2887.33</v>
      </c>
      <c r="AD428" s="3">
        <v>1660.21</v>
      </c>
      <c r="AE428" s="3">
        <v>34864.480000000003</v>
      </c>
      <c r="AF428" t="str">
        <f>IF(tbl_FinancialData[[#This Row],[City]]="","Unknown",PROPER(TRIM(tbl_FinancialData[[#This Row],[City]])))</f>
        <v>Gurugram</v>
      </c>
      <c r="AG428" t="str">
        <f>_xlfn.LET(_xlpm.city,LOWER(TRIM(tbl_FinancialData[[#This Row],[City]])),_xlpm.st,PROPER(TRIM(tbl_FinancialData[[#This Row],[State]])),IF(_xlpm.city="pune","Maharashtra",IF(_xlpm.city="jamshedpur","Jharkhand",IF(_xlpm.city="bhilai","Chhattisgarh",IF(_xlpm.city="mumbai","Maharashtra",_xlpm.st)))))</f>
        <v>Haryana</v>
      </c>
      <c r="AH428" t="str">
        <f>_xlfn.LET(_xlpm.d,PROPER(TRIM(tbl_FinancialData[[#This Row],[Department]])),IF(_xlpm.d="It","IT",_xlpm.d))</f>
        <v>Sales</v>
      </c>
      <c r="AI428" t="str">
        <f>_xlfn.LET(_xlpm.pid,tbl_FinancialData[[#This Row],[Product ID]],_xlpm.n,PROPER(TRIM(tbl_FinancialData[[#This Row],[Product Name]])),IF(_xlpm.pid="P020","Document Scanner",IF(_xlpm.pid="P015","Network Router",SUBSTITUTE(SUBSTITUTE(_xlpm.n,"Crm","CRM"),"Ups","UPS"))))</f>
        <v>Office Chair</v>
      </c>
      <c r="AJ428" s="3" t="str">
        <f>UPPER(TRIM(tbl_FinancialData[[#This Row],[Cost Center]]))</f>
        <v>CC-1004</v>
      </c>
    </row>
    <row r="429" spans="1:36" x14ac:dyDescent="0.25">
      <c r="A429" s="3" t="s">
        <v>630</v>
      </c>
      <c r="B429" s="2">
        <v>45853</v>
      </c>
      <c r="C429" t="s">
        <v>32</v>
      </c>
      <c r="D429" s="3" t="str">
        <f t="shared" si="27"/>
        <v>Q2</v>
      </c>
      <c r="E429" s="3" t="str">
        <f t="shared" si="28"/>
        <v>FY2026</v>
      </c>
      <c r="F429" s="8" t="s">
        <v>59</v>
      </c>
      <c r="G429" s="3" t="s">
        <v>35</v>
      </c>
      <c r="H429" t="s">
        <v>254</v>
      </c>
      <c r="I429" t="s">
        <v>314</v>
      </c>
      <c r="J429" s="3" t="s">
        <v>38</v>
      </c>
      <c r="K429" t="s">
        <v>160</v>
      </c>
      <c r="L429" s="3" t="s">
        <v>81</v>
      </c>
      <c r="M429" s="3" t="s">
        <v>186</v>
      </c>
      <c r="N429" t="s">
        <v>187</v>
      </c>
      <c r="O429" t="s">
        <v>173</v>
      </c>
      <c r="P429" t="s">
        <v>174</v>
      </c>
      <c r="Q429" s="3">
        <v>27743.26</v>
      </c>
      <c r="R429" s="3">
        <v>31938.99</v>
      </c>
      <c r="S429" s="3">
        <v>14359</v>
      </c>
      <c r="T429" s="3">
        <v>2200.9</v>
      </c>
      <c r="U429" s="3">
        <v>1810.05</v>
      </c>
      <c r="V429" s="3">
        <v>1463.5</v>
      </c>
      <c r="W429" s="3">
        <v>1217.4000000000001</v>
      </c>
      <c r="X429" s="3">
        <v>21050.85</v>
      </c>
      <c r="Y429" s="3">
        <v>13384.27</v>
      </c>
      <c r="Z429" s="3">
        <f t="shared" si="29"/>
        <v>6692.41</v>
      </c>
      <c r="AA429" s="37">
        <f t="shared" si="30"/>
        <v>0.24122651771997958</v>
      </c>
      <c r="AB429" s="3">
        <v>-4195.7299999999996</v>
      </c>
      <c r="AC429" s="3">
        <v>2219.46</v>
      </c>
      <c r="AD429" s="3">
        <v>1276.19</v>
      </c>
      <c r="AE429" s="3">
        <v>26799.99</v>
      </c>
      <c r="AF429" t="str">
        <f>IF(tbl_FinancialData[[#This Row],[City]]="","Unknown",PROPER(TRIM(tbl_FinancialData[[#This Row],[City]])))</f>
        <v>New Delhi</v>
      </c>
      <c r="AG429" t="str">
        <f>_xlfn.LET(_xlpm.city,LOWER(TRIM(tbl_FinancialData[[#This Row],[City]])),_xlpm.st,PROPER(TRIM(tbl_FinancialData[[#This Row],[State]])),IF(_xlpm.city="pune","Maharashtra",IF(_xlpm.city="jamshedpur","Jharkhand",IF(_xlpm.city="bhilai","Chhattisgarh",IF(_xlpm.city="mumbai","Maharashtra",_xlpm.st)))))</f>
        <v>Delhi</v>
      </c>
      <c r="AH429" t="str">
        <f>_xlfn.LET(_xlpm.d,PROPER(TRIM(tbl_FinancialData[[#This Row],[Department]])),IF(_xlpm.d="It","IT",_xlpm.d))</f>
        <v>IT</v>
      </c>
      <c r="AI429" t="str">
        <f>_xlfn.LET(_xlpm.pid,tbl_FinancialData[[#This Row],[Product ID]],_xlpm.n,PROPER(TRIM(tbl_FinancialData[[#This Row],[Product Name]])),IF(_xlpm.pid="P020","Document Scanner",IF(_xlpm.pid="P015","Network Router",SUBSTITUTE(SUBSTITUTE(_xlpm.n,"Crm","CRM"),"Ups","UPS"))))</f>
        <v>Network Router</v>
      </c>
      <c r="AJ429" s="3" t="str">
        <f>UPPER(TRIM(tbl_FinancialData[[#This Row],[Cost Center]]))</f>
        <v>CC-1005</v>
      </c>
    </row>
    <row r="430" spans="1:36" x14ac:dyDescent="0.25">
      <c r="A430" s="3" t="s">
        <v>631</v>
      </c>
      <c r="B430" s="2">
        <v>46077</v>
      </c>
      <c r="C430" t="s">
        <v>57</v>
      </c>
      <c r="D430" s="3" t="str">
        <f t="shared" si="27"/>
        <v>Q4</v>
      </c>
      <c r="E430" s="3" t="str">
        <f t="shared" si="28"/>
        <v>FY2026</v>
      </c>
      <c r="F430" s="8" t="s">
        <v>34</v>
      </c>
      <c r="G430" s="3" t="s">
        <v>35</v>
      </c>
      <c r="H430" t="s">
        <v>157</v>
      </c>
      <c r="I430" t="s">
        <v>158</v>
      </c>
      <c r="J430" s="3" t="s">
        <v>100</v>
      </c>
      <c r="K430" t="s">
        <v>50</v>
      </c>
      <c r="L430" s="3" t="s">
        <v>40</v>
      </c>
      <c r="M430" s="3" t="s">
        <v>211</v>
      </c>
      <c r="N430" t="s">
        <v>212</v>
      </c>
      <c r="O430" t="s">
        <v>112</v>
      </c>
      <c r="P430" t="s">
        <v>113</v>
      </c>
      <c r="Q430" s="3">
        <v>18987.95</v>
      </c>
      <c r="R430" s="3">
        <v>21580.25</v>
      </c>
      <c r="S430" s="3">
        <v>11082.52</v>
      </c>
      <c r="T430" s="3">
        <v>1535.9</v>
      </c>
      <c r="U430" s="3">
        <v>1326.09</v>
      </c>
      <c r="V430" s="3">
        <v>1674.65</v>
      </c>
      <c r="W430" s="3">
        <v>261.14999999999998</v>
      </c>
      <c r="X430" s="3">
        <v>15880.3</v>
      </c>
      <c r="Y430" s="3">
        <v>7905.44</v>
      </c>
      <c r="Z430" s="3">
        <f t="shared" si="29"/>
        <v>3107.6500000000015</v>
      </c>
      <c r="AA430" s="37">
        <f t="shared" si="30"/>
        <v>0.16366432395282279</v>
      </c>
      <c r="AB430" s="3">
        <v>-2592.3000000000002</v>
      </c>
      <c r="AC430" s="3">
        <v>569.64</v>
      </c>
      <c r="AD430" s="3">
        <v>3315.3</v>
      </c>
      <c r="AE430" s="3">
        <v>21733.61</v>
      </c>
      <c r="AF430" t="str">
        <f>IF(tbl_FinancialData[[#This Row],[City]]="","Unknown",PROPER(TRIM(tbl_FinancialData[[#This Row],[City]])))</f>
        <v>Ahmedabad</v>
      </c>
      <c r="AG430" t="str">
        <f>_xlfn.LET(_xlpm.city,LOWER(TRIM(tbl_FinancialData[[#This Row],[City]])),_xlpm.st,PROPER(TRIM(tbl_FinancialData[[#This Row],[State]])),IF(_xlpm.city="pune","Maharashtra",IF(_xlpm.city="jamshedpur","Jharkhand",IF(_xlpm.city="bhilai","Chhattisgarh",IF(_xlpm.city="mumbai","Maharashtra",_xlpm.st)))))</f>
        <v>Gujarat</v>
      </c>
      <c r="AH430" t="str">
        <f>_xlfn.LET(_xlpm.d,PROPER(TRIM(tbl_FinancialData[[#This Row],[Department]])),IF(_xlpm.d="It","IT",_xlpm.d))</f>
        <v>Sales</v>
      </c>
      <c r="AI430" t="str">
        <f>_xlfn.LET(_xlpm.pid,tbl_FinancialData[[#This Row],[Product ID]],_xlpm.n,PROPER(TRIM(tbl_FinancialData[[#This Row],[Product Name]])),IF(_xlpm.pid="P020","Document Scanner",IF(_xlpm.pid="P015","Network Router",SUBSTITUTE(SUBSTITUTE(_xlpm.n,"Crm","CRM"),"Ups","UPS"))))</f>
        <v>Office Chair</v>
      </c>
      <c r="AJ430" s="3" t="str">
        <f>UPPER(TRIM(tbl_FinancialData[[#This Row],[Cost Center]]))</f>
        <v>CC-1002</v>
      </c>
    </row>
    <row r="431" spans="1:36" x14ac:dyDescent="0.25">
      <c r="A431" s="3" t="s">
        <v>632</v>
      </c>
      <c r="B431" s="2">
        <v>45900</v>
      </c>
      <c r="C431" t="s">
        <v>117</v>
      </c>
      <c r="D431" s="3" t="str">
        <f t="shared" si="27"/>
        <v>Q2</v>
      </c>
      <c r="E431" s="3" t="str">
        <f t="shared" si="28"/>
        <v>FY2026</v>
      </c>
      <c r="F431" s="8" t="s">
        <v>85</v>
      </c>
      <c r="G431" s="3" t="s">
        <v>35</v>
      </c>
      <c r="H431" t="s">
        <v>60</v>
      </c>
      <c r="I431" t="s">
        <v>185</v>
      </c>
      <c r="J431" s="3" t="s">
        <v>38</v>
      </c>
      <c r="K431" t="s">
        <v>160</v>
      </c>
      <c r="L431" s="3" t="s">
        <v>51</v>
      </c>
      <c r="M431" s="3" t="s">
        <v>52</v>
      </c>
      <c r="N431" t="s">
        <v>53</v>
      </c>
      <c r="O431" t="s">
        <v>54</v>
      </c>
      <c r="P431" t="s">
        <v>55</v>
      </c>
      <c r="Q431" s="3">
        <v>4988.55</v>
      </c>
      <c r="R431" s="3">
        <v>4977.83</v>
      </c>
      <c r="S431" s="3">
        <v>2609.59</v>
      </c>
      <c r="T431" s="3">
        <v>480.13</v>
      </c>
      <c r="U431" s="3">
        <v>435.34</v>
      </c>
      <c r="V431" s="3">
        <v>400.31</v>
      </c>
      <c r="W431" s="3">
        <v>64.36</v>
      </c>
      <c r="X431" s="3">
        <v>3989.73</v>
      </c>
      <c r="Y431" s="3">
        <v>2378.96</v>
      </c>
      <c r="Z431" s="3">
        <f t="shared" si="29"/>
        <v>998.82000000000016</v>
      </c>
      <c r="AA431" s="37">
        <f t="shared" si="30"/>
        <v>0.20022250954686235</v>
      </c>
      <c r="AB431" s="3">
        <v>10.72</v>
      </c>
      <c r="AC431" s="3">
        <v>249.43</v>
      </c>
      <c r="AD431" s="3">
        <v>568.69000000000005</v>
      </c>
      <c r="AE431" s="3">
        <v>5307.81</v>
      </c>
      <c r="AF431" t="str">
        <f>IF(tbl_FinancialData[[#This Row],[City]]="","Unknown",PROPER(TRIM(tbl_FinancialData[[#This Row],[City]])))</f>
        <v>Kanpur</v>
      </c>
      <c r="AG431" t="str">
        <f>_xlfn.LET(_xlpm.city,LOWER(TRIM(tbl_FinancialData[[#This Row],[City]])),_xlpm.st,PROPER(TRIM(tbl_FinancialData[[#This Row],[State]])),IF(_xlpm.city="pune","Maharashtra",IF(_xlpm.city="jamshedpur","Jharkhand",IF(_xlpm.city="bhilai","Chhattisgarh",IF(_xlpm.city="mumbai","Maharashtra",_xlpm.st)))))</f>
        <v>Uttar Pradesh</v>
      </c>
      <c r="AH431" t="str">
        <f>_xlfn.LET(_xlpm.d,PROPER(TRIM(tbl_FinancialData[[#This Row],[Department]])),IF(_xlpm.d="It","IT",_xlpm.d))</f>
        <v>IT</v>
      </c>
      <c r="AI431" t="str">
        <f>_xlfn.LET(_xlpm.pid,tbl_FinancialData[[#This Row],[Product ID]],_xlpm.n,PROPER(TRIM(tbl_FinancialData[[#This Row],[Product Name]])),IF(_xlpm.pid="P020","Document Scanner",IF(_xlpm.pid="P015","Network Router",SUBSTITUTE(SUBSTITUTE(_xlpm.n,"Crm","CRM"),"Ups","UPS"))))</f>
        <v>Mouse</v>
      </c>
      <c r="AJ431" s="3" t="str">
        <f>UPPER(TRIM(tbl_FinancialData[[#This Row],[Cost Center]]))</f>
        <v>CC-1003</v>
      </c>
    </row>
    <row r="432" spans="1:36" x14ac:dyDescent="0.25">
      <c r="A432" s="3" t="s">
        <v>633</v>
      </c>
      <c r="B432" s="2">
        <v>46062</v>
      </c>
      <c r="C432" t="s">
        <v>57</v>
      </c>
      <c r="D432" s="3" t="str">
        <f t="shared" si="27"/>
        <v>Q4</v>
      </c>
      <c r="E432" s="3" t="str">
        <f t="shared" si="28"/>
        <v>FY2026</v>
      </c>
      <c r="F432" s="8" t="s">
        <v>67</v>
      </c>
      <c r="G432" s="3" t="s">
        <v>35</v>
      </c>
      <c r="H432" t="s">
        <v>68</v>
      </c>
      <c r="I432" t="s">
        <v>204</v>
      </c>
      <c r="J432" s="3" t="s">
        <v>38</v>
      </c>
      <c r="K432" t="s">
        <v>101</v>
      </c>
      <c r="L432" s="3" t="s">
        <v>40</v>
      </c>
      <c r="M432" s="3" t="s">
        <v>110</v>
      </c>
      <c r="N432" t="s">
        <v>111</v>
      </c>
      <c r="O432" t="s">
        <v>112</v>
      </c>
      <c r="P432" t="s">
        <v>113</v>
      </c>
      <c r="Q432" s="3">
        <v>21732.73</v>
      </c>
      <c r="R432" s="3">
        <v>21222.14</v>
      </c>
      <c r="S432" s="3">
        <v>12859.62</v>
      </c>
      <c r="T432" s="3">
        <v>2726.49</v>
      </c>
      <c r="U432" s="3">
        <v>1859.51</v>
      </c>
      <c r="V432" s="3">
        <v>1228.98</v>
      </c>
      <c r="W432" s="3">
        <v>489.81</v>
      </c>
      <c r="X432" s="3">
        <v>19164.41</v>
      </c>
      <c r="Y432" s="3">
        <v>8873.11</v>
      </c>
      <c r="Z432" s="3">
        <f t="shared" si="29"/>
        <v>2568.3199999999997</v>
      </c>
      <c r="AA432" s="37">
        <f t="shared" si="30"/>
        <v>0.11817751382361993</v>
      </c>
      <c r="AB432" s="3">
        <v>510.59</v>
      </c>
      <c r="AC432" s="3">
        <v>0</v>
      </c>
      <c r="AD432" s="3">
        <v>2607.9299999999998</v>
      </c>
      <c r="AE432" s="3">
        <v>24340.66</v>
      </c>
      <c r="AF432" t="str">
        <f>IF(tbl_FinancialData[[#This Row],[City]]="","Unknown",PROPER(TRIM(tbl_FinancialData[[#This Row],[City]])))</f>
        <v>Cuttack</v>
      </c>
      <c r="AG432" t="str">
        <f>_xlfn.LET(_xlpm.city,LOWER(TRIM(tbl_FinancialData[[#This Row],[City]])),_xlpm.st,PROPER(TRIM(tbl_FinancialData[[#This Row],[State]])),IF(_xlpm.city="pune","Maharashtra",IF(_xlpm.city="jamshedpur","Jharkhand",IF(_xlpm.city="bhilai","Chhattisgarh",IF(_xlpm.city="mumbai","Maharashtra",_xlpm.st)))))</f>
        <v>Odisha</v>
      </c>
      <c r="AH432" t="str">
        <f>_xlfn.LET(_xlpm.d,PROPER(TRIM(tbl_FinancialData[[#This Row],[Department]])),IF(_xlpm.d="It","IT",_xlpm.d))</f>
        <v>Finance</v>
      </c>
      <c r="AI432" t="str">
        <f>_xlfn.LET(_xlpm.pid,tbl_FinancialData[[#This Row],[Product ID]],_xlpm.n,PROPER(TRIM(tbl_FinancialData[[#This Row],[Product Name]])),IF(_xlpm.pid="P020","Document Scanner",IF(_xlpm.pid="P015","Network Router",SUBSTITUTE(SUBSTITUTE(_xlpm.n,"Crm","CRM"),"Ups","UPS"))))</f>
        <v>Office Desk</v>
      </c>
      <c r="AJ432" s="3" t="str">
        <f>UPPER(TRIM(tbl_FinancialData[[#This Row],[Cost Center]]))</f>
        <v>CC-1002</v>
      </c>
    </row>
    <row r="433" spans="1:36" x14ac:dyDescent="0.25">
      <c r="A433" s="3" t="s">
        <v>634</v>
      </c>
      <c r="B433" s="2">
        <v>46000</v>
      </c>
      <c r="C433" t="s">
        <v>107</v>
      </c>
      <c r="D433" s="3" t="str">
        <f t="shared" si="27"/>
        <v>Q3</v>
      </c>
      <c r="E433" s="3" t="str">
        <f t="shared" si="28"/>
        <v>FY2026</v>
      </c>
      <c r="F433" s="8" t="s">
        <v>67</v>
      </c>
      <c r="G433" s="3" t="s">
        <v>35</v>
      </c>
      <c r="H433" t="s">
        <v>168</v>
      </c>
      <c r="I433" t="s">
        <v>251</v>
      </c>
      <c r="J433" s="3" t="s">
        <v>38</v>
      </c>
      <c r="K433" t="s">
        <v>101</v>
      </c>
      <c r="L433" s="3" t="s">
        <v>40</v>
      </c>
      <c r="M433" s="3" t="s">
        <v>130</v>
      </c>
      <c r="N433" t="s">
        <v>131</v>
      </c>
      <c r="O433" t="s">
        <v>43</v>
      </c>
      <c r="P433" t="s">
        <v>132</v>
      </c>
      <c r="Q433" s="3">
        <v>74193.39</v>
      </c>
      <c r="R433" s="3">
        <v>65371.57</v>
      </c>
      <c r="S433" s="3">
        <v>41311.94</v>
      </c>
      <c r="T433" s="3">
        <v>6213.1</v>
      </c>
      <c r="U433" s="3">
        <v>2962.66</v>
      </c>
      <c r="V433" s="3">
        <v>4152.29</v>
      </c>
      <c r="W433" s="3">
        <v>840.05</v>
      </c>
      <c r="X433" s="3">
        <v>55480.04</v>
      </c>
      <c r="Y433" s="3">
        <v>32881.449999999997</v>
      </c>
      <c r="Z433" s="3">
        <f t="shared" si="29"/>
        <v>18713.349999999999</v>
      </c>
      <c r="AA433" s="37">
        <f t="shared" si="30"/>
        <v>0.25222395148678339</v>
      </c>
      <c r="AB433" s="3">
        <v>8821.83</v>
      </c>
      <c r="AC433" s="3">
        <v>3709.67</v>
      </c>
      <c r="AD433" s="3">
        <v>8458.0499999999993</v>
      </c>
      <c r="AE433" s="3">
        <v>78941.77</v>
      </c>
      <c r="AF433" t="str">
        <f>IF(tbl_FinancialData[[#This Row],[City]]="","Unknown",PROPER(TRIM(tbl_FinancialData[[#This Row],[City]])))</f>
        <v>Durgapur</v>
      </c>
      <c r="AG433" t="str">
        <f>_xlfn.LET(_xlpm.city,LOWER(TRIM(tbl_FinancialData[[#This Row],[City]])),_xlpm.st,PROPER(TRIM(tbl_FinancialData[[#This Row],[State]])),IF(_xlpm.city="pune","Maharashtra",IF(_xlpm.city="jamshedpur","Jharkhand",IF(_xlpm.city="bhilai","Chhattisgarh",IF(_xlpm.city="mumbai","Maharashtra",_xlpm.st)))))</f>
        <v>West Bengal</v>
      </c>
      <c r="AH433" t="str">
        <f>_xlfn.LET(_xlpm.d,PROPER(TRIM(tbl_FinancialData[[#This Row],[Department]])),IF(_xlpm.d="It","IT",_xlpm.d))</f>
        <v>Finance</v>
      </c>
      <c r="AI433" t="str">
        <f>_xlfn.LET(_xlpm.pid,tbl_FinancialData[[#This Row],[Product ID]],_xlpm.n,PROPER(TRIM(tbl_FinancialData[[#This Row],[Product Name]])),IF(_xlpm.pid="P020","Document Scanner",IF(_xlpm.pid="P015","Network Router",SUBSTITUTE(SUBSTITUTE(_xlpm.n,"Crm","CRM"),"Ups","UPS"))))</f>
        <v>UPS System</v>
      </c>
      <c r="AJ433" s="3" t="str">
        <f>UPPER(TRIM(tbl_FinancialData[[#This Row],[Cost Center]]))</f>
        <v>CC-1002</v>
      </c>
    </row>
    <row r="434" spans="1:36" x14ac:dyDescent="0.25">
      <c r="A434" s="3" t="s">
        <v>635</v>
      </c>
      <c r="B434" s="2">
        <v>46089</v>
      </c>
      <c r="C434" t="s">
        <v>125</v>
      </c>
      <c r="D434" s="3" t="str">
        <f t="shared" si="27"/>
        <v>Q4</v>
      </c>
      <c r="E434" s="3" t="str">
        <f t="shared" si="28"/>
        <v>FY2026</v>
      </c>
      <c r="F434" s="8" t="s">
        <v>47</v>
      </c>
      <c r="G434" s="3" t="s">
        <v>35</v>
      </c>
      <c r="H434" t="s">
        <v>214</v>
      </c>
      <c r="I434" t="s">
        <v>220</v>
      </c>
      <c r="J434" s="3" t="s">
        <v>70</v>
      </c>
      <c r="K434" t="s">
        <v>50</v>
      </c>
      <c r="L434" s="3" t="s">
        <v>81</v>
      </c>
      <c r="M434" s="3" t="s">
        <v>102</v>
      </c>
      <c r="N434" t="s">
        <v>103</v>
      </c>
      <c r="O434" t="s">
        <v>104</v>
      </c>
      <c r="P434" t="s">
        <v>105</v>
      </c>
      <c r="Q434" s="3">
        <v>23926.17</v>
      </c>
      <c r="R434" s="3">
        <v>22600.84</v>
      </c>
      <c r="S434" s="3">
        <v>13160.54</v>
      </c>
      <c r="T434" s="3">
        <v>1526.98</v>
      </c>
      <c r="U434" s="3">
        <v>1188.1400000000001</v>
      </c>
      <c r="V434" s="3">
        <v>2700.47</v>
      </c>
      <c r="W434" s="3">
        <v>754.56</v>
      </c>
      <c r="X434" s="3">
        <v>19330.7</v>
      </c>
      <c r="Y434" s="3">
        <v>10765.62</v>
      </c>
      <c r="Z434" s="3">
        <f t="shared" si="29"/>
        <v>4595.4699999999975</v>
      </c>
      <c r="AA434" s="37">
        <f t="shared" si="30"/>
        <v>0.19206876821488764</v>
      </c>
      <c r="AB434" s="3">
        <v>1325.32</v>
      </c>
      <c r="AC434" s="3">
        <v>717.78</v>
      </c>
      <c r="AD434" s="3">
        <v>4177.51</v>
      </c>
      <c r="AE434" s="3">
        <v>27385.89</v>
      </c>
      <c r="AF434" t="str">
        <f>IF(tbl_FinancialData[[#This Row],[City]]="","Unknown",PROPER(TRIM(tbl_FinancialData[[#This Row],[City]])))</f>
        <v>Mysuru</v>
      </c>
      <c r="AG434" t="str">
        <f>_xlfn.LET(_xlpm.city,LOWER(TRIM(tbl_FinancialData[[#This Row],[City]])),_xlpm.st,PROPER(TRIM(tbl_FinancialData[[#This Row],[State]])),IF(_xlpm.city="pune","Maharashtra",IF(_xlpm.city="jamshedpur","Jharkhand",IF(_xlpm.city="bhilai","Chhattisgarh",IF(_xlpm.city="mumbai","Maharashtra",_xlpm.st)))))</f>
        <v>Karnataka</v>
      </c>
      <c r="AH434" t="str">
        <f>_xlfn.LET(_xlpm.d,PROPER(TRIM(tbl_FinancialData[[#This Row],[Department]])),IF(_xlpm.d="It","IT",_xlpm.d))</f>
        <v>Sales</v>
      </c>
      <c r="AI434" t="str">
        <f>_xlfn.LET(_xlpm.pid,tbl_FinancialData[[#This Row],[Product ID]],_xlpm.n,PROPER(TRIM(tbl_FinancialData[[#This Row],[Product Name]])),IF(_xlpm.pid="P020","Document Scanner",IF(_xlpm.pid="P015","Network Router",SUBSTITUTE(SUBSTITUTE(_xlpm.n,"Crm","CRM"),"Ups","UPS"))))</f>
        <v>Accounting Software</v>
      </c>
      <c r="AJ434" s="3" t="str">
        <f>UPPER(TRIM(tbl_FinancialData[[#This Row],[Cost Center]]))</f>
        <v>CC-1005</v>
      </c>
    </row>
    <row r="435" spans="1:36" x14ac:dyDescent="0.25">
      <c r="A435" s="3" t="s">
        <v>636</v>
      </c>
      <c r="B435" s="2">
        <v>45987</v>
      </c>
      <c r="C435" t="s">
        <v>147</v>
      </c>
      <c r="D435" s="3" t="str">
        <f t="shared" si="27"/>
        <v>Q3</v>
      </c>
      <c r="E435" s="3" t="str">
        <f t="shared" si="28"/>
        <v>FY2026</v>
      </c>
      <c r="F435" s="8" t="s">
        <v>59</v>
      </c>
      <c r="G435" s="3" t="s">
        <v>35</v>
      </c>
      <c r="H435" t="s">
        <v>60</v>
      </c>
      <c r="I435" t="s">
        <v>108</v>
      </c>
      <c r="J435" s="3" t="s">
        <v>80</v>
      </c>
      <c r="K435" t="s">
        <v>39</v>
      </c>
      <c r="L435" s="3" t="s">
        <v>72</v>
      </c>
      <c r="M435" s="3" t="s">
        <v>102</v>
      </c>
      <c r="N435" t="s">
        <v>103</v>
      </c>
      <c r="O435" t="s">
        <v>104</v>
      </c>
      <c r="P435" t="s">
        <v>105</v>
      </c>
      <c r="Q435" s="3">
        <v>13584.45</v>
      </c>
      <c r="R435" s="3">
        <v>15466.74</v>
      </c>
      <c r="S435" s="3">
        <v>8653</v>
      </c>
      <c r="T435" s="3">
        <v>1235.2</v>
      </c>
      <c r="U435" s="3">
        <v>479.94</v>
      </c>
      <c r="V435" s="3">
        <v>601.47</v>
      </c>
      <c r="W435" s="3">
        <v>347.75</v>
      </c>
      <c r="X435" s="3">
        <v>11317.37</v>
      </c>
      <c r="Y435" s="3">
        <v>4931.45</v>
      </c>
      <c r="Z435" s="3">
        <f t="shared" si="29"/>
        <v>2267.08</v>
      </c>
      <c r="AA435" s="37">
        <f t="shared" si="30"/>
        <v>0.16688787547526765</v>
      </c>
      <c r="AB435" s="3">
        <v>-1882.3</v>
      </c>
      <c r="AC435" s="3">
        <v>0</v>
      </c>
      <c r="AD435" s="3">
        <v>1630.13</v>
      </c>
      <c r="AE435" s="3">
        <v>15214.58</v>
      </c>
      <c r="AF435" t="str">
        <f>IF(tbl_FinancialData[[#This Row],[City]]="","Unknown",PROPER(TRIM(tbl_FinancialData[[#This Row],[City]])))</f>
        <v>Agra</v>
      </c>
      <c r="AG435" t="str">
        <f>_xlfn.LET(_xlpm.city,LOWER(TRIM(tbl_FinancialData[[#This Row],[City]])),_xlpm.st,PROPER(TRIM(tbl_FinancialData[[#This Row],[State]])),IF(_xlpm.city="pune","Maharashtra",IF(_xlpm.city="jamshedpur","Jharkhand",IF(_xlpm.city="bhilai","Chhattisgarh",IF(_xlpm.city="mumbai","Maharashtra",_xlpm.st)))))</f>
        <v>Uttar Pradesh</v>
      </c>
      <c r="AH435" t="str">
        <f>_xlfn.LET(_xlpm.d,PROPER(TRIM(tbl_FinancialData[[#This Row],[Department]])),IF(_xlpm.d="It","IT",_xlpm.d))</f>
        <v>Operations</v>
      </c>
      <c r="AI435" t="str">
        <f>_xlfn.LET(_xlpm.pid,tbl_FinancialData[[#This Row],[Product ID]],_xlpm.n,PROPER(TRIM(tbl_FinancialData[[#This Row],[Product Name]])),IF(_xlpm.pid="P020","Document Scanner",IF(_xlpm.pid="P015","Network Router",SUBSTITUTE(SUBSTITUTE(_xlpm.n,"Crm","CRM"),"Ups","UPS"))))</f>
        <v>Accounting Software</v>
      </c>
      <c r="AJ435" s="3" t="str">
        <f>UPPER(TRIM(tbl_FinancialData[[#This Row],[Cost Center]]))</f>
        <v>CC-1004</v>
      </c>
    </row>
    <row r="436" spans="1:36" x14ac:dyDescent="0.25">
      <c r="A436" s="3" t="s">
        <v>637</v>
      </c>
      <c r="B436" s="2">
        <v>45813</v>
      </c>
      <c r="C436" t="s">
        <v>156</v>
      </c>
      <c r="D436" s="3" t="str">
        <f t="shared" si="27"/>
        <v>Q1</v>
      </c>
      <c r="E436" s="3" t="str">
        <f t="shared" si="28"/>
        <v>FY2026</v>
      </c>
      <c r="F436" s="8" t="s">
        <v>67</v>
      </c>
      <c r="G436" s="3" t="s">
        <v>35</v>
      </c>
      <c r="H436" t="s">
        <v>68</v>
      </c>
      <c r="I436" t="s">
        <v>69</v>
      </c>
      <c r="J436" s="3" t="s">
        <v>100</v>
      </c>
      <c r="K436" t="s">
        <v>39</v>
      </c>
      <c r="L436" s="3" t="s">
        <v>81</v>
      </c>
      <c r="M436" s="3" t="s">
        <v>171</v>
      </c>
      <c r="N436" t="s">
        <v>172</v>
      </c>
      <c r="O436" t="s">
        <v>173</v>
      </c>
      <c r="P436" t="s">
        <v>174</v>
      </c>
      <c r="Q436" s="3">
        <v>9061.64</v>
      </c>
      <c r="R436" s="3">
        <v>10049.25</v>
      </c>
      <c r="S436" s="3">
        <v>4646.45</v>
      </c>
      <c r="T436" s="3">
        <v>618.85</v>
      </c>
      <c r="U436" s="3">
        <v>746.34</v>
      </c>
      <c r="V436" s="3">
        <v>377.05</v>
      </c>
      <c r="W436" s="3">
        <v>329.35</v>
      </c>
      <c r="X436" s="3">
        <v>6718.04</v>
      </c>
      <c r="Y436" s="3">
        <v>4415.1899999999996</v>
      </c>
      <c r="Z436" s="3">
        <f t="shared" si="29"/>
        <v>2343.5999999999995</v>
      </c>
      <c r="AA436" s="37">
        <f t="shared" si="30"/>
        <v>0.25862868090102892</v>
      </c>
      <c r="AB436" s="3">
        <v>-987.61</v>
      </c>
      <c r="AC436" s="3">
        <v>271.85000000000002</v>
      </c>
      <c r="AD436" s="3">
        <v>1054.77</v>
      </c>
      <c r="AE436" s="3">
        <v>9844.56</v>
      </c>
      <c r="AF436" t="str">
        <f>IF(tbl_FinancialData[[#This Row],[City]]="","Unknown",PROPER(TRIM(tbl_FinancialData[[#This Row],[City]])))</f>
        <v>Bhubaneswar</v>
      </c>
      <c r="AG436" t="str">
        <f>_xlfn.LET(_xlpm.city,LOWER(TRIM(tbl_FinancialData[[#This Row],[City]])),_xlpm.st,PROPER(TRIM(tbl_FinancialData[[#This Row],[State]])),IF(_xlpm.city="pune","Maharashtra",IF(_xlpm.city="jamshedpur","Jharkhand",IF(_xlpm.city="bhilai","Chhattisgarh",IF(_xlpm.city="mumbai","Maharashtra",_xlpm.st)))))</f>
        <v>Odisha</v>
      </c>
      <c r="AH436" t="str">
        <f>_xlfn.LET(_xlpm.d,PROPER(TRIM(tbl_FinancialData[[#This Row],[Department]])),IF(_xlpm.d="It","IT",_xlpm.d))</f>
        <v>Operations</v>
      </c>
      <c r="AI436" t="str">
        <f>_xlfn.LET(_xlpm.pid,tbl_FinancialData[[#This Row],[Product ID]],_xlpm.n,PROPER(TRIM(tbl_FinancialData[[#This Row],[Product Name]])),IF(_xlpm.pid="P020","Document Scanner",IF(_xlpm.pid="P015","Network Router",SUBSTITUTE(SUBSTITUTE(_xlpm.n,"Crm","CRM"),"Ups","UPS"))))</f>
        <v>Network Switch</v>
      </c>
      <c r="AJ436" s="3" t="str">
        <f>UPPER(TRIM(tbl_FinancialData[[#This Row],[Cost Center]]))</f>
        <v>CC-1005</v>
      </c>
    </row>
    <row r="437" spans="1:36" x14ac:dyDescent="0.25">
      <c r="A437" s="3" t="s">
        <v>638</v>
      </c>
      <c r="B437" s="2">
        <v>45750</v>
      </c>
      <c r="C437" t="s">
        <v>128</v>
      </c>
      <c r="D437" s="3" t="str">
        <f t="shared" si="27"/>
        <v>Q1</v>
      </c>
      <c r="E437" s="3" t="str">
        <f t="shared" si="28"/>
        <v>FY2026</v>
      </c>
      <c r="F437" s="8" t="s">
        <v>67</v>
      </c>
      <c r="G437" s="3" t="s">
        <v>35</v>
      </c>
      <c r="H437" t="s">
        <v>118</v>
      </c>
      <c r="I437" t="s">
        <v>209</v>
      </c>
      <c r="J437" s="3" t="s">
        <v>38</v>
      </c>
      <c r="K437" t="s">
        <v>101</v>
      </c>
      <c r="L437" s="3" t="s">
        <v>94</v>
      </c>
      <c r="M437" s="3" t="s">
        <v>221</v>
      </c>
      <c r="N437" t="s">
        <v>222</v>
      </c>
      <c r="O437" t="s">
        <v>104</v>
      </c>
      <c r="P437" t="s">
        <v>223</v>
      </c>
      <c r="Q437" s="3">
        <v>15727.15</v>
      </c>
      <c r="R437" s="3">
        <v>18411.62</v>
      </c>
      <c r="S437" s="3">
        <v>11070.95</v>
      </c>
      <c r="T437" s="3">
        <v>1881.81</v>
      </c>
      <c r="U437" s="3">
        <v>824.4</v>
      </c>
      <c r="V437" s="3">
        <v>1498.86</v>
      </c>
      <c r="W437" s="3">
        <v>654.23</v>
      </c>
      <c r="X437" s="3">
        <v>15930.26</v>
      </c>
      <c r="Y437" s="3">
        <v>4656.2</v>
      </c>
      <c r="Z437" s="3">
        <f t="shared" si="29"/>
        <v>-203.11000000000058</v>
      </c>
      <c r="AA437" s="37">
        <f t="shared" si="30"/>
        <v>-1.2914609449264525E-2</v>
      </c>
      <c r="AB437" s="3">
        <v>-2684.47</v>
      </c>
      <c r="AC437" s="3">
        <v>1258.17</v>
      </c>
      <c r="AD437" s="3">
        <v>1736.28</v>
      </c>
      <c r="AE437" s="3">
        <v>16205.25</v>
      </c>
      <c r="AF437" t="str">
        <f>IF(tbl_FinancialData[[#This Row],[City]]="","Unknown",PROPER(TRIM(tbl_FinancialData[[#This Row],[City]])))</f>
        <v>Jamshedpur</v>
      </c>
      <c r="AG437" t="str">
        <f>_xlfn.LET(_xlpm.city,LOWER(TRIM(tbl_FinancialData[[#This Row],[City]])),_xlpm.st,PROPER(TRIM(tbl_FinancialData[[#This Row],[State]])),IF(_xlpm.city="pune","Maharashtra",IF(_xlpm.city="jamshedpur","Jharkhand",IF(_xlpm.city="bhilai","Chhattisgarh",IF(_xlpm.city="mumbai","Maharashtra",_xlpm.st)))))</f>
        <v>Jharkhand</v>
      </c>
      <c r="AH437" t="str">
        <f>_xlfn.LET(_xlpm.d,PROPER(TRIM(tbl_FinancialData[[#This Row],[Department]])),IF(_xlpm.d="It","IT",_xlpm.d))</f>
        <v>Finance</v>
      </c>
      <c r="AI437" t="str">
        <f>_xlfn.LET(_xlpm.pid,tbl_FinancialData[[#This Row],[Product ID]],_xlpm.n,PROPER(TRIM(tbl_FinancialData[[#This Row],[Product Name]])),IF(_xlpm.pid="P020","Document Scanner",IF(_xlpm.pid="P015","Network Router",SUBSTITUTE(SUBSTITUTE(_xlpm.n,"Crm","CRM"),"Ups","UPS"))))</f>
        <v>Cloud Software</v>
      </c>
      <c r="AJ437" s="3" t="str">
        <f>UPPER(TRIM(tbl_FinancialData[[#This Row],[Cost Center]]))</f>
        <v>CC-1001</v>
      </c>
    </row>
    <row r="438" spans="1:36" x14ac:dyDescent="0.25">
      <c r="A438" s="3" t="s">
        <v>639</v>
      </c>
      <c r="B438" s="2">
        <v>46018</v>
      </c>
      <c r="C438" t="s">
        <v>107</v>
      </c>
      <c r="D438" s="3" t="str">
        <f t="shared" si="27"/>
        <v>Q3</v>
      </c>
      <c r="E438" s="3" t="str">
        <f t="shared" si="28"/>
        <v>FY2026</v>
      </c>
      <c r="F438" s="8" t="s">
        <v>59</v>
      </c>
      <c r="G438" s="3" t="s">
        <v>35</v>
      </c>
      <c r="H438" t="s">
        <v>230</v>
      </c>
      <c r="I438" t="s">
        <v>301</v>
      </c>
      <c r="J438" s="3" t="s">
        <v>100</v>
      </c>
      <c r="K438" t="s">
        <v>101</v>
      </c>
      <c r="L438" s="3" t="s">
        <v>72</v>
      </c>
      <c r="M438" s="3" t="s">
        <v>221</v>
      </c>
      <c r="N438" t="s">
        <v>222</v>
      </c>
      <c r="O438" t="s">
        <v>104</v>
      </c>
      <c r="P438" t="s">
        <v>223</v>
      </c>
      <c r="Q438" s="3">
        <v>8651.7999999999993</v>
      </c>
      <c r="R438" s="3">
        <v>8531.2999999999993</v>
      </c>
      <c r="S438" s="3">
        <v>4427.93</v>
      </c>
      <c r="T438" s="3">
        <v>897.91</v>
      </c>
      <c r="U438" s="3">
        <v>502.37</v>
      </c>
      <c r="V438" s="3">
        <v>845.19</v>
      </c>
      <c r="W438" s="3">
        <v>193.32</v>
      </c>
      <c r="X438" s="3">
        <v>6866.71</v>
      </c>
      <c r="Y438" s="3">
        <v>4223.87</v>
      </c>
      <c r="Z438" s="3">
        <f t="shared" si="29"/>
        <v>1785.0899999999992</v>
      </c>
      <c r="AA438" s="37">
        <f t="shared" si="30"/>
        <v>0.20632585126794417</v>
      </c>
      <c r="AB438" s="3">
        <v>120.5</v>
      </c>
      <c r="AC438" s="3">
        <v>173.04</v>
      </c>
      <c r="AD438" s="3">
        <v>1017.45</v>
      </c>
      <c r="AE438" s="3">
        <v>9496.2199999999993</v>
      </c>
      <c r="AF438" t="str">
        <f>IF(tbl_FinancialData[[#This Row],[City]]="","Unknown",PROPER(TRIM(tbl_FinancialData[[#This Row],[City]])))</f>
        <v>Amritsar</v>
      </c>
      <c r="AG438" t="str">
        <f>_xlfn.LET(_xlpm.city,LOWER(TRIM(tbl_FinancialData[[#This Row],[City]])),_xlpm.st,PROPER(TRIM(tbl_FinancialData[[#This Row],[State]])),IF(_xlpm.city="pune","Maharashtra",IF(_xlpm.city="jamshedpur","Jharkhand",IF(_xlpm.city="bhilai","Chhattisgarh",IF(_xlpm.city="mumbai","Maharashtra",_xlpm.st)))))</f>
        <v>Punjab</v>
      </c>
      <c r="AH438" t="str">
        <f>_xlfn.LET(_xlpm.d,PROPER(TRIM(tbl_FinancialData[[#This Row],[Department]])),IF(_xlpm.d="It","IT",_xlpm.d))</f>
        <v>Finance</v>
      </c>
      <c r="AI438" t="str">
        <f>_xlfn.LET(_xlpm.pid,tbl_FinancialData[[#This Row],[Product ID]],_xlpm.n,PROPER(TRIM(tbl_FinancialData[[#This Row],[Product Name]])),IF(_xlpm.pid="P020","Document Scanner",IF(_xlpm.pid="P015","Network Router",SUBSTITUTE(SUBSTITUTE(_xlpm.n,"Crm","CRM"),"Ups","UPS"))))</f>
        <v>Cloud Software</v>
      </c>
      <c r="AJ438" s="3" t="str">
        <f>UPPER(TRIM(tbl_FinancialData[[#This Row],[Cost Center]]))</f>
        <v>CC-1004</v>
      </c>
    </row>
    <row r="439" spans="1:36" x14ac:dyDescent="0.25">
      <c r="A439" s="3" t="s">
        <v>640</v>
      </c>
      <c r="B439" s="2">
        <v>45880</v>
      </c>
      <c r="C439" t="s">
        <v>117</v>
      </c>
      <c r="D439" s="3" t="str">
        <f t="shared" si="27"/>
        <v>Q2</v>
      </c>
      <c r="E439" s="3" t="str">
        <f t="shared" si="28"/>
        <v>FY2026</v>
      </c>
      <c r="F439" s="8" t="s">
        <v>67</v>
      </c>
      <c r="G439" s="3" t="s">
        <v>35</v>
      </c>
      <c r="H439" t="s">
        <v>168</v>
      </c>
      <c r="I439" t="s">
        <v>251</v>
      </c>
      <c r="J439" s="3" t="s">
        <v>38</v>
      </c>
      <c r="K439" t="s">
        <v>71</v>
      </c>
      <c r="L439" s="3" t="s">
        <v>81</v>
      </c>
      <c r="M439" s="3" t="s">
        <v>186</v>
      </c>
      <c r="N439" t="s">
        <v>187</v>
      </c>
      <c r="O439" t="s">
        <v>173</v>
      </c>
      <c r="P439" t="s">
        <v>174</v>
      </c>
      <c r="Q439" s="3">
        <v>19553.82</v>
      </c>
      <c r="R439" s="3">
        <v>18143.79</v>
      </c>
      <c r="S439" s="3">
        <v>13592.01</v>
      </c>
      <c r="T439" s="3">
        <v>1610.44</v>
      </c>
      <c r="U439" s="3">
        <v>1067.94</v>
      </c>
      <c r="V439" s="3">
        <v>1886.18</v>
      </c>
      <c r="W439" s="3">
        <v>757.31</v>
      </c>
      <c r="X439" s="3">
        <v>18913.88</v>
      </c>
      <c r="Y439" s="3">
        <v>5961.81</v>
      </c>
      <c r="Z439" s="3">
        <f t="shared" si="29"/>
        <v>639.93999999999869</v>
      </c>
      <c r="AA439" s="37">
        <f t="shared" si="30"/>
        <v>3.2727109076385007E-2</v>
      </c>
      <c r="AB439" s="3">
        <v>1410.03</v>
      </c>
      <c r="AC439" s="3">
        <v>391.08</v>
      </c>
      <c r="AD439" s="3">
        <v>3449.29</v>
      </c>
      <c r="AE439" s="3">
        <v>22612.04</v>
      </c>
      <c r="AF439" t="str">
        <f>IF(tbl_FinancialData[[#This Row],[City]]="","Unknown",PROPER(TRIM(tbl_FinancialData[[#This Row],[City]])))</f>
        <v>Durgapur</v>
      </c>
      <c r="AG439" t="str">
        <f>_xlfn.LET(_xlpm.city,LOWER(TRIM(tbl_FinancialData[[#This Row],[City]])),_xlpm.st,PROPER(TRIM(tbl_FinancialData[[#This Row],[State]])),IF(_xlpm.city="pune","Maharashtra",IF(_xlpm.city="jamshedpur","Jharkhand",IF(_xlpm.city="bhilai","Chhattisgarh",IF(_xlpm.city="mumbai","Maharashtra",_xlpm.st)))))</f>
        <v>West Bengal</v>
      </c>
      <c r="AH439" t="str">
        <f>_xlfn.LET(_xlpm.d,PROPER(TRIM(tbl_FinancialData[[#This Row],[Department]])),IF(_xlpm.d="It","IT",_xlpm.d))</f>
        <v>Marketing</v>
      </c>
      <c r="AI439" t="str">
        <f>_xlfn.LET(_xlpm.pid,tbl_FinancialData[[#This Row],[Product ID]],_xlpm.n,PROPER(TRIM(tbl_FinancialData[[#This Row],[Product Name]])),IF(_xlpm.pid="P020","Document Scanner",IF(_xlpm.pid="P015","Network Router",SUBSTITUTE(SUBSTITUTE(_xlpm.n,"Crm","CRM"),"Ups","UPS"))))</f>
        <v>Network Router</v>
      </c>
      <c r="AJ439" s="3" t="str">
        <f>UPPER(TRIM(tbl_FinancialData[[#This Row],[Cost Center]]))</f>
        <v>CC-1005</v>
      </c>
    </row>
    <row r="440" spans="1:36" x14ac:dyDescent="0.25">
      <c r="A440" s="3" t="s">
        <v>641</v>
      </c>
      <c r="B440" s="2">
        <v>45860</v>
      </c>
      <c r="C440" t="s">
        <v>32</v>
      </c>
      <c r="D440" s="3" t="str">
        <f t="shared" si="27"/>
        <v>Q2</v>
      </c>
      <c r="E440" s="3" t="str">
        <f t="shared" si="28"/>
        <v>FY2026</v>
      </c>
      <c r="F440" s="8" t="s">
        <v>47</v>
      </c>
      <c r="G440" s="3" t="s">
        <v>35</v>
      </c>
      <c r="H440" t="s">
        <v>206</v>
      </c>
      <c r="I440" t="s">
        <v>344</v>
      </c>
      <c r="J440" s="3" t="s">
        <v>38</v>
      </c>
      <c r="K440" t="s">
        <v>50</v>
      </c>
      <c r="L440" s="3" t="s">
        <v>51</v>
      </c>
      <c r="M440" s="3" t="s">
        <v>186</v>
      </c>
      <c r="N440" t="s">
        <v>187</v>
      </c>
      <c r="O440" t="s">
        <v>173</v>
      </c>
      <c r="P440" t="s">
        <v>174</v>
      </c>
      <c r="Q440" s="3">
        <v>6269.26</v>
      </c>
      <c r="R440" s="3">
        <v>5908.59</v>
      </c>
      <c r="S440" s="3">
        <v>3386.13</v>
      </c>
      <c r="T440" s="3">
        <v>717.66</v>
      </c>
      <c r="U440" s="3">
        <v>270.7</v>
      </c>
      <c r="V440" s="3">
        <v>346.83</v>
      </c>
      <c r="W440" s="3">
        <v>173.34</v>
      </c>
      <c r="X440" s="3">
        <v>4894.6499999999996</v>
      </c>
      <c r="Y440" s="3">
        <v>2883.13</v>
      </c>
      <c r="Z440" s="3">
        <f t="shared" si="29"/>
        <v>1374.6100000000006</v>
      </c>
      <c r="AA440" s="37">
        <f t="shared" si="30"/>
        <v>0.21926192245974813</v>
      </c>
      <c r="AB440" s="3">
        <v>360.67</v>
      </c>
      <c r="AC440" s="3">
        <v>501.54</v>
      </c>
      <c r="AD440" s="3">
        <v>288.39</v>
      </c>
      <c r="AE440" s="3">
        <v>6056.11</v>
      </c>
      <c r="AF440" t="str">
        <f>IF(tbl_FinancialData[[#This Row],[City]]="","Unknown",PROPER(TRIM(tbl_FinancialData[[#This Row],[City]])))</f>
        <v>Hyderabad</v>
      </c>
      <c r="AG440" t="str">
        <f>_xlfn.LET(_xlpm.city,LOWER(TRIM(tbl_FinancialData[[#This Row],[City]])),_xlpm.st,PROPER(TRIM(tbl_FinancialData[[#This Row],[State]])),IF(_xlpm.city="pune","Maharashtra",IF(_xlpm.city="jamshedpur","Jharkhand",IF(_xlpm.city="bhilai","Chhattisgarh",IF(_xlpm.city="mumbai","Maharashtra",_xlpm.st)))))</f>
        <v>Telangana</v>
      </c>
      <c r="AH440" t="str">
        <f>_xlfn.LET(_xlpm.d,PROPER(TRIM(tbl_FinancialData[[#This Row],[Department]])),IF(_xlpm.d="It","IT",_xlpm.d))</f>
        <v>Sales</v>
      </c>
      <c r="AI440" t="str">
        <f>_xlfn.LET(_xlpm.pid,tbl_FinancialData[[#This Row],[Product ID]],_xlpm.n,PROPER(TRIM(tbl_FinancialData[[#This Row],[Product Name]])),IF(_xlpm.pid="P020","Document Scanner",IF(_xlpm.pid="P015","Network Router",SUBSTITUTE(SUBSTITUTE(_xlpm.n,"Crm","CRM"),"Ups","UPS"))))</f>
        <v>Network Router</v>
      </c>
      <c r="AJ440" s="3" t="str">
        <f>UPPER(TRIM(tbl_FinancialData[[#This Row],[Cost Center]]))</f>
        <v>CC-1003</v>
      </c>
    </row>
    <row r="441" spans="1:36" x14ac:dyDescent="0.25">
      <c r="A441" s="3" t="s">
        <v>642</v>
      </c>
      <c r="B441" s="2">
        <v>46054</v>
      </c>
      <c r="C441" t="s">
        <v>57</v>
      </c>
      <c r="D441" s="3" t="str">
        <f t="shared" si="27"/>
        <v>Q4</v>
      </c>
      <c r="E441" s="3" t="str">
        <f t="shared" si="28"/>
        <v>FY2026</v>
      </c>
      <c r="F441" s="8" t="s">
        <v>85</v>
      </c>
      <c r="G441" s="3" t="s">
        <v>35</v>
      </c>
      <c r="H441" t="s">
        <v>86</v>
      </c>
      <c r="I441" t="s">
        <v>87</v>
      </c>
      <c r="J441" s="3" t="s">
        <v>38</v>
      </c>
      <c r="K441" t="s">
        <v>71</v>
      </c>
      <c r="L441" s="3" t="s">
        <v>51</v>
      </c>
      <c r="M441" s="3" t="s">
        <v>62</v>
      </c>
      <c r="N441" t="s">
        <v>63</v>
      </c>
      <c r="O441" t="s">
        <v>54</v>
      </c>
      <c r="P441" t="s">
        <v>55</v>
      </c>
      <c r="Q441" s="3">
        <v>6604.16</v>
      </c>
      <c r="R441" s="3">
        <v>5962.84</v>
      </c>
      <c r="S441" s="3">
        <v>4331.33</v>
      </c>
      <c r="T441" s="3">
        <v>656.13</v>
      </c>
      <c r="U441" s="3">
        <v>166.35</v>
      </c>
      <c r="V441" s="3">
        <v>269.14</v>
      </c>
      <c r="W441" s="3">
        <v>252.99</v>
      </c>
      <c r="X441" s="3">
        <v>5675.94</v>
      </c>
      <c r="Y441" s="3">
        <v>2272.84</v>
      </c>
      <c r="Z441" s="3">
        <f t="shared" si="29"/>
        <v>928.22000000000025</v>
      </c>
      <c r="AA441" s="37">
        <f t="shared" si="30"/>
        <v>0.14055080434150599</v>
      </c>
      <c r="AB441" s="3">
        <v>641.33000000000004</v>
      </c>
      <c r="AC441" s="3">
        <v>132.08000000000001</v>
      </c>
      <c r="AD441" s="3">
        <v>1164.97</v>
      </c>
      <c r="AE441" s="3">
        <v>7637.05</v>
      </c>
      <c r="AF441" t="str">
        <f>IF(tbl_FinancialData[[#This Row],[City]]="","Unknown",PROPER(TRIM(tbl_FinancialData[[#This Row],[City]])))</f>
        <v>Indore</v>
      </c>
      <c r="AG441" t="str">
        <f>_xlfn.LET(_xlpm.city,LOWER(TRIM(tbl_FinancialData[[#This Row],[City]])),_xlpm.st,PROPER(TRIM(tbl_FinancialData[[#This Row],[State]])),IF(_xlpm.city="pune","Maharashtra",IF(_xlpm.city="jamshedpur","Jharkhand",IF(_xlpm.city="bhilai","Chhattisgarh",IF(_xlpm.city="mumbai","Maharashtra",_xlpm.st)))))</f>
        <v>Madhya Pradesh</v>
      </c>
      <c r="AH441" t="str">
        <f>_xlfn.LET(_xlpm.d,PROPER(TRIM(tbl_FinancialData[[#This Row],[Department]])),IF(_xlpm.d="It","IT",_xlpm.d))</f>
        <v>Marketing</v>
      </c>
      <c r="AI441" t="str">
        <f>_xlfn.LET(_xlpm.pid,tbl_FinancialData[[#This Row],[Product ID]],_xlpm.n,PROPER(TRIM(tbl_FinancialData[[#This Row],[Product Name]])),IF(_xlpm.pid="P020","Document Scanner",IF(_xlpm.pid="P015","Network Router",SUBSTITUTE(SUBSTITUTE(_xlpm.n,"Crm","CRM"),"Ups","UPS"))))</f>
        <v>Keyboard</v>
      </c>
      <c r="AJ441" s="3" t="str">
        <f>UPPER(TRIM(tbl_FinancialData[[#This Row],[Cost Center]]))</f>
        <v>CC-1003</v>
      </c>
    </row>
    <row r="442" spans="1:36" x14ac:dyDescent="0.25">
      <c r="A442" s="3" t="s">
        <v>643</v>
      </c>
      <c r="B442" s="2">
        <v>46112</v>
      </c>
      <c r="C442" t="s">
        <v>125</v>
      </c>
      <c r="D442" s="3" t="str">
        <f t="shared" si="27"/>
        <v>Q4</v>
      </c>
      <c r="E442" s="3" t="str">
        <f t="shared" si="28"/>
        <v>FY2026</v>
      </c>
      <c r="F442" s="8" t="s">
        <v>67</v>
      </c>
      <c r="G442" s="3" t="s">
        <v>35</v>
      </c>
      <c r="H442" t="s">
        <v>118</v>
      </c>
      <c r="I442" t="s">
        <v>209</v>
      </c>
      <c r="J442" s="3" t="s">
        <v>100</v>
      </c>
      <c r="K442" t="s">
        <v>160</v>
      </c>
      <c r="L442" s="3" t="s">
        <v>81</v>
      </c>
      <c r="M442" s="3" t="s">
        <v>95</v>
      </c>
      <c r="N442" t="s">
        <v>96</v>
      </c>
      <c r="O442" t="s">
        <v>43</v>
      </c>
      <c r="P442" t="s">
        <v>90</v>
      </c>
      <c r="Q442" s="3">
        <v>33690.25</v>
      </c>
      <c r="R442" s="3">
        <v>34759.300000000003</v>
      </c>
      <c r="S442" s="3">
        <v>16316.77</v>
      </c>
      <c r="T442" s="3">
        <v>4198.54</v>
      </c>
      <c r="U442" s="3">
        <v>1013.78</v>
      </c>
      <c r="V442" s="3">
        <v>3202.51</v>
      </c>
      <c r="W442" s="3">
        <v>1262.55</v>
      </c>
      <c r="X442" s="3">
        <v>25994.15</v>
      </c>
      <c r="Y442" s="3">
        <v>17373.48</v>
      </c>
      <c r="Z442" s="3">
        <f t="shared" si="29"/>
        <v>7696.0999999999985</v>
      </c>
      <c r="AA442" s="37">
        <f t="shared" si="30"/>
        <v>0.22843701070784569</v>
      </c>
      <c r="AB442" s="3">
        <v>-1069.05</v>
      </c>
      <c r="AC442" s="3">
        <v>2695.22</v>
      </c>
      <c r="AD442" s="3">
        <v>1549.75</v>
      </c>
      <c r="AE442" s="3">
        <v>32544.78</v>
      </c>
      <c r="AF442" t="str">
        <f>IF(tbl_FinancialData[[#This Row],[City]]="","Unknown",PROPER(TRIM(tbl_FinancialData[[#This Row],[City]])))</f>
        <v>Jamshedpur</v>
      </c>
      <c r="AG442" t="str">
        <f>_xlfn.LET(_xlpm.city,LOWER(TRIM(tbl_FinancialData[[#This Row],[City]])),_xlpm.st,PROPER(TRIM(tbl_FinancialData[[#This Row],[State]])),IF(_xlpm.city="pune","Maharashtra",IF(_xlpm.city="jamshedpur","Jharkhand",IF(_xlpm.city="bhilai","Chhattisgarh",IF(_xlpm.city="mumbai","Maharashtra",_xlpm.st)))))</f>
        <v>Jharkhand</v>
      </c>
      <c r="AH442" t="str">
        <f>_xlfn.LET(_xlpm.d,PROPER(TRIM(tbl_FinancialData[[#This Row],[Department]])),IF(_xlpm.d="It","IT",_xlpm.d))</f>
        <v>IT</v>
      </c>
      <c r="AI442" t="str">
        <f>_xlfn.LET(_xlpm.pid,tbl_FinancialData[[#This Row],[Product ID]],_xlpm.n,PROPER(TRIM(tbl_FinancialData[[#This Row],[Product Name]])),IF(_xlpm.pid="P020","Document Scanner",IF(_xlpm.pid="P015","Network Router",SUBSTITUTE(SUBSTITUTE(_xlpm.n,"Crm","CRM"),"Ups","UPS"))))</f>
        <v>Document Scanner</v>
      </c>
      <c r="AJ442" s="3" t="str">
        <f>UPPER(TRIM(tbl_FinancialData[[#This Row],[Cost Center]]))</f>
        <v>CC-1005</v>
      </c>
    </row>
    <row r="443" spans="1:36" x14ac:dyDescent="0.25">
      <c r="A443" s="3" t="s">
        <v>644</v>
      </c>
      <c r="B443" s="2">
        <v>46075</v>
      </c>
      <c r="C443" t="s">
        <v>57</v>
      </c>
      <c r="D443" s="3" t="str">
        <f t="shared" si="27"/>
        <v>Q4</v>
      </c>
      <c r="E443" s="3" t="str">
        <f t="shared" si="28"/>
        <v>FY2026</v>
      </c>
      <c r="F443" s="8" t="s">
        <v>34</v>
      </c>
      <c r="G443" s="3" t="s">
        <v>35</v>
      </c>
      <c r="H443" t="s">
        <v>98</v>
      </c>
      <c r="I443" t="s">
        <v>149</v>
      </c>
      <c r="J443" s="3" t="s">
        <v>70</v>
      </c>
      <c r="K443" t="s">
        <v>101</v>
      </c>
      <c r="L443" s="3" t="s">
        <v>40</v>
      </c>
      <c r="M443" s="3" t="s">
        <v>171</v>
      </c>
      <c r="N443" t="s">
        <v>172</v>
      </c>
      <c r="O443" t="s">
        <v>173</v>
      </c>
      <c r="P443" t="s">
        <v>174</v>
      </c>
      <c r="Q443" s="3">
        <v>26473.27</v>
      </c>
      <c r="R443" s="3">
        <v>30441.18</v>
      </c>
      <c r="S443" s="3">
        <v>18494.169999999998</v>
      </c>
      <c r="T443" s="3">
        <v>3321.46</v>
      </c>
      <c r="U443" s="3">
        <v>1557.02</v>
      </c>
      <c r="V443" s="3">
        <v>2492.92</v>
      </c>
      <c r="W443" s="3">
        <v>986.08</v>
      </c>
      <c r="X443" s="3">
        <v>26851.66</v>
      </c>
      <c r="Y443" s="3">
        <v>7979.1</v>
      </c>
      <c r="Z443" s="3">
        <f t="shared" si="29"/>
        <v>-378.38999999999942</v>
      </c>
      <c r="AA443" s="37">
        <f t="shared" si="30"/>
        <v>-1.4293285264721714E-2</v>
      </c>
      <c r="AB443" s="3">
        <v>-3967.91</v>
      </c>
      <c r="AC443" s="3">
        <v>0</v>
      </c>
      <c r="AD443" s="3">
        <v>4765.1899999999996</v>
      </c>
      <c r="AE443" s="3">
        <v>31238.46</v>
      </c>
      <c r="AF443" t="str">
        <f>IF(tbl_FinancialData[[#This Row],[City]]="","Unknown",PROPER(TRIM(tbl_FinancialData[[#This Row],[City]])))</f>
        <v>Nagpur</v>
      </c>
      <c r="AG443" t="str">
        <f>_xlfn.LET(_xlpm.city,LOWER(TRIM(tbl_FinancialData[[#This Row],[City]])),_xlpm.st,PROPER(TRIM(tbl_FinancialData[[#This Row],[State]])),IF(_xlpm.city="pune","Maharashtra",IF(_xlpm.city="jamshedpur","Jharkhand",IF(_xlpm.city="bhilai","Chhattisgarh",IF(_xlpm.city="mumbai","Maharashtra",_xlpm.st)))))</f>
        <v>Maharashtra</v>
      </c>
      <c r="AH443" t="str">
        <f>_xlfn.LET(_xlpm.d,PROPER(TRIM(tbl_FinancialData[[#This Row],[Department]])),IF(_xlpm.d="It","IT",_xlpm.d))</f>
        <v>Finance</v>
      </c>
      <c r="AI443" t="str">
        <f>_xlfn.LET(_xlpm.pid,tbl_FinancialData[[#This Row],[Product ID]],_xlpm.n,PROPER(TRIM(tbl_FinancialData[[#This Row],[Product Name]])),IF(_xlpm.pid="P020","Document Scanner",IF(_xlpm.pid="P015","Network Router",SUBSTITUTE(SUBSTITUTE(_xlpm.n,"Crm","CRM"),"Ups","UPS"))))</f>
        <v>Network Switch</v>
      </c>
      <c r="AJ443" s="3" t="str">
        <f>UPPER(TRIM(tbl_FinancialData[[#This Row],[Cost Center]]))</f>
        <v>CC-1002</v>
      </c>
    </row>
    <row r="444" spans="1:36" x14ac:dyDescent="0.25">
      <c r="A444" s="3" t="s">
        <v>645</v>
      </c>
      <c r="B444" s="2">
        <v>46086</v>
      </c>
      <c r="C444" t="s">
        <v>125</v>
      </c>
      <c r="D444" s="3" t="str">
        <f t="shared" si="27"/>
        <v>Q4</v>
      </c>
      <c r="E444" s="3" t="str">
        <f t="shared" si="28"/>
        <v>FY2026</v>
      </c>
      <c r="F444" s="8" t="s">
        <v>47</v>
      </c>
      <c r="G444" s="3" t="s">
        <v>35</v>
      </c>
      <c r="H444" t="s">
        <v>48</v>
      </c>
      <c r="I444" t="s">
        <v>265</v>
      </c>
      <c r="J444" s="3" t="s">
        <v>100</v>
      </c>
      <c r="K444" t="s">
        <v>50</v>
      </c>
      <c r="L444" s="3" t="s">
        <v>94</v>
      </c>
      <c r="M444" s="3" t="s">
        <v>141</v>
      </c>
      <c r="N444" t="s">
        <v>142</v>
      </c>
      <c r="O444" t="s">
        <v>54</v>
      </c>
      <c r="P444" t="s">
        <v>143</v>
      </c>
      <c r="Q444" s="3">
        <v>5139.62</v>
      </c>
      <c r="R444" s="3">
        <v>4637.63</v>
      </c>
      <c r="S444" s="3">
        <v>3088.33</v>
      </c>
      <c r="T444" s="3">
        <v>332.07</v>
      </c>
      <c r="U444" s="3">
        <v>320.24</v>
      </c>
      <c r="V444" s="3">
        <v>467.67</v>
      </c>
      <c r="W444" s="3">
        <v>151.54</v>
      </c>
      <c r="X444" s="3">
        <v>4359.8500000000004</v>
      </c>
      <c r="Y444" s="3">
        <v>2051.29</v>
      </c>
      <c r="Z444" s="3">
        <f t="shared" si="29"/>
        <v>779.76999999999953</v>
      </c>
      <c r="AA444" s="37">
        <f t="shared" si="30"/>
        <v>0.15171744214552818</v>
      </c>
      <c r="AB444" s="3">
        <v>501.99</v>
      </c>
      <c r="AC444" s="3">
        <v>256.98</v>
      </c>
      <c r="AD444" s="3">
        <v>585.91999999999996</v>
      </c>
      <c r="AE444" s="3">
        <v>5468.56</v>
      </c>
      <c r="AF444" t="str">
        <f>IF(tbl_FinancialData[[#This Row],[City]]="","Unknown",PROPER(TRIM(tbl_FinancialData[[#This Row],[City]])))</f>
        <v>Madurai</v>
      </c>
      <c r="AG444" t="str">
        <f>_xlfn.LET(_xlpm.city,LOWER(TRIM(tbl_FinancialData[[#This Row],[City]])),_xlpm.st,PROPER(TRIM(tbl_FinancialData[[#This Row],[State]])),IF(_xlpm.city="pune","Maharashtra",IF(_xlpm.city="jamshedpur","Jharkhand",IF(_xlpm.city="bhilai","Chhattisgarh",IF(_xlpm.city="mumbai","Maharashtra",_xlpm.st)))))</f>
        <v>Tamil Nadu</v>
      </c>
      <c r="AH444" t="str">
        <f>_xlfn.LET(_xlpm.d,PROPER(TRIM(tbl_FinancialData[[#This Row],[Department]])),IF(_xlpm.d="It","IT",_xlpm.d))</f>
        <v>Sales</v>
      </c>
      <c r="AI444" t="str">
        <f>_xlfn.LET(_xlpm.pid,tbl_FinancialData[[#This Row],[Product ID]],_xlpm.n,PROPER(TRIM(tbl_FinancialData[[#This Row],[Product Name]])),IF(_xlpm.pid="P020","Document Scanner",IF(_xlpm.pid="P015","Network Router",SUBSTITUTE(SUBSTITUTE(_xlpm.n,"Crm","CRM"),"Ups","UPS"))))</f>
        <v>Headset</v>
      </c>
      <c r="AJ444" s="3" t="str">
        <f>UPPER(TRIM(tbl_FinancialData[[#This Row],[Cost Center]]))</f>
        <v>CC-1001</v>
      </c>
    </row>
    <row r="445" spans="1:36" x14ac:dyDescent="0.25">
      <c r="A445" s="3" t="s">
        <v>646</v>
      </c>
      <c r="B445" s="2">
        <v>45907</v>
      </c>
      <c r="C445" t="s">
        <v>46</v>
      </c>
      <c r="D445" s="3" t="str">
        <f t="shared" si="27"/>
        <v>Q2</v>
      </c>
      <c r="E445" s="3" t="str">
        <f t="shared" si="28"/>
        <v>FY2026</v>
      </c>
      <c r="F445" s="8" t="s">
        <v>67</v>
      </c>
      <c r="G445" s="3" t="s">
        <v>35</v>
      </c>
      <c r="H445" t="s">
        <v>168</v>
      </c>
      <c r="I445" t="s">
        <v>251</v>
      </c>
      <c r="J445" s="3" t="s">
        <v>38</v>
      </c>
      <c r="K445" t="s">
        <v>50</v>
      </c>
      <c r="L445" s="3" t="s">
        <v>81</v>
      </c>
      <c r="M445" s="3" t="s">
        <v>221</v>
      </c>
      <c r="N445" t="s">
        <v>222</v>
      </c>
      <c r="O445" t="s">
        <v>104</v>
      </c>
      <c r="P445" t="s">
        <v>223</v>
      </c>
      <c r="Q445" s="3">
        <v>17995.14</v>
      </c>
      <c r="R445" s="3">
        <v>16298.88</v>
      </c>
      <c r="S445" s="3">
        <v>9030.4</v>
      </c>
      <c r="T445" s="3">
        <v>2228.84</v>
      </c>
      <c r="U445" s="3">
        <v>1256.1199999999999</v>
      </c>
      <c r="V445" s="3">
        <v>902.78</v>
      </c>
      <c r="W445" s="3">
        <v>404.63</v>
      </c>
      <c r="X445" s="3">
        <v>13822.77</v>
      </c>
      <c r="Y445" s="3">
        <v>8964.74</v>
      </c>
      <c r="Z445" s="3">
        <f t="shared" si="29"/>
        <v>4172.369999999999</v>
      </c>
      <c r="AA445" s="37">
        <f t="shared" si="30"/>
        <v>0.23186093578599551</v>
      </c>
      <c r="AB445" s="3">
        <v>1696.25</v>
      </c>
      <c r="AC445" s="3">
        <v>899.76</v>
      </c>
      <c r="AD445" s="3">
        <v>3077.17</v>
      </c>
      <c r="AE445" s="3">
        <v>20172.55</v>
      </c>
      <c r="AF445" t="str">
        <f>IF(tbl_FinancialData[[#This Row],[City]]="","Unknown",PROPER(TRIM(tbl_FinancialData[[#This Row],[City]])))</f>
        <v>Durgapur</v>
      </c>
      <c r="AG445" t="str">
        <f>_xlfn.LET(_xlpm.city,LOWER(TRIM(tbl_FinancialData[[#This Row],[City]])),_xlpm.st,PROPER(TRIM(tbl_FinancialData[[#This Row],[State]])),IF(_xlpm.city="pune","Maharashtra",IF(_xlpm.city="jamshedpur","Jharkhand",IF(_xlpm.city="bhilai","Chhattisgarh",IF(_xlpm.city="mumbai","Maharashtra",_xlpm.st)))))</f>
        <v>West Bengal</v>
      </c>
      <c r="AH445" t="str">
        <f>_xlfn.LET(_xlpm.d,PROPER(TRIM(tbl_FinancialData[[#This Row],[Department]])),IF(_xlpm.d="It","IT",_xlpm.d))</f>
        <v>Sales</v>
      </c>
      <c r="AI445" t="str">
        <f>_xlfn.LET(_xlpm.pid,tbl_FinancialData[[#This Row],[Product ID]],_xlpm.n,PROPER(TRIM(tbl_FinancialData[[#This Row],[Product Name]])),IF(_xlpm.pid="P020","Document Scanner",IF(_xlpm.pid="P015","Network Router",SUBSTITUTE(SUBSTITUTE(_xlpm.n,"Crm","CRM"),"Ups","UPS"))))</f>
        <v>Cloud Software</v>
      </c>
      <c r="AJ445" s="3" t="str">
        <f>UPPER(TRIM(tbl_FinancialData[[#This Row],[Cost Center]]))</f>
        <v>CC-1005</v>
      </c>
    </row>
    <row r="446" spans="1:36" x14ac:dyDescent="0.25">
      <c r="A446" s="3" t="s">
        <v>647</v>
      </c>
      <c r="B446" s="2">
        <v>45957</v>
      </c>
      <c r="C446" t="s">
        <v>92</v>
      </c>
      <c r="D446" s="3" t="str">
        <f t="shared" si="27"/>
        <v>Q3</v>
      </c>
      <c r="E446" s="3" t="str">
        <f t="shared" si="28"/>
        <v>FY2026</v>
      </c>
      <c r="F446" s="8" t="s">
        <v>34</v>
      </c>
      <c r="G446" s="3" t="s">
        <v>35</v>
      </c>
      <c r="H446" t="s">
        <v>36</v>
      </c>
      <c r="I446" t="s">
        <v>145</v>
      </c>
      <c r="J446" s="3" t="s">
        <v>100</v>
      </c>
      <c r="K446" t="s">
        <v>50</v>
      </c>
      <c r="L446" s="3" t="s">
        <v>81</v>
      </c>
      <c r="M446" s="3" t="s">
        <v>235</v>
      </c>
      <c r="N446" t="s">
        <v>236</v>
      </c>
      <c r="O446" t="s">
        <v>104</v>
      </c>
      <c r="P446" t="s">
        <v>237</v>
      </c>
      <c r="Q446" s="3">
        <v>30251.46</v>
      </c>
      <c r="R446" s="3">
        <v>28996.07</v>
      </c>
      <c r="S446" s="3">
        <v>15007.08</v>
      </c>
      <c r="T446" s="3">
        <v>1580.8</v>
      </c>
      <c r="U446" s="3">
        <v>1237.54</v>
      </c>
      <c r="V446" s="3">
        <v>3343.36</v>
      </c>
      <c r="W446" s="3">
        <v>742.88</v>
      </c>
      <c r="X446" s="3">
        <v>21911.66</v>
      </c>
      <c r="Y446" s="3">
        <v>15244.38</v>
      </c>
      <c r="Z446" s="3">
        <f t="shared" si="29"/>
        <v>8339.7999999999993</v>
      </c>
      <c r="AA446" s="37">
        <f t="shared" si="30"/>
        <v>0.27568256209782932</v>
      </c>
      <c r="AB446" s="3">
        <v>1255.3900000000001</v>
      </c>
      <c r="AC446" s="3">
        <v>1512.57</v>
      </c>
      <c r="AD446" s="3">
        <v>5173</v>
      </c>
      <c r="AE446" s="3">
        <v>33911.89</v>
      </c>
      <c r="AF446" t="str">
        <f>IF(tbl_FinancialData[[#This Row],[City]]="","Unknown",PROPER(TRIM(tbl_FinancialData[[#This Row],[City]])))</f>
        <v>Panaji</v>
      </c>
      <c r="AG446" t="str">
        <f>_xlfn.LET(_xlpm.city,LOWER(TRIM(tbl_FinancialData[[#This Row],[City]])),_xlpm.st,PROPER(TRIM(tbl_FinancialData[[#This Row],[State]])),IF(_xlpm.city="pune","Maharashtra",IF(_xlpm.city="jamshedpur","Jharkhand",IF(_xlpm.city="bhilai","Chhattisgarh",IF(_xlpm.city="mumbai","Maharashtra",_xlpm.st)))))</f>
        <v>Goa</v>
      </c>
      <c r="AH446" t="str">
        <f>_xlfn.LET(_xlpm.d,PROPER(TRIM(tbl_FinancialData[[#This Row],[Department]])),IF(_xlpm.d="It","IT",_xlpm.d))</f>
        <v>Sales</v>
      </c>
      <c r="AI446" t="str">
        <f>_xlfn.LET(_xlpm.pid,tbl_FinancialData[[#This Row],[Product ID]],_xlpm.n,PROPER(TRIM(tbl_FinancialData[[#This Row],[Product Name]])),IF(_xlpm.pid="P020","Document Scanner",IF(_xlpm.pid="P015","Network Router",SUBSTITUTE(SUBSTITUTE(_xlpm.n,"Crm","CRM"),"Ups","UPS"))))</f>
        <v>Data Storage</v>
      </c>
      <c r="AJ446" s="3" t="str">
        <f>UPPER(TRIM(tbl_FinancialData[[#This Row],[Cost Center]]))</f>
        <v>CC-1005</v>
      </c>
    </row>
    <row r="447" spans="1:36" x14ac:dyDescent="0.25">
      <c r="A447" s="3" t="s">
        <v>648</v>
      </c>
      <c r="B447" s="2">
        <v>45989</v>
      </c>
      <c r="C447" t="s">
        <v>147</v>
      </c>
      <c r="D447" s="3" t="str">
        <f t="shared" si="27"/>
        <v>Q3</v>
      </c>
      <c r="E447" s="3" t="str">
        <f t="shared" si="28"/>
        <v>FY2026</v>
      </c>
      <c r="F447" s="8" t="s">
        <v>34</v>
      </c>
      <c r="G447" s="3" t="s">
        <v>35</v>
      </c>
      <c r="H447" t="s">
        <v>98</v>
      </c>
      <c r="I447" t="s">
        <v>99</v>
      </c>
      <c r="J447" s="3" t="s">
        <v>38</v>
      </c>
      <c r="K447" t="s">
        <v>50</v>
      </c>
      <c r="L447" s="3" t="s">
        <v>94</v>
      </c>
      <c r="M447" s="3" t="s">
        <v>161</v>
      </c>
      <c r="N447" t="s">
        <v>162</v>
      </c>
      <c r="O447" t="s">
        <v>43</v>
      </c>
      <c r="P447" t="s">
        <v>163</v>
      </c>
      <c r="Q447" s="3">
        <v>55259.16</v>
      </c>
      <c r="R447" s="3">
        <v>63671.76</v>
      </c>
      <c r="S447" s="3">
        <v>28148.77</v>
      </c>
      <c r="T447" s="3">
        <v>5123.79</v>
      </c>
      <c r="U447" s="3">
        <v>4540.37</v>
      </c>
      <c r="V447" s="3">
        <v>4022.97</v>
      </c>
      <c r="W447" s="3">
        <v>1484.8</v>
      </c>
      <c r="X447" s="3">
        <v>43320.71</v>
      </c>
      <c r="Y447" s="3">
        <v>27110.39</v>
      </c>
      <c r="Z447" s="3">
        <f t="shared" si="29"/>
        <v>11938.450000000004</v>
      </c>
      <c r="AA447" s="37">
        <f t="shared" si="30"/>
        <v>0.2160447245307385</v>
      </c>
      <c r="AB447" s="3">
        <v>-8412.6</v>
      </c>
      <c r="AC447" s="3">
        <v>0</v>
      </c>
      <c r="AD447" s="3">
        <v>6631.1</v>
      </c>
      <c r="AE447" s="3">
        <v>61890.26</v>
      </c>
      <c r="AF447" t="str">
        <f>IF(tbl_FinancialData[[#This Row],[City]]="","Unknown",PROPER(TRIM(tbl_FinancialData[[#This Row],[City]])))</f>
        <v>Mumbai</v>
      </c>
      <c r="AG447" t="str">
        <f>_xlfn.LET(_xlpm.city,LOWER(TRIM(tbl_FinancialData[[#This Row],[City]])),_xlpm.st,PROPER(TRIM(tbl_FinancialData[[#This Row],[State]])),IF(_xlpm.city="pune","Maharashtra",IF(_xlpm.city="jamshedpur","Jharkhand",IF(_xlpm.city="bhilai","Chhattisgarh",IF(_xlpm.city="mumbai","Maharashtra",_xlpm.st)))))</f>
        <v>Maharashtra</v>
      </c>
      <c r="AH447" t="str">
        <f>_xlfn.LET(_xlpm.d,PROPER(TRIM(tbl_FinancialData[[#This Row],[Department]])),IF(_xlpm.d="It","IT",_xlpm.d))</f>
        <v>Sales</v>
      </c>
      <c r="AI447" t="str">
        <f>_xlfn.LET(_xlpm.pid,tbl_FinancialData[[#This Row],[Product ID]],_xlpm.n,PROPER(TRIM(tbl_FinancialData[[#This Row],[Product Name]])),IF(_xlpm.pid="P020","Document Scanner",IF(_xlpm.pid="P015","Network Router",SUBSTITUTE(SUBSTITUTE(_xlpm.n,"Crm","CRM"),"Ups","UPS"))))</f>
        <v>Tablet</v>
      </c>
      <c r="AJ447" s="3" t="str">
        <f>UPPER(TRIM(tbl_FinancialData[[#This Row],[Cost Center]]))</f>
        <v>CC-1001</v>
      </c>
    </row>
    <row r="448" spans="1:36" x14ac:dyDescent="0.25">
      <c r="A448" s="3" t="s">
        <v>649</v>
      </c>
      <c r="B448" s="2">
        <v>45809</v>
      </c>
      <c r="C448" t="s">
        <v>156</v>
      </c>
      <c r="D448" s="3" t="str">
        <f t="shared" si="27"/>
        <v>Q1</v>
      </c>
      <c r="E448" s="3" t="str">
        <f t="shared" si="28"/>
        <v>FY2026</v>
      </c>
      <c r="F448" s="8" t="s">
        <v>59</v>
      </c>
      <c r="G448" s="3" t="s">
        <v>35</v>
      </c>
      <c r="H448" t="s">
        <v>230</v>
      </c>
      <c r="I448" t="s">
        <v>363</v>
      </c>
      <c r="J448" s="3" t="s">
        <v>100</v>
      </c>
      <c r="K448" t="s">
        <v>101</v>
      </c>
      <c r="L448" s="3" t="s">
        <v>40</v>
      </c>
      <c r="M448" s="3" t="s">
        <v>221</v>
      </c>
      <c r="N448" t="s">
        <v>222</v>
      </c>
      <c r="O448" t="s">
        <v>104</v>
      </c>
      <c r="P448" t="s">
        <v>223</v>
      </c>
      <c r="Q448" s="3">
        <v>28073.72</v>
      </c>
      <c r="R448" s="3">
        <v>30339.72</v>
      </c>
      <c r="S448" s="3">
        <v>14326.25</v>
      </c>
      <c r="T448" s="3">
        <v>3527.8</v>
      </c>
      <c r="U448" s="3">
        <v>943.76</v>
      </c>
      <c r="V448" s="3">
        <v>2862.78</v>
      </c>
      <c r="W448" s="3">
        <v>540.94000000000005</v>
      </c>
      <c r="X448" s="3">
        <v>22201.54</v>
      </c>
      <c r="Y448" s="3">
        <v>13747.48</v>
      </c>
      <c r="Z448" s="3">
        <f t="shared" si="29"/>
        <v>5872.18</v>
      </c>
      <c r="AA448" s="37">
        <f t="shared" si="30"/>
        <v>0.20916999955830579</v>
      </c>
      <c r="AB448" s="3">
        <v>-2266</v>
      </c>
      <c r="AC448" s="3">
        <v>2807.37</v>
      </c>
      <c r="AD448" s="3">
        <v>4547.9399999999996</v>
      </c>
      <c r="AE448" s="3">
        <v>29814.29</v>
      </c>
      <c r="AF448" t="str">
        <f>IF(tbl_FinancialData[[#This Row],[City]]="","Unknown",PROPER(TRIM(tbl_FinancialData[[#This Row],[City]])))</f>
        <v>Jalandhar</v>
      </c>
      <c r="AG448" t="str">
        <f>_xlfn.LET(_xlpm.city,LOWER(TRIM(tbl_FinancialData[[#This Row],[City]])),_xlpm.st,PROPER(TRIM(tbl_FinancialData[[#This Row],[State]])),IF(_xlpm.city="pune","Maharashtra",IF(_xlpm.city="jamshedpur","Jharkhand",IF(_xlpm.city="bhilai","Chhattisgarh",IF(_xlpm.city="mumbai","Maharashtra",_xlpm.st)))))</f>
        <v>Punjab</v>
      </c>
      <c r="AH448" t="str">
        <f>_xlfn.LET(_xlpm.d,PROPER(TRIM(tbl_FinancialData[[#This Row],[Department]])),IF(_xlpm.d="It","IT",_xlpm.d))</f>
        <v>Finance</v>
      </c>
      <c r="AI448" t="str">
        <f>_xlfn.LET(_xlpm.pid,tbl_FinancialData[[#This Row],[Product ID]],_xlpm.n,PROPER(TRIM(tbl_FinancialData[[#This Row],[Product Name]])),IF(_xlpm.pid="P020","Document Scanner",IF(_xlpm.pid="P015","Network Router",SUBSTITUTE(SUBSTITUTE(_xlpm.n,"Crm","CRM"),"Ups","UPS"))))</f>
        <v>Cloud Software</v>
      </c>
      <c r="AJ448" s="3" t="str">
        <f>UPPER(TRIM(tbl_FinancialData[[#This Row],[Cost Center]]))</f>
        <v>CC-1002</v>
      </c>
    </row>
    <row r="449" spans="1:36" x14ac:dyDescent="0.25">
      <c r="A449" s="3" t="s">
        <v>650</v>
      </c>
      <c r="B449" s="2">
        <v>45843</v>
      </c>
      <c r="C449" t="s">
        <v>32</v>
      </c>
      <c r="D449" s="3" t="str">
        <f t="shared" si="27"/>
        <v>Q2</v>
      </c>
      <c r="E449" s="3" t="str">
        <f t="shared" si="28"/>
        <v>FY2026</v>
      </c>
      <c r="F449" s="8" t="s">
        <v>47</v>
      </c>
      <c r="G449" s="3" t="s">
        <v>35</v>
      </c>
      <c r="H449" t="s">
        <v>214</v>
      </c>
      <c r="I449" t="s">
        <v>321</v>
      </c>
      <c r="J449" s="3" t="s">
        <v>80</v>
      </c>
      <c r="K449" t="s">
        <v>50</v>
      </c>
      <c r="L449" s="3" t="s">
        <v>51</v>
      </c>
      <c r="M449" s="3" t="s">
        <v>82</v>
      </c>
      <c r="N449" t="s">
        <v>83</v>
      </c>
      <c r="O449" t="s">
        <v>43</v>
      </c>
      <c r="P449" t="s">
        <v>75</v>
      </c>
      <c r="Q449" s="3">
        <v>26856.32</v>
      </c>
      <c r="R449" s="3">
        <v>30244</v>
      </c>
      <c r="S449" s="3">
        <v>16657.28</v>
      </c>
      <c r="T449" s="3">
        <v>2435.39</v>
      </c>
      <c r="U449" s="3">
        <v>1227.32</v>
      </c>
      <c r="V449" s="3">
        <v>2644.66</v>
      </c>
      <c r="W449" s="3">
        <v>539.01</v>
      </c>
      <c r="X449" s="3">
        <v>23503.65</v>
      </c>
      <c r="Y449" s="3">
        <v>10199.049999999999</v>
      </c>
      <c r="Z449" s="3">
        <f t="shared" si="29"/>
        <v>3352.6699999999983</v>
      </c>
      <c r="AA449" s="37">
        <f t="shared" si="30"/>
        <v>0.12483728224864755</v>
      </c>
      <c r="AB449" s="3">
        <v>-3387.68</v>
      </c>
      <c r="AC449" s="3">
        <v>1342.82</v>
      </c>
      <c r="AD449" s="3">
        <v>1275.68</v>
      </c>
      <c r="AE449" s="3">
        <v>26789.18</v>
      </c>
      <c r="AF449" t="str">
        <f>IF(tbl_FinancialData[[#This Row],[City]]="","Unknown",PROPER(TRIM(tbl_FinancialData[[#This Row],[City]])))</f>
        <v>Bengaluru</v>
      </c>
      <c r="AG449" t="str">
        <f>_xlfn.LET(_xlpm.city,LOWER(TRIM(tbl_FinancialData[[#This Row],[City]])),_xlpm.st,PROPER(TRIM(tbl_FinancialData[[#This Row],[State]])),IF(_xlpm.city="pune","Maharashtra",IF(_xlpm.city="jamshedpur","Jharkhand",IF(_xlpm.city="bhilai","Chhattisgarh",IF(_xlpm.city="mumbai","Maharashtra",_xlpm.st)))))</f>
        <v>Karnataka</v>
      </c>
      <c r="AH449" t="str">
        <f>_xlfn.LET(_xlpm.d,PROPER(TRIM(tbl_FinancialData[[#This Row],[Department]])),IF(_xlpm.d="It","IT",_xlpm.d))</f>
        <v>Sales</v>
      </c>
      <c r="AI449" t="str">
        <f>_xlfn.LET(_xlpm.pid,tbl_FinancialData[[#This Row],[Product ID]],_xlpm.n,PROPER(TRIM(tbl_FinancialData[[#This Row],[Product Name]])),IF(_xlpm.pid="P020","Document Scanner",IF(_xlpm.pid="P015","Network Router",SUBSTITUTE(SUBSTITUTE(_xlpm.n,"Crm","CRM"),"Ups","UPS"))))</f>
        <v>Business Laptop</v>
      </c>
      <c r="AJ449" s="3" t="str">
        <f>UPPER(TRIM(tbl_FinancialData[[#This Row],[Cost Center]]))</f>
        <v>CC-1003</v>
      </c>
    </row>
    <row r="450" spans="1:36" x14ac:dyDescent="0.25">
      <c r="A450" s="3" t="s">
        <v>651</v>
      </c>
      <c r="B450" s="2">
        <v>45957</v>
      </c>
      <c r="C450" t="s">
        <v>92</v>
      </c>
      <c r="D450" s="3" t="str">
        <f t="shared" ref="D450:D513" si="31">"Q"&amp;INT(MOD(MONTH(B450)-4,12)/3)+1</f>
        <v>Q3</v>
      </c>
      <c r="E450" s="3" t="str">
        <f t="shared" ref="E450:E513" si="32">"FY"&amp; (YEAR(B450)+(MONTH(B450)&gt;=4))</f>
        <v>FY2026</v>
      </c>
      <c r="F450" s="8" t="s">
        <v>34</v>
      </c>
      <c r="G450" s="3" t="s">
        <v>35</v>
      </c>
      <c r="H450" t="s">
        <v>36</v>
      </c>
      <c r="I450" t="s">
        <v>37</v>
      </c>
      <c r="J450" s="3" t="s">
        <v>80</v>
      </c>
      <c r="K450" t="s">
        <v>39</v>
      </c>
      <c r="L450" s="3" t="s">
        <v>81</v>
      </c>
      <c r="M450" s="3" t="s">
        <v>197</v>
      </c>
      <c r="N450" t="s">
        <v>198</v>
      </c>
      <c r="O450" t="s">
        <v>43</v>
      </c>
      <c r="P450" t="s">
        <v>163</v>
      </c>
      <c r="Q450" s="3">
        <v>49021.65</v>
      </c>
      <c r="R450" s="3">
        <v>56447.87</v>
      </c>
      <c r="S450" s="3">
        <v>33152.559999999998</v>
      </c>
      <c r="T450" s="3">
        <v>3809.04</v>
      </c>
      <c r="U450" s="3">
        <v>3799.33</v>
      </c>
      <c r="V450" s="3">
        <v>3358.53</v>
      </c>
      <c r="W450" s="3">
        <v>663.42</v>
      </c>
      <c r="X450" s="3">
        <v>44782.89</v>
      </c>
      <c r="Y450" s="3">
        <v>15869.08</v>
      </c>
      <c r="Z450" s="3">
        <f t="shared" si="29"/>
        <v>4238.760000000002</v>
      </c>
      <c r="AA450" s="37">
        <f t="shared" si="30"/>
        <v>8.646710178053986E-2</v>
      </c>
      <c r="AB450" s="3">
        <v>-7426.22</v>
      </c>
      <c r="AC450" s="3">
        <v>4902.16</v>
      </c>
      <c r="AD450" s="3">
        <v>7941.51</v>
      </c>
      <c r="AE450" s="3">
        <v>52060.99</v>
      </c>
      <c r="AF450" t="str">
        <f>IF(tbl_FinancialData[[#This Row],[City]]="","Unknown",PROPER(TRIM(tbl_FinancialData[[#This Row],[City]])))</f>
        <v>Vasco Da Gama</v>
      </c>
      <c r="AG450" t="str">
        <f>_xlfn.LET(_xlpm.city,LOWER(TRIM(tbl_FinancialData[[#This Row],[City]])),_xlpm.st,PROPER(TRIM(tbl_FinancialData[[#This Row],[State]])),IF(_xlpm.city="pune","Maharashtra",IF(_xlpm.city="jamshedpur","Jharkhand",IF(_xlpm.city="bhilai","Chhattisgarh",IF(_xlpm.city="mumbai","Maharashtra",_xlpm.st)))))</f>
        <v>Goa</v>
      </c>
      <c r="AH450" t="str">
        <f>_xlfn.LET(_xlpm.d,PROPER(TRIM(tbl_FinancialData[[#This Row],[Department]])),IF(_xlpm.d="It","IT",_xlpm.d))</f>
        <v>Operations</v>
      </c>
      <c r="AI450" t="str">
        <f>_xlfn.LET(_xlpm.pid,tbl_FinancialData[[#This Row],[Product ID]],_xlpm.n,PROPER(TRIM(tbl_FinancialData[[#This Row],[Product Name]])),IF(_xlpm.pid="P020","Document Scanner",IF(_xlpm.pid="P015","Network Router",SUBSTITUTE(SUBSTITUTE(_xlpm.n,"Crm","CRM"),"Ups","UPS"))))</f>
        <v>Smartphone</v>
      </c>
      <c r="AJ450" s="3" t="str">
        <f>UPPER(TRIM(tbl_FinancialData[[#This Row],[Cost Center]]))</f>
        <v>CC-1005</v>
      </c>
    </row>
    <row r="451" spans="1:36" x14ac:dyDescent="0.25">
      <c r="A451" s="3" t="s">
        <v>652</v>
      </c>
      <c r="B451" s="2">
        <v>45829</v>
      </c>
      <c r="C451" t="s">
        <v>156</v>
      </c>
      <c r="D451" s="3" t="str">
        <f t="shared" si="31"/>
        <v>Q1</v>
      </c>
      <c r="E451" s="3" t="str">
        <f t="shared" si="32"/>
        <v>FY2026</v>
      </c>
      <c r="F451" s="8" t="s">
        <v>47</v>
      </c>
      <c r="G451" s="3" t="s">
        <v>35</v>
      </c>
      <c r="H451" t="s">
        <v>48</v>
      </c>
      <c r="I451" t="s">
        <v>49</v>
      </c>
      <c r="J451" s="3" t="s">
        <v>80</v>
      </c>
      <c r="K451" t="s">
        <v>160</v>
      </c>
      <c r="L451" s="3" t="s">
        <v>81</v>
      </c>
      <c r="M451" s="3" t="s">
        <v>211</v>
      </c>
      <c r="N451" t="s">
        <v>212</v>
      </c>
      <c r="O451" t="s">
        <v>112</v>
      </c>
      <c r="P451" t="s">
        <v>113</v>
      </c>
      <c r="Q451" s="3">
        <v>16967.07</v>
      </c>
      <c r="R451" s="3">
        <v>17947.27</v>
      </c>
      <c r="S451" s="3">
        <v>9691.2800000000007</v>
      </c>
      <c r="T451" s="3">
        <v>1529.66</v>
      </c>
      <c r="U451" s="3">
        <v>1091.49</v>
      </c>
      <c r="V451" s="3">
        <v>1438.66</v>
      </c>
      <c r="W451" s="3">
        <v>458.52</v>
      </c>
      <c r="X451" s="3">
        <v>14209.61</v>
      </c>
      <c r="Y451" s="3">
        <v>7275.79</v>
      </c>
      <c r="Z451" s="3">
        <f t="shared" ref="Z451:Z514" si="33">Q451-X451</f>
        <v>2757.4599999999991</v>
      </c>
      <c r="AA451" s="37">
        <f t="shared" ref="AA451:AA514" si="34">Z451/Q451</f>
        <v>0.16251833699041726</v>
      </c>
      <c r="AB451" s="3">
        <v>-980.2</v>
      </c>
      <c r="AC451" s="3">
        <v>509.01</v>
      </c>
      <c r="AD451" s="3">
        <v>822.9</v>
      </c>
      <c r="AE451" s="3">
        <v>17280.96</v>
      </c>
      <c r="AF451" t="str">
        <f>IF(tbl_FinancialData[[#This Row],[City]]="","Unknown",PROPER(TRIM(tbl_FinancialData[[#This Row],[City]])))</f>
        <v>Chennai</v>
      </c>
      <c r="AG451" t="str">
        <f>_xlfn.LET(_xlpm.city,LOWER(TRIM(tbl_FinancialData[[#This Row],[City]])),_xlpm.st,PROPER(TRIM(tbl_FinancialData[[#This Row],[State]])),IF(_xlpm.city="pune","Maharashtra",IF(_xlpm.city="jamshedpur","Jharkhand",IF(_xlpm.city="bhilai","Chhattisgarh",IF(_xlpm.city="mumbai","Maharashtra",_xlpm.st)))))</f>
        <v>Tamil Nadu</v>
      </c>
      <c r="AH451" t="str">
        <f>_xlfn.LET(_xlpm.d,PROPER(TRIM(tbl_FinancialData[[#This Row],[Department]])),IF(_xlpm.d="It","IT",_xlpm.d))</f>
        <v>IT</v>
      </c>
      <c r="AI451" t="str">
        <f>_xlfn.LET(_xlpm.pid,tbl_FinancialData[[#This Row],[Product ID]],_xlpm.n,PROPER(TRIM(tbl_FinancialData[[#This Row],[Product Name]])),IF(_xlpm.pid="P020","Document Scanner",IF(_xlpm.pid="P015","Network Router",SUBSTITUTE(SUBSTITUTE(_xlpm.n,"Crm","CRM"),"Ups","UPS"))))</f>
        <v>Office Chair</v>
      </c>
      <c r="AJ451" s="3" t="str">
        <f>UPPER(TRIM(tbl_FinancialData[[#This Row],[Cost Center]]))</f>
        <v>CC-1005</v>
      </c>
    </row>
    <row r="452" spans="1:36" x14ac:dyDescent="0.25">
      <c r="A452" s="3" t="s">
        <v>653</v>
      </c>
      <c r="B452" s="2">
        <v>46106</v>
      </c>
      <c r="C452" t="s">
        <v>125</v>
      </c>
      <c r="D452" s="3" t="str">
        <f t="shared" si="31"/>
        <v>Q4</v>
      </c>
      <c r="E452" s="3" t="str">
        <f t="shared" si="32"/>
        <v>FY2026</v>
      </c>
      <c r="F452" s="8" t="s">
        <v>85</v>
      </c>
      <c r="G452" s="3" t="s">
        <v>35</v>
      </c>
      <c r="H452" t="s">
        <v>86</v>
      </c>
      <c r="I452" t="s">
        <v>181</v>
      </c>
      <c r="J452" s="3" t="s">
        <v>70</v>
      </c>
      <c r="K452" t="s">
        <v>101</v>
      </c>
      <c r="L452" s="3" t="s">
        <v>40</v>
      </c>
      <c r="M452" s="3" t="s">
        <v>41</v>
      </c>
      <c r="N452" t="s">
        <v>42</v>
      </c>
      <c r="O452" t="s">
        <v>43</v>
      </c>
      <c r="P452" t="s">
        <v>44</v>
      </c>
      <c r="Q452" s="3">
        <v>29381.69</v>
      </c>
      <c r="R452" s="3">
        <v>30425.32</v>
      </c>
      <c r="S452" s="3">
        <v>14897.29</v>
      </c>
      <c r="T452" s="3">
        <v>3664.45</v>
      </c>
      <c r="U452" s="3">
        <v>1085.1400000000001</v>
      </c>
      <c r="V452" s="3">
        <v>1769.4</v>
      </c>
      <c r="W452" s="3">
        <v>711.99</v>
      </c>
      <c r="X452" s="3">
        <v>22128.27</v>
      </c>
      <c r="Y452" s="3">
        <v>14484.4</v>
      </c>
      <c r="Z452" s="3">
        <f t="shared" si="33"/>
        <v>7253.4199999999983</v>
      </c>
      <c r="AA452" s="37">
        <f t="shared" si="34"/>
        <v>0.24686871313392791</v>
      </c>
      <c r="AB452" s="3">
        <v>-1043.6300000000001</v>
      </c>
      <c r="AC452" s="3">
        <v>881.45</v>
      </c>
      <c r="AD452" s="3">
        <v>5130.04</v>
      </c>
      <c r="AE452" s="3">
        <v>33630.28</v>
      </c>
      <c r="AF452" t="str">
        <f>IF(tbl_FinancialData[[#This Row],[City]]="","Unknown",PROPER(TRIM(tbl_FinancialData[[#This Row],[City]])))</f>
        <v>Bhopal</v>
      </c>
      <c r="AG452" t="str">
        <f>_xlfn.LET(_xlpm.city,LOWER(TRIM(tbl_FinancialData[[#This Row],[City]])),_xlpm.st,PROPER(TRIM(tbl_FinancialData[[#This Row],[State]])),IF(_xlpm.city="pune","Maharashtra",IF(_xlpm.city="jamshedpur","Jharkhand",IF(_xlpm.city="bhilai","Chhattisgarh",IF(_xlpm.city="mumbai","Maharashtra",_xlpm.st)))))</f>
        <v>Madhya Pradesh</v>
      </c>
      <c r="AH452" t="str">
        <f>_xlfn.LET(_xlpm.d,PROPER(TRIM(tbl_FinancialData[[#This Row],[Department]])),IF(_xlpm.d="It","IT",_xlpm.d))</f>
        <v>Finance</v>
      </c>
      <c r="AI452" t="str">
        <f>_xlfn.LET(_xlpm.pid,tbl_FinancialData[[#This Row],[Product ID]],_xlpm.n,PROPER(TRIM(tbl_FinancialData[[#This Row],[Product Name]])),IF(_xlpm.pid="P020","Document Scanner",IF(_xlpm.pid="P015","Network Router",SUBSTITUTE(SUBSTITUTE(_xlpm.n,"Crm","CRM"),"Ups","UPS"))))</f>
        <v>Conference Camera</v>
      </c>
      <c r="AJ452" s="3" t="str">
        <f>UPPER(TRIM(tbl_FinancialData[[#This Row],[Cost Center]]))</f>
        <v>CC-1002</v>
      </c>
    </row>
    <row r="453" spans="1:36" x14ac:dyDescent="0.25">
      <c r="A453" s="3" t="s">
        <v>654</v>
      </c>
      <c r="B453" s="2">
        <v>45770</v>
      </c>
      <c r="C453" t="s">
        <v>128</v>
      </c>
      <c r="D453" s="3" t="str">
        <f t="shared" si="31"/>
        <v>Q1</v>
      </c>
      <c r="E453" s="3" t="str">
        <f t="shared" si="32"/>
        <v>FY2026</v>
      </c>
      <c r="F453" s="8" t="s">
        <v>47</v>
      </c>
      <c r="G453" s="3" t="s">
        <v>35</v>
      </c>
      <c r="H453" t="s">
        <v>78</v>
      </c>
      <c r="I453" t="s">
        <v>115</v>
      </c>
      <c r="J453" s="3" t="s">
        <v>100</v>
      </c>
      <c r="K453" t="s">
        <v>71</v>
      </c>
      <c r="L453" s="3" t="s">
        <v>51</v>
      </c>
      <c r="M453" s="3" t="s">
        <v>221</v>
      </c>
      <c r="N453" t="s">
        <v>222</v>
      </c>
      <c r="O453" t="s">
        <v>104</v>
      </c>
      <c r="P453" t="s">
        <v>223</v>
      </c>
      <c r="Q453" s="3">
        <v>6056.35</v>
      </c>
      <c r="R453" s="3">
        <v>5350.17</v>
      </c>
      <c r="S453" s="3">
        <v>3704.5</v>
      </c>
      <c r="T453" s="3">
        <v>774.43</v>
      </c>
      <c r="U453" s="3">
        <v>324.10000000000002</v>
      </c>
      <c r="V453" s="3">
        <v>504.25</v>
      </c>
      <c r="W453" s="3">
        <v>265.75</v>
      </c>
      <c r="X453" s="3">
        <v>5573.04</v>
      </c>
      <c r="Y453" s="3">
        <v>2351.85</v>
      </c>
      <c r="Z453" s="3">
        <f t="shared" si="33"/>
        <v>483.3100000000004</v>
      </c>
      <c r="AA453" s="37">
        <f t="shared" si="34"/>
        <v>7.980219108869209E-2</v>
      </c>
      <c r="AB453" s="3">
        <v>706.17</v>
      </c>
      <c r="AC453" s="3">
        <v>121.13</v>
      </c>
      <c r="AD453" s="3">
        <v>1068.3399999999999</v>
      </c>
      <c r="AE453" s="3">
        <v>7003.56</v>
      </c>
      <c r="AF453" t="str">
        <f>IF(tbl_FinancialData[[#This Row],[City]]="","Unknown",PROPER(TRIM(tbl_FinancialData[[#This Row],[City]])))</f>
        <v>Thiruvananthapuram</v>
      </c>
      <c r="AG453" t="str">
        <f>_xlfn.LET(_xlpm.city,LOWER(TRIM(tbl_FinancialData[[#This Row],[City]])),_xlpm.st,PROPER(TRIM(tbl_FinancialData[[#This Row],[State]])),IF(_xlpm.city="pune","Maharashtra",IF(_xlpm.city="jamshedpur","Jharkhand",IF(_xlpm.city="bhilai","Chhattisgarh",IF(_xlpm.city="mumbai","Maharashtra",_xlpm.st)))))</f>
        <v>Kerala</v>
      </c>
      <c r="AH453" t="str">
        <f>_xlfn.LET(_xlpm.d,PROPER(TRIM(tbl_FinancialData[[#This Row],[Department]])),IF(_xlpm.d="It","IT",_xlpm.d))</f>
        <v>Marketing</v>
      </c>
      <c r="AI453" t="str">
        <f>_xlfn.LET(_xlpm.pid,tbl_FinancialData[[#This Row],[Product ID]],_xlpm.n,PROPER(TRIM(tbl_FinancialData[[#This Row],[Product Name]])),IF(_xlpm.pid="P020","Document Scanner",IF(_xlpm.pid="P015","Network Router",SUBSTITUTE(SUBSTITUTE(_xlpm.n,"Crm","CRM"),"Ups","UPS"))))</f>
        <v>Cloud Software</v>
      </c>
      <c r="AJ453" s="3" t="str">
        <f>UPPER(TRIM(tbl_FinancialData[[#This Row],[Cost Center]]))</f>
        <v>CC-1003</v>
      </c>
    </row>
    <row r="454" spans="1:36" x14ac:dyDescent="0.25">
      <c r="A454" s="3" t="s">
        <v>655</v>
      </c>
      <c r="B454" s="2">
        <v>45981</v>
      </c>
      <c r="C454" t="s">
        <v>147</v>
      </c>
      <c r="D454" s="3" t="str">
        <f t="shared" si="31"/>
        <v>Q3</v>
      </c>
      <c r="E454" s="3" t="str">
        <f t="shared" si="32"/>
        <v>FY2026</v>
      </c>
      <c r="F454" s="8" t="s">
        <v>59</v>
      </c>
      <c r="G454" s="3" t="s">
        <v>35</v>
      </c>
      <c r="H454" t="s">
        <v>230</v>
      </c>
      <c r="I454" t="s">
        <v>301</v>
      </c>
      <c r="J454" s="3" t="s">
        <v>70</v>
      </c>
      <c r="K454" t="s">
        <v>50</v>
      </c>
      <c r="L454" s="3" t="s">
        <v>81</v>
      </c>
      <c r="M454" s="3" t="s">
        <v>161</v>
      </c>
      <c r="N454" t="s">
        <v>162</v>
      </c>
      <c r="O454" t="s">
        <v>43</v>
      </c>
      <c r="P454" t="s">
        <v>163</v>
      </c>
      <c r="Q454" s="3">
        <v>21704.400000000001</v>
      </c>
      <c r="R454" s="3">
        <v>21304.3</v>
      </c>
      <c r="S454" s="3">
        <v>12884.26</v>
      </c>
      <c r="T454" s="3">
        <v>2149.9</v>
      </c>
      <c r="U454" s="3">
        <v>1768.3</v>
      </c>
      <c r="V454" s="3">
        <v>2017.47</v>
      </c>
      <c r="W454" s="3">
        <v>546.77</v>
      </c>
      <c r="X454" s="3">
        <v>19366.7</v>
      </c>
      <c r="Y454" s="3">
        <v>8820.14</v>
      </c>
      <c r="Z454" s="3">
        <f t="shared" si="33"/>
        <v>2337.7000000000007</v>
      </c>
      <c r="AA454" s="37">
        <f t="shared" si="34"/>
        <v>0.1077062715394114</v>
      </c>
      <c r="AB454" s="3">
        <v>400.09</v>
      </c>
      <c r="AC454" s="3">
        <v>1736.35</v>
      </c>
      <c r="AD454" s="3">
        <v>3594.25</v>
      </c>
      <c r="AE454" s="3">
        <v>23562.3</v>
      </c>
      <c r="AF454" t="str">
        <f>IF(tbl_FinancialData[[#This Row],[City]]="","Unknown",PROPER(TRIM(tbl_FinancialData[[#This Row],[City]])))</f>
        <v>Amritsar</v>
      </c>
      <c r="AG454" t="str">
        <f>_xlfn.LET(_xlpm.city,LOWER(TRIM(tbl_FinancialData[[#This Row],[City]])),_xlpm.st,PROPER(TRIM(tbl_FinancialData[[#This Row],[State]])),IF(_xlpm.city="pune","Maharashtra",IF(_xlpm.city="jamshedpur","Jharkhand",IF(_xlpm.city="bhilai","Chhattisgarh",IF(_xlpm.city="mumbai","Maharashtra",_xlpm.st)))))</f>
        <v>Punjab</v>
      </c>
      <c r="AH454" t="str">
        <f>_xlfn.LET(_xlpm.d,PROPER(TRIM(tbl_FinancialData[[#This Row],[Department]])),IF(_xlpm.d="It","IT",_xlpm.d))</f>
        <v>Sales</v>
      </c>
      <c r="AI454" t="str">
        <f>_xlfn.LET(_xlpm.pid,tbl_FinancialData[[#This Row],[Product ID]],_xlpm.n,PROPER(TRIM(tbl_FinancialData[[#This Row],[Product Name]])),IF(_xlpm.pid="P020","Document Scanner",IF(_xlpm.pid="P015","Network Router",SUBSTITUTE(SUBSTITUTE(_xlpm.n,"Crm","CRM"),"Ups","UPS"))))</f>
        <v>Tablet</v>
      </c>
      <c r="AJ454" s="3" t="str">
        <f>UPPER(TRIM(tbl_FinancialData[[#This Row],[Cost Center]]))</f>
        <v>CC-1005</v>
      </c>
    </row>
    <row r="455" spans="1:36" x14ac:dyDescent="0.25">
      <c r="A455" s="3" t="s">
        <v>656</v>
      </c>
      <c r="B455" s="2">
        <v>45946</v>
      </c>
      <c r="C455" t="s">
        <v>92</v>
      </c>
      <c r="D455" s="3" t="str">
        <f t="shared" si="31"/>
        <v>Q3</v>
      </c>
      <c r="E455" s="3" t="str">
        <f t="shared" si="32"/>
        <v>FY2026</v>
      </c>
      <c r="F455" s="8" t="s">
        <v>34</v>
      </c>
      <c r="G455" s="3" t="s">
        <v>35</v>
      </c>
      <c r="H455" t="s">
        <v>134</v>
      </c>
      <c r="I455" t="s">
        <v>154</v>
      </c>
      <c r="J455" s="3" t="s">
        <v>80</v>
      </c>
      <c r="K455" t="s">
        <v>50</v>
      </c>
      <c r="L455" s="3" t="s">
        <v>51</v>
      </c>
      <c r="M455" s="3" t="s">
        <v>161</v>
      </c>
      <c r="N455" t="s">
        <v>162</v>
      </c>
      <c r="O455" t="s">
        <v>43</v>
      </c>
      <c r="P455" t="s">
        <v>163</v>
      </c>
      <c r="Q455" s="3">
        <v>49635.46</v>
      </c>
      <c r="R455" s="3">
        <v>55776.57</v>
      </c>
      <c r="S455" s="3">
        <v>33991.11</v>
      </c>
      <c r="T455" s="3">
        <v>6112.47</v>
      </c>
      <c r="U455" s="3">
        <v>2096.7800000000002</v>
      </c>
      <c r="V455" s="3">
        <v>5574.87</v>
      </c>
      <c r="W455" s="3">
        <v>1053.42</v>
      </c>
      <c r="X455" s="3">
        <v>48828.65</v>
      </c>
      <c r="Y455" s="3">
        <v>15644.35</v>
      </c>
      <c r="Z455" s="3">
        <f t="shared" si="33"/>
        <v>806.80999999999767</v>
      </c>
      <c r="AA455" s="37">
        <f t="shared" si="34"/>
        <v>1.6254709838490419E-2</v>
      </c>
      <c r="AB455" s="3">
        <v>-6141.1</v>
      </c>
      <c r="AC455" s="3">
        <v>2481.77</v>
      </c>
      <c r="AD455" s="3">
        <v>2357.6799999999998</v>
      </c>
      <c r="AE455" s="3">
        <v>49511.37</v>
      </c>
      <c r="AF455" t="str">
        <f>IF(tbl_FinancialData[[#This Row],[City]]="","Unknown",PROPER(TRIM(tbl_FinancialData[[#This Row],[City]])))</f>
        <v>Udaipur</v>
      </c>
      <c r="AG455" t="str">
        <f>_xlfn.LET(_xlpm.city,LOWER(TRIM(tbl_FinancialData[[#This Row],[City]])),_xlpm.st,PROPER(TRIM(tbl_FinancialData[[#This Row],[State]])),IF(_xlpm.city="pune","Maharashtra",IF(_xlpm.city="jamshedpur","Jharkhand",IF(_xlpm.city="bhilai","Chhattisgarh",IF(_xlpm.city="mumbai","Maharashtra",_xlpm.st)))))</f>
        <v>Rajasthan</v>
      </c>
      <c r="AH455" t="str">
        <f>_xlfn.LET(_xlpm.d,PROPER(TRIM(tbl_FinancialData[[#This Row],[Department]])),IF(_xlpm.d="It","IT",_xlpm.d))</f>
        <v>Sales</v>
      </c>
      <c r="AI455" t="str">
        <f>_xlfn.LET(_xlpm.pid,tbl_FinancialData[[#This Row],[Product ID]],_xlpm.n,PROPER(TRIM(tbl_FinancialData[[#This Row],[Product Name]])),IF(_xlpm.pid="P020","Document Scanner",IF(_xlpm.pid="P015","Network Router",SUBSTITUTE(SUBSTITUTE(_xlpm.n,"Crm","CRM"),"Ups","UPS"))))</f>
        <v>Tablet</v>
      </c>
      <c r="AJ455" s="3" t="str">
        <f>UPPER(TRIM(tbl_FinancialData[[#This Row],[Cost Center]]))</f>
        <v>CC-1003</v>
      </c>
    </row>
    <row r="456" spans="1:36" x14ac:dyDescent="0.25">
      <c r="A456" s="3" t="s">
        <v>657</v>
      </c>
      <c r="B456" s="2">
        <v>45858</v>
      </c>
      <c r="C456" t="s">
        <v>32</v>
      </c>
      <c r="D456" s="3" t="str">
        <f t="shared" si="31"/>
        <v>Q2</v>
      </c>
      <c r="E456" s="3" t="str">
        <f t="shared" si="32"/>
        <v>FY2026</v>
      </c>
      <c r="F456" s="8" t="s">
        <v>85</v>
      </c>
      <c r="G456" s="3" t="s">
        <v>35</v>
      </c>
      <c r="H456" t="s">
        <v>86</v>
      </c>
      <c r="I456" t="s">
        <v>181</v>
      </c>
      <c r="J456" s="3" t="s">
        <v>80</v>
      </c>
      <c r="K456" t="s">
        <v>50</v>
      </c>
      <c r="L456" s="3" t="s">
        <v>94</v>
      </c>
      <c r="M456" s="3" t="s">
        <v>197</v>
      </c>
      <c r="N456" t="s">
        <v>198</v>
      </c>
      <c r="O456" t="s">
        <v>43</v>
      </c>
      <c r="P456" t="s">
        <v>163</v>
      </c>
      <c r="Q456" s="3">
        <v>22226.9</v>
      </c>
      <c r="R456" s="3">
        <v>20088.12</v>
      </c>
      <c r="S456" s="3">
        <v>11690.41</v>
      </c>
      <c r="T456" s="3">
        <v>1798.13</v>
      </c>
      <c r="U456" s="3">
        <v>1256.17</v>
      </c>
      <c r="V456" s="3">
        <v>1520.31</v>
      </c>
      <c r="W456" s="3">
        <v>471.76</v>
      </c>
      <c r="X456" s="3">
        <v>16736.79</v>
      </c>
      <c r="Y456" s="3">
        <v>10536.5</v>
      </c>
      <c r="Z456" s="3">
        <f t="shared" si="33"/>
        <v>5490.1100000000006</v>
      </c>
      <c r="AA456" s="37">
        <f t="shared" si="34"/>
        <v>0.24700295587778773</v>
      </c>
      <c r="AB456" s="3">
        <v>2138.79</v>
      </c>
      <c r="AC456" s="3">
        <v>2222.69</v>
      </c>
      <c r="AD456" s="3">
        <v>3600.76</v>
      </c>
      <c r="AE456" s="3">
        <v>23604.97</v>
      </c>
      <c r="AF456" t="str">
        <f>IF(tbl_FinancialData[[#This Row],[City]]="","Unknown",PROPER(TRIM(tbl_FinancialData[[#This Row],[City]])))</f>
        <v>Bhopal</v>
      </c>
      <c r="AG456" t="str">
        <f>_xlfn.LET(_xlpm.city,LOWER(TRIM(tbl_FinancialData[[#This Row],[City]])),_xlpm.st,PROPER(TRIM(tbl_FinancialData[[#This Row],[State]])),IF(_xlpm.city="pune","Maharashtra",IF(_xlpm.city="jamshedpur","Jharkhand",IF(_xlpm.city="bhilai","Chhattisgarh",IF(_xlpm.city="mumbai","Maharashtra",_xlpm.st)))))</f>
        <v>Madhya Pradesh</v>
      </c>
      <c r="AH456" t="str">
        <f>_xlfn.LET(_xlpm.d,PROPER(TRIM(tbl_FinancialData[[#This Row],[Department]])),IF(_xlpm.d="It","IT",_xlpm.d))</f>
        <v>Sales</v>
      </c>
      <c r="AI456" t="str">
        <f>_xlfn.LET(_xlpm.pid,tbl_FinancialData[[#This Row],[Product ID]],_xlpm.n,PROPER(TRIM(tbl_FinancialData[[#This Row],[Product Name]])),IF(_xlpm.pid="P020","Document Scanner",IF(_xlpm.pid="P015","Network Router",SUBSTITUTE(SUBSTITUTE(_xlpm.n,"Crm","CRM"),"Ups","UPS"))))</f>
        <v>Smartphone</v>
      </c>
      <c r="AJ456" s="3" t="str">
        <f>UPPER(TRIM(tbl_FinancialData[[#This Row],[Cost Center]]))</f>
        <v>CC-1001</v>
      </c>
    </row>
    <row r="457" spans="1:36" x14ac:dyDescent="0.25">
      <c r="A457" s="3" t="s">
        <v>658</v>
      </c>
      <c r="B457" s="2">
        <v>45795</v>
      </c>
      <c r="C457" t="s">
        <v>65</v>
      </c>
      <c r="D457" s="3" t="str">
        <f t="shared" si="31"/>
        <v>Q1</v>
      </c>
      <c r="E457" s="3" t="str">
        <f t="shared" si="32"/>
        <v>FY2026</v>
      </c>
      <c r="F457" s="8" t="s">
        <v>59</v>
      </c>
      <c r="G457" s="3" t="s">
        <v>35</v>
      </c>
      <c r="H457" t="s">
        <v>254</v>
      </c>
      <c r="I457" t="s">
        <v>200</v>
      </c>
      <c r="J457" s="3" t="s">
        <v>80</v>
      </c>
      <c r="K457" t="s">
        <v>50</v>
      </c>
      <c r="L457" s="3" t="s">
        <v>94</v>
      </c>
      <c r="M457" s="3" t="s">
        <v>82</v>
      </c>
      <c r="N457" t="s">
        <v>83</v>
      </c>
      <c r="O457" t="s">
        <v>43</v>
      </c>
      <c r="P457" t="s">
        <v>75</v>
      </c>
      <c r="Q457" s="3">
        <v>50767.77</v>
      </c>
      <c r="R457" s="3">
        <v>45491.63</v>
      </c>
      <c r="S457" s="3">
        <v>26080.41</v>
      </c>
      <c r="T457" s="3">
        <v>5066.82</v>
      </c>
      <c r="U457" s="3">
        <v>1954.99</v>
      </c>
      <c r="V457" s="3">
        <v>4077.95</v>
      </c>
      <c r="W457" s="3">
        <v>1475.86</v>
      </c>
      <c r="X457" s="3">
        <v>38656.04</v>
      </c>
      <c r="Y457" s="3">
        <v>24687.360000000001</v>
      </c>
      <c r="Z457" s="3">
        <f t="shared" si="33"/>
        <v>12111.729999999996</v>
      </c>
      <c r="AA457" s="37">
        <f t="shared" si="34"/>
        <v>0.2385712431331925</v>
      </c>
      <c r="AB457" s="3">
        <v>5276.14</v>
      </c>
      <c r="AC457" s="3">
        <v>1015.36</v>
      </c>
      <c r="AD457" s="3">
        <v>8955.43</v>
      </c>
      <c r="AE457" s="3">
        <v>58707.85</v>
      </c>
      <c r="AF457" t="str">
        <f>IF(tbl_FinancialData[[#This Row],[City]]="","Unknown",PROPER(TRIM(tbl_FinancialData[[#This Row],[City]])))</f>
        <v>Gurugram</v>
      </c>
      <c r="AG457" t="str">
        <f>_xlfn.LET(_xlpm.city,LOWER(TRIM(tbl_FinancialData[[#This Row],[City]])),_xlpm.st,PROPER(TRIM(tbl_FinancialData[[#This Row],[State]])),IF(_xlpm.city="pune","Maharashtra",IF(_xlpm.city="jamshedpur","Jharkhand",IF(_xlpm.city="bhilai","Chhattisgarh",IF(_xlpm.city="mumbai","Maharashtra",_xlpm.st)))))</f>
        <v>Delhi</v>
      </c>
      <c r="AH457" t="str">
        <f>_xlfn.LET(_xlpm.d,PROPER(TRIM(tbl_FinancialData[[#This Row],[Department]])),IF(_xlpm.d="It","IT",_xlpm.d))</f>
        <v>Sales</v>
      </c>
      <c r="AI457" t="str">
        <f>_xlfn.LET(_xlpm.pid,tbl_FinancialData[[#This Row],[Product ID]],_xlpm.n,PROPER(TRIM(tbl_FinancialData[[#This Row],[Product Name]])),IF(_xlpm.pid="P020","Document Scanner",IF(_xlpm.pid="P015","Network Router",SUBSTITUTE(SUBSTITUTE(_xlpm.n,"Crm","CRM"),"Ups","UPS"))))</f>
        <v>Business Laptop</v>
      </c>
      <c r="AJ457" s="3" t="str">
        <f>UPPER(TRIM(tbl_FinancialData[[#This Row],[Cost Center]]))</f>
        <v>CC-1001</v>
      </c>
    </row>
    <row r="458" spans="1:36" x14ac:dyDescent="0.25">
      <c r="A458" s="3" t="s">
        <v>659</v>
      </c>
      <c r="B458" s="2">
        <v>45812</v>
      </c>
      <c r="C458" t="s">
        <v>156</v>
      </c>
      <c r="D458" s="3" t="str">
        <f t="shared" si="31"/>
        <v>Q1</v>
      </c>
      <c r="E458" s="3" t="str">
        <f t="shared" si="32"/>
        <v>FY2026</v>
      </c>
      <c r="F458" s="8" t="s">
        <v>47</v>
      </c>
      <c r="G458" s="3" t="s">
        <v>35</v>
      </c>
      <c r="H458" t="s">
        <v>78</v>
      </c>
      <c r="I458" t="s">
        <v>115</v>
      </c>
      <c r="J458" s="3" t="s">
        <v>80</v>
      </c>
      <c r="K458" t="s">
        <v>50</v>
      </c>
      <c r="L458" s="3" t="s">
        <v>94</v>
      </c>
      <c r="M458" s="3" t="s">
        <v>52</v>
      </c>
      <c r="N458" t="s">
        <v>53</v>
      </c>
      <c r="O458" t="s">
        <v>54</v>
      </c>
      <c r="P458" t="s">
        <v>55</v>
      </c>
      <c r="Q458" s="3">
        <v>7462.74</v>
      </c>
      <c r="R458" s="3">
        <v>7658.56</v>
      </c>
      <c r="S458" s="3">
        <v>4234.28</v>
      </c>
      <c r="T458" s="3">
        <v>754.86</v>
      </c>
      <c r="U458" s="3">
        <v>249.16</v>
      </c>
      <c r="V458" s="3">
        <v>555.41999999999996</v>
      </c>
      <c r="W458" s="3">
        <v>146.38</v>
      </c>
      <c r="X458" s="3">
        <v>5940.1</v>
      </c>
      <c r="Y458" s="3">
        <v>3228.46</v>
      </c>
      <c r="Z458" s="3">
        <f t="shared" si="33"/>
        <v>1522.6399999999994</v>
      </c>
      <c r="AA458" s="37">
        <f t="shared" si="34"/>
        <v>0.20403229912873816</v>
      </c>
      <c r="AB458" s="3">
        <v>-195.82</v>
      </c>
      <c r="AC458" s="3">
        <v>597.02</v>
      </c>
      <c r="AD458" s="3">
        <v>343.29</v>
      </c>
      <c r="AE458" s="3">
        <v>7209</v>
      </c>
      <c r="AF458" t="str">
        <f>IF(tbl_FinancialData[[#This Row],[City]]="","Unknown",PROPER(TRIM(tbl_FinancialData[[#This Row],[City]])))</f>
        <v>Thiruvananthapuram</v>
      </c>
      <c r="AG458" t="str">
        <f>_xlfn.LET(_xlpm.city,LOWER(TRIM(tbl_FinancialData[[#This Row],[City]])),_xlpm.st,PROPER(TRIM(tbl_FinancialData[[#This Row],[State]])),IF(_xlpm.city="pune","Maharashtra",IF(_xlpm.city="jamshedpur","Jharkhand",IF(_xlpm.city="bhilai","Chhattisgarh",IF(_xlpm.city="mumbai","Maharashtra",_xlpm.st)))))</f>
        <v>Kerala</v>
      </c>
      <c r="AH458" t="str">
        <f>_xlfn.LET(_xlpm.d,PROPER(TRIM(tbl_FinancialData[[#This Row],[Department]])),IF(_xlpm.d="It","IT",_xlpm.d))</f>
        <v>Sales</v>
      </c>
      <c r="AI458" t="str">
        <f>_xlfn.LET(_xlpm.pid,tbl_FinancialData[[#This Row],[Product ID]],_xlpm.n,PROPER(TRIM(tbl_FinancialData[[#This Row],[Product Name]])),IF(_xlpm.pid="P020","Document Scanner",IF(_xlpm.pid="P015","Network Router",SUBSTITUTE(SUBSTITUTE(_xlpm.n,"Crm","CRM"),"Ups","UPS"))))</f>
        <v>Mouse</v>
      </c>
      <c r="AJ458" s="3" t="str">
        <f>UPPER(TRIM(tbl_FinancialData[[#This Row],[Cost Center]]))</f>
        <v>CC-1001</v>
      </c>
    </row>
    <row r="459" spans="1:36" x14ac:dyDescent="0.25">
      <c r="A459" s="3" t="s">
        <v>660</v>
      </c>
      <c r="B459" s="2">
        <v>45878</v>
      </c>
      <c r="C459" t="s">
        <v>117</v>
      </c>
      <c r="D459" s="3" t="str">
        <f t="shared" si="31"/>
        <v>Q2</v>
      </c>
      <c r="E459" s="3" t="str">
        <f t="shared" si="32"/>
        <v>FY2026</v>
      </c>
      <c r="F459" s="8" t="s">
        <v>34</v>
      </c>
      <c r="G459" s="3" t="s">
        <v>35</v>
      </c>
      <c r="H459" t="s">
        <v>157</v>
      </c>
      <c r="I459" t="s">
        <v>158</v>
      </c>
      <c r="J459" s="3" t="s">
        <v>100</v>
      </c>
      <c r="K459" t="s">
        <v>50</v>
      </c>
      <c r="L459" s="3" t="s">
        <v>40</v>
      </c>
      <c r="M459" s="3" t="s">
        <v>186</v>
      </c>
      <c r="N459" t="s">
        <v>187</v>
      </c>
      <c r="O459" t="s">
        <v>173</v>
      </c>
      <c r="P459" t="s">
        <v>174</v>
      </c>
      <c r="Q459" s="3">
        <v>25961.72</v>
      </c>
      <c r="R459" s="3">
        <v>22888.36</v>
      </c>
      <c r="S459" s="3">
        <v>16626.96</v>
      </c>
      <c r="T459" s="3">
        <v>3318.17</v>
      </c>
      <c r="U459" s="3">
        <v>1673.07</v>
      </c>
      <c r="V459" s="3">
        <v>1287.54</v>
      </c>
      <c r="W459" s="3">
        <v>551.04999999999995</v>
      </c>
      <c r="X459" s="3">
        <v>23456.79</v>
      </c>
      <c r="Y459" s="3">
        <v>9334.77</v>
      </c>
      <c r="Z459" s="3">
        <f t="shared" si="33"/>
        <v>2504.9300000000003</v>
      </c>
      <c r="AA459" s="37">
        <f t="shared" si="34"/>
        <v>9.6485517908674781E-2</v>
      </c>
      <c r="AB459" s="3">
        <v>3073.36</v>
      </c>
      <c r="AC459" s="3">
        <v>2076.94</v>
      </c>
      <c r="AD459" s="3">
        <v>1194.24</v>
      </c>
      <c r="AE459" s="3">
        <v>25079.03</v>
      </c>
      <c r="AF459" t="str">
        <f>IF(tbl_FinancialData[[#This Row],[City]]="","Unknown",PROPER(TRIM(tbl_FinancialData[[#This Row],[City]])))</f>
        <v>Ahmedabad</v>
      </c>
      <c r="AG459" t="str">
        <f>_xlfn.LET(_xlpm.city,LOWER(TRIM(tbl_FinancialData[[#This Row],[City]])),_xlpm.st,PROPER(TRIM(tbl_FinancialData[[#This Row],[State]])),IF(_xlpm.city="pune","Maharashtra",IF(_xlpm.city="jamshedpur","Jharkhand",IF(_xlpm.city="bhilai","Chhattisgarh",IF(_xlpm.city="mumbai","Maharashtra",_xlpm.st)))))</f>
        <v>Gujarat</v>
      </c>
      <c r="AH459" t="str">
        <f>_xlfn.LET(_xlpm.d,PROPER(TRIM(tbl_FinancialData[[#This Row],[Department]])),IF(_xlpm.d="It","IT",_xlpm.d))</f>
        <v>Sales</v>
      </c>
      <c r="AI459" t="str">
        <f>_xlfn.LET(_xlpm.pid,tbl_FinancialData[[#This Row],[Product ID]],_xlpm.n,PROPER(TRIM(tbl_FinancialData[[#This Row],[Product Name]])),IF(_xlpm.pid="P020","Document Scanner",IF(_xlpm.pid="P015","Network Router",SUBSTITUTE(SUBSTITUTE(_xlpm.n,"Crm","CRM"),"Ups","UPS"))))</f>
        <v>Network Router</v>
      </c>
      <c r="AJ459" s="3" t="str">
        <f>UPPER(TRIM(tbl_FinancialData[[#This Row],[Cost Center]]))</f>
        <v>CC-1002</v>
      </c>
    </row>
    <row r="460" spans="1:36" x14ac:dyDescent="0.25">
      <c r="A460" s="3" t="s">
        <v>661</v>
      </c>
      <c r="B460" s="2">
        <v>45836</v>
      </c>
      <c r="C460" t="s">
        <v>156</v>
      </c>
      <c r="D460" s="3" t="str">
        <f t="shared" si="31"/>
        <v>Q1</v>
      </c>
      <c r="E460" s="3" t="str">
        <f t="shared" si="32"/>
        <v>FY2026</v>
      </c>
      <c r="F460" s="8" t="s">
        <v>67</v>
      </c>
      <c r="G460" s="3" t="s">
        <v>35</v>
      </c>
      <c r="H460" t="s">
        <v>217</v>
      </c>
      <c r="I460" t="s">
        <v>218</v>
      </c>
      <c r="J460" s="3" t="s">
        <v>70</v>
      </c>
      <c r="K460" t="s">
        <v>50</v>
      </c>
      <c r="L460" s="3" t="s">
        <v>40</v>
      </c>
      <c r="M460" s="3" t="s">
        <v>102</v>
      </c>
      <c r="N460" t="s">
        <v>103</v>
      </c>
      <c r="O460" t="s">
        <v>104</v>
      </c>
      <c r="P460" t="s">
        <v>105</v>
      </c>
      <c r="Q460" s="3">
        <v>15991.94</v>
      </c>
      <c r="R460" s="3">
        <v>18206.63</v>
      </c>
      <c r="S460" s="3">
        <v>11292.3</v>
      </c>
      <c r="T460" s="3">
        <v>1462.93</v>
      </c>
      <c r="U460" s="3">
        <v>766.02</v>
      </c>
      <c r="V460" s="3">
        <v>939.12</v>
      </c>
      <c r="W460" s="3">
        <v>187.78</v>
      </c>
      <c r="X460" s="3">
        <v>14648.16</v>
      </c>
      <c r="Y460" s="3">
        <v>4699.6400000000003</v>
      </c>
      <c r="Z460" s="3">
        <f t="shared" si="33"/>
        <v>1343.7800000000007</v>
      </c>
      <c r="AA460" s="37">
        <f t="shared" si="34"/>
        <v>8.4028579396871209E-2</v>
      </c>
      <c r="AB460" s="3">
        <v>-2214.6799999999998</v>
      </c>
      <c r="AC460" s="3">
        <v>319.83999999999997</v>
      </c>
      <c r="AD460" s="3">
        <v>2820.98</v>
      </c>
      <c r="AE460" s="3">
        <v>18493.080000000002</v>
      </c>
      <c r="AF460" t="str">
        <f>IF(tbl_FinancialData[[#This Row],[City]]="","Unknown",PROPER(TRIM(tbl_FinancialData[[#This Row],[City]])))</f>
        <v>Gaya</v>
      </c>
      <c r="AG460" t="str">
        <f>_xlfn.LET(_xlpm.city,LOWER(TRIM(tbl_FinancialData[[#This Row],[City]])),_xlpm.st,PROPER(TRIM(tbl_FinancialData[[#This Row],[State]])),IF(_xlpm.city="pune","Maharashtra",IF(_xlpm.city="jamshedpur","Jharkhand",IF(_xlpm.city="bhilai","Chhattisgarh",IF(_xlpm.city="mumbai","Maharashtra",_xlpm.st)))))</f>
        <v>Bihar</v>
      </c>
      <c r="AH460" t="str">
        <f>_xlfn.LET(_xlpm.d,PROPER(TRIM(tbl_FinancialData[[#This Row],[Department]])),IF(_xlpm.d="It","IT",_xlpm.d))</f>
        <v>Sales</v>
      </c>
      <c r="AI460" t="str">
        <f>_xlfn.LET(_xlpm.pid,tbl_FinancialData[[#This Row],[Product ID]],_xlpm.n,PROPER(TRIM(tbl_FinancialData[[#This Row],[Product Name]])),IF(_xlpm.pid="P020","Document Scanner",IF(_xlpm.pid="P015","Network Router",SUBSTITUTE(SUBSTITUTE(_xlpm.n,"Crm","CRM"),"Ups","UPS"))))</f>
        <v>Accounting Software</v>
      </c>
      <c r="AJ460" s="3" t="str">
        <f>UPPER(TRIM(tbl_FinancialData[[#This Row],[Cost Center]]))</f>
        <v>CC-1002</v>
      </c>
    </row>
    <row r="461" spans="1:36" x14ac:dyDescent="0.25">
      <c r="A461" s="3" t="s">
        <v>662</v>
      </c>
      <c r="B461" s="2">
        <v>45906</v>
      </c>
      <c r="C461" t="s">
        <v>46</v>
      </c>
      <c r="D461" s="3" t="str">
        <f t="shared" si="31"/>
        <v>Q2</v>
      </c>
      <c r="E461" s="3" t="str">
        <f t="shared" si="32"/>
        <v>FY2026</v>
      </c>
      <c r="F461" s="8" t="s">
        <v>59</v>
      </c>
      <c r="G461" s="3" t="s">
        <v>35</v>
      </c>
      <c r="H461" t="s">
        <v>60</v>
      </c>
      <c r="I461" t="s">
        <v>185</v>
      </c>
      <c r="J461" s="3" t="s">
        <v>100</v>
      </c>
      <c r="K461" t="s">
        <v>50</v>
      </c>
      <c r="L461" s="3" t="s">
        <v>94</v>
      </c>
      <c r="M461" s="3" t="s">
        <v>189</v>
      </c>
      <c r="N461" t="s">
        <v>190</v>
      </c>
      <c r="O461" t="s">
        <v>104</v>
      </c>
      <c r="P461" t="s">
        <v>105</v>
      </c>
      <c r="Q461" s="3">
        <v>6547.4</v>
      </c>
      <c r="R461" s="3">
        <v>6978.68</v>
      </c>
      <c r="S461" s="3">
        <v>4204.2700000000004</v>
      </c>
      <c r="T461" s="3">
        <v>734.53</v>
      </c>
      <c r="U461" s="3">
        <v>400.6</v>
      </c>
      <c r="V461" s="3">
        <v>600.14</v>
      </c>
      <c r="W461" s="3">
        <v>68.569999999999993</v>
      </c>
      <c r="X461" s="3">
        <v>6008.11</v>
      </c>
      <c r="Y461" s="3">
        <v>2343.13</v>
      </c>
      <c r="Z461" s="3">
        <f t="shared" si="33"/>
        <v>539.29</v>
      </c>
      <c r="AA461" s="37">
        <f t="shared" si="34"/>
        <v>8.2367046461190696E-2</v>
      </c>
      <c r="AB461" s="3">
        <v>-431.28</v>
      </c>
      <c r="AC461" s="3">
        <v>0</v>
      </c>
      <c r="AD461" s="3">
        <v>1178.53</v>
      </c>
      <c r="AE461" s="3">
        <v>7725.93</v>
      </c>
      <c r="AF461" t="str">
        <f>IF(tbl_FinancialData[[#This Row],[City]]="","Unknown",PROPER(TRIM(tbl_FinancialData[[#This Row],[City]])))</f>
        <v>Kanpur</v>
      </c>
      <c r="AG461" t="str">
        <f>_xlfn.LET(_xlpm.city,LOWER(TRIM(tbl_FinancialData[[#This Row],[City]])),_xlpm.st,PROPER(TRIM(tbl_FinancialData[[#This Row],[State]])),IF(_xlpm.city="pune","Maharashtra",IF(_xlpm.city="jamshedpur","Jharkhand",IF(_xlpm.city="bhilai","Chhattisgarh",IF(_xlpm.city="mumbai","Maharashtra",_xlpm.st)))))</f>
        <v>Uttar Pradesh</v>
      </c>
      <c r="AH461" t="str">
        <f>_xlfn.LET(_xlpm.d,PROPER(TRIM(tbl_FinancialData[[#This Row],[Department]])),IF(_xlpm.d="It","IT",_xlpm.d))</f>
        <v>Sales</v>
      </c>
      <c r="AI461" t="str">
        <f>_xlfn.LET(_xlpm.pid,tbl_FinancialData[[#This Row],[Product ID]],_xlpm.n,PROPER(TRIM(tbl_FinancialData[[#This Row],[Product Name]])),IF(_xlpm.pid="P020","Document Scanner",IF(_xlpm.pid="P015","Network Router",SUBSTITUTE(SUBSTITUTE(_xlpm.n,"Crm","CRM"),"Ups","UPS"))))</f>
        <v>CRM Software</v>
      </c>
      <c r="AJ461" s="3" t="str">
        <f>UPPER(TRIM(tbl_FinancialData[[#This Row],[Cost Center]]))</f>
        <v>CC-1001</v>
      </c>
    </row>
    <row r="462" spans="1:36" x14ac:dyDescent="0.25">
      <c r="A462" s="3" t="s">
        <v>663</v>
      </c>
      <c r="B462" s="2">
        <v>45975</v>
      </c>
      <c r="C462" t="s">
        <v>147</v>
      </c>
      <c r="D462" s="3" t="str">
        <f t="shared" si="31"/>
        <v>Q3</v>
      </c>
      <c r="E462" s="3" t="str">
        <f t="shared" si="32"/>
        <v>FY2026</v>
      </c>
      <c r="F462" s="8" t="s">
        <v>34</v>
      </c>
      <c r="G462" s="3" t="s">
        <v>35</v>
      </c>
      <c r="H462" t="s">
        <v>98</v>
      </c>
      <c r="I462" t="s">
        <v>99</v>
      </c>
      <c r="J462" s="3" t="s">
        <v>100</v>
      </c>
      <c r="K462" t="s">
        <v>50</v>
      </c>
      <c r="L462" s="3" t="s">
        <v>40</v>
      </c>
      <c r="M462" s="3" t="s">
        <v>82</v>
      </c>
      <c r="N462" t="s">
        <v>83</v>
      </c>
      <c r="O462" t="s">
        <v>43</v>
      </c>
      <c r="P462" t="s">
        <v>75</v>
      </c>
      <c r="Q462" s="3">
        <v>47996.35</v>
      </c>
      <c r="R462" s="3">
        <v>45038.07</v>
      </c>
      <c r="S462" s="3">
        <v>31466.560000000001</v>
      </c>
      <c r="T462" s="3">
        <v>2991.7</v>
      </c>
      <c r="U462" s="3">
        <v>3869.31</v>
      </c>
      <c r="V462" s="3">
        <v>3896.04</v>
      </c>
      <c r="W462" s="3">
        <v>657.53</v>
      </c>
      <c r="X462" s="3">
        <v>42881.13</v>
      </c>
      <c r="Y462" s="3">
        <v>16529.8</v>
      </c>
      <c r="Z462" s="3">
        <f t="shared" si="33"/>
        <v>5115.2200000000012</v>
      </c>
      <c r="AA462" s="37">
        <f t="shared" si="34"/>
        <v>0.10657518748821528</v>
      </c>
      <c r="AB462" s="3">
        <v>2958.28</v>
      </c>
      <c r="AC462" s="3">
        <v>2399.8200000000002</v>
      </c>
      <c r="AD462" s="3">
        <v>5471.58</v>
      </c>
      <c r="AE462" s="3">
        <v>51068.12</v>
      </c>
      <c r="AF462" t="str">
        <f>IF(tbl_FinancialData[[#This Row],[City]]="","Unknown",PROPER(TRIM(tbl_FinancialData[[#This Row],[City]])))</f>
        <v>Mumbai</v>
      </c>
      <c r="AG462" t="str">
        <f>_xlfn.LET(_xlpm.city,LOWER(TRIM(tbl_FinancialData[[#This Row],[City]])),_xlpm.st,PROPER(TRIM(tbl_FinancialData[[#This Row],[State]])),IF(_xlpm.city="pune","Maharashtra",IF(_xlpm.city="jamshedpur","Jharkhand",IF(_xlpm.city="bhilai","Chhattisgarh",IF(_xlpm.city="mumbai","Maharashtra",_xlpm.st)))))</f>
        <v>Maharashtra</v>
      </c>
      <c r="AH462" t="str">
        <f>_xlfn.LET(_xlpm.d,PROPER(TRIM(tbl_FinancialData[[#This Row],[Department]])),IF(_xlpm.d="It","IT",_xlpm.d))</f>
        <v>Sales</v>
      </c>
      <c r="AI462" t="str">
        <f>_xlfn.LET(_xlpm.pid,tbl_FinancialData[[#This Row],[Product ID]],_xlpm.n,PROPER(TRIM(tbl_FinancialData[[#This Row],[Product Name]])),IF(_xlpm.pid="P020","Document Scanner",IF(_xlpm.pid="P015","Network Router",SUBSTITUTE(SUBSTITUTE(_xlpm.n,"Crm","CRM"),"Ups","UPS"))))</f>
        <v>Business Laptop</v>
      </c>
      <c r="AJ462" s="3" t="str">
        <f>UPPER(TRIM(tbl_FinancialData[[#This Row],[Cost Center]]))</f>
        <v>CC-1002</v>
      </c>
    </row>
    <row r="463" spans="1:36" x14ac:dyDescent="0.25">
      <c r="A463" s="3" t="s">
        <v>664</v>
      </c>
      <c r="B463" s="2">
        <v>45819</v>
      </c>
      <c r="C463" t="s">
        <v>156</v>
      </c>
      <c r="D463" s="3" t="str">
        <f t="shared" si="31"/>
        <v>Q1</v>
      </c>
      <c r="E463" s="3" t="str">
        <f t="shared" si="32"/>
        <v>FY2026</v>
      </c>
      <c r="F463" s="8" t="s">
        <v>59</v>
      </c>
      <c r="G463" s="3" t="s">
        <v>35</v>
      </c>
      <c r="H463" t="s">
        <v>230</v>
      </c>
      <c r="I463" t="s">
        <v>231</v>
      </c>
      <c r="J463" s="3" t="s">
        <v>80</v>
      </c>
      <c r="K463" t="s">
        <v>50</v>
      </c>
      <c r="L463" s="3" t="s">
        <v>51</v>
      </c>
      <c r="M463" s="3" t="s">
        <v>95</v>
      </c>
      <c r="N463" t="s">
        <v>96</v>
      </c>
      <c r="O463" t="s">
        <v>43</v>
      </c>
      <c r="P463" t="s">
        <v>90</v>
      </c>
      <c r="Q463" s="3">
        <v>34565.629999999997</v>
      </c>
      <c r="R463" s="3">
        <v>37509.339999999997</v>
      </c>
      <c r="S463" s="3">
        <v>20754.64</v>
      </c>
      <c r="T463" s="3">
        <v>3879.49</v>
      </c>
      <c r="U463" s="3">
        <v>2754.43</v>
      </c>
      <c r="V463" s="3">
        <v>2985.82</v>
      </c>
      <c r="W463" s="3">
        <v>1094.44</v>
      </c>
      <c r="X463" s="3">
        <v>31468.84</v>
      </c>
      <c r="Y463" s="3">
        <v>13810.99</v>
      </c>
      <c r="Z463" s="3">
        <f t="shared" si="33"/>
        <v>3096.7899999999972</v>
      </c>
      <c r="AA463" s="37">
        <f t="shared" si="34"/>
        <v>8.9591597202191814E-2</v>
      </c>
      <c r="AB463" s="3">
        <v>-2943.71</v>
      </c>
      <c r="AC463" s="3">
        <v>691.31</v>
      </c>
      <c r="AD463" s="3">
        <v>6097.38</v>
      </c>
      <c r="AE463" s="3">
        <v>39971.699999999997</v>
      </c>
      <c r="AF463" t="str">
        <f>IF(tbl_FinancialData[[#This Row],[City]]="","Unknown",PROPER(TRIM(tbl_FinancialData[[#This Row],[City]])))</f>
        <v>Ludhiana</v>
      </c>
      <c r="AG463" t="str">
        <f>_xlfn.LET(_xlpm.city,LOWER(TRIM(tbl_FinancialData[[#This Row],[City]])),_xlpm.st,PROPER(TRIM(tbl_FinancialData[[#This Row],[State]])),IF(_xlpm.city="pune","Maharashtra",IF(_xlpm.city="jamshedpur","Jharkhand",IF(_xlpm.city="bhilai","Chhattisgarh",IF(_xlpm.city="mumbai","Maharashtra",_xlpm.st)))))</f>
        <v>Punjab</v>
      </c>
      <c r="AH463" t="str">
        <f>_xlfn.LET(_xlpm.d,PROPER(TRIM(tbl_FinancialData[[#This Row],[Department]])),IF(_xlpm.d="It","IT",_xlpm.d))</f>
        <v>Sales</v>
      </c>
      <c r="AI463" t="str">
        <f>_xlfn.LET(_xlpm.pid,tbl_FinancialData[[#This Row],[Product ID]],_xlpm.n,PROPER(TRIM(tbl_FinancialData[[#This Row],[Product Name]])),IF(_xlpm.pid="P020","Document Scanner",IF(_xlpm.pid="P015","Network Router",SUBSTITUTE(SUBSTITUTE(_xlpm.n,"Crm","CRM"),"Ups","UPS"))))</f>
        <v>Document Scanner</v>
      </c>
      <c r="AJ463" s="3" t="str">
        <f>UPPER(TRIM(tbl_FinancialData[[#This Row],[Cost Center]]))</f>
        <v>CC-1003</v>
      </c>
    </row>
    <row r="464" spans="1:36" x14ac:dyDescent="0.25">
      <c r="A464" s="3" t="s">
        <v>665</v>
      </c>
      <c r="B464" s="2">
        <v>45758</v>
      </c>
      <c r="C464" t="s">
        <v>128</v>
      </c>
      <c r="D464" s="3" t="str">
        <f t="shared" si="31"/>
        <v>Q1</v>
      </c>
      <c r="E464" s="3" t="str">
        <f t="shared" si="32"/>
        <v>FY2026</v>
      </c>
      <c r="F464" s="8" t="s">
        <v>47</v>
      </c>
      <c r="G464" s="3" t="s">
        <v>35</v>
      </c>
      <c r="H464" t="s">
        <v>78</v>
      </c>
      <c r="I464" t="s">
        <v>183</v>
      </c>
      <c r="J464" s="3" t="s">
        <v>38</v>
      </c>
      <c r="K464" t="s">
        <v>50</v>
      </c>
      <c r="L464" s="3" t="s">
        <v>72</v>
      </c>
      <c r="M464" s="3" t="s">
        <v>221</v>
      </c>
      <c r="N464" t="s">
        <v>222</v>
      </c>
      <c r="O464" t="s">
        <v>104</v>
      </c>
      <c r="P464" t="s">
        <v>223</v>
      </c>
      <c r="Q464" s="3">
        <v>19595.21</v>
      </c>
      <c r="R464" s="3">
        <v>17351.830000000002</v>
      </c>
      <c r="S464" s="3">
        <v>12648.96</v>
      </c>
      <c r="T464" s="3">
        <v>1452.23</v>
      </c>
      <c r="U464" s="3">
        <v>1287.19</v>
      </c>
      <c r="V464" s="3">
        <v>1019.8</v>
      </c>
      <c r="W464" s="3">
        <v>517.63</v>
      </c>
      <c r="X464" s="3">
        <v>16925.82</v>
      </c>
      <c r="Y464" s="3">
        <v>6946.24</v>
      </c>
      <c r="Z464" s="3">
        <f t="shared" si="33"/>
        <v>2669.3899999999994</v>
      </c>
      <c r="AA464" s="37">
        <f t="shared" si="34"/>
        <v>0.13622665947443277</v>
      </c>
      <c r="AB464" s="3">
        <v>2243.37</v>
      </c>
      <c r="AC464" s="3">
        <v>587.86</v>
      </c>
      <c r="AD464" s="3">
        <v>2280.88</v>
      </c>
      <c r="AE464" s="3">
        <v>21288.23</v>
      </c>
      <c r="AF464" t="str">
        <f>IF(tbl_FinancialData[[#This Row],[City]]="","Unknown",PROPER(TRIM(tbl_FinancialData[[#This Row],[City]])))</f>
        <v>Kozhikode</v>
      </c>
      <c r="AG464" t="str">
        <f>_xlfn.LET(_xlpm.city,LOWER(TRIM(tbl_FinancialData[[#This Row],[City]])),_xlpm.st,PROPER(TRIM(tbl_FinancialData[[#This Row],[State]])),IF(_xlpm.city="pune","Maharashtra",IF(_xlpm.city="jamshedpur","Jharkhand",IF(_xlpm.city="bhilai","Chhattisgarh",IF(_xlpm.city="mumbai","Maharashtra",_xlpm.st)))))</f>
        <v>Kerala</v>
      </c>
      <c r="AH464" t="str">
        <f>_xlfn.LET(_xlpm.d,PROPER(TRIM(tbl_FinancialData[[#This Row],[Department]])),IF(_xlpm.d="It","IT",_xlpm.d))</f>
        <v>Sales</v>
      </c>
      <c r="AI464" t="str">
        <f>_xlfn.LET(_xlpm.pid,tbl_FinancialData[[#This Row],[Product ID]],_xlpm.n,PROPER(TRIM(tbl_FinancialData[[#This Row],[Product Name]])),IF(_xlpm.pid="P020","Document Scanner",IF(_xlpm.pid="P015","Network Router",SUBSTITUTE(SUBSTITUTE(_xlpm.n,"Crm","CRM"),"Ups","UPS"))))</f>
        <v>Cloud Software</v>
      </c>
      <c r="AJ464" s="3" t="str">
        <f>UPPER(TRIM(tbl_FinancialData[[#This Row],[Cost Center]]))</f>
        <v>CC-1004</v>
      </c>
    </row>
    <row r="465" spans="1:36" x14ac:dyDescent="0.25">
      <c r="A465" s="3" t="s">
        <v>666</v>
      </c>
      <c r="B465" s="2">
        <v>45806</v>
      </c>
      <c r="C465" t="s">
        <v>65</v>
      </c>
      <c r="D465" s="3" t="str">
        <f t="shared" si="31"/>
        <v>Q1</v>
      </c>
      <c r="E465" s="3" t="str">
        <f t="shared" si="32"/>
        <v>FY2026</v>
      </c>
      <c r="F465" s="8" t="s">
        <v>34</v>
      </c>
      <c r="G465" s="3" t="s">
        <v>35</v>
      </c>
      <c r="H465" t="s">
        <v>157</v>
      </c>
      <c r="I465" t="s">
        <v>166</v>
      </c>
      <c r="J465" s="3" t="s">
        <v>80</v>
      </c>
      <c r="K465" t="s">
        <v>39</v>
      </c>
      <c r="L465" s="3" t="s">
        <v>40</v>
      </c>
      <c r="M465" s="3" t="s">
        <v>211</v>
      </c>
      <c r="N465" t="s">
        <v>212</v>
      </c>
      <c r="O465" t="s">
        <v>112</v>
      </c>
      <c r="P465" t="s">
        <v>113</v>
      </c>
      <c r="Q465" s="3">
        <v>16088.8</v>
      </c>
      <c r="R465" s="3">
        <v>18140.77</v>
      </c>
      <c r="S465" s="3">
        <v>9596.35</v>
      </c>
      <c r="T465" s="3">
        <v>1503.86</v>
      </c>
      <c r="U465" s="3">
        <v>720.93</v>
      </c>
      <c r="V465" s="3">
        <v>877.56</v>
      </c>
      <c r="W465" s="3">
        <v>209.26</v>
      </c>
      <c r="X465" s="3">
        <v>12907.96</v>
      </c>
      <c r="Y465" s="3">
        <v>6492.45</v>
      </c>
      <c r="Z465" s="3">
        <f t="shared" si="33"/>
        <v>3180.84</v>
      </c>
      <c r="AA465" s="37">
        <f t="shared" si="34"/>
        <v>0.19770523594053008</v>
      </c>
      <c r="AB465" s="3">
        <v>-2051.9699999999998</v>
      </c>
      <c r="AC465" s="3">
        <v>804.44</v>
      </c>
      <c r="AD465" s="3">
        <v>764.22</v>
      </c>
      <c r="AE465" s="3">
        <v>16048.58</v>
      </c>
      <c r="AF465" t="str">
        <f>IF(tbl_FinancialData[[#This Row],[City]]="","Unknown",PROPER(TRIM(tbl_FinancialData[[#This Row],[City]])))</f>
        <v>Vadodara</v>
      </c>
      <c r="AG465" t="str">
        <f>_xlfn.LET(_xlpm.city,LOWER(TRIM(tbl_FinancialData[[#This Row],[City]])),_xlpm.st,PROPER(TRIM(tbl_FinancialData[[#This Row],[State]])),IF(_xlpm.city="pune","Maharashtra",IF(_xlpm.city="jamshedpur","Jharkhand",IF(_xlpm.city="bhilai","Chhattisgarh",IF(_xlpm.city="mumbai","Maharashtra",_xlpm.st)))))</f>
        <v>Gujarat</v>
      </c>
      <c r="AH465" t="str">
        <f>_xlfn.LET(_xlpm.d,PROPER(TRIM(tbl_FinancialData[[#This Row],[Department]])),IF(_xlpm.d="It","IT",_xlpm.d))</f>
        <v>Operations</v>
      </c>
      <c r="AI465" t="str">
        <f>_xlfn.LET(_xlpm.pid,tbl_FinancialData[[#This Row],[Product ID]],_xlpm.n,PROPER(TRIM(tbl_FinancialData[[#This Row],[Product Name]])),IF(_xlpm.pid="P020","Document Scanner",IF(_xlpm.pid="P015","Network Router",SUBSTITUTE(SUBSTITUTE(_xlpm.n,"Crm","CRM"),"Ups","UPS"))))</f>
        <v>Office Chair</v>
      </c>
      <c r="AJ465" s="3" t="str">
        <f>UPPER(TRIM(tbl_FinancialData[[#This Row],[Cost Center]]))</f>
        <v>CC-1002</v>
      </c>
    </row>
    <row r="466" spans="1:36" x14ac:dyDescent="0.25">
      <c r="A466" s="3" t="s">
        <v>667</v>
      </c>
      <c r="B466" s="2">
        <v>46072</v>
      </c>
      <c r="C466" t="s">
        <v>57</v>
      </c>
      <c r="D466" s="3" t="str">
        <f t="shared" si="31"/>
        <v>Q4</v>
      </c>
      <c r="E466" s="3" t="str">
        <f t="shared" si="32"/>
        <v>FY2026</v>
      </c>
      <c r="F466" s="8" t="s">
        <v>59</v>
      </c>
      <c r="G466" s="3" t="s">
        <v>35</v>
      </c>
      <c r="H466" t="s">
        <v>60</v>
      </c>
      <c r="I466" t="s">
        <v>61</v>
      </c>
      <c r="J466" s="3" t="s">
        <v>38</v>
      </c>
      <c r="K466" t="s">
        <v>101</v>
      </c>
      <c r="L466" s="3" t="s">
        <v>72</v>
      </c>
      <c r="M466" s="3" t="s">
        <v>186</v>
      </c>
      <c r="N466" t="s">
        <v>187</v>
      </c>
      <c r="O466" t="s">
        <v>173</v>
      </c>
      <c r="P466" t="s">
        <v>174</v>
      </c>
      <c r="Q466" s="3">
        <v>9186.8799999999992</v>
      </c>
      <c r="R466" s="3">
        <v>9913.75</v>
      </c>
      <c r="S466" s="3">
        <v>5877.66</v>
      </c>
      <c r="T466" s="3">
        <v>669.7</v>
      </c>
      <c r="U466" s="3">
        <v>504.42</v>
      </c>
      <c r="V466" s="3">
        <v>509.65</v>
      </c>
      <c r="W466" s="3">
        <v>159.51</v>
      </c>
      <c r="X466" s="3">
        <v>7720.94</v>
      </c>
      <c r="Y466" s="3">
        <v>3309.22</v>
      </c>
      <c r="Z466" s="3">
        <f t="shared" si="33"/>
        <v>1465.9399999999996</v>
      </c>
      <c r="AA466" s="37">
        <f t="shared" si="34"/>
        <v>0.15956886342262006</v>
      </c>
      <c r="AB466" s="3">
        <v>-726.87</v>
      </c>
      <c r="AC466" s="3">
        <v>0</v>
      </c>
      <c r="AD466" s="3">
        <v>1653.64</v>
      </c>
      <c r="AE466" s="3">
        <v>10840.52</v>
      </c>
      <c r="AF466" t="str">
        <f>IF(tbl_FinancialData[[#This Row],[City]]="","Unknown",PROPER(TRIM(tbl_FinancialData[[#This Row],[City]])))</f>
        <v>Lucknow</v>
      </c>
      <c r="AG466" t="str">
        <f>_xlfn.LET(_xlpm.city,LOWER(TRIM(tbl_FinancialData[[#This Row],[City]])),_xlpm.st,PROPER(TRIM(tbl_FinancialData[[#This Row],[State]])),IF(_xlpm.city="pune","Maharashtra",IF(_xlpm.city="jamshedpur","Jharkhand",IF(_xlpm.city="bhilai","Chhattisgarh",IF(_xlpm.city="mumbai","Maharashtra",_xlpm.st)))))</f>
        <v>Uttar Pradesh</v>
      </c>
      <c r="AH466" t="str">
        <f>_xlfn.LET(_xlpm.d,PROPER(TRIM(tbl_FinancialData[[#This Row],[Department]])),IF(_xlpm.d="It","IT",_xlpm.d))</f>
        <v>Finance</v>
      </c>
      <c r="AI466" t="str">
        <f>_xlfn.LET(_xlpm.pid,tbl_FinancialData[[#This Row],[Product ID]],_xlpm.n,PROPER(TRIM(tbl_FinancialData[[#This Row],[Product Name]])),IF(_xlpm.pid="P020","Document Scanner",IF(_xlpm.pid="P015","Network Router",SUBSTITUTE(SUBSTITUTE(_xlpm.n,"Crm","CRM"),"Ups","UPS"))))</f>
        <v>Network Router</v>
      </c>
      <c r="AJ466" s="3" t="str">
        <f>UPPER(TRIM(tbl_FinancialData[[#This Row],[Cost Center]]))</f>
        <v>CC-1004</v>
      </c>
    </row>
    <row r="467" spans="1:36" x14ac:dyDescent="0.25">
      <c r="A467" s="3" t="s">
        <v>668</v>
      </c>
      <c r="B467" s="2">
        <v>46040</v>
      </c>
      <c r="C467" t="s">
        <v>77</v>
      </c>
      <c r="D467" s="3" t="str">
        <f t="shared" si="31"/>
        <v>Q4</v>
      </c>
      <c r="E467" s="3" t="str">
        <f t="shared" si="32"/>
        <v>FY2026</v>
      </c>
      <c r="F467" s="8" t="s">
        <v>85</v>
      </c>
      <c r="G467" s="3" t="s">
        <v>35</v>
      </c>
      <c r="H467" t="s">
        <v>86</v>
      </c>
      <c r="I467" t="s">
        <v>181</v>
      </c>
      <c r="J467" s="3" t="s">
        <v>38</v>
      </c>
      <c r="K467" t="s">
        <v>50</v>
      </c>
      <c r="L467" s="3" t="s">
        <v>40</v>
      </c>
      <c r="M467" s="3" t="s">
        <v>211</v>
      </c>
      <c r="N467" t="s">
        <v>212</v>
      </c>
      <c r="O467" t="s">
        <v>112</v>
      </c>
      <c r="P467" t="s">
        <v>113</v>
      </c>
      <c r="Q467" s="3">
        <v>21537.45</v>
      </c>
      <c r="R467" s="3">
        <v>25127.56</v>
      </c>
      <c r="S467" s="3">
        <v>14328.9</v>
      </c>
      <c r="T467" s="3">
        <v>2528.27</v>
      </c>
      <c r="U467" s="3">
        <v>1603.24</v>
      </c>
      <c r="V467" s="3">
        <v>1151.32</v>
      </c>
      <c r="W467" s="3">
        <v>843.73</v>
      </c>
      <c r="X467" s="3">
        <v>20455.46</v>
      </c>
      <c r="Y467" s="3">
        <v>7208.55</v>
      </c>
      <c r="Z467" s="3">
        <f t="shared" si="33"/>
        <v>1081.9900000000016</v>
      </c>
      <c r="AA467" s="37">
        <f t="shared" si="34"/>
        <v>5.0237609373440288E-2</v>
      </c>
      <c r="AB467" s="3">
        <v>-3590.12</v>
      </c>
      <c r="AC467" s="3">
        <v>430.75</v>
      </c>
      <c r="AD467" s="3">
        <v>3799.21</v>
      </c>
      <c r="AE467" s="3">
        <v>24905.9</v>
      </c>
      <c r="AF467" t="str">
        <f>IF(tbl_FinancialData[[#This Row],[City]]="","Unknown",PROPER(TRIM(tbl_FinancialData[[#This Row],[City]])))</f>
        <v>Bhopal</v>
      </c>
      <c r="AG467" t="str">
        <f>_xlfn.LET(_xlpm.city,LOWER(TRIM(tbl_FinancialData[[#This Row],[City]])),_xlpm.st,PROPER(TRIM(tbl_FinancialData[[#This Row],[State]])),IF(_xlpm.city="pune","Maharashtra",IF(_xlpm.city="jamshedpur","Jharkhand",IF(_xlpm.city="bhilai","Chhattisgarh",IF(_xlpm.city="mumbai","Maharashtra",_xlpm.st)))))</f>
        <v>Madhya Pradesh</v>
      </c>
      <c r="AH467" t="str">
        <f>_xlfn.LET(_xlpm.d,PROPER(TRIM(tbl_FinancialData[[#This Row],[Department]])),IF(_xlpm.d="It","IT",_xlpm.d))</f>
        <v>Sales</v>
      </c>
      <c r="AI467" t="str">
        <f>_xlfn.LET(_xlpm.pid,tbl_FinancialData[[#This Row],[Product ID]],_xlpm.n,PROPER(TRIM(tbl_FinancialData[[#This Row],[Product Name]])),IF(_xlpm.pid="P020","Document Scanner",IF(_xlpm.pid="P015","Network Router",SUBSTITUTE(SUBSTITUTE(_xlpm.n,"Crm","CRM"),"Ups","UPS"))))</f>
        <v>Office Chair</v>
      </c>
      <c r="AJ467" s="3" t="str">
        <f>UPPER(TRIM(tbl_FinancialData[[#This Row],[Cost Center]]))</f>
        <v>CC-1002</v>
      </c>
    </row>
    <row r="468" spans="1:36" x14ac:dyDescent="0.25">
      <c r="A468" s="3" t="s">
        <v>669</v>
      </c>
      <c r="B468" s="2">
        <v>45869</v>
      </c>
      <c r="C468" t="s">
        <v>32</v>
      </c>
      <c r="D468" s="3" t="str">
        <f t="shared" si="31"/>
        <v>Q2</v>
      </c>
      <c r="E468" s="3" t="str">
        <f t="shared" si="32"/>
        <v>FY2026</v>
      </c>
      <c r="F468" s="8" t="s">
        <v>47</v>
      </c>
      <c r="G468" s="3" t="s">
        <v>35</v>
      </c>
      <c r="H468" t="s">
        <v>78</v>
      </c>
      <c r="I468" t="s">
        <v>183</v>
      </c>
      <c r="J468" s="3" t="s">
        <v>80</v>
      </c>
      <c r="K468" t="s">
        <v>50</v>
      </c>
      <c r="L468" s="3" t="s">
        <v>72</v>
      </c>
      <c r="M468" s="3" t="s">
        <v>88</v>
      </c>
      <c r="N468" t="s">
        <v>89</v>
      </c>
      <c r="O468" t="s">
        <v>43</v>
      </c>
      <c r="P468" t="s">
        <v>90</v>
      </c>
      <c r="Q468" s="3">
        <v>32768.339999999997</v>
      </c>
      <c r="R468" s="3">
        <v>31363.52</v>
      </c>
      <c r="S468" s="3">
        <v>19499.43</v>
      </c>
      <c r="T468" s="3">
        <v>2601.2199999999998</v>
      </c>
      <c r="U468" s="3">
        <v>2765.58</v>
      </c>
      <c r="V468" s="3">
        <v>2276.21</v>
      </c>
      <c r="W468" s="3">
        <v>755.98</v>
      </c>
      <c r="X468" s="3">
        <v>27898.43</v>
      </c>
      <c r="Y468" s="3">
        <v>13268.91</v>
      </c>
      <c r="Z468" s="3">
        <f t="shared" si="33"/>
        <v>4869.9099999999962</v>
      </c>
      <c r="AA468" s="37">
        <f t="shared" si="34"/>
        <v>0.14861631684729823</v>
      </c>
      <c r="AB468" s="3">
        <v>1404.82</v>
      </c>
      <c r="AC468" s="3">
        <v>983.05</v>
      </c>
      <c r="AD468" s="3">
        <v>5721.35</v>
      </c>
      <c r="AE468" s="3">
        <v>37506.639999999999</v>
      </c>
      <c r="AF468" t="str">
        <f>IF(tbl_FinancialData[[#This Row],[City]]="","Unknown",PROPER(TRIM(tbl_FinancialData[[#This Row],[City]])))</f>
        <v>Kozhikode</v>
      </c>
      <c r="AG468" t="str">
        <f>_xlfn.LET(_xlpm.city,LOWER(TRIM(tbl_FinancialData[[#This Row],[City]])),_xlpm.st,PROPER(TRIM(tbl_FinancialData[[#This Row],[State]])),IF(_xlpm.city="pune","Maharashtra",IF(_xlpm.city="jamshedpur","Jharkhand",IF(_xlpm.city="bhilai","Chhattisgarh",IF(_xlpm.city="mumbai","Maharashtra",_xlpm.st)))))</f>
        <v>Kerala</v>
      </c>
      <c r="AH468" t="str">
        <f>_xlfn.LET(_xlpm.d,PROPER(TRIM(tbl_FinancialData[[#This Row],[Department]])),IF(_xlpm.d="It","IT",_xlpm.d))</f>
        <v>Sales</v>
      </c>
      <c r="AI468" t="str">
        <f>_xlfn.LET(_xlpm.pid,tbl_FinancialData[[#This Row],[Product ID]],_xlpm.n,PROPER(TRIM(tbl_FinancialData[[#This Row],[Product Name]])),IF(_xlpm.pid="P020","Document Scanner",IF(_xlpm.pid="P015","Network Router",SUBSTITUTE(SUBSTITUTE(_xlpm.n,"Crm","CRM"),"Ups","UPS"))))</f>
        <v>Printer</v>
      </c>
      <c r="AJ468" s="3" t="str">
        <f>UPPER(TRIM(tbl_FinancialData[[#This Row],[Cost Center]]))</f>
        <v>CC-1004</v>
      </c>
    </row>
    <row r="469" spans="1:36" x14ac:dyDescent="0.25">
      <c r="A469" s="3" t="s">
        <v>670</v>
      </c>
      <c r="B469" s="2">
        <v>45802</v>
      </c>
      <c r="C469" t="s">
        <v>65</v>
      </c>
      <c r="D469" s="3" t="str">
        <f t="shared" si="31"/>
        <v>Q1</v>
      </c>
      <c r="E469" s="3" t="str">
        <f t="shared" si="32"/>
        <v>FY2026</v>
      </c>
      <c r="F469" s="8" t="s">
        <v>34</v>
      </c>
      <c r="G469" s="3" t="s">
        <v>35</v>
      </c>
      <c r="H469" t="s">
        <v>36</v>
      </c>
      <c r="I469" t="s">
        <v>145</v>
      </c>
      <c r="J469" s="3" t="s">
        <v>80</v>
      </c>
      <c r="K469" t="s">
        <v>71</v>
      </c>
      <c r="L469" s="3" t="s">
        <v>94</v>
      </c>
      <c r="M469" s="3" t="s">
        <v>171</v>
      </c>
      <c r="N469" t="s">
        <v>172</v>
      </c>
      <c r="O469" t="s">
        <v>173</v>
      </c>
      <c r="P469" t="s">
        <v>174</v>
      </c>
      <c r="Q469" s="3">
        <v>19027.71</v>
      </c>
      <c r="R469" s="3">
        <v>20554.2</v>
      </c>
      <c r="S469" s="3">
        <v>9191.59</v>
      </c>
      <c r="T469" s="3">
        <v>2278.08</v>
      </c>
      <c r="U469" s="3">
        <v>1028.22</v>
      </c>
      <c r="V469" s="3">
        <v>1283.18</v>
      </c>
      <c r="W469" s="3">
        <v>282.33999999999997</v>
      </c>
      <c r="X469" s="3">
        <v>14063.41</v>
      </c>
      <c r="Y469" s="3">
        <v>9836.11</v>
      </c>
      <c r="Z469" s="3">
        <f t="shared" si="33"/>
        <v>4964.2999999999993</v>
      </c>
      <c r="AA469" s="37">
        <f t="shared" si="34"/>
        <v>0.26089844757987163</v>
      </c>
      <c r="AB469" s="3">
        <v>-1526.49</v>
      </c>
      <c r="AC469" s="3">
        <v>570.83000000000004</v>
      </c>
      <c r="AD469" s="3">
        <v>2214.83</v>
      </c>
      <c r="AE469" s="3">
        <v>20671.7</v>
      </c>
      <c r="AF469" t="str">
        <f>IF(tbl_FinancialData[[#This Row],[City]]="","Unknown",PROPER(TRIM(tbl_FinancialData[[#This Row],[City]])))</f>
        <v>Panaji</v>
      </c>
      <c r="AG469" t="str">
        <f>_xlfn.LET(_xlpm.city,LOWER(TRIM(tbl_FinancialData[[#This Row],[City]])),_xlpm.st,PROPER(TRIM(tbl_FinancialData[[#This Row],[State]])),IF(_xlpm.city="pune","Maharashtra",IF(_xlpm.city="jamshedpur","Jharkhand",IF(_xlpm.city="bhilai","Chhattisgarh",IF(_xlpm.city="mumbai","Maharashtra",_xlpm.st)))))</f>
        <v>Goa</v>
      </c>
      <c r="AH469" t="str">
        <f>_xlfn.LET(_xlpm.d,PROPER(TRIM(tbl_FinancialData[[#This Row],[Department]])),IF(_xlpm.d="It","IT",_xlpm.d))</f>
        <v>Marketing</v>
      </c>
      <c r="AI469" t="str">
        <f>_xlfn.LET(_xlpm.pid,tbl_FinancialData[[#This Row],[Product ID]],_xlpm.n,PROPER(TRIM(tbl_FinancialData[[#This Row],[Product Name]])),IF(_xlpm.pid="P020","Document Scanner",IF(_xlpm.pid="P015","Network Router",SUBSTITUTE(SUBSTITUTE(_xlpm.n,"Crm","CRM"),"Ups","UPS"))))</f>
        <v>Network Switch</v>
      </c>
      <c r="AJ469" s="3" t="str">
        <f>UPPER(TRIM(tbl_FinancialData[[#This Row],[Cost Center]]))</f>
        <v>CC-1001</v>
      </c>
    </row>
    <row r="470" spans="1:36" x14ac:dyDescent="0.25">
      <c r="A470" s="3" t="s">
        <v>671</v>
      </c>
      <c r="B470" s="2">
        <v>45972</v>
      </c>
      <c r="C470" t="s">
        <v>147</v>
      </c>
      <c r="D470" s="3" t="str">
        <f t="shared" si="31"/>
        <v>Q3</v>
      </c>
      <c r="E470" s="3" t="str">
        <f t="shared" si="32"/>
        <v>FY2026</v>
      </c>
      <c r="F470" s="8" t="s">
        <v>85</v>
      </c>
      <c r="G470" s="3" t="s">
        <v>35</v>
      </c>
      <c r="H470" t="s">
        <v>86</v>
      </c>
      <c r="I470" t="s">
        <v>262</v>
      </c>
      <c r="J470" s="3" t="s">
        <v>80</v>
      </c>
      <c r="K470" t="s">
        <v>71</v>
      </c>
      <c r="L470" s="3" t="s">
        <v>81</v>
      </c>
      <c r="M470" s="3" t="s">
        <v>120</v>
      </c>
      <c r="N470" t="s">
        <v>121</v>
      </c>
      <c r="O470" t="s">
        <v>43</v>
      </c>
      <c r="P470" t="s">
        <v>122</v>
      </c>
      <c r="Q470" s="3">
        <v>31138.2</v>
      </c>
      <c r="R470" s="3">
        <v>32106.16</v>
      </c>
      <c r="S470" s="3">
        <v>21426.17</v>
      </c>
      <c r="T470" s="3">
        <v>3930.07</v>
      </c>
      <c r="U470" s="3">
        <v>1597.88</v>
      </c>
      <c r="V470" s="3">
        <v>2506.88</v>
      </c>
      <c r="W470" s="3">
        <v>1370.18</v>
      </c>
      <c r="X470" s="3">
        <v>30831.18</v>
      </c>
      <c r="Y470" s="3">
        <v>9712.0300000000007</v>
      </c>
      <c r="Z470" s="3">
        <f t="shared" si="33"/>
        <v>307.02000000000044</v>
      </c>
      <c r="AA470" s="37">
        <f t="shared" si="34"/>
        <v>9.8599148313004738E-3</v>
      </c>
      <c r="AB470" s="3">
        <v>-967.96</v>
      </c>
      <c r="AC470" s="3">
        <v>622.76</v>
      </c>
      <c r="AD470" s="3">
        <v>5492.78</v>
      </c>
      <c r="AE470" s="3">
        <v>36008.22</v>
      </c>
      <c r="AF470" t="str">
        <f>IF(tbl_FinancialData[[#This Row],[City]]="","Unknown",PROPER(TRIM(tbl_FinancialData[[#This Row],[City]])))</f>
        <v>Gwalior</v>
      </c>
      <c r="AG470" t="str">
        <f>_xlfn.LET(_xlpm.city,LOWER(TRIM(tbl_FinancialData[[#This Row],[City]])),_xlpm.st,PROPER(TRIM(tbl_FinancialData[[#This Row],[State]])),IF(_xlpm.city="pune","Maharashtra",IF(_xlpm.city="jamshedpur","Jharkhand",IF(_xlpm.city="bhilai","Chhattisgarh",IF(_xlpm.city="mumbai","Maharashtra",_xlpm.st)))))</f>
        <v>Madhya Pradesh</v>
      </c>
      <c r="AH470" t="str">
        <f>_xlfn.LET(_xlpm.d,PROPER(TRIM(tbl_FinancialData[[#This Row],[Department]])),IF(_xlpm.d="It","IT",_xlpm.d))</f>
        <v>Marketing</v>
      </c>
      <c r="AI470" t="str">
        <f>_xlfn.LET(_xlpm.pid,tbl_FinancialData[[#This Row],[Product ID]],_xlpm.n,PROPER(TRIM(tbl_FinancialData[[#This Row],[Product Name]])),IF(_xlpm.pid="P020","Document Scanner",IF(_xlpm.pid="P015","Network Router",SUBSTITUTE(SUBSTITUTE(_xlpm.n,"Crm","CRM"),"Ups","UPS"))))</f>
        <v>Projector</v>
      </c>
      <c r="AJ470" s="3" t="str">
        <f>UPPER(TRIM(tbl_FinancialData[[#This Row],[Cost Center]]))</f>
        <v>CC-1005</v>
      </c>
    </row>
    <row r="471" spans="1:36" x14ac:dyDescent="0.25">
      <c r="A471" s="3" t="s">
        <v>672</v>
      </c>
      <c r="B471" s="2">
        <v>45869</v>
      </c>
      <c r="C471" t="s">
        <v>32</v>
      </c>
      <c r="D471" s="3" t="str">
        <f t="shared" si="31"/>
        <v>Q2</v>
      </c>
      <c r="E471" s="3" t="str">
        <f t="shared" si="32"/>
        <v>FY2026</v>
      </c>
      <c r="F471" s="8" t="s">
        <v>85</v>
      </c>
      <c r="G471" s="3" t="s">
        <v>35</v>
      </c>
      <c r="H471" t="s">
        <v>60</v>
      </c>
      <c r="I471" t="s">
        <v>185</v>
      </c>
      <c r="J471" s="3" t="s">
        <v>38</v>
      </c>
      <c r="K471" t="s">
        <v>39</v>
      </c>
      <c r="L471" s="3" t="s">
        <v>94</v>
      </c>
      <c r="M471" s="3" t="s">
        <v>141</v>
      </c>
      <c r="N471" t="s">
        <v>142</v>
      </c>
      <c r="O471" t="s">
        <v>54</v>
      </c>
      <c r="P471" t="s">
        <v>143</v>
      </c>
      <c r="Q471" s="3">
        <v>10411.91</v>
      </c>
      <c r="R471" s="3">
        <v>9232.9699999999993</v>
      </c>
      <c r="S471" s="3">
        <v>5279.73</v>
      </c>
      <c r="T471" s="3">
        <v>1028.25</v>
      </c>
      <c r="U471" s="3">
        <v>815.64</v>
      </c>
      <c r="V471" s="3">
        <v>654.07000000000005</v>
      </c>
      <c r="W471" s="3">
        <v>191.29</v>
      </c>
      <c r="X471" s="3">
        <v>7968.99</v>
      </c>
      <c r="Y471" s="3">
        <v>5132.18</v>
      </c>
      <c r="Z471" s="3">
        <f t="shared" si="33"/>
        <v>2442.92</v>
      </c>
      <c r="AA471" s="37">
        <f t="shared" si="34"/>
        <v>0.23462746028346385</v>
      </c>
      <c r="AB471" s="3">
        <v>1178.93</v>
      </c>
      <c r="AC471" s="3">
        <v>832.95</v>
      </c>
      <c r="AD471" s="3">
        <v>478.95</v>
      </c>
      <c r="AE471" s="3">
        <v>10057.9</v>
      </c>
      <c r="AF471" t="str">
        <f>IF(tbl_FinancialData[[#This Row],[City]]="","Unknown",PROPER(TRIM(tbl_FinancialData[[#This Row],[City]])))</f>
        <v>Kanpur</v>
      </c>
      <c r="AG471" t="str">
        <f>_xlfn.LET(_xlpm.city,LOWER(TRIM(tbl_FinancialData[[#This Row],[City]])),_xlpm.st,PROPER(TRIM(tbl_FinancialData[[#This Row],[State]])),IF(_xlpm.city="pune","Maharashtra",IF(_xlpm.city="jamshedpur","Jharkhand",IF(_xlpm.city="bhilai","Chhattisgarh",IF(_xlpm.city="mumbai","Maharashtra",_xlpm.st)))))</f>
        <v>Uttar Pradesh</v>
      </c>
      <c r="AH471" t="str">
        <f>_xlfn.LET(_xlpm.d,PROPER(TRIM(tbl_FinancialData[[#This Row],[Department]])),IF(_xlpm.d="It","IT",_xlpm.d))</f>
        <v>Operations</v>
      </c>
      <c r="AI471" t="str">
        <f>_xlfn.LET(_xlpm.pid,tbl_FinancialData[[#This Row],[Product ID]],_xlpm.n,PROPER(TRIM(tbl_FinancialData[[#This Row],[Product Name]])),IF(_xlpm.pid="P020","Document Scanner",IF(_xlpm.pid="P015","Network Router",SUBSTITUTE(SUBSTITUTE(_xlpm.n,"Crm","CRM"),"Ups","UPS"))))</f>
        <v>Headset</v>
      </c>
      <c r="AJ471" s="3" t="str">
        <f>UPPER(TRIM(tbl_FinancialData[[#This Row],[Cost Center]]))</f>
        <v>CC-1001</v>
      </c>
    </row>
    <row r="472" spans="1:36" x14ac:dyDescent="0.25">
      <c r="A472" s="3" t="s">
        <v>673</v>
      </c>
      <c r="B472" s="2">
        <v>45862</v>
      </c>
      <c r="C472" t="s">
        <v>32</v>
      </c>
      <c r="D472" s="3" t="str">
        <f t="shared" si="31"/>
        <v>Q2</v>
      </c>
      <c r="E472" s="3" t="str">
        <f t="shared" si="32"/>
        <v>FY2026</v>
      </c>
      <c r="F472" s="8" t="s">
        <v>34</v>
      </c>
      <c r="G472" s="3" t="s">
        <v>35</v>
      </c>
      <c r="H472" t="s">
        <v>157</v>
      </c>
      <c r="I472" t="s">
        <v>166</v>
      </c>
      <c r="J472" s="3" t="s">
        <v>38</v>
      </c>
      <c r="K472" t="s">
        <v>71</v>
      </c>
      <c r="L472" s="3" t="s">
        <v>81</v>
      </c>
      <c r="M472" s="3" t="s">
        <v>88</v>
      </c>
      <c r="N472" t="s">
        <v>89</v>
      </c>
      <c r="O472" t="s">
        <v>43</v>
      </c>
      <c r="P472" t="s">
        <v>90</v>
      </c>
      <c r="Q472" s="3">
        <v>47549.69</v>
      </c>
      <c r="R472" s="3">
        <v>53911.34</v>
      </c>
      <c r="S472" s="3">
        <v>27702.51</v>
      </c>
      <c r="T472" s="3">
        <v>3413.08</v>
      </c>
      <c r="U472" s="3">
        <v>2376.08</v>
      </c>
      <c r="V472" s="3">
        <v>5081.87</v>
      </c>
      <c r="W472" s="3">
        <v>722.86</v>
      </c>
      <c r="X472" s="3">
        <v>39296.400000000001</v>
      </c>
      <c r="Y472" s="3">
        <v>19847.169999999998</v>
      </c>
      <c r="Z472" s="3">
        <f t="shared" si="33"/>
        <v>8253.2900000000009</v>
      </c>
      <c r="AA472" s="37">
        <f t="shared" si="34"/>
        <v>0.17357189920691388</v>
      </c>
      <c r="AB472" s="3">
        <v>-6361.65</v>
      </c>
      <c r="AC472" s="3">
        <v>1426.49</v>
      </c>
      <c r="AD472" s="3">
        <v>5534.78</v>
      </c>
      <c r="AE472" s="3">
        <v>51657.98</v>
      </c>
      <c r="AF472" t="str">
        <f>IF(tbl_FinancialData[[#This Row],[City]]="","Unknown",PROPER(TRIM(tbl_FinancialData[[#This Row],[City]])))</f>
        <v>Vadodara</v>
      </c>
      <c r="AG472" t="str">
        <f>_xlfn.LET(_xlpm.city,LOWER(TRIM(tbl_FinancialData[[#This Row],[City]])),_xlpm.st,PROPER(TRIM(tbl_FinancialData[[#This Row],[State]])),IF(_xlpm.city="pune","Maharashtra",IF(_xlpm.city="jamshedpur","Jharkhand",IF(_xlpm.city="bhilai","Chhattisgarh",IF(_xlpm.city="mumbai","Maharashtra",_xlpm.st)))))</f>
        <v>Gujarat</v>
      </c>
      <c r="AH472" t="str">
        <f>_xlfn.LET(_xlpm.d,PROPER(TRIM(tbl_FinancialData[[#This Row],[Department]])),IF(_xlpm.d="It","IT",_xlpm.d))</f>
        <v>Marketing</v>
      </c>
      <c r="AI472" t="str">
        <f>_xlfn.LET(_xlpm.pid,tbl_FinancialData[[#This Row],[Product ID]],_xlpm.n,PROPER(TRIM(tbl_FinancialData[[#This Row],[Product Name]])),IF(_xlpm.pid="P020","Document Scanner",IF(_xlpm.pid="P015","Network Router",SUBSTITUTE(SUBSTITUTE(_xlpm.n,"Crm","CRM"),"Ups","UPS"))))</f>
        <v>Printer</v>
      </c>
      <c r="AJ472" s="3" t="str">
        <f>UPPER(TRIM(tbl_FinancialData[[#This Row],[Cost Center]]))</f>
        <v>CC-1005</v>
      </c>
    </row>
    <row r="473" spans="1:36" x14ac:dyDescent="0.25">
      <c r="A473" s="3" t="s">
        <v>674</v>
      </c>
      <c r="B473" s="2">
        <v>45832</v>
      </c>
      <c r="C473" t="s">
        <v>156</v>
      </c>
      <c r="D473" s="3" t="str">
        <f t="shared" si="31"/>
        <v>Q1</v>
      </c>
      <c r="E473" s="3" t="str">
        <f t="shared" si="32"/>
        <v>FY2026</v>
      </c>
      <c r="F473" s="8" t="s">
        <v>34</v>
      </c>
      <c r="G473" s="3" t="s">
        <v>35</v>
      </c>
      <c r="H473" t="s">
        <v>134</v>
      </c>
      <c r="I473" t="s">
        <v>135</v>
      </c>
      <c r="J473" s="3" t="s">
        <v>80</v>
      </c>
      <c r="K473" t="s">
        <v>101</v>
      </c>
      <c r="L473" s="3" t="s">
        <v>94</v>
      </c>
      <c r="M473" s="3" t="s">
        <v>82</v>
      </c>
      <c r="N473" t="s">
        <v>83</v>
      </c>
      <c r="O473" t="s">
        <v>43</v>
      </c>
      <c r="P473" t="s">
        <v>75</v>
      </c>
      <c r="Q473" s="3">
        <v>23059.89</v>
      </c>
      <c r="R473" s="3">
        <v>27136.07</v>
      </c>
      <c r="S473" s="3">
        <v>11992.04</v>
      </c>
      <c r="T473" s="3">
        <v>1239.1199999999999</v>
      </c>
      <c r="U473" s="3">
        <v>1744.93</v>
      </c>
      <c r="V473" s="3">
        <v>1388.36</v>
      </c>
      <c r="W473" s="3">
        <v>900.2</v>
      </c>
      <c r="X473" s="3">
        <v>17264.66</v>
      </c>
      <c r="Y473" s="3">
        <v>11067.84</v>
      </c>
      <c r="Z473" s="3">
        <f t="shared" si="33"/>
        <v>5795.23</v>
      </c>
      <c r="AA473" s="37">
        <f t="shared" si="34"/>
        <v>0.25131212681413484</v>
      </c>
      <c r="AB473" s="3">
        <v>-4076.18</v>
      </c>
      <c r="AC473" s="3">
        <v>1152.99</v>
      </c>
      <c r="AD473" s="3">
        <v>3943.24</v>
      </c>
      <c r="AE473" s="3">
        <v>25850.13</v>
      </c>
      <c r="AF473" t="str">
        <f>IF(tbl_FinancialData[[#This Row],[City]]="","Unknown",PROPER(TRIM(tbl_FinancialData[[#This Row],[City]])))</f>
        <v>Jodhpur</v>
      </c>
      <c r="AG473" t="str">
        <f>_xlfn.LET(_xlpm.city,LOWER(TRIM(tbl_FinancialData[[#This Row],[City]])),_xlpm.st,PROPER(TRIM(tbl_FinancialData[[#This Row],[State]])),IF(_xlpm.city="pune","Maharashtra",IF(_xlpm.city="jamshedpur","Jharkhand",IF(_xlpm.city="bhilai","Chhattisgarh",IF(_xlpm.city="mumbai","Maharashtra",_xlpm.st)))))</f>
        <v>Rajasthan</v>
      </c>
      <c r="AH473" t="str">
        <f>_xlfn.LET(_xlpm.d,PROPER(TRIM(tbl_FinancialData[[#This Row],[Department]])),IF(_xlpm.d="It","IT",_xlpm.d))</f>
        <v>Finance</v>
      </c>
      <c r="AI473" t="str">
        <f>_xlfn.LET(_xlpm.pid,tbl_FinancialData[[#This Row],[Product ID]],_xlpm.n,PROPER(TRIM(tbl_FinancialData[[#This Row],[Product Name]])),IF(_xlpm.pid="P020","Document Scanner",IF(_xlpm.pid="P015","Network Router",SUBSTITUTE(SUBSTITUTE(_xlpm.n,"Crm","CRM"),"Ups","UPS"))))</f>
        <v>Business Laptop</v>
      </c>
      <c r="AJ473" s="3" t="str">
        <f>UPPER(TRIM(tbl_FinancialData[[#This Row],[Cost Center]]))</f>
        <v>CC-1001</v>
      </c>
    </row>
    <row r="474" spans="1:36" x14ac:dyDescent="0.25">
      <c r="A474" s="3" t="s">
        <v>675</v>
      </c>
      <c r="B474" s="2">
        <v>45901</v>
      </c>
      <c r="C474" t="s">
        <v>46</v>
      </c>
      <c r="D474" s="3" t="str">
        <f t="shared" si="31"/>
        <v>Q2</v>
      </c>
      <c r="E474" s="3" t="str">
        <f t="shared" si="32"/>
        <v>FY2026</v>
      </c>
      <c r="F474" s="8" t="s">
        <v>67</v>
      </c>
      <c r="G474" s="3" t="s">
        <v>35</v>
      </c>
      <c r="H474" t="s">
        <v>118</v>
      </c>
      <c r="I474" t="s">
        <v>119</v>
      </c>
      <c r="J474" s="3" t="s">
        <v>70</v>
      </c>
      <c r="K474" t="s">
        <v>50</v>
      </c>
      <c r="L474" s="3" t="s">
        <v>94</v>
      </c>
      <c r="M474" s="3" t="s">
        <v>82</v>
      </c>
      <c r="N474" t="s">
        <v>83</v>
      </c>
      <c r="O474" t="s">
        <v>43</v>
      </c>
      <c r="P474" t="s">
        <v>75</v>
      </c>
      <c r="Q474" s="3">
        <v>38708.400000000001</v>
      </c>
      <c r="R474" s="3">
        <v>40724.65</v>
      </c>
      <c r="S474" s="3">
        <v>26212.11</v>
      </c>
      <c r="T474" s="3">
        <v>2023.89</v>
      </c>
      <c r="U474" s="3">
        <v>2554.96</v>
      </c>
      <c r="V474" s="3">
        <v>2630.89</v>
      </c>
      <c r="W474" s="3">
        <v>783.59</v>
      </c>
      <c r="X474" s="3">
        <v>34205.440000000002</v>
      </c>
      <c r="Y474" s="3">
        <v>12496.29</v>
      </c>
      <c r="Z474" s="3">
        <f t="shared" si="33"/>
        <v>4502.9599999999991</v>
      </c>
      <c r="AA474" s="37">
        <f t="shared" si="34"/>
        <v>0.11633030556675034</v>
      </c>
      <c r="AB474" s="3">
        <v>-2016.26</v>
      </c>
      <c r="AC474" s="3">
        <v>1161.25</v>
      </c>
      <c r="AD474" s="3">
        <v>4505.66</v>
      </c>
      <c r="AE474" s="3">
        <v>42052.800000000003</v>
      </c>
      <c r="AF474" t="str">
        <f>IF(tbl_FinancialData[[#This Row],[City]]="","Unknown",PROPER(TRIM(tbl_FinancialData[[#This Row],[City]])))</f>
        <v>Ranchi</v>
      </c>
      <c r="AG474" t="str">
        <f>_xlfn.LET(_xlpm.city,LOWER(TRIM(tbl_FinancialData[[#This Row],[City]])),_xlpm.st,PROPER(TRIM(tbl_FinancialData[[#This Row],[State]])),IF(_xlpm.city="pune","Maharashtra",IF(_xlpm.city="jamshedpur","Jharkhand",IF(_xlpm.city="bhilai","Chhattisgarh",IF(_xlpm.city="mumbai","Maharashtra",_xlpm.st)))))</f>
        <v>Jharkhand</v>
      </c>
      <c r="AH474" t="str">
        <f>_xlfn.LET(_xlpm.d,PROPER(TRIM(tbl_FinancialData[[#This Row],[Department]])),IF(_xlpm.d="It","IT",_xlpm.d))</f>
        <v>Sales</v>
      </c>
      <c r="AI474" t="str">
        <f>_xlfn.LET(_xlpm.pid,tbl_FinancialData[[#This Row],[Product ID]],_xlpm.n,PROPER(TRIM(tbl_FinancialData[[#This Row],[Product Name]])),IF(_xlpm.pid="P020","Document Scanner",IF(_xlpm.pid="P015","Network Router",SUBSTITUTE(SUBSTITUTE(_xlpm.n,"Crm","CRM"),"Ups","UPS"))))</f>
        <v>Business Laptop</v>
      </c>
      <c r="AJ474" s="3" t="str">
        <f>UPPER(TRIM(tbl_FinancialData[[#This Row],[Cost Center]]))</f>
        <v>CC-1001</v>
      </c>
    </row>
    <row r="475" spans="1:36" x14ac:dyDescent="0.25">
      <c r="A475" s="3" t="s">
        <v>676</v>
      </c>
      <c r="B475" s="2">
        <v>46075</v>
      </c>
      <c r="C475" t="s">
        <v>57</v>
      </c>
      <c r="D475" s="3" t="str">
        <f t="shared" si="31"/>
        <v>Q4</v>
      </c>
      <c r="E475" s="3" t="str">
        <f t="shared" si="32"/>
        <v>FY2026</v>
      </c>
      <c r="F475" s="8" t="s">
        <v>59</v>
      </c>
      <c r="G475" s="3" t="s">
        <v>35</v>
      </c>
      <c r="H475" t="s">
        <v>230</v>
      </c>
      <c r="I475" t="s">
        <v>301</v>
      </c>
      <c r="J475" s="3" t="s">
        <v>100</v>
      </c>
      <c r="K475" t="s">
        <v>50</v>
      </c>
      <c r="L475" s="3" t="s">
        <v>72</v>
      </c>
      <c r="M475" s="3" t="s">
        <v>235</v>
      </c>
      <c r="N475" t="s">
        <v>236</v>
      </c>
      <c r="O475" t="s">
        <v>104</v>
      </c>
      <c r="P475" t="s">
        <v>237</v>
      </c>
      <c r="Q475" s="3">
        <v>19741.71</v>
      </c>
      <c r="R475" s="3">
        <v>19813.349999999999</v>
      </c>
      <c r="S475" s="3">
        <v>10536.28</v>
      </c>
      <c r="T475" s="3">
        <v>2459.87</v>
      </c>
      <c r="U475" s="3">
        <v>1119.8800000000001</v>
      </c>
      <c r="V475" s="3">
        <v>1785.36</v>
      </c>
      <c r="W475" s="3">
        <v>704.77</v>
      </c>
      <c r="X475" s="3">
        <v>16606.169999999998</v>
      </c>
      <c r="Y475" s="3">
        <v>9205.42</v>
      </c>
      <c r="Z475" s="3">
        <f t="shared" si="33"/>
        <v>3135.5400000000009</v>
      </c>
      <c r="AA475" s="37">
        <f t="shared" si="34"/>
        <v>0.15882818661605308</v>
      </c>
      <c r="AB475" s="3">
        <v>-71.64</v>
      </c>
      <c r="AC475" s="3">
        <v>592.25</v>
      </c>
      <c r="AD475" s="3">
        <v>3446.9</v>
      </c>
      <c r="AE475" s="3">
        <v>22596.36</v>
      </c>
      <c r="AF475" t="str">
        <f>IF(tbl_FinancialData[[#This Row],[City]]="","Unknown",PROPER(TRIM(tbl_FinancialData[[#This Row],[City]])))</f>
        <v>Amritsar</v>
      </c>
      <c r="AG475" t="str">
        <f>_xlfn.LET(_xlpm.city,LOWER(TRIM(tbl_FinancialData[[#This Row],[City]])),_xlpm.st,PROPER(TRIM(tbl_FinancialData[[#This Row],[State]])),IF(_xlpm.city="pune","Maharashtra",IF(_xlpm.city="jamshedpur","Jharkhand",IF(_xlpm.city="bhilai","Chhattisgarh",IF(_xlpm.city="mumbai","Maharashtra",_xlpm.st)))))</f>
        <v>Punjab</v>
      </c>
      <c r="AH475" t="str">
        <f>_xlfn.LET(_xlpm.d,PROPER(TRIM(tbl_FinancialData[[#This Row],[Department]])),IF(_xlpm.d="It","IT",_xlpm.d))</f>
        <v>Sales</v>
      </c>
      <c r="AI475" t="str">
        <f>_xlfn.LET(_xlpm.pid,tbl_FinancialData[[#This Row],[Product ID]],_xlpm.n,PROPER(TRIM(tbl_FinancialData[[#This Row],[Product Name]])),IF(_xlpm.pid="P020","Document Scanner",IF(_xlpm.pid="P015","Network Router",SUBSTITUTE(SUBSTITUTE(_xlpm.n,"Crm","CRM"),"Ups","UPS"))))</f>
        <v>Data Storage</v>
      </c>
      <c r="AJ475" s="3" t="str">
        <f>UPPER(TRIM(tbl_FinancialData[[#This Row],[Cost Center]]))</f>
        <v>CC-1004</v>
      </c>
    </row>
    <row r="476" spans="1:36" x14ac:dyDescent="0.25">
      <c r="A476" s="3" t="s">
        <v>677</v>
      </c>
      <c r="B476" s="2">
        <v>45756</v>
      </c>
      <c r="C476" t="s">
        <v>128</v>
      </c>
      <c r="D476" s="3" t="str">
        <f t="shared" si="31"/>
        <v>Q1</v>
      </c>
      <c r="E476" s="3" t="str">
        <f t="shared" si="32"/>
        <v>FY2026</v>
      </c>
      <c r="F476" s="8" t="s">
        <v>59</v>
      </c>
      <c r="G476" s="3" t="s">
        <v>35</v>
      </c>
      <c r="H476" t="s">
        <v>254</v>
      </c>
      <c r="I476" t="s">
        <v>314</v>
      </c>
      <c r="J476" s="3" t="s">
        <v>80</v>
      </c>
      <c r="K476" t="s">
        <v>101</v>
      </c>
      <c r="L476" s="3" t="s">
        <v>40</v>
      </c>
      <c r="M476" s="3" t="s">
        <v>82</v>
      </c>
      <c r="N476" t="s">
        <v>83</v>
      </c>
      <c r="O476" t="s">
        <v>43</v>
      </c>
      <c r="P476" t="s">
        <v>75</v>
      </c>
      <c r="Q476" s="3">
        <v>18590.14</v>
      </c>
      <c r="R476" s="3">
        <v>21044.03</v>
      </c>
      <c r="S476" s="3">
        <v>12157.56</v>
      </c>
      <c r="T476" s="3">
        <v>2260.21</v>
      </c>
      <c r="U476" s="3">
        <v>606.79999999999995</v>
      </c>
      <c r="V476" s="3">
        <v>2216.2800000000002</v>
      </c>
      <c r="W476" s="3">
        <v>322.14999999999998</v>
      </c>
      <c r="X476" s="3">
        <v>17563</v>
      </c>
      <c r="Y476" s="3">
        <v>6432.58</v>
      </c>
      <c r="Z476" s="3">
        <f t="shared" si="33"/>
        <v>1027.1399999999994</v>
      </c>
      <c r="AA476" s="37">
        <f t="shared" si="34"/>
        <v>5.5251870077363562E-2</v>
      </c>
      <c r="AB476" s="3">
        <v>-2453.89</v>
      </c>
      <c r="AC476" s="3">
        <v>0</v>
      </c>
      <c r="AD476" s="3">
        <v>3346.23</v>
      </c>
      <c r="AE476" s="3">
        <v>21936.37</v>
      </c>
      <c r="AF476" t="str">
        <f>IF(tbl_FinancialData[[#This Row],[City]]="","Unknown",PROPER(TRIM(tbl_FinancialData[[#This Row],[City]])))</f>
        <v>New Delhi</v>
      </c>
      <c r="AG476" t="str">
        <f>_xlfn.LET(_xlpm.city,LOWER(TRIM(tbl_FinancialData[[#This Row],[City]])),_xlpm.st,PROPER(TRIM(tbl_FinancialData[[#This Row],[State]])),IF(_xlpm.city="pune","Maharashtra",IF(_xlpm.city="jamshedpur","Jharkhand",IF(_xlpm.city="bhilai","Chhattisgarh",IF(_xlpm.city="mumbai","Maharashtra",_xlpm.st)))))</f>
        <v>Delhi</v>
      </c>
      <c r="AH476" t="str">
        <f>_xlfn.LET(_xlpm.d,PROPER(TRIM(tbl_FinancialData[[#This Row],[Department]])),IF(_xlpm.d="It","IT",_xlpm.d))</f>
        <v>Finance</v>
      </c>
      <c r="AI476" t="str">
        <f>_xlfn.LET(_xlpm.pid,tbl_FinancialData[[#This Row],[Product ID]],_xlpm.n,PROPER(TRIM(tbl_FinancialData[[#This Row],[Product Name]])),IF(_xlpm.pid="P020","Document Scanner",IF(_xlpm.pid="P015","Network Router",SUBSTITUTE(SUBSTITUTE(_xlpm.n,"Crm","CRM"),"Ups","UPS"))))</f>
        <v>Business Laptop</v>
      </c>
      <c r="AJ476" s="3" t="str">
        <f>UPPER(TRIM(tbl_FinancialData[[#This Row],[Cost Center]]))</f>
        <v>CC-1002</v>
      </c>
    </row>
    <row r="477" spans="1:36" x14ac:dyDescent="0.25">
      <c r="A477" s="3" t="s">
        <v>678</v>
      </c>
      <c r="B477" s="2">
        <v>46072</v>
      </c>
      <c r="C477" t="s">
        <v>57</v>
      </c>
      <c r="D477" s="3" t="str">
        <f t="shared" si="31"/>
        <v>Q4</v>
      </c>
      <c r="E477" s="3" t="str">
        <f t="shared" si="32"/>
        <v>FY2026</v>
      </c>
      <c r="F477" s="8" t="s">
        <v>47</v>
      </c>
      <c r="G477" s="3" t="s">
        <v>35</v>
      </c>
      <c r="H477" t="s">
        <v>206</v>
      </c>
      <c r="I477" t="s">
        <v>296</v>
      </c>
      <c r="J477" s="3" t="s">
        <v>100</v>
      </c>
      <c r="K477" t="s">
        <v>39</v>
      </c>
      <c r="L477" s="3" t="s">
        <v>94</v>
      </c>
      <c r="M477" s="3" t="s">
        <v>186</v>
      </c>
      <c r="N477" t="s">
        <v>187</v>
      </c>
      <c r="O477" t="s">
        <v>173</v>
      </c>
      <c r="P477" t="s">
        <v>174</v>
      </c>
      <c r="Q477" s="3">
        <v>18394.2</v>
      </c>
      <c r="R477" s="3">
        <v>17223.79</v>
      </c>
      <c r="S477" s="3">
        <v>11587.44</v>
      </c>
      <c r="T477" s="3">
        <v>1414.81</v>
      </c>
      <c r="U477" s="3">
        <v>712.38</v>
      </c>
      <c r="V477" s="3">
        <v>1196.6300000000001</v>
      </c>
      <c r="W477" s="3">
        <v>299.08</v>
      </c>
      <c r="X477" s="3">
        <v>15210.34</v>
      </c>
      <c r="Y477" s="3">
        <v>6806.76</v>
      </c>
      <c r="Z477" s="3">
        <f t="shared" si="33"/>
        <v>3183.8600000000006</v>
      </c>
      <c r="AA477" s="37">
        <f t="shared" si="34"/>
        <v>0.17309043067923588</v>
      </c>
      <c r="AB477" s="3">
        <v>1170.4000000000001</v>
      </c>
      <c r="AC477" s="3">
        <v>1471.54</v>
      </c>
      <c r="AD477" s="3">
        <v>2030.72</v>
      </c>
      <c r="AE477" s="3">
        <v>18953.38</v>
      </c>
      <c r="AF477" t="str">
        <f>IF(tbl_FinancialData[[#This Row],[City]]="","Unknown",PROPER(TRIM(tbl_FinancialData[[#This Row],[City]])))</f>
        <v>Warangal</v>
      </c>
      <c r="AG477" t="str">
        <f>_xlfn.LET(_xlpm.city,LOWER(TRIM(tbl_FinancialData[[#This Row],[City]])),_xlpm.st,PROPER(TRIM(tbl_FinancialData[[#This Row],[State]])),IF(_xlpm.city="pune","Maharashtra",IF(_xlpm.city="jamshedpur","Jharkhand",IF(_xlpm.city="bhilai","Chhattisgarh",IF(_xlpm.city="mumbai","Maharashtra",_xlpm.st)))))</f>
        <v>Telangana</v>
      </c>
      <c r="AH477" t="str">
        <f>_xlfn.LET(_xlpm.d,PROPER(TRIM(tbl_FinancialData[[#This Row],[Department]])),IF(_xlpm.d="It","IT",_xlpm.d))</f>
        <v>Operations</v>
      </c>
      <c r="AI477" t="str">
        <f>_xlfn.LET(_xlpm.pid,tbl_FinancialData[[#This Row],[Product ID]],_xlpm.n,PROPER(TRIM(tbl_FinancialData[[#This Row],[Product Name]])),IF(_xlpm.pid="P020","Document Scanner",IF(_xlpm.pid="P015","Network Router",SUBSTITUTE(SUBSTITUTE(_xlpm.n,"Crm","CRM"),"Ups","UPS"))))</f>
        <v>Network Router</v>
      </c>
      <c r="AJ477" s="3" t="str">
        <f>UPPER(TRIM(tbl_FinancialData[[#This Row],[Cost Center]]))</f>
        <v>CC-1001</v>
      </c>
    </row>
    <row r="478" spans="1:36" x14ac:dyDescent="0.25">
      <c r="A478" s="3" t="s">
        <v>679</v>
      </c>
      <c r="B478" s="2">
        <v>46055</v>
      </c>
      <c r="C478" t="s">
        <v>57</v>
      </c>
      <c r="D478" s="3" t="str">
        <f t="shared" si="31"/>
        <v>Q4</v>
      </c>
      <c r="E478" s="3" t="str">
        <f t="shared" si="32"/>
        <v>FY2026</v>
      </c>
      <c r="F478" s="8" t="s">
        <v>34</v>
      </c>
      <c r="G478" s="3" t="s">
        <v>35</v>
      </c>
      <c r="H478" t="s">
        <v>134</v>
      </c>
      <c r="I478" t="s">
        <v>176</v>
      </c>
      <c r="J478" s="3" t="s">
        <v>80</v>
      </c>
      <c r="K478" t="s">
        <v>160</v>
      </c>
      <c r="L478" s="3" t="s">
        <v>94</v>
      </c>
      <c r="M478" s="3" t="s">
        <v>189</v>
      </c>
      <c r="N478" t="s">
        <v>190</v>
      </c>
      <c r="O478" t="s">
        <v>104</v>
      </c>
      <c r="P478" t="s">
        <v>105</v>
      </c>
      <c r="Q478" s="3">
        <v>27024.15</v>
      </c>
      <c r="R478" s="3">
        <v>25056</v>
      </c>
      <c r="S478" s="3">
        <v>17450.830000000002</v>
      </c>
      <c r="T478" s="3">
        <v>2461.2199999999998</v>
      </c>
      <c r="U478" s="3">
        <v>1818.44</v>
      </c>
      <c r="V478" s="3">
        <v>3004.41</v>
      </c>
      <c r="W478" s="3">
        <v>686.82</v>
      </c>
      <c r="X478" s="3">
        <v>25421.72</v>
      </c>
      <c r="Y478" s="3">
        <v>9573.32</v>
      </c>
      <c r="Z478" s="3">
        <f t="shared" si="33"/>
        <v>1602.4300000000003</v>
      </c>
      <c r="AA478" s="37">
        <f t="shared" si="34"/>
        <v>5.9296222082840723E-2</v>
      </c>
      <c r="AB478" s="3">
        <v>1968.15</v>
      </c>
      <c r="AC478" s="3">
        <v>2161.9299999999998</v>
      </c>
      <c r="AD478" s="3">
        <v>4475.2</v>
      </c>
      <c r="AE478" s="3">
        <v>29337.42</v>
      </c>
      <c r="AF478" t="str">
        <f>IF(tbl_FinancialData[[#This Row],[City]]="","Unknown",PROPER(TRIM(tbl_FinancialData[[#This Row],[City]])))</f>
        <v>Jaipur</v>
      </c>
      <c r="AG478" t="str">
        <f>_xlfn.LET(_xlpm.city,LOWER(TRIM(tbl_FinancialData[[#This Row],[City]])),_xlpm.st,PROPER(TRIM(tbl_FinancialData[[#This Row],[State]])),IF(_xlpm.city="pune","Maharashtra",IF(_xlpm.city="jamshedpur","Jharkhand",IF(_xlpm.city="bhilai","Chhattisgarh",IF(_xlpm.city="mumbai","Maharashtra",_xlpm.st)))))</f>
        <v>Rajasthan</v>
      </c>
      <c r="AH478" t="str">
        <f>_xlfn.LET(_xlpm.d,PROPER(TRIM(tbl_FinancialData[[#This Row],[Department]])),IF(_xlpm.d="It","IT",_xlpm.d))</f>
        <v>IT</v>
      </c>
      <c r="AI478" t="str">
        <f>_xlfn.LET(_xlpm.pid,tbl_FinancialData[[#This Row],[Product ID]],_xlpm.n,PROPER(TRIM(tbl_FinancialData[[#This Row],[Product Name]])),IF(_xlpm.pid="P020","Document Scanner",IF(_xlpm.pid="P015","Network Router",SUBSTITUTE(SUBSTITUTE(_xlpm.n,"Crm","CRM"),"Ups","UPS"))))</f>
        <v>CRM Software</v>
      </c>
      <c r="AJ478" s="3" t="str">
        <f>UPPER(TRIM(tbl_FinancialData[[#This Row],[Cost Center]]))</f>
        <v>CC-1001</v>
      </c>
    </row>
    <row r="479" spans="1:36" x14ac:dyDescent="0.25">
      <c r="A479" s="3" t="s">
        <v>680</v>
      </c>
      <c r="B479" s="2">
        <v>45847</v>
      </c>
      <c r="C479" t="s">
        <v>32</v>
      </c>
      <c r="D479" s="3" t="str">
        <f t="shared" si="31"/>
        <v>Q2</v>
      </c>
      <c r="E479" s="3" t="str">
        <f t="shared" si="32"/>
        <v>FY2026</v>
      </c>
      <c r="F479" s="8" t="s">
        <v>59</v>
      </c>
      <c r="G479" s="3" t="s">
        <v>35</v>
      </c>
      <c r="H479" t="s">
        <v>60</v>
      </c>
      <c r="I479" t="s">
        <v>185</v>
      </c>
      <c r="J479" s="3" t="s">
        <v>100</v>
      </c>
      <c r="K479" t="s">
        <v>160</v>
      </c>
      <c r="L479" s="3" t="s">
        <v>51</v>
      </c>
      <c r="M479" s="3" t="s">
        <v>161</v>
      </c>
      <c r="N479" t="s">
        <v>162</v>
      </c>
      <c r="O479" t="s">
        <v>43</v>
      </c>
      <c r="P479" t="s">
        <v>163</v>
      </c>
      <c r="Q479" s="3">
        <v>37486.400000000001</v>
      </c>
      <c r="R479" s="3">
        <v>33621.550000000003</v>
      </c>
      <c r="S479" s="3">
        <v>18208.349999999999</v>
      </c>
      <c r="T479" s="3">
        <v>3223.9</v>
      </c>
      <c r="U479" s="3">
        <v>1747.8</v>
      </c>
      <c r="V479" s="3">
        <v>2813.88</v>
      </c>
      <c r="W479" s="3">
        <v>719.52</v>
      </c>
      <c r="X479" s="3">
        <v>26713.45</v>
      </c>
      <c r="Y479" s="3">
        <v>19278.05</v>
      </c>
      <c r="Z479" s="3">
        <f t="shared" si="33"/>
        <v>10772.95</v>
      </c>
      <c r="AA479" s="37">
        <f t="shared" si="34"/>
        <v>0.28738289086175256</v>
      </c>
      <c r="AB479" s="3">
        <v>3864.85</v>
      </c>
      <c r="AC479" s="3">
        <v>0</v>
      </c>
      <c r="AD479" s="3">
        <v>6747.55</v>
      </c>
      <c r="AE479" s="3">
        <v>44233.96</v>
      </c>
      <c r="AF479" t="str">
        <f>IF(tbl_FinancialData[[#This Row],[City]]="","Unknown",PROPER(TRIM(tbl_FinancialData[[#This Row],[City]])))</f>
        <v>Kanpur</v>
      </c>
      <c r="AG479" t="str">
        <f>_xlfn.LET(_xlpm.city,LOWER(TRIM(tbl_FinancialData[[#This Row],[City]])),_xlpm.st,PROPER(TRIM(tbl_FinancialData[[#This Row],[State]])),IF(_xlpm.city="pune","Maharashtra",IF(_xlpm.city="jamshedpur","Jharkhand",IF(_xlpm.city="bhilai","Chhattisgarh",IF(_xlpm.city="mumbai","Maharashtra",_xlpm.st)))))</f>
        <v>Uttar Pradesh</v>
      </c>
      <c r="AH479" t="str">
        <f>_xlfn.LET(_xlpm.d,PROPER(TRIM(tbl_FinancialData[[#This Row],[Department]])),IF(_xlpm.d="It","IT",_xlpm.d))</f>
        <v>IT</v>
      </c>
      <c r="AI479" t="str">
        <f>_xlfn.LET(_xlpm.pid,tbl_FinancialData[[#This Row],[Product ID]],_xlpm.n,PROPER(TRIM(tbl_FinancialData[[#This Row],[Product Name]])),IF(_xlpm.pid="P020","Document Scanner",IF(_xlpm.pid="P015","Network Router",SUBSTITUTE(SUBSTITUTE(_xlpm.n,"Crm","CRM"),"Ups","UPS"))))</f>
        <v>Tablet</v>
      </c>
      <c r="AJ479" s="3" t="str">
        <f>UPPER(TRIM(tbl_FinancialData[[#This Row],[Cost Center]]))</f>
        <v>CC-1003</v>
      </c>
    </row>
    <row r="480" spans="1:36" x14ac:dyDescent="0.25">
      <c r="A480" s="3" t="s">
        <v>681</v>
      </c>
      <c r="B480" s="2">
        <v>45962</v>
      </c>
      <c r="C480" t="s">
        <v>147</v>
      </c>
      <c r="D480" s="3" t="str">
        <f t="shared" si="31"/>
        <v>Q3</v>
      </c>
      <c r="E480" s="3" t="str">
        <f t="shared" si="32"/>
        <v>FY2026</v>
      </c>
      <c r="F480" s="8" t="s">
        <v>59</v>
      </c>
      <c r="G480" s="3" t="s">
        <v>35</v>
      </c>
      <c r="H480" t="s">
        <v>254</v>
      </c>
      <c r="I480" t="s">
        <v>314</v>
      </c>
      <c r="J480" s="3" t="s">
        <v>38</v>
      </c>
      <c r="K480" t="s">
        <v>39</v>
      </c>
      <c r="L480" s="3" t="s">
        <v>40</v>
      </c>
      <c r="M480" s="3" t="s">
        <v>221</v>
      </c>
      <c r="N480" t="s">
        <v>222</v>
      </c>
      <c r="O480" t="s">
        <v>104</v>
      </c>
      <c r="P480" t="s">
        <v>223</v>
      </c>
      <c r="Q480" s="3">
        <v>28454.19</v>
      </c>
      <c r="R480" s="3">
        <v>31470.16</v>
      </c>
      <c r="S480" s="3">
        <v>18549.8</v>
      </c>
      <c r="T480" s="3">
        <v>2946.46</v>
      </c>
      <c r="U480" s="3">
        <v>1593.56</v>
      </c>
      <c r="V480" s="3">
        <v>2600.21</v>
      </c>
      <c r="W480" s="3">
        <v>322.75</v>
      </c>
      <c r="X480" s="3">
        <v>26012.78</v>
      </c>
      <c r="Y480" s="3">
        <v>9904.39</v>
      </c>
      <c r="Z480" s="3">
        <f t="shared" si="33"/>
        <v>2441.41</v>
      </c>
      <c r="AA480" s="37">
        <f t="shared" si="34"/>
        <v>8.5801423270175675E-2</v>
      </c>
      <c r="AB480" s="3">
        <v>-3015.97</v>
      </c>
      <c r="AC480" s="3">
        <v>1422.71</v>
      </c>
      <c r="AD480" s="3">
        <v>4865.67</v>
      </c>
      <c r="AE480" s="3">
        <v>31897.15</v>
      </c>
      <c r="AF480" t="str">
        <f>IF(tbl_FinancialData[[#This Row],[City]]="","Unknown",PROPER(TRIM(tbl_FinancialData[[#This Row],[City]])))</f>
        <v>New Delhi</v>
      </c>
      <c r="AG480" t="str">
        <f>_xlfn.LET(_xlpm.city,LOWER(TRIM(tbl_FinancialData[[#This Row],[City]])),_xlpm.st,PROPER(TRIM(tbl_FinancialData[[#This Row],[State]])),IF(_xlpm.city="pune","Maharashtra",IF(_xlpm.city="jamshedpur","Jharkhand",IF(_xlpm.city="bhilai","Chhattisgarh",IF(_xlpm.city="mumbai","Maharashtra",_xlpm.st)))))</f>
        <v>Delhi</v>
      </c>
      <c r="AH480" t="str">
        <f>_xlfn.LET(_xlpm.d,PROPER(TRIM(tbl_FinancialData[[#This Row],[Department]])),IF(_xlpm.d="It","IT",_xlpm.d))</f>
        <v>Operations</v>
      </c>
      <c r="AI480" t="str">
        <f>_xlfn.LET(_xlpm.pid,tbl_FinancialData[[#This Row],[Product ID]],_xlpm.n,PROPER(TRIM(tbl_FinancialData[[#This Row],[Product Name]])),IF(_xlpm.pid="P020","Document Scanner",IF(_xlpm.pid="P015","Network Router",SUBSTITUTE(SUBSTITUTE(_xlpm.n,"Crm","CRM"),"Ups","UPS"))))</f>
        <v>Cloud Software</v>
      </c>
      <c r="AJ480" s="3" t="str">
        <f>UPPER(TRIM(tbl_FinancialData[[#This Row],[Cost Center]]))</f>
        <v>CC-1002</v>
      </c>
    </row>
    <row r="481" spans="1:36" x14ac:dyDescent="0.25">
      <c r="A481" s="3" t="s">
        <v>682</v>
      </c>
      <c r="B481" s="2">
        <v>45828</v>
      </c>
      <c r="C481" t="s">
        <v>156</v>
      </c>
      <c r="D481" s="3" t="str">
        <f t="shared" si="31"/>
        <v>Q1</v>
      </c>
      <c r="E481" s="3" t="str">
        <f t="shared" si="32"/>
        <v>FY2026</v>
      </c>
      <c r="F481" s="8" t="s">
        <v>47</v>
      </c>
      <c r="G481" s="3" t="s">
        <v>35</v>
      </c>
      <c r="H481" t="s">
        <v>48</v>
      </c>
      <c r="I481" t="s">
        <v>49</v>
      </c>
      <c r="J481" s="3" t="s">
        <v>70</v>
      </c>
      <c r="K481" t="s">
        <v>39</v>
      </c>
      <c r="L481" s="3" t="s">
        <v>40</v>
      </c>
      <c r="M481" s="3" t="s">
        <v>52</v>
      </c>
      <c r="N481" t="s">
        <v>53</v>
      </c>
      <c r="O481" t="s">
        <v>54</v>
      </c>
      <c r="P481" t="s">
        <v>55</v>
      </c>
      <c r="Q481" s="3">
        <v>7637.04</v>
      </c>
      <c r="R481" s="3">
        <v>8484.23</v>
      </c>
      <c r="S481" s="3">
        <v>4694.68</v>
      </c>
      <c r="T481" s="3">
        <v>921.23</v>
      </c>
      <c r="U481" s="3">
        <v>452.94</v>
      </c>
      <c r="V481" s="3">
        <v>621.73</v>
      </c>
      <c r="W481" s="3">
        <v>230.83</v>
      </c>
      <c r="X481" s="3">
        <v>6921.42</v>
      </c>
      <c r="Y481" s="3">
        <v>2942.36</v>
      </c>
      <c r="Z481" s="3">
        <f t="shared" si="33"/>
        <v>715.61999999999989</v>
      </c>
      <c r="AA481" s="37">
        <f t="shared" si="34"/>
        <v>9.3703843373872581E-2</v>
      </c>
      <c r="AB481" s="3">
        <v>-847.19</v>
      </c>
      <c r="AC481" s="3">
        <v>381.85</v>
      </c>
      <c r="AD481" s="3">
        <v>1305.93</v>
      </c>
      <c r="AE481" s="3">
        <v>8561.1200000000008</v>
      </c>
      <c r="AF481" t="str">
        <f>IF(tbl_FinancialData[[#This Row],[City]]="","Unknown",PROPER(TRIM(tbl_FinancialData[[#This Row],[City]])))</f>
        <v>Chennai</v>
      </c>
      <c r="AG481" t="str">
        <f>_xlfn.LET(_xlpm.city,LOWER(TRIM(tbl_FinancialData[[#This Row],[City]])),_xlpm.st,PROPER(TRIM(tbl_FinancialData[[#This Row],[State]])),IF(_xlpm.city="pune","Maharashtra",IF(_xlpm.city="jamshedpur","Jharkhand",IF(_xlpm.city="bhilai","Chhattisgarh",IF(_xlpm.city="mumbai","Maharashtra",_xlpm.st)))))</f>
        <v>Tamil Nadu</v>
      </c>
      <c r="AH481" t="str">
        <f>_xlfn.LET(_xlpm.d,PROPER(TRIM(tbl_FinancialData[[#This Row],[Department]])),IF(_xlpm.d="It","IT",_xlpm.d))</f>
        <v>Operations</v>
      </c>
      <c r="AI481" t="str">
        <f>_xlfn.LET(_xlpm.pid,tbl_FinancialData[[#This Row],[Product ID]],_xlpm.n,PROPER(TRIM(tbl_FinancialData[[#This Row],[Product Name]])),IF(_xlpm.pid="P020","Document Scanner",IF(_xlpm.pid="P015","Network Router",SUBSTITUTE(SUBSTITUTE(_xlpm.n,"Crm","CRM"),"Ups","UPS"))))</f>
        <v>Mouse</v>
      </c>
      <c r="AJ481" s="3" t="str">
        <f>UPPER(TRIM(tbl_FinancialData[[#This Row],[Cost Center]]))</f>
        <v>CC-1002</v>
      </c>
    </row>
    <row r="482" spans="1:36" x14ac:dyDescent="0.25">
      <c r="A482" s="3" t="s">
        <v>683</v>
      </c>
      <c r="B482" s="2">
        <v>45824</v>
      </c>
      <c r="C482" t="s">
        <v>156</v>
      </c>
      <c r="D482" s="3" t="str">
        <f t="shared" si="31"/>
        <v>Q1</v>
      </c>
      <c r="E482" s="3" t="str">
        <f t="shared" si="32"/>
        <v>FY2026</v>
      </c>
      <c r="F482" s="8" t="s">
        <v>47</v>
      </c>
      <c r="G482" s="3" t="s">
        <v>35</v>
      </c>
      <c r="H482" t="s">
        <v>78</v>
      </c>
      <c r="I482" t="s">
        <v>183</v>
      </c>
      <c r="J482" s="3" t="s">
        <v>70</v>
      </c>
      <c r="K482" t="s">
        <v>39</v>
      </c>
      <c r="L482" s="3" t="s">
        <v>51</v>
      </c>
      <c r="M482" s="3" t="s">
        <v>186</v>
      </c>
      <c r="N482" t="s">
        <v>187</v>
      </c>
      <c r="O482" t="s">
        <v>173</v>
      </c>
      <c r="P482" t="s">
        <v>174</v>
      </c>
      <c r="Q482" s="3">
        <v>16533.32</v>
      </c>
      <c r="R482" s="3">
        <v>18359.05</v>
      </c>
      <c r="S482" s="3">
        <v>10900.98</v>
      </c>
      <c r="T482" s="3">
        <v>1238.95</v>
      </c>
      <c r="U482" s="3">
        <v>742.44</v>
      </c>
      <c r="V482" s="3">
        <v>1769.52</v>
      </c>
      <c r="W482" s="3">
        <v>207.2</v>
      </c>
      <c r="X482" s="3">
        <v>14859.09</v>
      </c>
      <c r="Y482" s="3">
        <v>5632.34</v>
      </c>
      <c r="Z482" s="3">
        <f t="shared" si="33"/>
        <v>1674.2299999999996</v>
      </c>
      <c r="AA482" s="37">
        <f t="shared" si="34"/>
        <v>0.101263992954833</v>
      </c>
      <c r="AB482" s="3">
        <v>-1825.72</v>
      </c>
      <c r="AC482" s="3">
        <v>1322.67</v>
      </c>
      <c r="AD482" s="3">
        <v>1825.28</v>
      </c>
      <c r="AE482" s="3">
        <v>17035.939999999999</v>
      </c>
      <c r="AF482" t="str">
        <f>IF(tbl_FinancialData[[#This Row],[City]]="","Unknown",PROPER(TRIM(tbl_FinancialData[[#This Row],[City]])))</f>
        <v>Kozhikode</v>
      </c>
      <c r="AG482" t="str">
        <f>_xlfn.LET(_xlpm.city,LOWER(TRIM(tbl_FinancialData[[#This Row],[City]])),_xlpm.st,PROPER(TRIM(tbl_FinancialData[[#This Row],[State]])),IF(_xlpm.city="pune","Maharashtra",IF(_xlpm.city="jamshedpur","Jharkhand",IF(_xlpm.city="bhilai","Chhattisgarh",IF(_xlpm.city="mumbai","Maharashtra",_xlpm.st)))))</f>
        <v>Kerala</v>
      </c>
      <c r="AH482" t="str">
        <f>_xlfn.LET(_xlpm.d,PROPER(TRIM(tbl_FinancialData[[#This Row],[Department]])),IF(_xlpm.d="It","IT",_xlpm.d))</f>
        <v>Operations</v>
      </c>
      <c r="AI482" t="str">
        <f>_xlfn.LET(_xlpm.pid,tbl_FinancialData[[#This Row],[Product ID]],_xlpm.n,PROPER(TRIM(tbl_FinancialData[[#This Row],[Product Name]])),IF(_xlpm.pid="P020","Document Scanner",IF(_xlpm.pid="P015","Network Router",SUBSTITUTE(SUBSTITUTE(_xlpm.n,"Crm","CRM"),"Ups","UPS"))))</f>
        <v>Network Router</v>
      </c>
      <c r="AJ482" s="3" t="str">
        <f>UPPER(TRIM(tbl_FinancialData[[#This Row],[Cost Center]]))</f>
        <v>CC-1003</v>
      </c>
    </row>
    <row r="483" spans="1:36" x14ac:dyDescent="0.25">
      <c r="A483" s="3" t="s">
        <v>684</v>
      </c>
      <c r="B483" s="2">
        <v>46039</v>
      </c>
      <c r="C483" t="s">
        <v>77</v>
      </c>
      <c r="D483" s="3" t="str">
        <f t="shared" si="31"/>
        <v>Q4</v>
      </c>
      <c r="E483" s="3" t="str">
        <f t="shared" si="32"/>
        <v>FY2026</v>
      </c>
      <c r="F483" s="8" t="s">
        <v>34</v>
      </c>
      <c r="G483" s="3" t="s">
        <v>35</v>
      </c>
      <c r="H483" t="s">
        <v>98</v>
      </c>
      <c r="I483" t="s">
        <v>99</v>
      </c>
      <c r="J483" s="3" t="s">
        <v>70</v>
      </c>
      <c r="K483" t="s">
        <v>101</v>
      </c>
      <c r="L483" s="3" t="s">
        <v>40</v>
      </c>
      <c r="M483" s="3" t="s">
        <v>171</v>
      </c>
      <c r="N483" t="s">
        <v>172</v>
      </c>
      <c r="O483" t="s">
        <v>173</v>
      </c>
      <c r="P483" t="s">
        <v>174</v>
      </c>
      <c r="Q483" s="3">
        <v>15240.29</v>
      </c>
      <c r="R483" s="3">
        <v>17968.38</v>
      </c>
      <c r="S483" s="3">
        <v>10061.48</v>
      </c>
      <c r="T483" s="3">
        <v>1548.07</v>
      </c>
      <c r="U483" s="3">
        <v>732.96</v>
      </c>
      <c r="V483" s="3">
        <v>669.55</v>
      </c>
      <c r="W483" s="3">
        <v>168.97</v>
      </c>
      <c r="X483" s="3">
        <v>13181.04</v>
      </c>
      <c r="Y483" s="3">
        <v>5178.8100000000004</v>
      </c>
      <c r="Z483" s="3">
        <f t="shared" si="33"/>
        <v>2059.25</v>
      </c>
      <c r="AA483" s="37">
        <f t="shared" si="34"/>
        <v>0.13511881991746874</v>
      </c>
      <c r="AB483" s="3">
        <v>-2728.09</v>
      </c>
      <c r="AC483" s="3">
        <v>762.01</v>
      </c>
      <c r="AD483" s="3">
        <v>2606.09</v>
      </c>
      <c r="AE483" s="3">
        <v>17084.37</v>
      </c>
      <c r="AF483" t="str">
        <f>IF(tbl_FinancialData[[#This Row],[City]]="","Unknown",PROPER(TRIM(tbl_FinancialData[[#This Row],[City]])))</f>
        <v>Mumbai</v>
      </c>
      <c r="AG483" t="str">
        <f>_xlfn.LET(_xlpm.city,LOWER(TRIM(tbl_FinancialData[[#This Row],[City]])),_xlpm.st,PROPER(TRIM(tbl_FinancialData[[#This Row],[State]])),IF(_xlpm.city="pune","Maharashtra",IF(_xlpm.city="jamshedpur","Jharkhand",IF(_xlpm.city="bhilai","Chhattisgarh",IF(_xlpm.city="mumbai","Maharashtra",_xlpm.st)))))</f>
        <v>Maharashtra</v>
      </c>
      <c r="AH483" t="str">
        <f>_xlfn.LET(_xlpm.d,PROPER(TRIM(tbl_FinancialData[[#This Row],[Department]])),IF(_xlpm.d="It","IT",_xlpm.d))</f>
        <v>Finance</v>
      </c>
      <c r="AI483" t="str">
        <f>_xlfn.LET(_xlpm.pid,tbl_FinancialData[[#This Row],[Product ID]],_xlpm.n,PROPER(TRIM(tbl_FinancialData[[#This Row],[Product Name]])),IF(_xlpm.pid="P020","Document Scanner",IF(_xlpm.pid="P015","Network Router",SUBSTITUTE(SUBSTITUTE(_xlpm.n,"Crm","CRM"),"Ups","UPS"))))</f>
        <v>Network Switch</v>
      </c>
      <c r="AJ483" s="3" t="str">
        <f>UPPER(TRIM(tbl_FinancialData[[#This Row],[Cost Center]]))</f>
        <v>CC-1002</v>
      </c>
    </row>
    <row r="484" spans="1:36" x14ac:dyDescent="0.25">
      <c r="A484" s="3" t="s">
        <v>685</v>
      </c>
      <c r="B484" s="2">
        <v>45958</v>
      </c>
      <c r="C484" t="s">
        <v>92</v>
      </c>
      <c r="D484" s="3" t="str">
        <f t="shared" si="31"/>
        <v>Q3</v>
      </c>
      <c r="E484" s="3" t="str">
        <f t="shared" si="32"/>
        <v>FY2026</v>
      </c>
      <c r="F484" s="8" t="s">
        <v>59</v>
      </c>
      <c r="G484" s="3" t="s">
        <v>35</v>
      </c>
      <c r="H484" t="s">
        <v>254</v>
      </c>
      <c r="I484" t="s">
        <v>314</v>
      </c>
      <c r="J484" s="3" t="s">
        <v>80</v>
      </c>
      <c r="K484" t="s">
        <v>50</v>
      </c>
      <c r="L484" s="3" t="s">
        <v>72</v>
      </c>
      <c r="M484" s="3" t="s">
        <v>235</v>
      </c>
      <c r="N484" t="s">
        <v>236</v>
      </c>
      <c r="O484" t="s">
        <v>104</v>
      </c>
      <c r="P484" t="s">
        <v>237</v>
      </c>
      <c r="Q484" s="3">
        <v>12129.32</v>
      </c>
      <c r="R484" s="3">
        <v>14145.69</v>
      </c>
      <c r="S484" s="3">
        <v>6471.98</v>
      </c>
      <c r="T484" s="3">
        <v>1501.42</v>
      </c>
      <c r="U484" s="3">
        <v>639.01</v>
      </c>
      <c r="V484" s="3">
        <v>1441.47</v>
      </c>
      <c r="W484" s="3">
        <v>356.51</v>
      </c>
      <c r="X484" s="3">
        <v>10410.39</v>
      </c>
      <c r="Y484" s="3">
        <v>5657.34</v>
      </c>
      <c r="Z484" s="3">
        <f t="shared" si="33"/>
        <v>1718.9300000000003</v>
      </c>
      <c r="AA484" s="37">
        <f t="shared" si="34"/>
        <v>0.14171693054515838</v>
      </c>
      <c r="AB484" s="3">
        <v>-2016.37</v>
      </c>
      <c r="AC484" s="3">
        <v>1212.93</v>
      </c>
      <c r="AD484" s="3">
        <v>545.82000000000005</v>
      </c>
      <c r="AE484" s="3">
        <v>11462.21</v>
      </c>
      <c r="AF484" t="str">
        <f>IF(tbl_FinancialData[[#This Row],[City]]="","Unknown",PROPER(TRIM(tbl_FinancialData[[#This Row],[City]])))</f>
        <v>New Delhi</v>
      </c>
      <c r="AG484" t="str">
        <f>_xlfn.LET(_xlpm.city,LOWER(TRIM(tbl_FinancialData[[#This Row],[City]])),_xlpm.st,PROPER(TRIM(tbl_FinancialData[[#This Row],[State]])),IF(_xlpm.city="pune","Maharashtra",IF(_xlpm.city="jamshedpur","Jharkhand",IF(_xlpm.city="bhilai","Chhattisgarh",IF(_xlpm.city="mumbai","Maharashtra",_xlpm.st)))))</f>
        <v>Delhi</v>
      </c>
      <c r="AH484" t="str">
        <f>_xlfn.LET(_xlpm.d,PROPER(TRIM(tbl_FinancialData[[#This Row],[Department]])),IF(_xlpm.d="It","IT",_xlpm.d))</f>
        <v>Sales</v>
      </c>
      <c r="AI484" t="str">
        <f>_xlfn.LET(_xlpm.pid,tbl_FinancialData[[#This Row],[Product ID]],_xlpm.n,PROPER(TRIM(tbl_FinancialData[[#This Row],[Product Name]])),IF(_xlpm.pid="P020","Document Scanner",IF(_xlpm.pid="P015","Network Router",SUBSTITUTE(SUBSTITUTE(_xlpm.n,"Crm","CRM"),"Ups","UPS"))))</f>
        <v>Data Storage</v>
      </c>
      <c r="AJ484" s="3" t="str">
        <f>UPPER(TRIM(tbl_FinancialData[[#This Row],[Cost Center]]))</f>
        <v>CC-1004</v>
      </c>
    </row>
    <row r="485" spans="1:36" x14ac:dyDescent="0.25">
      <c r="A485" s="3" t="s">
        <v>686</v>
      </c>
      <c r="B485" s="2">
        <v>45769</v>
      </c>
      <c r="C485" t="s">
        <v>128</v>
      </c>
      <c r="D485" s="3" t="str">
        <f t="shared" si="31"/>
        <v>Q1</v>
      </c>
      <c r="E485" s="3" t="str">
        <f t="shared" si="32"/>
        <v>FY2026</v>
      </c>
      <c r="F485" s="8" t="s">
        <v>67</v>
      </c>
      <c r="G485" s="3" t="s">
        <v>35</v>
      </c>
      <c r="H485" t="s">
        <v>68</v>
      </c>
      <c r="I485" t="s">
        <v>204</v>
      </c>
      <c r="J485" s="3" t="s">
        <v>38</v>
      </c>
      <c r="K485" t="s">
        <v>101</v>
      </c>
      <c r="L485" s="3" t="s">
        <v>94</v>
      </c>
      <c r="M485" s="3" t="s">
        <v>41</v>
      </c>
      <c r="N485" t="s">
        <v>42</v>
      </c>
      <c r="O485" t="s">
        <v>43</v>
      </c>
      <c r="P485" t="s">
        <v>44</v>
      </c>
      <c r="Q485" s="3">
        <v>46383.26</v>
      </c>
      <c r="R485" s="3">
        <v>42781.04</v>
      </c>
      <c r="S485" s="3">
        <v>22272.75</v>
      </c>
      <c r="T485" s="3">
        <v>5325.32</v>
      </c>
      <c r="U485" s="3">
        <v>1423.61</v>
      </c>
      <c r="V485" s="3">
        <v>4207.33</v>
      </c>
      <c r="W485" s="3">
        <v>1948.63</v>
      </c>
      <c r="X485" s="3">
        <v>35177.65</v>
      </c>
      <c r="Y485" s="3">
        <v>24110.51</v>
      </c>
      <c r="Z485" s="3">
        <f t="shared" si="33"/>
        <v>11205.61</v>
      </c>
      <c r="AA485" s="37">
        <f t="shared" si="34"/>
        <v>0.24158737441050931</v>
      </c>
      <c r="AB485" s="3">
        <v>3602.22</v>
      </c>
      <c r="AC485" s="3">
        <v>927.67</v>
      </c>
      <c r="AD485" s="3">
        <v>8182.01</v>
      </c>
      <c r="AE485" s="3">
        <v>53637.599999999999</v>
      </c>
      <c r="AF485" t="str">
        <f>IF(tbl_FinancialData[[#This Row],[City]]="","Unknown",PROPER(TRIM(tbl_FinancialData[[#This Row],[City]])))</f>
        <v>Cuttack</v>
      </c>
      <c r="AG485" t="str">
        <f>_xlfn.LET(_xlpm.city,LOWER(TRIM(tbl_FinancialData[[#This Row],[City]])),_xlpm.st,PROPER(TRIM(tbl_FinancialData[[#This Row],[State]])),IF(_xlpm.city="pune","Maharashtra",IF(_xlpm.city="jamshedpur","Jharkhand",IF(_xlpm.city="bhilai","Chhattisgarh",IF(_xlpm.city="mumbai","Maharashtra",_xlpm.st)))))</f>
        <v>Odisha</v>
      </c>
      <c r="AH485" t="str">
        <f>_xlfn.LET(_xlpm.d,PROPER(TRIM(tbl_FinancialData[[#This Row],[Department]])),IF(_xlpm.d="It","IT",_xlpm.d))</f>
        <v>Finance</v>
      </c>
      <c r="AI485" t="str">
        <f>_xlfn.LET(_xlpm.pid,tbl_FinancialData[[#This Row],[Product ID]],_xlpm.n,PROPER(TRIM(tbl_FinancialData[[#This Row],[Product Name]])),IF(_xlpm.pid="P020","Document Scanner",IF(_xlpm.pid="P015","Network Router",SUBSTITUTE(SUBSTITUTE(_xlpm.n,"Crm","CRM"),"Ups","UPS"))))</f>
        <v>Conference Camera</v>
      </c>
      <c r="AJ485" s="3" t="str">
        <f>UPPER(TRIM(tbl_FinancialData[[#This Row],[Cost Center]]))</f>
        <v>CC-1001</v>
      </c>
    </row>
    <row r="486" spans="1:36" x14ac:dyDescent="0.25">
      <c r="A486" s="3" t="s">
        <v>687</v>
      </c>
      <c r="B486" s="2">
        <v>46017</v>
      </c>
      <c r="C486" t="s">
        <v>107</v>
      </c>
      <c r="D486" s="3" t="str">
        <f t="shared" si="31"/>
        <v>Q3</v>
      </c>
      <c r="E486" s="3" t="str">
        <f t="shared" si="32"/>
        <v>FY2026</v>
      </c>
      <c r="F486" s="8" t="s">
        <v>59</v>
      </c>
      <c r="G486" s="3" t="s">
        <v>35</v>
      </c>
      <c r="H486" t="s">
        <v>60</v>
      </c>
      <c r="I486" t="s">
        <v>61</v>
      </c>
      <c r="J486" s="3" t="s">
        <v>38</v>
      </c>
      <c r="K486" t="s">
        <v>71</v>
      </c>
      <c r="L486" s="3" t="s">
        <v>51</v>
      </c>
      <c r="M486" s="3" t="s">
        <v>120</v>
      </c>
      <c r="N486" t="s">
        <v>121</v>
      </c>
      <c r="O486" t="s">
        <v>43</v>
      </c>
      <c r="P486" t="s">
        <v>122</v>
      </c>
      <c r="Q486" s="3">
        <v>39374.879999999997</v>
      </c>
      <c r="R486" s="3">
        <v>43410.46</v>
      </c>
      <c r="S486" s="3">
        <v>21759.88</v>
      </c>
      <c r="T486" s="3">
        <v>4055.21</v>
      </c>
      <c r="U486" s="3">
        <v>1389.48</v>
      </c>
      <c r="V486" s="3">
        <v>3742.56</v>
      </c>
      <c r="W486" s="3">
        <v>570.41</v>
      </c>
      <c r="X486" s="3">
        <v>31517.53</v>
      </c>
      <c r="Y486" s="3">
        <v>17614.990000000002</v>
      </c>
      <c r="Z486" s="3">
        <f t="shared" si="33"/>
        <v>7857.3499999999985</v>
      </c>
      <c r="AA486" s="37">
        <f t="shared" si="34"/>
        <v>0.19955235419130163</v>
      </c>
      <c r="AB486" s="3">
        <v>-4035.58</v>
      </c>
      <c r="AC486" s="3">
        <v>1181.25</v>
      </c>
      <c r="AD486" s="3">
        <v>1909.68</v>
      </c>
      <c r="AE486" s="3">
        <v>40103.31</v>
      </c>
      <c r="AF486" t="str">
        <f>IF(tbl_FinancialData[[#This Row],[City]]="","Unknown",PROPER(TRIM(tbl_FinancialData[[#This Row],[City]])))</f>
        <v>Lucknow</v>
      </c>
      <c r="AG486" t="str">
        <f>_xlfn.LET(_xlpm.city,LOWER(TRIM(tbl_FinancialData[[#This Row],[City]])),_xlpm.st,PROPER(TRIM(tbl_FinancialData[[#This Row],[State]])),IF(_xlpm.city="pune","Maharashtra",IF(_xlpm.city="jamshedpur","Jharkhand",IF(_xlpm.city="bhilai","Chhattisgarh",IF(_xlpm.city="mumbai","Maharashtra",_xlpm.st)))))</f>
        <v>Uttar Pradesh</v>
      </c>
      <c r="AH486" t="str">
        <f>_xlfn.LET(_xlpm.d,PROPER(TRIM(tbl_FinancialData[[#This Row],[Department]])),IF(_xlpm.d="It","IT",_xlpm.d))</f>
        <v>Marketing</v>
      </c>
      <c r="AI486" t="str">
        <f>_xlfn.LET(_xlpm.pid,tbl_FinancialData[[#This Row],[Product ID]],_xlpm.n,PROPER(TRIM(tbl_FinancialData[[#This Row],[Product Name]])),IF(_xlpm.pid="P020","Document Scanner",IF(_xlpm.pid="P015","Network Router",SUBSTITUTE(SUBSTITUTE(_xlpm.n,"Crm","CRM"),"Ups","UPS"))))</f>
        <v>Projector</v>
      </c>
      <c r="AJ486" s="3" t="str">
        <f>UPPER(TRIM(tbl_FinancialData[[#This Row],[Cost Center]]))</f>
        <v>CC-1003</v>
      </c>
    </row>
    <row r="487" spans="1:36" x14ac:dyDescent="0.25">
      <c r="A487" s="3" t="s">
        <v>688</v>
      </c>
      <c r="B487" s="2">
        <v>46064</v>
      </c>
      <c r="C487" t="s">
        <v>57</v>
      </c>
      <c r="D487" s="3" t="str">
        <f t="shared" si="31"/>
        <v>Q4</v>
      </c>
      <c r="E487" s="3" t="str">
        <f t="shared" si="32"/>
        <v>FY2026</v>
      </c>
      <c r="F487" s="8" t="s">
        <v>34</v>
      </c>
      <c r="G487" s="3" t="s">
        <v>35</v>
      </c>
      <c r="H487" t="s">
        <v>98</v>
      </c>
      <c r="I487" t="s">
        <v>99</v>
      </c>
      <c r="J487" s="3" t="s">
        <v>100</v>
      </c>
      <c r="K487" t="s">
        <v>160</v>
      </c>
      <c r="L487" s="3" t="s">
        <v>72</v>
      </c>
      <c r="M487" s="3" t="s">
        <v>171</v>
      </c>
      <c r="N487" t="s">
        <v>172</v>
      </c>
      <c r="O487" t="s">
        <v>173</v>
      </c>
      <c r="P487" t="s">
        <v>174</v>
      </c>
      <c r="Q487" s="3">
        <v>19413.78</v>
      </c>
      <c r="R487" s="3">
        <v>19364.490000000002</v>
      </c>
      <c r="S487" s="3">
        <v>12642.2</v>
      </c>
      <c r="T487" s="3">
        <v>1994.84</v>
      </c>
      <c r="U487" s="3">
        <v>1273.6500000000001</v>
      </c>
      <c r="V487" s="3">
        <v>1215.3699999999999</v>
      </c>
      <c r="W487" s="3">
        <v>451</v>
      </c>
      <c r="X487" s="3">
        <v>17577.05</v>
      </c>
      <c r="Y487" s="3">
        <v>6771.58</v>
      </c>
      <c r="Z487" s="3">
        <f t="shared" si="33"/>
        <v>1836.7299999999996</v>
      </c>
      <c r="AA487" s="37">
        <f t="shared" si="34"/>
        <v>9.4609602045557309E-2</v>
      </c>
      <c r="AB487" s="3">
        <v>49.29</v>
      </c>
      <c r="AC487" s="3">
        <v>0</v>
      </c>
      <c r="AD487" s="3">
        <v>3494.48</v>
      </c>
      <c r="AE487" s="3">
        <v>22908.26</v>
      </c>
      <c r="AF487" t="str">
        <f>IF(tbl_FinancialData[[#This Row],[City]]="","Unknown",PROPER(TRIM(tbl_FinancialData[[#This Row],[City]])))</f>
        <v>Mumbai</v>
      </c>
      <c r="AG487" t="str">
        <f>_xlfn.LET(_xlpm.city,LOWER(TRIM(tbl_FinancialData[[#This Row],[City]])),_xlpm.st,PROPER(TRIM(tbl_FinancialData[[#This Row],[State]])),IF(_xlpm.city="pune","Maharashtra",IF(_xlpm.city="jamshedpur","Jharkhand",IF(_xlpm.city="bhilai","Chhattisgarh",IF(_xlpm.city="mumbai","Maharashtra",_xlpm.st)))))</f>
        <v>Maharashtra</v>
      </c>
      <c r="AH487" t="str">
        <f>_xlfn.LET(_xlpm.d,PROPER(TRIM(tbl_FinancialData[[#This Row],[Department]])),IF(_xlpm.d="It","IT",_xlpm.d))</f>
        <v>IT</v>
      </c>
      <c r="AI487" t="str">
        <f>_xlfn.LET(_xlpm.pid,tbl_FinancialData[[#This Row],[Product ID]],_xlpm.n,PROPER(TRIM(tbl_FinancialData[[#This Row],[Product Name]])),IF(_xlpm.pid="P020","Document Scanner",IF(_xlpm.pid="P015","Network Router",SUBSTITUTE(SUBSTITUTE(_xlpm.n,"Crm","CRM"),"Ups","UPS"))))</f>
        <v>Network Switch</v>
      </c>
      <c r="AJ487" s="3" t="str">
        <f>UPPER(TRIM(tbl_FinancialData[[#This Row],[Cost Center]]))</f>
        <v>CC-1004</v>
      </c>
    </row>
    <row r="488" spans="1:36" x14ac:dyDescent="0.25">
      <c r="A488" s="3" t="s">
        <v>689</v>
      </c>
      <c r="B488" s="2">
        <v>46065</v>
      </c>
      <c r="C488" t="s">
        <v>57</v>
      </c>
      <c r="D488" s="3" t="str">
        <f t="shared" si="31"/>
        <v>Q4</v>
      </c>
      <c r="E488" s="3" t="str">
        <f t="shared" si="32"/>
        <v>FY2026</v>
      </c>
      <c r="F488" s="8" t="s">
        <v>67</v>
      </c>
      <c r="G488" s="3" t="s">
        <v>35</v>
      </c>
      <c r="H488" t="s">
        <v>68</v>
      </c>
      <c r="I488" t="s">
        <v>69</v>
      </c>
      <c r="J488" s="3" t="s">
        <v>80</v>
      </c>
      <c r="K488" t="s">
        <v>50</v>
      </c>
      <c r="L488" s="3" t="s">
        <v>40</v>
      </c>
      <c r="M488" s="3" t="s">
        <v>88</v>
      </c>
      <c r="N488" t="s">
        <v>89</v>
      </c>
      <c r="O488" t="s">
        <v>43</v>
      </c>
      <c r="P488" t="s">
        <v>90</v>
      </c>
      <c r="Q488" s="3">
        <v>18338.32</v>
      </c>
      <c r="R488" s="3">
        <v>20557.09</v>
      </c>
      <c r="S488" s="3">
        <v>12751.58</v>
      </c>
      <c r="T488" s="3">
        <v>1677.18</v>
      </c>
      <c r="U488" s="3">
        <v>1001.41</v>
      </c>
      <c r="V488" s="3">
        <v>778.75</v>
      </c>
      <c r="W488" s="3">
        <v>747.69</v>
      </c>
      <c r="X488" s="3">
        <v>16956.61</v>
      </c>
      <c r="Y488" s="3">
        <v>5586.74</v>
      </c>
      <c r="Z488" s="3">
        <f t="shared" si="33"/>
        <v>1381.7099999999991</v>
      </c>
      <c r="AA488" s="37">
        <f t="shared" si="34"/>
        <v>7.5345506022361869E-2</v>
      </c>
      <c r="AB488" s="3">
        <v>-2218.7800000000002</v>
      </c>
      <c r="AC488" s="3">
        <v>0</v>
      </c>
      <c r="AD488" s="3">
        <v>3300.9</v>
      </c>
      <c r="AE488" s="3">
        <v>21639.21</v>
      </c>
      <c r="AF488" t="str">
        <f>IF(tbl_FinancialData[[#This Row],[City]]="","Unknown",PROPER(TRIM(tbl_FinancialData[[#This Row],[City]])))</f>
        <v>Bhubaneswar</v>
      </c>
      <c r="AG488" t="str">
        <f>_xlfn.LET(_xlpm.city,LOWER(TRIM(tbl_FinancialData[[#This Row],[City]])),_xlpm.st,PROPER(TRIM(tbl_FinancialData[[#This Row],[State]])),IF(_xlpm.city="pune","Maharashtra",IF(_xlpm.city="jamshedpur","Jharkhand",IF(_xlpm.city="bhilai","Chhattisgarh",IF(_xlpm.city="mumbai","Maharashtra",_xlpm.st)))))</f>
        <v>Odisha</v>
      </c>
      <c r="AH488" t="str">
        <f>_xlfn.LET(_xlpm.d,PROPER(TRIM(tbl_FinancialData[[#This Row],[Department]])),IF(_xlpm.d="It","IT",_xlpm.d))</f>
        <v>Sales</v>
      </c>
      <c r="AI488" t="str">
        <f>_xlfn.LET(_xlpm.pid,tbl_FinancialData[[#This Row],[Product ID]],_xlpm.n,PROPER(TRIM(tbl_FinancialData[[#This Row],[Product Name]])),IF(_xlpm.pid="P020","Document Scanner",IF(_xlpm.pid="P015","Network Router",SUBSTITUTE(SUBSTITUTE(_xlpm.n,"Crm","CRM"),"Ups","UPS"))))</f>
        <v>Printer</v>
      </c>
      <c r="AJ488" s="3" t="str">
        <f>UPPER(TRIM(tbl_FinancialData[[#This Row],[Cost Center]]))</f>
        <v>CC-1002</v>
      </c>
    </row>
    <row r="489" spans="1:36" x14ac:dyDescent="0.25">
      <c r="A489" s="3" t="s">
        <v>690</v>
      </c>
      <c r="B489" s="2">
        <v>45921</v>
      </c>
      <c r="C489" t="s">
        <v>46</v>
      </c>
      <c r="D489" s="3" t="str">
        <f t="shared" si="31"/>
        <v>Q2</v>
      </c>
      <c r="E489" s="3" t="str">
        <f t="shared" si="32"/>
        <v>FY2026</v>
      </c>
      <c r="F489" s="8" t="s">
        <v>47</v>
      </c>
      <c r="G489" s="3" t="s">
        <v>35</v>
      </c>
      <c r="H489" t="s">
        <v>48</v>
      </c>
      <c r="I489" t="s">
        <v>126</v>
      </c>
      <c r="J489" s="3" t="s">
        <v>80</v>
      </c>
      <c r="K489" t="s">
        <v>50</v>
      </c>
      <c r="L489" s="3" t="s">
        <v>94</v>
      </c>
      <c r="M489" s="3" t="s">
        <v>41</v>
      </c>
      <c r="N489" t="s">
        <v>42</v>
      </c>
      <c r="O489" t="s">
        <v>43</v>
      </c>
      <c r="P489" t="s">
        <v>44</v>
      </c>
      <c r="Q489" s="3">
        <v>40198.69</v>
      </c>
      <c r="R489" s="3">
        <v>42653.8</v>
      </c>
      <c r="S489" s="3">
        <v>28305.84</v>
      </c>
      <c r="T489" s="3">
        <v>2664.09</v>
      </c>
      <c r="U489" s="3">
        <v>1388.79</v>
      </c>
      <c r="V489" s="3">
        <v>4360.18</v>
      </c>
      <c r="W489" s="3">
        <v>1360.01</v>
      </c>
      <c r="X489" s="3">
        <v>38078.910000000003</v>
      </c>
      <c r="Y489" s="3">
        <v>11892.85</v>
      </c>
      <c r="Z489" s="3">
        <f t="shared" si="33"/>
        <v>2119.7799999999988</v>
      </c>
      <c r="AA489" s="37">
        <f t="shared" si="34"/>
        <v>5.2732564170623442E-2</v>
      </c>
      <c r="AB489" s="3">
        <v>-2455.11</v>
      </c>
      <c r="AC489" s="3">
        <v>803.97</v>
      </c>
      <c r="AD489" s="3">
        <v>4727.37</v>
      </c>
      <c r="AE489" s="3">
        <v>44122.080000000002</v>
      </c>
      <c r="AF489" t="str">
        <f>IF(tbl_FinancialData[[#This Row],[City]]="","Unknown",PROPER(TRIM(tbl_FinancialData[[#This Row],[City]])))</f>
        <v>Coimbatore</v>
      </c>
      <c r="AG489" t="str">
        <f>_xlfn.LET(_xlpm.city,LOWER(TRIM(tbl_FinancialData[[#This Row],[City]])),_xlpm.st,PROPER(TRIM(tbl_FinancialData[[#This Row],[State]])),IF(_xlpm.city="pune","Maharashtra",IF(_xlpm.city="jamshedpur","Jharkhand",IF(_xlpm.city="bhilai","Chhattisgarh",IF(_xlpm.city="mumbai","Maharashtra",_xlpm.st)))))</f>
        <v>Tamil Nadu</v>
      </c>
      <c r="AH489" t="str">
        <f>_xlfn.LET(_xlpm.d,PROPER(TRIM(tbl_FinancialData[[#This Row],[Department]])),IF(_xlpm.d="It","IT",_xlpm.d))</f>
        <v>Sales</v>
      </c>
      <c r="AI489" t="str">
        <f>_xlfn.LET(_xlpm.pid,tbl_FinancialData[[#This Row],[Product ID]],_xlpm.n,PROPER(TRIM(tbl_FinancialData[[#This Row],[Product Name]])),IF(_xlpm.pid="P020","Document Scanner",IF(_xlpm.pid="P015","Network Router",SUBSTITUTE(SUBSTITUTE(_xlpm.n,"Crm","CRM"),"Ups","UPS"))))</f>
        <v>Conference Camera</v>
      </c>
      <c r="AJ489" s="3" t="str">
        <f>UPPER(TRIM(tbl_FinancialData[[#This Row],[Cost Center]]))</f>
        <v>CC-1001</v>
      </c>
    </row>
    <row r="490" spans="1:36" x14ac:dyDescent="0.25">
      <c r="A490" s="3" t="s">
        <v>691</v>
      </c>
      <c r="B490" s="2">
        <v>45771</v>
      </c>
      <c r="C490" t="s">
        <v>128</v>
      </c>
      <c r="D490" s="3" t="str">
        <f t="shared" si="31"/>
        <v>Q1</v>
      </c>
      <c r="E490" s="3" t="str">
        <f t="shared" si="32"/>
        <v>FY2026</v>
      </c>
      <c r="F490" s="8" t="s">
        <v>67</v>
      </c>
      <c r="G490" s="3" t="s">
        <v>35</v>
      </c>
      <c r="H490" t="s">
        <v>68</v>
      </c>
      <c r="I490" t="s">
        <v>69</v>
      </c>
      <c r="J490" s="3" t="s">
        <v>70</v>
      </c>
      <c r="K490" t="s">
        <v>50</v>
      </c>
      <c r="L490" s="3" t="s">
        <v>81</v>
      </c>
      <c r="M490" s="3" t="s">
        <v>120</v>
      </c>
      <c r="N490" t="s">
        <v>121</v>
      </c>
      <c r="O490" t="s">
        <v>43</v>
      </c>
      <c r="P490" t="s">
        <v>122</v>
      </c>
      <c r="Q490" s="3">
        <v>22934.9</v>
      </c>
      <c r="R490" s="3">
        <v>21717.68</v>
      </c>
      <c r="S490" s="3">
        <v>11319.84</v>
      </c>
      <c r="T490" s="3">
        <v>1336.45</v>
      </c>
      <c r="U490" s="3">
        <v>1216.6500000000001</v>
      </c>
      <c r="V490" s="3">
        <v>1339.25</v>
      </c>
      <c r="W490" s="3">
        <v>643.51</v>
      </c>
      <c r="X490" s="3">
        <v>15855.7</v>
      </c>
      <c r="Y490" s="3">
        <v>11615.07</v>
      </c>
      <c r="Z490" s="3">
        <f t="shared" si="33"/>
        <v>7079.2000000000007</v>
      </c>
      <c r="AA490" s="37">
        <f t="shared" si="34"/>
        <v>0.30866496038788049</v>
      </c>
      <c r="AB490" s="3">
        <v>1217.22</v>
      </c>
      <c r="AC490" s="3">
        <v>458.7</v>
      </c>
      <c r="AD490" s="3">
        <v>4045.72</v>
      </c>
      <c r="AE490" s="3">
        <v>26521.919999999998</v>
      </c>
      <c r="AF490" t="str">
        <f>IF(tbl_FinancialData[[#This Row],[City]]="","Unknown",PROPER(TRIM(tbl_FinancialData[[#This Row],[City]])))</f>
        <v>Bhubaneswar</v>
      </c>
      <c r="AG490" t="str">
        <f>_xlfn.LET(_xlpm.city,LOWER(TRIM(tbl_FinancialData[[#This Row],[City]])),_xlpm.st,PROPER(TRIM(tbl_FinancialData[[#This Row],[State]])),IF(_xlpm.city="pune","Maharashtra",IF(_xlpm.city="jamshedpur","Jharkhand",IF(_xlpm.city="bhilai","Chhattisgarh",IF(_xlpm.city="mumbai","Maharashtra",_xlpm.st)))))</f>
        <v>Odisha</v>
      </c>
      <c r="AH490" t="str">
        <f>_xlfn.LET(_xlpm.d,PROPER(TRIM(tbl_FinancialData[[#This Row],[Department]])),IF(_xlpm.d="It","IT",_xlpm.d))</f>
        <v>Sales</v>
      </c>
      <c r="AI490" t="str">
        <f>_xlfn.LET(_xlpm.pid,tbl_FinancialData[[#This Row],[Product ID]],_xlpm.n,PROPER(TRIM(tbl_FinancialData[[#This Row],[Product Name]])),IF(_xlpm.pid="P020","Document Scanner",IF(_xlpm.pid="P015","Network Router",SUBSTITUTE(SUBSTITUTE(_xlpm.n,"Crm","CRM"),"Ups","UPS"))))</f>
        <v>Projector</v>
      </c>
      <c r="AJ490" s="3" t="str">
        <f>UPPER(TRIM(tbl_FinancialData[[#This Row],[Cost Center]]))</f>
        <v>CC-1005</v>
      </c>
    </row>
    <row r="491" spans="1:36" x14ac:dyDescent="0.25">
      <c r="A491" s="3" t="s">
        <v>692</v>
      </c>
      <c r="B491" s="2">
        <v>45982</v>
      </c>
      <c r="C491" t="s">
        <v>147</v>
      </c>
      <c r="D491" s="3" t="str">
        <f t="shared" si="31"/>
        <v>Q3</v>
      </c>
      <c r="E491" s="3" t="str">
        <f t="shared" si="32"/>
        <v>FY2026</v>
      </c>
      <c r="F491" s="8" t="s">
        <v>67</v>
      </c>
      <c r="G491" s="3" t="s">
        <v>35</v>
      </c>
      <c r="H491" t="s">
        <v>118</v>
      </c>
      <c r="I491" t="s">
        <v>209</v>
      </c>
      <c r="J491" s="3" t="s">
        <v>80</v>
      </c>
      <c r="K491" t="s">
        <v>39</v>
      </c>
      <c r="L491" s="3" t="s">
        <v>40</v>
      </c>
      <c r="M491" s="3" t="s">
        <v>88</v>
      </c>
      <c r="N491" t="s">
        <v>89</v>
      </c>
      <c r="O491" t="s">
        <v>43</v>
      </c>
      <c r="P491" t="s">
        <v>90</v>
      </c>
      <c r="Q491" s="3">
        <v>76705.08</v>
      </c>
      <c r="R491" s="3">
        <v>75231.100000000006</v>
      </c>
      <c r="S491" s="3">
        <v>47140.39</v>
      </c>
      <c r="T491" s="3">
        <v>4418.5600000000004</v>
      </c>
      <c r="U491" s="3">
        <v>2917.13</v>
      </c>
      <c r="V491" s="3">
        <v>5605.4</v>
      </c>
      <c r="W491" s="3">
        <v>1320.64</v>
      </c>
      <c r="X491" s="3">
        <v>61402.11</v>
      </c>
      <c r="Y491" s="3">
        <v>29564.69</v>
      </c>
      <c r="Z491" s="3">
        <f t="shared" si="33"/>
        <v>15302.970000000001</v>
      </c>
      <c r="AA491" s="37">
        <f t="shared" si="34"/>
        <v>0.19950399634548327</v>
      </c>
      <c r="AB491" s="3">
        <v>1473.98</v>
      </c>
      <c r="AC491" s="3">
        <v>6136.41</v>
      </c>
      <c r="AD491" s="3">
        <v>3528.43</v>
      </c>
      <c r="AE491" s="3">
        <v>74097.11</v>
      </c>
      <c r="AF491" t="str">
        <f>IF(tbl_FinancialData[[#This Row],[City]]="","Unknown",PROPER(TRIM(tbl_FinancialData[[#This Row],[City]])))</f>
        <v>Jamshedpur</v>
      </c>
      <c r="AG491" t="str">
        <f>_xlfn.LET(_xlpm.city,LOWER(TRIM(tbl_FinancialData[[#This Row],[City]])),_xlpm.st,PROPER(TRIM(tbl_FinancialData[[#This Row],[State]])),IF(_xlpm.city="pune","Maharashtra",IF(_xlpm.city="jamshedpur","Jharkhand",IF(_xlpm.city="bhilai","Chhattisgarh",IF(_xlpm.city="mumbai","Maharashtra",_xlpm.st)))))</f>
        <v>Jharkhand</v>
      </c>
      <c r="AH491" t="str">
        <f>_xlfn.LET(_xlpm.d,PROPER(TRIM(tbl_FinancialData[[#This Row],[Department]])),IF(_xlpm.d="It","IT",_xlpm.d))</f>
        <v>Operations</v>
      </c>
      <c r="AI491" t="str">
        <f>_xlfn.LET(_xlpm.pid,tbl_FinancialData[[#This Row],[Product ID]],_xlpm.n,PROPER(TRIM(tbl_FinancialData[[#This Row],[Product Name]])),IF(_xlpm.pid="P020","Document Scanner",IF(_xlpm.pid="P015","Network Router",SUBSTITUTE(SUBSTITUTE(_xlpm.n,"Crm","CRM"),"Ups","UPS"))))</f>
        <v>Printer</v>
      </c>
      <c r="AJ491" s="3" t="str">
        <f>UPPER(TRIM(tbl_FinancialData[[#This Row],[Cost Center]]))</f>
        <v>CC-1002</v>
      </c>
    </row>
    <row r="492" spans="1:36" x14ac:dyDescent="0.25">
      <c r="A492" s="3" t="s">
        <v>693</v>
      </c>
      <c r="B492" s="2">
        <v>45748</v>
      </c>
      <c r="C492" t="s">
        <v>128</v>
      </c>
      <c r="D492" s="3" t="str">
        <f t="shared" si="31"/>
        <v>Q1</v>
      </c>
      <c r="E492" s="3" t="str">
        <f t="shared" si="32"/>
        <v>FY2026</v>
      </c>
      <c r="F492" s="8" t="s">
        <v>47</v>
      </c>
      <c r="G492" s="3" t="s">
        <v>35</v>
      </c>
      <c r="H492" t="s">
        <v>48</v>
      </c>
      <c r="I492" t="s">
        <v>126</v>
      </c>
      <c r="J492" s="3" t="s">
        <v>38</v>
      </c>
      <c r="K492" t="s">
        <v>101</v>
      </c>
      <c r="L492" s="3" t="s">
        <v>94</v>
      </c>
      <c r="M492" s="3" t="s">
        <v>88</v>
      </c>
      <c r="N492" t="s">
        <v>89</v>
      </c>
      <c r="O492" t="s">
        <v>43</v>
      </c>
      <c r="P492" t="s">
        <v>90</v>
      </c>
      <c r="Q492" s="3">
        <v>30552.240000000002</v>
      </c>
      <c r="R492" s="3">
        <v>31145.16</v>
      </c>
      <c r="S492" s="3">
        <v>20683.150000000001</v>
      </c>
      <c r="T492" s="3">
        <v>3029.66</v>
      </c>
      <c r="U492" s="3">
        <v>2416.39</v>
      </c>
      <c r="V492" s="3">
        <v>2429.54</v>
      </c>
      <c r="W492" s="3">
        <v>432.2</v>
      </c>
      <c r="X492" s="3">
        <v>28990.94</v>
      </c>
      <c r="Y492" s="3">
        <v>9869.09</v>
      </c>
      <c r="Z492" s="3">
        <f t="shared" si="33"/>
        <v>1561.3000000000029</v>
      </c>
      <c r="AA492" s="37">
        <f t="shared" si="34"/>
        <v>5.1102636009667468E-2</v>
      </c>
      <c r="AB492" s="3">
        <v>-592.91999999999996</v>
      </c>
      <c r="AC492" s="3">
        <v>0</v>
      </c>
      <c r="AD492" s="3">
        <v>3666.27</v>
      </c>
      <c r="AE492" s="3">
        <v>34218.5</v>
      </c>
      <c r="AF492" t="str">
        <f>IF(tbl_FinancialData[[#This Row],[City]]="","Unknown",PROPER(TRIM(tbl_FinancialData[[#This Row],[City]])))</f>
        <v>Coimbatore</v>
      </c>
      <c r="AG492" t="str">
        <f>_xlfn.LET(_xlpm.city,LOWER(TRIM(tbl_FinancialData[[#This Row],[City]])),_xlpm.st,PROPER(TRIM(tbl_FinancialData[[#This Row],[State]])),IF(_xlpm.city="pune","Maharashtra",IF(_xlpm.city="jamshedpur","Jharkhand",IF(_xlpm.city="bhilai","Chhattisgarh",IF(_xlpm.city="mumbai","Maharashtra",_xlpm.st)))))</f>
        <v>Tamil Nadu</v>
      </c>
      <c r="AH492" t="str">
        <f>_xlfn.LET(_xlpm.d,PROPER(TRIM(tbl_FinancialData[[#This Row],[Department]])),IF(_xlpm.d="It","IT",_xlpm.d))</f>
        <v>Finance</v>
      </c>
      <c r="AI492" t="str">
        <f>_xlfn.LET(_xlpm.pid,tbl_FinancialData[[#This Row],[Product ID]],_xlpm.n,PROPER(TRIM(tbl_FinancialData[[#This Row],[Product Name]])),IF(_xlpm.pid="P020","Document Scanner",IF(_xlpm.pid="P015","Network Router",SUBSTITUTE(SUBSTITUTE(_xlpm.n,"Crm","CRM"),"Ups","UPS"))))</f>
        <v>Printer</v>
      </c>
      <c r="AJ492" s="3" t="str">
        <f>UPPER(TRIM(tbl_FinancialData[[#This Row],[Cost Center]]))</f>
        <v>CC-1001</v>
      </c>
    </row>
    <row r="493" spans="1:36" x14ac:dyDescent="0.25">
      <c r="A493" s="3" t="s">
        <v>694</v>
      </c>
      <c r="B493" s="2">
        <v>45980</v>
      </c>
      <c r="C493" t="s">
        <v>147</v>
      </c>
      <c r="D493" s="3" t="str">
        <f t="shared" si="31"/>
        <v>Q3</v>
      </c>
      <c r="E493" s="3" t="str">
        <f t="shared" si="32"/>
        <v>FY2026</v>
      </c>
      <c r="F493" s="8" t="s">
        <v>47</v>
      </c>
      <c r="G493" s="3" t="s">
        <v>35</v>
      </c>
      <c r="H493" t="s">
        <v>78</v>
      </c>
      <c r="I493" t="s">
        <v>183</v>
      </c>
      <c r="J493" s="3" t="s">
        <v>70</v>
      </c>
      <c r="K493" t="s">
        <v>50</v>
      </c>
      <c r="L493" s="3" t="s">
        <v>40</v>
      </c>
      <c r="M493" s="3" t="s">
        <v>171</v>
      </c>
      <c r="N493" t="s">
        <v>172</v>
      </c>
      <c r="O493" t="s">
        <v>173</v>
      </c>
      <c r="P493" t="s">
        <v>174</v>
      </c>
      <c r="Q493" s="3">
        <v>21126.14</v>
      </c>
      <c r="R493" s="3">
        <v>24180.37</v>
      </c>
      <c r="S493" s="3">
        <v>12216.26</v>
      </c>
      <c r="T493" s="3">
        <v>1546.23</v>
      </c>
      <c r="U493" s="3">
        <v>548.09</v>
      </c>
      <c r="V493" s="3">
        <v>1816.58</v>
      </c>
      <c r="W493" s="3">
        <v>508.71</v>
      </c>
      <c r="X493" s="3">
        <v>16635.86</v>
      </c>
      <c r="Y493" s="3">
        <v>8909.8799999999992</v>
      </c>
      <c r="Z493" s="3">
        <f t="shared" si="33"/>
        <v>4490.2799999999988</v>
      </c>
      <c r="AA493" s="37">
        <f t="shared" si="34"/>
        <v>0.21254616318930003</v>
      </c>
      <c r="AB493" s="3">
        <v>-3054.23</v>
      </c>
      <c r="AC493" s="3">
        <v>633.78</v>
      </c>
      <c r="AD493" s="3">
        <v>1024.6199999999999</v>
      </c>
      <c r="AE493" s="3">
        <v>21516.97</v>
      </c>
      <c r="AF493" t="str">
        <f>IF(tbl_FinancialData[[#This Row],[City]]="","Unknown",PROPER(TRIM(tbl_FinancialData[[#This Row],[City]])))</f>
        <v>Kozhikode</v>
      </c>
      <c r="AG493" t="str">
        <f>_xlfn.LET(_xlpm.city,LOWER(TRIM(tbl_FinancialData[[#This Row],[City]])),_xlpm.st,PROPER(TRIM(tbl_FinancialData[[#This Row],[State]])),IF(_xlpm.city="pune","Maharashtra",IF(_xlpm.city="jamshedpur","Jharkhand",IF(_xlpm.city="bhilai","Chhattisgarh",IF(_xlpm.city="mumbai","Maharashtra",_xlpm.st)))))</f>
        <v>Kerala</v>
      </c>
      <c r="AH493" t="str">
        <f>_xlfn.LET(_xlpm.d,PROPER(TRIM(tbl_FinancialData[[#This Row],[Department]])),IF(_xlpm.d="It","IT",_xlpm.d))</f>
        <v>Sales</v>
      </c>
      <c r="AI493" t="str">
        <f>_xlfn.LET(_xlpm.pid,tbl_FinancialData[[#This Row],[Product ID]],_xlpm.n,PROPER(TRIM(tbl_FinancialData[[#This Row],[Product Name]])),IF(_xlpm.pid="P020","Document Scanner",IF(_xlpm.pid="P015","Network Router",SUBSTITUTE(SUBSTITUTE(_xlpm.n,"Crm","CRM"),"Ups","UPS"))))</f>
        <v>Network Switch</v>
      </c>
      <c r="AJ493" s="3" t="str">
        <f>UPPER(TRIM(tbl_FinancialData[[#This Row],[Cost Center]]))</f>
        <v>CC-1002</v>
      </c>
    </row>
    <row r="494" spans="1:36" x14ac:dyDescent="0.25">
      <c r="A494" s="3" t="s">
        <v>695</v>
      </c>
      <c r="B494" s="2">
        <v>45893</v>
      </c>
      <c r="C494" t="s">
        <v>117</v>
      </c>
      <c r="D494" s="3" t="str">
        <f t="shared" si="31"/>
        <v>Q2</v>
      </c>
      <c r="E494" s="3" t="str">
        <f t="shared" si="32"/>
        <v>FY2026</v>
      </c>
      <c r="F494" s="8" t="s">
        <v>85</v>
      </c>
      <c r="G494" s="3" t="s">
        <v>35</v>
      </c>
      <c r="H494" t="s">
        <v>86</v>
      </c>
      <c r="I494" t="s">
        <v>262</v>
      </c>
      <c r="J494" s="3" t="s">
        <v>100</v>
      </c>
      <c r="K494" t="s">
        <v>71</v>
      </c>
      <c r="L494" s="3" t="s">
        <v>51</v>
      </c>
      <c r="M494" s="3" t="s">
        <v>161</v>
      </c>
      <c r="N494" t="s">
        <v>162</v>
      </c>
      <c r="O494" t="s">
        <v>43</v>
      </c>
      <c r="P494" t="s">
        <v>163</v>
      </c>
      <c r="Q494" s="3">
        <v>79927.37</v>
      </c>
      <c r="R494" s="3">
        <v>83176.95</v>
      </c>
      <c r="S494" s="3">
        <v>48792.7</v>
      </c>
      <c r="T494" s="3">
        <v>8176.75</v>
      </c>
      <c r="U494" s="3">
        <v>4009.02</v>
      </c>
      <c r="V494" s="3">
        <v>7335.56</v>
      </c>
      <c r="W494" s="3">
        <v>924.51</v>
      </c>
      <c r="X494" s="3">
        <v>69238.53</v>
      </c>
      <c r="Y494" s="3">
        <v>31134.67</v>
      </c>
      <c r="Z494" s="3">
        <f t="shared" si="33"/>
        <v>10688.839999999997</v>
      </c>
      <c r="AA494" s="37">
        <f t="shared" si="34"/>
        <v>0.13373191185947939</v>
      </c>
      <c r="AB494" s="3">
        <v>-3249.57</v>
      </c>
      <c r="AC494" s="3">
        <v>0</v>
      </c>
      <c r="AD494" s="3">
        <v>9591.2800000000007</v>
      </c>
      <c r="AE494" s="3">
        <v>89518.66</v>
      </c>
      <c r="AF494" t="str">
        <f>IF(tbl_FinancialData[[#This Row],[City]]="","Unknown",PROPER(TRIM(tbl_FinancialData[[#This Row],[City]])))</f>
        <v>Gwalior</v>
      </c>
      <c r="AG494" t="str">
        <f>_xlfn.LET(_xlpm.city,LOWER(TRIM(tbl_FinancialData[[#This Row],[City]])),_xlpm.st,PROPER(TRIM(tbl_FinancialData[[#This Row],[State]])),IF(_xlpm.city="pune","Maharashtra",IF(_xlpm.city="jamshedpur","Jharkhand",IF(_xlpm.city="bhilai","Chhattisgarh",IF(_xlpm.city="mumbai","Maharashtra",_xlpm.st)))))</f>
        <v>Madhya Pradesh</v>
      </c>
      <c r="AH494" t="str">
        <f>_xlfn.LET(_xlpm.d,PROPER(TRIM(tbl_FinancialData[[#This Row],[Department]])),IF(_xlpm.d="It","IT",_xlpm.d))</f>
        <v>Marketing</v>
      </c>
      <c r="AI494" t="str">
        <f>_xlfn.LET(_xlpm.pid,tbl_FinancialData[[#This Row],[Product ID]],_xlpm.n,PROPER(TRIM(tbl_FinancialData[[#This Row],[Product Name]])),IF(_xlpm.pid="P020","Document Scanner",IF(_xlpm.pid="P015","Network Router",SUBSTITUTE(SUBSTITUTE(_xlpm.n,"Crm","CRM"),"Ups","UPS"))))</f>
        <v>Tablet</v>
      </c>
      <c r="AJ494" s="3" t="str">
        <f>UPPER(TRIM(tbl_FinancialData[[#This Row],[Cost Center]]))</f>
        <v>CC-1003</v>
      </c>
    </row>
    <row r="495" spans="1:36" x14ac:dyDescent="0.25">
      <c r="A495" s="3" t="s">
        <v>696</v>
      </c>
      <c r="B495" s="2">
        <v>45764</v>
      </c>
      <c r="C495" t="s">
        <v>128</v>
      </c>
      <c r="D495" s="3" t="str">
        <f t="shared" si="31"/>
        <v>Q1</v>
      </c>
      <c r="E495" s="3" t="str">
        <f t="shared" si="32"/>
        <v>FY2026</v>
      </c>
      <c r="F495" s="8" t="s">
        <v>67</v>
      </c>
      <c r="G495" s="3" t="s">
        <v>35</v>
      </c>
      <c r="H495" t="s">
        <v>217</v>
      </c>
      <c r="I495" t="s">
        <v>241</v>
      </c>
      <c r="J495" s="3" t="s">
        <v>80</v>
      </c>
      <c r="K495" t="s">
        <v>71</v>
      </c>
      <c r="L495" s="3" t="s">
        <v>51</v>
      </c>
      <c r="M495" s="3" t="s">
        <v>120</v>
      </c>
      <c r="N495" t="s">
        <v>121</v>
      </c>
      <c r="O495" t="s">
        <v>43</v>
      </c>
      <c r="P495" t="s">
        <v>122</v>
      </c>
      <c r="Q495" s="3">
        <v>32554.57</v>
      </c>
      <c r="R495" s="3">
        <v>30117.82</v>
      </c>
      <c r="S495" s="3">
        <v>19560.64</v>
      </c>
      <c r="T495" s="3">
        <v>3715.5</v>
      </c>
      <c r="U495" s="3">
        <v>1748.17</v>
      </c>
      <c r="V495" s="3">
        <v>2579.92</v>
      </c>
      <c r="W495" s="3">
        <v>1292.6400000000001</v>
      </c>
      <c r="X495" s="3">
        <v>28896.87</v>
      </c>
      <c r="Y495" s="3">
        <v>12993.94</v>
      </c>
      <c r="Z495" s="3">
        <f t="shared" si="33"/>
        <v>3657.7000000000007</v>
      </c>
      <c r="AA495" s="37">
        <f t="shared" si="34"/>
        <v>0.1123559610831905</v>
      </c>
      <c r="AB495" s="3">
        <v>2436.75</v>
      </c>
      <c r="AC495" s="3">
        <v>1627.73</v>
      </c>
      <c r="AD495" s="3">
        <v>3711.22</v>
      </c>
      <c r="AE495" s="3">
        <v>34638.07</v>
      </c>
      <c r="AF495" t="str">
        <f>IF(tbl_FinancialData[[#This Row],[City]]="","Unknown",PROPER(TRIM(tbl_FinancialData[[#This Row],[City]])))</f>
        <v>Muzaffarpur</v>
      </c>
      <c r="AG495" t="str">
        <f>_xlfn.LET(_xlpm.city,LOWER(TRIM(tbl_FinancialData[[#This Row],[City]])),_xlpm.st,PROPER(TRIM(tbl_FinancialData[[#This Row],[State]])),IF(_xlpm.city="pune","Maharashtra",IF(_xlpm.city="jamshedpur","Jharkhand",IF(_xlpm.city="bhilai","Chhattisgarh",IF(_xlpm.city="mumbai","Maharashtra",_xlpm.st)))))</f>
        <v>Bihar</v>
      </c>
      <c r="AH495" t="str">
        <f>_xlfn.LET(_xlpm.d,PROPER(TRIM(tbl_FinancialData[[#This Row],[Department]])),IF(_xlpm.d="It","IT",_xlpm.d))</f>
        <v>Marketing</v>
      </c>
      <c r="AI495" t="str">
        <f>_xlfn.LET(_xlpm.pid,tbl_FinancialData[[#This Row],[Product ID]],_xlpm.n,PROPER(TRIM(tbl_FinancialData[[#This Row],[Product Name]])),IF(_xlpm.pid="P020","Document Scanner",IF(_xlpm.pid="P015","Network Router",SUBSTITUTE(SUBSTITUTE(_xlpm.n,"Crm","CRM"),"Ups","UPS"))))</f>
        <v>Projector</v>
      </c>
      <c r="AJ495" s="3" t="str">
        <f>UPPER(TRIM(tbl_FinancialData[[#This Row],[Cost Center]]))</f>
        <v>CC-1003</v>
      </c>
    </row>
    <row r="496" spans="1:36" x14ac:dyDescent="0.25">
      <c r="A496" s="3" t="s">
        <v>697</v>
      </c>
      <c r="B496" s="2">
        <v>45768</v>
      </c>
      <c r="C496" t="s">
        <v>128</v>
      </c>
      <c r="D496" s="3" t="str">
        <f t="shared" si="31"/>
        <v>Q1</v>
      </c>
      <c r="E496" s="3" t="str">
        <f t="shared" si="32"/>
        <v>FY2026</v>
      </c>
      <c r="F496" s="8" t="s">
        <v>85</v>
      </c>
      <c r="G496" s="3" t="s">
        <v>35</v>
      </c>
      <c r="H496" t="s">
        <v>178</v>
      </c>
      <c r="I496" t="s">
        <v>329</v>
      </c>
      <c r="J496" s="3" t="s">
        <v>70</v>
      </c>
      <c r="K496" t="s">
        <v>71</v>
      </c>
      <c r="L496" s="3" t="s">
        <v>81</v>
      </c>
      <c r="M496" s="3" t="s">
        <v>102</v>
      </c>
      <c r="N496" t="s">
        <v>103</v>
      </c>
      <c r="O496" t="s">
        <v>104</v>
      </c>
      <c r="P496" t="s">
        <v>105</v>
      </c>
      <c r="Q496" s="3">
        <v>5639.87</v>
      </c>
      <c r="R496" s="3">
        <v>5457.65</v>
      </c>
      <c r="S496" s="3">
        <v>3805</v>
      </c>
      <c r="T496" s="3">
        <v>321.51</v>
      </c>
      <c r="U496" s="3">
        <v>436.35</v>
      </c>
      <c r="V496" s="3">
        <v>527.52</v>
      </c>
      <c r="W496" s="3">
        <v>200.98</v>
      </c>
      <c r="X496" s="3">
        <v>5291.36</v>
      </c>
      <c r="Y496" s="3">
        <v>1834.87</v>
      </c>
      <c r="Z496" s="3">
        <f t="shared" si="33"/>
        <v>348.51000000000022</v>
      </c>
      <c r="AA496" s="37">
        <f t="shared" si="34"/>
        <v>6.1793977520758499E-2</v>
      </c>
      <c r="AB496" s="3">
        <v>182.22</v>
      </c>
      <c r="AC496" s="3">
        <v>169.2</v>
      </c>
      <c r="AD496" s="3">
        <v>984.72</v>
      </c>
      <c r="AE496" s="3">
        <v>6455.4</v>
      </c>
      <c r="AF496" t="str">
        <f>IF(tbl_FinancialData[[#This Row],[City]]="","Unknown",PROPER(TRIM(tbl_FinancialData[[#This Row],[City]])))</f>
        <v>Raipur</v>
      </c>
      <c r="AG496" t="str">
        <f>_xlfn.LET(_xlpm.city,LOWER(TRIM(tbl_FinancialData[[#This Row],[City]])),_xlpm.st,PROPER(TRIM(tbl_FinancialData[[#This Row],[State]])),IF(_xlpm.city="pune","Maharashtra",IF(_xlpm.city="jamshedpur","Jharkhand",IF(_xlpm.city="bhilai","Chhattisgarh",IF(_xlpm.city="mumbai","Maharashtra",_xlpm.st)))))</f>
        <v>Chhattisgarh</v>
      </c>
      <c r="AH496" t="str">
        <f>_xlfn.LET(_xlpm.d,PROPER(TRIM(tbl_FinancialData[[#This Row],[Department]])),IF(_xlpm.d="It","IT",_xlpm.d))</f>
        <v>Marketing</v>
      </c>
      <c r="AI496" t="str">
        <f>_xlfn.LET(_xlpm.pid,tbl_FinancialData[[#This Row],[Product ID]],_xlpm.n,PROPER(TRIM(tbl_FinancialData[[#This Row],[Product Name]])),IF(_xlpm.pid="P020","Document Scanner",IF(_xlpm.pid="P015","Network Router",SUBSTITUTE(SUBSTITUTE(_xlpm.n,"Crm","CRM"),"Ups","UPS"))))</f>
        <v>Accounting Software</v>
      </c>
      <c r="AJ496" s="3" t="str">
        <f>UPPER(TRIM(tbl_FinancialData[[#This Row],[Cost Center]]))</f>
        <v>CC-1005</v>
      </c>
    </row>
    <row r="497" spans="1:36" x14ac:dyDescent="0.25">
      <c r="A497" s="3" t="s">
        <v>698</v>
      </c>
      <c r="B497" s="2">
        <v>45796</v>
      </c>
      <c r="C497" t="s">
        <v>65</v>
      </c>
      <c r="D497" s="3" t="str">
        <f t="shared" si="31"/>
        <v>Q1</v>
      </c>
      <c r="E497" s="3" t="str">
        <f t="shared" si="32"/>
        <v>FY2026</v>
      </c>
      <c r="F497" s="8" t="s">
        <v>47</v>
      </c>
      <c r="G497" s="3" t="s">
        <v>35</v>
      </c>
      <c r="H497" t="s">
        <v>214</v>
      </c>
      <c r="I497" t="s">
        <v>220</v>
      </c>
      <c r="J497" s="3" t="s">
        <v>70</v>
      </c>
      <c r="K497" t="s">
        <v>101</v>
      </c>
      <c r="L497" s="3" t="s">
        <v>81</v>
      </c>
      <c r="M497" s="3" t="s">
        <v>95</v>
      </c>
      <c r="N497" t="s">
        <v>96</v>
      </c>
      <c r="O497" t="s">
        <v>43</v>
      </c>
      <c r="P497" t="s">
        <v>90</v>
      </c>
      <c r="Q497" s="3">
        <v>23350.75</v>
      </c>
      <c r="R497" s="3">
        <v>27357.4</v>
      </c>
      <c r="S497" s="3">
        <v>11418.81</v>
      </c>
      <c r="T497" s="3">
        <v>1757.85</v>
      </c>
      <c r="U497" s="3">
        <v>1060.52</v>
      </c>
      <c r="V497" s="3">
        <v>2117.38</v>
      </c>
      <c r="W497" s="3">
        <v>319.98</v>
      </c>
      <c r="X497" s="3">
        <v>16674.54</v>
      </c>
      <c r="Y497" s="3">
        <v>11931.94</v>
      </c>
      <c r="Z497" s="3">
        <f t="shared" si="33"/>
        <v>6676.2099999999991</v>
      </c>
      <c r="AA497" s="37">
        <f t="shared" si="34"/>
        <v>0.28590987441516863</v>
      </c>
      <c r="AB497" s="3">
        <v>-4006.64</v>
      </c>
      <c r="AC497" s="3">
        <v>1167.54</v>
      </c>
      <c r="AD497" s="3">
        <v>1109.1600000000001</v>
      </c>
      <c r="AE497" s="3">
        <v>23292.37</v>
      </c>
      <c r="AF497" t="str">
        <f>IF(tbl_FinancialData[[#This Row],[City]]="","Unknown",PROPER(TRIM(tbl_FinancialData[[#This Row],[City]])))</f>
        <v>Mysuru</v>
      </c>
      <c r="AG497" t="str">
        <f>_xlfn.LET(_xlpm.city,LOWER(TRIM(tbl_FinancialData[[#This Row],[City]])),_xlpm.st,PROPER(TRIM(tbl_FinancialData[[#This Row],[State]])),IF(_xlpm.city="pune","Maharashtra",IF(_xlpm.city="jamshedpur","Jharkhand",IF(_xlpm.city="bhilai","Chhattisgarh",IF(_xlpm.city="mumbai","Maharashtra",_xlpm.st)))))</f>
        <v>Karnataka</v>
      </c>
      <c r="AH497" t="str">
        <f>_xlfn.LET(_xlpm.d,PROPER(TRIM(tbl_FinancialData[[#This Row],[Department]])),IF(_xlpm.d="It","IT",_xlpm.d))</f>
        <v>Finance</v>
      </c>
      <c r="AI497" t="str">
        <f>_xlfn.LET(_xlpm.pid,tbl_FinancialData[[#This Row],[Product ID]],_xlpm.n,PROPER(TRIM(tbl_FinancialData[[#This Row],[Product Name]])),IF(_xlpm.pid="P020","Document Scanner",IF(_xlpm.pid="P015","Network Router",SUBSTITUTE(SUBSTITUTE(_xlpm.n,"Crm","CRM"),"Ups","UPS"))))</f>
        <v>Document Scanner</v>
      </c>
      <c r="AJ497" s="3" t="str">
        <f>UPPER(TRIM(tbl_FinancialData[[#This Row],[Cost Center]]))</f>
        <v>CC-1005</v>
      </c>
    </row>
    <row r="498" spans="1:36" x14ac:dyDescent="0.25">
      <c r="A498" s="3" t="s">
        <v>699</v>
      </c>
      <c r="B498" s="2">
        <v>45889</v>
      </c>
      <c r="C498" t="s">
        <v>117</v>
      </c>
      <c r="D498" s="3" t="str">
        <f t="shared" si="31"/>
        <v>Q2</v>
      </c>
      <c r="E498" s="3" t="str">
        <f t="shared" si="32"/>
        <v>FY2026</v>
      </c>
      <c r="F498" s="8" t="s">
        <v>34</v>
      </c>
      <c r="G498" s="3" t="s">
        <v>35</v>
      </c>
      <c r="H498" t="s">
        <v>36</v>
      </c>
      <c r="I498" t="s">
        <v>145</v>
      </c>
      <c r="J498" s="3" t="s">
        <v>38</v>
      </c>
      <c r="K498" t="s">
        <v>50</v>
      </c>
      <c r="L498" s="3" t="s">
        <v>94</v>
      </c>
      <c r="M498" s="3" t="s">
        <v>41</v>
      </c>
      <c r="N498" t="s">
        <v>42</v>
      </c>
      <c r="O498" t="s">
        <v>43</v>
      </c>
      <c r="P498" t="s">
        <v>44</v>
      </c>
      <c r="Q498" s="3">
        <v>46202.97</v>
      </c>
      <c r="R498" s="3">
        <v>45639.37</v>
      </c>
      <c r="S498" s="3">
        <v>27448.54</v>
      </c>
      <c r="T498" s="3">
        <v>3653.78</v>
      </c>
      <c r="U498" s="3">
        <v>3080.14</v>
      </c>
      <c r="V498" s="3">
        <v>5179.3900000000003</v>
      </c>
      <c r="W498" s="3">
        <v>727.11</v>
      </c>
      <c r="X498" s="3">
        <v>40088.959999999999</v>
      </c>
      <c r="Y498" s="3">
        <v>18754.419999999998</v>
      </c>
      <c r="Z498" s="3">
        <f t="shared" si="33"/>
        <v>6114.010000000002</v>
      </c>
      <c r="AA498" s="37">
        <f t="shared" si="34"/>
        <v>0.13232937189968527</v>
      </c>
      <c r="AB498" s="3">
        <v>563.6</v>
      </c>
      <c r="AC498" s="3">
        <v>1386.09</v>
      </c>
      <c r="AD498" s="3">
        <v>2240.84</v>
      </c>
      <c r="AE498" s="3">
        <v>47057.72</v>
      </c>
      <c r="AF498" t="str">
        <f>IF(tbl_FinancialData[[#This Row],[City]]="","Unknown",PROPER(TRIM(tbl_FinancialData[[#This Row],[City]])))</f>
        <v>Panaji</v>
      </c>
      <c r="AG498" t="str">
        <f>_xlfn.LET(_xlpm.city,LOWER(TRIM(tbl_FinancialData[[#This Row],[City]])),_xlpm.st,PROPER(TRIM(tbl_FinancialData[[#This Row],[State]])),IF(_xlpm.city="pune","Maharashtra",IF(_xlpm.city="jamshedpur","Jharkhand",IF(_xlpm.city="bhilai","Chhattisgarh",IF(_xlpm.city="mumbai","Maharashtra",_xlpm.st)))))</f>
        <v>Goa</v>
      </c>
      <c r="AH498" t="str">
        <f>_xlfn.LET(_xlpm.d,PROPER(TRIM(tbl_FinancialData[[#This Row],[Department]])),IF(_xlpm.d="It","IT",_xlpm.d))</f>
        <v>Sales</v>
      </c>
      <c r="AI498" t="str">
        <f>_xlfn.LET(_xlpm.pid,tbl_FinancialData[[#This Row],[Product ID]],_xlpm.n,PROPER(TRIM(tbl_FinancialData[[#This Row],[Product Name]])),IF(_xlpm.pid="P020","Document Scanner",IF(_xlpm.pid="P015","Network Router",SUBSTITUTE(SUBSTITUTE(_xlpm.n,"Crm","CRM"),"Ups","UPS"))))</f>
        <v>Conference Camera</v>
      </c>
      <c r="AJ498" s="3" t="str">
        <f>UPPER(TRIM(tbl_FinancialData[[#This Row],[Cost Center]]))</f>
        <v>CC-1001</v>
      </c>
    </row>
    <row r="499" spans="1:36" x14ac:dyDescent="0.25">
      <c r="A499" s="3" t="s">
        <v>700</v>
      </c>
      <c r="B499" s="2">
        <v>45905</v>
      </c>
      <c r="C499" t="s">
        <v>46</v>
      </c>
      <c r="D499" s="3" t="str">
        <f t="shared" si="31"/>
        <v>Q2</v>
      </c>
      <c r="E499" s="3" t="str">
        <f t="shared" si="32"/>
        <v>FY2026</v>
      </c>
      <c r="F499" s="8" t="s">
        <v>85</v>
      </c>
      <c r="G499" s="3" t="s">
        <v>35</v>
      </c>
      <c r="H499" t="s">
        <v>178</v>
      </c>
      <c r="I499" t="s">
        <v>179</v>
      </c>
      <c r="J499" s="3" t="s">
        <v>70</v>
      </c>
      <c r="K499" t="s">
        <v>50</v>
      </c>
      <c r="L499" s="3" t="s">
        <v>72</v>
      </c>
      <c r="M499" s="3" t="s">
        <v>41</v>
      </c>
      <c r="N499" t="s">
        <v>42</v>
      </c>
      <c r="O499" t="s">
        <v>43</v>
      </c>
      <c r="P499" t="s">
        <v>44</v>
      </c>
      <c r="Q499" s="3">
        <v>23318.34</v>
      </c>
      <c r="R499" s="3">
        <v>20919.810000000001</v>
      </c>
      <c r="S499" s="3">
        <v>16194.72</v>
      </c>
      <c r="T499" s="3">
        <v>2154.2600000000002</v>
      </c>
      <c r="U499" s="3">
        <v>1597.48</v>
      </c>
      <c r="V499" s="3">
        <v>2484.0100000000002</v>
      </c>
      <c r="W499" s="3">
        <v>355.86</v>
      </c>
      <c r="X499" s="3">
        <v>22786.33</v>
      </c>
      <c r="Y499" s="3">
        <v>7123.62</v>
      </c>
      <c r="Z499" s="3">
        <f t="shared" si="33"/>
        <v>532.0099999999984</v>
      </c>
      <c r="AA499" s="37">
        <f t="shared" si="34"/>
        <v>2.2815088895693194E-2</v>
      </c>
      <c r="AB499" s="3">
        <v>2398.5300000000002</v>
      </c>
      <c r="AC499" s="3">
        <v>0</v>
      </c>
      <c r="AD499" s="3">
        <v>4197.3</v>
      </c>
      <c r="AE499" s="3">
        <v>27515.64</v>
      </c>
      <c r="AF499" t="str">
        <f>IF(tbl_FinancialData[[#This Row],[City]]="","Unknown",PROPER(TRIM(tbl_FinancialData[[#This Row],[City]])))</f>
        <v>Bilaspur</v>
      </c>
      <c r="AG499" t="str">
        <f>_xlfn.LET(_xlpm.city,LOWER(TRIM(tbl_FinancialData[[#This Row],[City]])),_xlpm.st,PROPER(TRIM(tbl_FinancialData[[#This Row],[State]])),IF(_xlpm.city="pune","Maharashtra",IF(_xlpm.city="jamshedpur","Jharkhand",IF(_xlpm.city="bhilai","Chhattisgarh",IF(_xlpm.city="mumbai","Maharashtra",_xlpm.st)))))</f>
        <v>Chhattisgarh</v>
      </c>
      <c r="AH499" t="str">
        <f>_xlfn.LET(_xlpm.d,PROPER(TRIM(tbl_FinancialData[[#This Row],[Department]])),IF(_xlpm.d="It","IT",_xlpm.d))</f>
        <v>Sales</v>
      </c>
      <c r="AI499" t="str">
        <f>_xlfn.LET(_xlpm.pid,tbl_FinancialData[[#This Row],[Product ID]],_xlpm.n,PROPER(TRIM(tbl_FinancialData[[#This Row],[Product Name]])),IF(_xlpm.pid="P020","Document Scanner",IF(_xlpm.pid="P015","Network Router",SUBSTITUTE(SUBSTITUTE(_xlpm.n,"Crm","CRM"),"Ups","UPS"))))</f>
        <v>Conference Camera</v>
      </c>
      <c r="AJ499" s="3" t="str">
        <f>UPPER(TRIM(tbl_FinancialData[[#This Row],[Cost Center]]))</f>
        <v>CC-1004</v>
      </c>
    </row>
    <row r="500" spans="1:36" x14ac:dyDescent="0.25">
      <c r="A500" s="3" t="s">
        <v>701</v>
      </c>
      <c r="B500" s="2">
        <v>45968</v>
      </c>
      <c r="C500" t="s">
        <v>147</v>
      </c>
      <c r="D500" s="3" t="str">
        <f t="shared" si="31"/>
        <v>Q3</v>
      </c>
      <c r="E500" s="3" t="str">
        <f t="shared" si="32"/>
        <v>FY2026</v>
      </c>
      <c r="F500" s="8" t="s">
        <v>47</v>
      </c>
      <c r="G500" s="3" t="s">
        <v>35</v>
      </c>
      <c r="H500" t="s">
        <v>206</v>
      </c>
      <c r="I500" t="s">
        <v>344</v>
      </c>
      <c r="J500" s="3" t="s">
        <v>38</v>
      </c>
      <c r="K500" t="s">
        <v>50</v>
      </c>
      <c r="L500" s="3" t="s">
        <v>81</v>
      </c>
      <c r="M500" s="3" t="s">
        <v>41</v>
      </c>
      <c r="N500" t="s">
        <v>42</v>
      </c>
      <c r="O500" t="s">
        <v>43</v>
      </c>
      <c r="P500" t="s">
        <v>44</v>
      </c>
      <c r="Q500" s="3">
        <v>80468.86</v>
      </c>
      <c r="R500" s="3">
        <v>86191.34</v>
      </c>
      <c r="S500" s="3">
        <v>41746.68</v>
      </c>
      <c r="T500" s="3">
        <v>9854.86</v>
      </c>
      <c r="U500" s="3">
        <v>4711.9399999999996</v>
      </c>
      <c r="V500" s="3">
        <v>4208.5200000000004</v>
      </c>
      <c r="W500" s="3">
        <v>3400.65</v>
      </c>
      <c r="X500" s="3">
        <v>63922.65</v>
      </c>
      <c r="Y500" s="3">
        <v>38722.17</v>
      </c>
      <c r="Z500" s="3">
        <f t="shared" si="33"/>
        <v>16546.21</v>
      </c>
      <c r="AA500" s="37">
        <f t="shared" si="34"/>
        <v>0.2056225227995028</v>
      </c>
      <c r="AB500" s="3">
        <v>-5722.48</v>
      </c>
      <c r="AC500" s="3">
        <v>4023.44</v>
      </c>
      <c r="AD500" s="3">
        <v>13760.17</v>
      </c>
      <c r="AE500" s="3">
        <v>90205.59</v>
      </c>
      <c r="AF500" t="str">
        <f>IF(tbl_FinancialData[[#This Row],[City]]="","Unknown",PROPER(TRIM(tbl_FinancialData[[#This Row],[City]])))</f>
        <v>Hyderabad</v>
      </c>
      <c r="AG500" t="str">
        <f>_xlfn.LET(_xlpm.city,LOWER(TRIM(tbl_FinancialData[[#This Row],[City]])),_xlpm.st,PROPER(TRIM(tbl_FinancialData[[#This Row],[State]])),IF(_xlpm.city="pune","Maharashtra",IF(_xlpm.city="jamshedpur","Jharkhand",IF(_xlpm.city="bhilai","Chhattisgarh",IF(_xlpm.city="mumbai","Maharashtra",_xlpm.st)))))</f>
        <v>Telangana</v>
      </c>
      <c r="AH500" t="str">
        <f>_xlfn.LET(_xlpm.d,PROPER(TRIM(tbl_FinancialData[[#This Row],[Department]])),IF(_xlpm.d="It","IT",_xlpm.d))</f>
        <v>Sales</v>
      </c>
      <c r="AI500" t="str">
        <f>_xlfn.LET(_xlpm.pid,tbl_FinancialData[[#This Row],[Product ID]],_xlpm.n,PROPER(TRIM(tbl_FinancialData[[#This Row],[Product Name]])),IF(_xlpm.pid="P020","Document Scanner",IF(_xlpm.pid="P015","Network Router",SUBSTITUTE(SUBSTITUTE(_xlpm.n,"Crm","CRM"),"Ups","UPS"))))</f>
        <v>Conference Camera</v>
      </c>
      <c r="AJ500" s="3" t="str">
        <f>UPPER(TRIM(tbl_FinancialData[[#This Row],[Cost Center]]))</f>
        <v>CC-1005</v>
      </c>
    </row>
    <row r="501" spans="1:36" x14ac:dyDescent="0.25">
      <c r="A501" s="3" t="s">
        <v>702</v>
      </c>
      <c r="B501" s="2">
        <v>45874</v>
      </c>
      <c r="C501" t="s">
        <v>117</v>
      </c>
      <c r="D501" s="3" t="str">
        <f t="shared" si="31"/>
        <v>Q2</v>
      </c>
      <c r="E501" s="3" t="str">
        <f t="shared" si="32"/>
        <v>FY2026</v>
      </c>
      <c r="F501" s="8" t="s">
        <v>34</v>
      </c>
      <c r="G501" s="3" t="s">
        <v>35</v>
      </c>
      <c r="H501" t="s">
        <v>36</v>
      </c>
      <c r="I501" t="s">
        <v>37</v>
      </c>
      <c r="J501" s="3" t="s">
        <v>70</v>
      </c>
      <c r="K501" t="s">
        <v>50</v>
      </c>
      <c r="L501" s="3" t="s">
        <v>72</v>
      </c>
      <c r="M501" s="3" t="s">
        <v>52</v>
      </c>
      <c r="N501" t="s">
        <v>53</v>
      </c>
      <c r="O501" t="s">
        <v>54</v>
      </c>
      <c r="P501" t="s">
        <v>55</v>
      </c>
      <c r="Q501" s="3">
        <v>4662.53</v>
      </c>
      <c r="R501" s="3">
        <v>4519.3999999999996</v>
      </c>
      <c r="S501" s="3">
        <v>2976.29</v>
      </c>
      <c r="T501" s="3">
        <v>284.22000000000003</v>
      </c>
      <c r="U501" s="3">
        <v>324.73</v>
      </c>
      <c r="V501" s="3">
        <v>527.16</v>
      </c>
      <c r="W501" s="3">
        <v>145.94</v>
      </c>
      <c r="X501" s="3">
        <v>4258.34</v>
      </c>
      <c r="Y501" s="3">
        <v>1686.23</v>
      </c>
      <c r="Z501" s="3">
        <f t="shared" si="33"/>
        <v>404.1899999999996</v>
      </c>
      <c r="AA501" s="37">
        <f t="shared" si="34"/>
        <v>8.6688986451561631E-2</v>
      </c>
      <c r="AB501" s="3">
        <v>143.13</v>
      </c>
      <c r="AC501" s="3">
        <v>233.13</v>
      </c>
      <c r="AD501" s="3">
        <v>797.29</v>
      </c>
      <c r="AE501" s="3">
        <v>5226.6899999999996</v>
      </c>
      <c r="AF501" t="str">
        <f>IF(tbl_FinancialData[[#This Row],[City]]="","Unknown",PROPER(TRIM(tbl_FinancialData[[#This Row],[City]])))</f>
        <v>Vasco Da Gama</v>
      </c>
      <c r="AG501" t="str">
        <f>_xlfn.LET(_xlpm.city,LOWER(TRIM(tbl_FinancialData[[#This Row],[City]])),_xlpm.st,PROPER(TRIM(tbl_FinancialData[[#This Row],[State]])),IF(_xlpm.city="pune","Maharashtra",IF(_xlpm.city="jamshedpur","Jharkhand",IF(_xlpm.city="bhilai","Chhattisgarh",IF(_xlpm.city="mumbai","Maharashtra",_xlpm.st)))))</f>
        <v>Goa</v>
      </c>
      <c r="AH501" t="str">
        <f>_xlfn.LET(_xlpm.d,PROPER(TRIM(tbl_FinancialData[[#This Row],[Department]])),IF(_xlpm.d="It","IT",_xlpm.d))</f>
        <v>Sales</v>
      </c>
      <c r="AI501" t="str">
        <f>_xlfn.LET(_xlpm.pid,tbl_FinancialData[[#This Row],[Product ID]],_xlpm.n,PROPER(TRIM(tbl_FinancialData[[#This Row],[Product Name]])),IF(_xlpm.pid="P020","Document Scanner",IF(_xlpm.pid="P015","Network Router",SUBSTITUTE(SUBSTITUTE(_xlpm.n,"Crm","CRM"),"Ups","UPS"))))</f>
        <v>Mouse</v>
      </c>
      <c r="AJ501" s="3" t="str">
        <f>UPPER(TRIM(tbl_FinancialData[[#This Row],[Cost Center]]))</f>
        <v>CC-1004</v>
      </c>
    </row>
    <row r="502" spans="1:36" x14ac:dyDescent="0.25">
      <c r="A502" s="3" t="s">
        <v>703</v>
      </c>
      <c r="B502" s="2">
        <v>46083</v>
      </c>
      <c r="C502" t="s">
        <v>125</v>
      </c>
      <c r="D502" s="3" t="str">
        <f t="shared" si="31"/>
        <v>Q4</v>
      </c>
      <c r="E502" s="3" t="str">
        <f t="shared" si="32"/>
        <v>FY2026</v>
      </c>
      <c r="F502" s="8" t="s">
        <v>47</v>
      </c>
      <c r="G502" s="3" t="s">
        <v>35</v>
      </c>
      <c r="H502" t="s">
        <v>206</v>
      </c>
      <c r="I502" t="s">
        <v>344</v>
      </c>
      <c r="J502" s="3" t="s">
        <v>100</v>
      </c>
      <c r="K502" t="s">
        <v>50</v>
      </c>
      <c r="L502" s="3" t="s">
        <v>40</v>
      </c>
      <c r="M502" s="3" t="s">
        <v>52</v>
      </c>
      <c r="N502" t="s">
        <v>53</v>
      </c>
      <c r="O502" t="s">
        <v>54</v>
      </c>
      <c r="P502" t="s">
        <v>55</v>
      </c>
      <c r="Q502" s="3">
        <v>5235.58</v>
      </c>
      <c r="R502" s="3">
        <v>4767.4399999999996</v>
      </c>
      <c r="S502" s="3">
        <v>3021.53</v>
      </c>
      <c r="T502" s="3">
        <v>287.93</v>
      </c>
      <c r="U502" s="3">
        <v>410.31</v>
      </c>
      <c r="V502" s="3">
        <v>248.1</v>
      </c>
      <c r="W502" s="3">
        <v>175.86</v>
      </c>
      <c r="X502" s="3">
        <v>4143.74</v>
      </c>
      <c r="Y502" s="3">
        <v>2214.0500000000002</v>
      </c>
      <c r="Z502" s="3">
        <f t="shared" si="33"/>
        <v>1091.8400000000001</v>
      </c>
      <c r="AA502" s="37">
        <f t="shared" si="34"/>
        <v>0.20854232004859063</v>
      </c>
      <c r="AB502" s="3">
        <v>468.14</v>
      </c>
      <c r="AC502" s="3">
        <v>0</v>
      </c>
      <c r="AD502" s="3">
        <v>942.4</v>
      </c>
      <c r="AE502" s="3">
        <v>6177.98</v>
      </c>
      <c r="AF502" t="str">
        <f>IF(tbl_FinancialData[[#This Row],[City]]="","Unknown",PROPER(TRIM(tbl_FinancialData[[#This Row],[City]])))</f>
        <v>Hyderabad</v>
      </c>
      <c r="AG502" t="str">
        <f>_xlfn.LET(_xlpm.city,LOWER(TRIM(tbl_FinancialData[[#This Row],[City]])),_xlpm.st,PROPER(TRIM(tbl_FinancialData[[#This Row],[State]])),IF(_xlpm.city="pune","Maharashtra",IF(_xlpm.city="jamshedpur","Jharkhand",IF(_xlpm.city="bhilai","Chhattisgarh",IF(_xlpm.city="mumbai","Maharashtra",_xlpm.st)))))</f>
        <v>Telangana</v>
      </c>
      <c r="AH502" t="str">
        <f>_xlfn.LET(_xlpm.d,PROPER(TRIM(tbl_FinancialData[[#This Row],[Department]])),IF(_xlpm.d="It","IT",_xlpm.d))</f>
        <v>Sales</v>
      </c>
      <c r="AI502" t="str">
        <f>_xlfn.LET(_xlpm.pid,tbl_FinancialData[[#This Row],[Product ID]],_xlpm.n,PROPER(TRIM(tbl_FinancialData[[#This Row],[Product Name]])),IF(_xlpm.pid="P020","Document Scanner",IF(_xlpm.pid="P015","Network Router",SUBSTITUTE(SUBSTITUTE(_xlpm.n,"Crm","CRM"),"Ups","UPS"))))</f>
        <v>Mouse</v>
      </c>
      <c r="AJ502" s="3" t="str">
        <f>UPPER(TRIM(tbl_FinancialData[[#This Row],[Cost Center]]))</f>
        <v>CC-1002</v>
      </c>
    </row>
    <row r="503" spans="1:36" x14ac:dyDescent="0.25">
      <c r="A503" s="3" t="s">
        <v>704</v>
      </c>
      <c r="B503" s="2">
        <v>45988</v>
      </c>
      <c r="C503" t="s">
        <v>147</v>
      </c>
      <c r="D503" s="3" t="str">
        <f t="shared" si="31"/>
        <v>Q3</v>
      </c>
      <c r="E503" s="3" t="str">
        <f t="shared" si="32"/>
        <v>FY2026</v>
      </c>
      <c r="F503" s="8" t="s">
        <v>34</v>
      </c>
      <c r="G503" s="3" t="s">
        <v>35</v>
      </c>
      <c r="H503" t="s">
        <v>36</v>
      </c>
      <c r="I503" t="s">
        <v>245</v>
      </c>
      <c r="J503" s="3" t="s">
        <v>38</v>
      </c>
      <c r="K503" t="s">
        <v>71</v>
      </c>
      <c r="L503" s="3" t="s">
        <v>40</v>
      </c>
      <c r="M503" s="3" t="s">
        <v>197</v>
      </c>
      <c r="N503" t="s">
        <v>198</v>
      </c>
      <c r="O503" t="s">
        <v>43</v>
      </c>
      <c r="P503" t="s">
        <v>163</v>
      </c>
      <c r="Q503" s="3">
        <v>48152.35</v>
      </c>
      <c r="R503" s="3">
        <v>55289.84</v>
      </c>
      <c r="S503" s="3">
        <v>28866.78</v>
      </c>
      <c r="T503" s="3">
        <v>5650.42</v>
      </c>
      <c r="U503" s="3">
        <v>3711.96</v>
      </c>
      <c r="V503" s="3">
        <v>3507.44</v>
      </c>
      <c r="W503" s="3">
        <v>869.29</v>
      </c>
      <c r="X503" s="3">
        <v>42605.89</v>
      </c>
      <c r="Y503" s="3">
        <v>19285.560000000001</v>
      </c>
      <c r="Z503" s="3">
        <f t="shared" si="33"/>
        <v>5546.4599999999991</v>
      </c>
      <c r="AA503" s="37">
        <f t="shared" si="34"/>
        <v>0.11518565552875404</v>
      </c>
      <c r="AB503" s="3">
        <v>-7137.5</v>
      </c>
      <c r="AC503" s="3">
        <v>1444.57</v>
      </c>
      <c r="AD503" s="3">
        <v>8407.4</v>
      </c>
      <c r="AE503" s="3">
        <v>55115.17</v>
      </c>
      <c r="AF503" t="str">
        <f>IF(tbl_FinancialData[[#This Row],[City]]="","Unknown",PROPER(TRIM(tbl_FinancialData[[#This Row],[City]])))</f>
        <v>Margao</v>
      </c>
      <c r="AG503" t="str">
        <f>_xlfn.LET(_xlpm.city,LOWER(TRIM(tbl_FinancialData[[#This Row],[City]])),_xlpm.st,PROPER(TRIM(tbl_FinancialData[[#This Row],[State]])),IF(_xlpm.city="pune","Maharashtra",IF(_xlpm.city="jamshedpur","Jharkhand",IF(_xlpm.city="bhilai","Chhattisgarh",IF(_xlpm.city="mumbai","Maharashtra",_xlpm.st)))))</f>
        <v>Goa</v>
      </c>
      <c r="AH503" t="str">
        <f>_xlfn.LET(_xlpm.d,PROPER(TRIM(tbl_FinancialData[[#This Row],[Department]])),IF(_xlpm.d="It","IT",_xlpm.d))</f>
        <v>Marketing</v>
      </c>
      <c r="AI503" t="str">
        <f>_xlfn.LET(_xlpm.pid,tbl_FinancialData[[#This Row],[Product ID]],_xlpm.n,PROPER(TRIM(tbl_FinancialData[[#This Row],[Product Name]])),IF(_xlpm.pid="P020","Document Scanner",IF(_xlpm.pid="P015","Network Router",SUBSTITUTE(SUBSTITUTE(_xlpm.n,"Crm","CRM"),"Ups","UPS"))))</f>
        <v>Smartphone</v>
      </c>
      <c r="AJ503" s="3" t="str">
        <f>UPPER(TRIM(tbl_FinancialData[[#This Row],[Cost Center]]))</f>
        <v>CC-1002</v>
      </c>
    </row>
    <row r="504" spans="1:36" x14ac:dyDescent="0.25">
      <c r="A504" s="3" t="s">
        <v>705</v>
      </c>
      <c r="B504" s="2">
        <v>45808</v>
      </c>
      <c r="C504" t="s">
        <v>65</v>
      </c>
      <c r="D504" s="3" t="str">
        <f t="shared" si="31"/>
        <v>Q1</v>
      </c>
      <c r="E504" s="3" t="str">
        <f t="shared" si="32"/>
        <v>FY2026</v>
      </c>
      <c r="F504" s="8" t="s">
        <v>34</v>
      </c>
      <c r="G504" s="3" t="s">
        <v>35</v>
      </c>
      <c r="H504" t="s">
        <v>36</v>
      </c>
      <c r="I504" t="s">
        <v>245</v>
      </c>
      <c r="J504" s="3" t="s">
        <v>70</v>
      </c>
      <c r="K504" t="s">
        <v>50</v>
      </c>
      <c r="L504" s="3" t="s">
        <v>40</v>
      </c>
      <c r="M504" s="3" t="s">
        <v>41</v>
      </c>
      <c r="N504" t="s">
        <v>42</v>
      </c>
      <c r="O504" t="s">
        <v>43</v>
      </c>
      <c r="P504" t="s">
        <v>44</v>
      </c>
      <c r="Q504" s="3">
        <v>24095.69</v>
      </c>
      <c r="R504" s="3">
        <v>26946.58</v>
      </c>
      <c r="S504" s="3">
        <v>12138.26</v>
      </c>
      <c r="T504" s="3">
        <v>1727.91</v>
      </c>
      <c r="U504" s="3">
        <v>1941.68</v>
      </c>
      <c r="V504" s="3">
        <v>1631.7</v>
      </c>
      <c r="W504" s="3">
        <v>1061.57</v>
      </c>
      <c r="X504" s="3">
        <v>18501.13</v>
      </c>
      <c r="Y504" s="3">
        <v>11957.43</v>
      </c>
      <c r="Z504" s="3">
        <f t="shared" si="33"/>
        <v>5594.5599999999977</v>
      </c>
      <c r="AA504" s="37">
        <f t="shared" si="34"/>
        <v>0.23218094190288793</v>
      </c>
      <c r="AB504" s="3">
        <v>-2850.89</v>
      </c>
      <c r="AC504" s="3">
        <v>2409.5700000000002</v>
      </c>
      <c r="AD504" s="3">
        <v>2602.33</v>
      </c>
      <c r="AE504" s="3">
        <v>24288.45</v>
      </c>
      <c r="AF504" t="str">
        <f>IF(tbl_FinancialData[[#This Row],[City]]="","Unknown",PROPER(TRIM(tbl_FinancialData[[#This Row],[City]])))</f>
        <v>Margao</v>
      </c>
      <c r="AG504" t="str">
        <f>_xlfn.LET(_xlpm.city,LOWER(TRIM(tbl_FinancialData[[#This Row],[City]])),_xlpm.st,PROPER(TRIM(tbl_FinancialData[[#This Row],[State]])),IF(_xlpm.city="pune","Maharashtra",IF(_xlpm.city="jamshedpur","Jharkhand",IF(_xlpm.city="bhilai","Chhattisgarh",IF(_xlpm.city="mumbai","Maharashtra",_xlpm.st)))))</f>
        <v>Goa</v>
      </c>
      <c r="AH504" t="str">
        <f>_xlfn.LET(_xlpm.d,PROPER(TRIM(tbl_FinancialData[[#This Row],[Department]])),IF(_xlpm.d="It","IT",_xlpm.d))</f>
        <v>Sales</v>
      </c>
      <c r="AI504" t="str">
        <f>_xlfn.LET(_xlpm.pid,tbl_FinancialData[[#This Row],[Product ID]],_xlpm.n,PROPER(TRIM(tbl_FinancialData[[#This Row],[Product Name]])),IF(_xlpm.pid="P020","Document Scanner",IF(_xlpm.pid="P015","Network Router",SUBSTITUTE(SUBSTITUTE(_xlpm.n,"Crm","CRM"),"Ups","UPS"))))</f>
        <v>Conference Camera</v>
      </c>
      <c r="AJ504" s="3" t="str">
        <f>UPPER(TRIM(tbl_FinancialData[[#This Row],[Cost Center]]))</f>
        <v>CC-1002</v>
      </c>
    </row>
    <row r="505" spans="1:36" x14ac:dyDescent="0.25">
      <c r="A505" s="3" t="s">
        <v>706</v>
      </c>
      <c r="B505" s="2">
        <v>45861</v>
      </c>
      <c r="C505" t="s">
        <v>32</v>
      </c>
      <c r="D505" s="3" t="str">
        <f t="shared" si="31"/>
        <v>Q2</v>
      </c>
      <c r="E505" s="3" t="str">
        <f t="shared" si="32"/>
        <v>FY2026</v>
      </c>
      <c r="F505" s="8" t="s">
        <v>85</v>
      </c>
      <c r="G505" s="3" t="s">
        <v>35</v>
      </c>
      <c r="H505" t="s">
        <v>60</v>
      </c>
      <c r="I505" t="s">
        <v>61</v>
      </c>
      <c r="J505" s="3" t="s">
        <v>100</v>
      </c>
      <c r="K505" t="s">
        <v>71</v>
      </c>
      <c r="L505" s="3" t="s">
        <v>51</v>
      </c>
      <c r="M505" s="3" t="s">
        <v>82</v>
      </c>
      <c r="N505" t="s">
        <v>83</v>
      </c>
      <c r="O505" t="s">
        <v>43</v>
      </c>
      <c r="P505" t="s">
        <v>75</v>
      </c>
      <c r="Q505" s="3">
        <v>49074.35</v>
      </c>
      <c r="R505" s="3">
        <v>45059.75</v>
      </c>
      <c r="S505" s="3">
        <v>25624.73</v>
      </c>
      <c r="T505" s="3">
        <v>6223.67</v>
      </c>
      <c r="U505" s="3">
        <v>3437.95</v>
      </c>
      <c r="V505" s="3">
        <v>5109.12</v>
      </c>
      <c r="W505" s="3">
        <v>1173.72</v>
      </c>
      <c r="X505" s="3">
        <v>41569.199999999997</v>
      </c>
      <c r="Y505" s="3">
        <v>23449.62</v>
      </c>
      <c r="Z505" s="3">
        <f t="shared" si="33"/>
        <v>7505.1500000000015</v>
      </c>
      <c r="AA505" s="37">
        <f t="shared" si="34"/>
        <v>0.15293427218088476</v>
      </c>
      <c r="AB505" s="3">
        <v>4014.6</v>
      </c>
      <c r="AC505" s="3">
        <v>1472.23</v>
      </c>
      <c r="AD505" s="3">
        <v>2380.11</v>
      </c>
      <c r="AE505" s="3">
        <v>49982.23</v>
      </c>
      <c r="AF505" t="str">
        <f>IF(tbl_FinancialData[[#This Row],[City]]="","Unknown",PROPER(TRIM(tbl_FinancialData[[#This Row],[City]])))</f>
        <v>Lucknow</v>
      </c>
      <c r="AG505" t="str">
        <f>_xlfn.LET(_xlpm.city,LOWER(TRIM(tbl_FinancialData[[#This Row],[City]])),_xlpm.st,PROPER(TRIM(tbl_FinancialData[[#This Row],[State]])),IF(_xlpm.city="pune","Maharashtra",IF(_xlpm.city="jamshedpur","Jharkhand",IF(_xlpm.city="bhilai","Chhattisgarh",IF(_xlpm.city="mumbai","Maharashtra",_xlpm.st)))))</f>
        <v>Uttar Pradesh</v>
      </c>
      <c r="AH505" t="str">
        <f>_xlfn.LET(_xlpm.d,PROPER(TRIM(tbl_FinancialData[[#This Row],[Department]])),IF(_xlpm.d="It","IT",_xlpm.d))</f>
        <v>Marketing</v>
      </c>
      <c r="AI505" t="str">
        <f>_xlfn.LET(_xlpm.pid,tbl_FinancialData[[#This Row],[Product ID]],_xlpm.n,PROPER(TRIM(tbl_FinancialData[[#This Row],[Product Name]])),IF(_xlpm.pid="P020","Document Scanner",IF(_xlpm.pid="P015","Network Router",SUBSTITUTE(SUBSTITUTE(_xlpm.n,"Crm","CRM"),"Ups","UPS"))))</f>
        <v>Business Laptop</v>
      </c>
      <c r="AJ505" s="3" t="str">
        <f>UPPER(TRIM(tbl_FinancialData[[#This Row],[Cost Center]]))</f>
        <v>CC-1003</v>
      </c>
    </row>
    <row r="506" spans="1:36" x14ac:dyDescent="0.25">
      <c r="A506" s="3" t="s">
        <v>707</v>
      </c>
      <c r="B506" s="2">
        <v>45833</v>
      </c>
      <c r="C506" t="s">
        <v>156</v>
      </c>
      <c r="D506" s="3" t="str">
        <f t="shared" si="31"/>
        <v>Q1</v>
      </c>
      <c r="E506" s="3" t="str">
        <f t="shared" si="32"/>
        <v>FY2026</v>
      </c>
      <c r="F506" s="8" t="s">
        <v>67</v>
      </c>
      <c r="G506" s="3" t="s">
        <v>35</v>
      </c>
      <c r="H506" t="s">
        <v>217</v>
      </c>
      <c r="I506" t="s">
        <v>218</v>
      </c>
      <c r="J506" s="3" t="s">
        <v>70</v>
      </c>
      <c r="K506" t="s">
        <v>50</v>
      </c>
      <c r="L506" s="3" t="s">
        <v>81</v>
      </c>
      <c r="M506" s="3" t="s">
        <v>62</v>
      </c>
      <c r="N506" t="s">
        <v>63</v>
      </c>
      <c r="O506" t="s">
        <v>54</v>
      </c>
      <c r="P506" t="s">
        <v>55</v>
      </c>
      <c r="Q506" s="3">
        <v>1140</v>
      </c>
      <c r="R506" s="3">
        <v>1283.73</v>
      </c>
      <c r="S506" s="3">
        <v>604.47</v>
      </c>
      <c r="T506" s="3">
        <v>78.97</v>
      </c>
      <c r="U506" s="3">
        <v>38.130000000000003</v>
      </c>
      <c r="V506" s="3">
        <v>110.85</v>
      </c>
      <c r="W506" s="3">
        <v>14.16</v>
      </c>
      <c r="X506" s="3">
        <v>846.57</v>
      </c>
      <c r="Y506" s="3">
        <v>535.53</v>
      </c>
      <c r="Z506" s="3">
        <f t="shared" si="33"/>
        <v>293.42999999999995</v>
      </c>
      <c r="AA506" s="37">
        <f t="shared" si="34"/>
        <v>0.25739473684210523</v>
      </c>
      <c r="AB506" s="3">
        <v>-143.72999999999999</v>
      </c>
      <c r="AC506" s="3">
        <v>34.200000000000003</v>
      </c>
      <c r="AD506" s="3">
        <v>132.69999999999999</v>
      </c>
      <c r="AE506" s="3">
        <v>1238.49</v>
      </c>
      <c r="AF506" t="str">
        <f>IF(tbl_FinancialData[[#This Row],[City]]="","Unknown",PROPER(TRIM(tbl_FinancialData[[#This Row],[City]])))</f>
        <v>Gaya</v>
      </c>
      <c r="AG506" t="str">
        <f>_xlfn.LET(_xlpm.city,LOWER(TRIM(tbl_FinancialData[[#This Row],[City]])),_xlpm.st,PROPER(TRIM(tbl_FinancialData[[#This Row],[State]])),IF(_xlpm.city="pune","Maharashtra",IF(_xlpm.city="jamshedpur","Jharkhand",IF(_xlpm.city="bhilai","Chhattisgarh",IF(_xlpm.city="mumbai","Maharashtra",_xlpm.st)))))</f>
        <v>Bihar</v>
      </c>
      <c r="AH506" t="str">
        <f>_xlfn.LET(_xlpm.d,PROPER(TRIM(tbl_FinancialData[[#This Row],[Department]])),IF(_xlpm.d="It","IT",_xlpm.d))</f>
        <v>Sales</v>
      </c>
      <c r="AI506" t="str">
        <f>_xlfn.LET(_xlpm.pid,tbl_FinancialData[[#This Row],[Product ID]],_xlpm.n,PROPER(TRIM(tbl_FinancialData[[#This Row],[Product Name]])),IF(_xlpm.pid="P020","Document Scanner",IF(_xlpm.pid="P015","Network Router",SUBSTITUTE(SUBSTITUTE(_xlpm.n,"Crm","CRM"),"Ups","UPS"))))</f>
        <v>Keyboard</v>
      </c>
      <c r="AJ506" s="3" t="str">
        <f>UPPER(TRIM(tbl_FinancialData[[#This Row],[Cost Center]]))</f>
        <v>CC-1005</v>
      </c>
    </row>
    <row r="507" spans="1:36" x14ac:dyDescent="0.25">
      <c r="A507" s="3" t="s">
        <v>708</v>
      </c>
      <c r="B507" s="2">
        <v>45933</v>
      </c>
      <c r="C507" t="s">
        <v>92</v>
      </c>
      <c r="D507" s="3" t="str">
        <f t="shared" si="31"/>
        <v>Q3</v>
      </c>
      <c r="E507" s="3" t="str">
        <f t="shared" si="32"/>
        <v>FY2026</v>
      </c>
      <c r="F507" s="8" t="s">
        <v>34</v>
      </c>
      <c r="G507" s="3" t="s">
        <v>35</v>
      </c>
      <c r="H507" t="s">
        <v>36</v>
      </c>
      <c r="I507" t="s">
        <v>245</v>
      </c>
      <c r="J507" s="3" t="s">
        <v>70</v>
      </c>
      <c r="K507" t="s">
        <v>160</v>
      </c>
      <c r="L507" s="3" t="s">
        <v>94</v>
      </c>
      <c r="M507" s="3" t="s">
        <v>130</v>
      </c>
      <c r="N507" t="s">
        <v>131</v>
      </c>
      <c r="O507" t="s">
        <v>43</v>
      </c>
      <c r="P507" t="s">
        <v>132</v>
      </c>
      <c r="Q507" s="3">
        <v>65094.64</v>
      </c>
      <c r="R507" s="3">
        <v>74721.440000000002</v>
      </c>
      <c r="S507" s="3">
        <v>38243.519999999997</v>
      </c>
      <c r="T507" s="3">
        <v>6017.21</v>
      </c>
      <c r="U507" s="3">
        <v>3386.57</v>
      </c>
      <c r="V507" s="3">
        <v>7032.18</v>
      </c>
      <c r="W507" s="3">
        <v>1174.28</v>
      </c>
      <c r="X507" s="3">
        <v>55853.760000000002</v>
      </c>
      <c r="Y507" s="3">
        <v>26851.119999999999</v>
      </c>
      <c r="Z507" s="3">
        <f t="shared" si="33"/>
        <v>9240.8799999999974</v>
      </c>
      <c r="AA507" s="37">
        <f t="shared" si="34"/>
        <v>0.14196068985096158</v>
      </c>
      <c r="AB507" s="3">
        <v>-9626.81</v>
      </c>
      <c r="AC507" s="3">
        <v>1301.8900000000001</v>
      </c>
      <c r="AD507" s="3">
        <v>7655.13</v>
      </c>
      <c r="AE507" s="3">
        <v>71447.87</v>
      </c>
      <c r="AF507" t="str">
        <f>IF(tbl_FinancialData[[#This Row],[City]]="","Unknown",PROPER(TRIM(tbl_FinancialData[[#This Row],[City]])))</f>
        <v>Margao</v>
      </c>
      <c r="AG507" t="str">
        <f>_xlfn.LET(_xlpm.city,LOWER(TRIM(tbl_FinancialData[[#This Row],[City]])),_xlpm.st,PROPER(TRIM(tbl_FinancialData[[#This Row],[State]])),IF(_xlpm.city="pune","Maharashtra",IF(_xlpm.city="jamshedpur","Jharkhand",IF(_xlpm.city="bhilai","Chhattisgarh",IF(_xlpm.city="mumbai","Maharashtra",_xlpm.st)))))</f>
        <v>Goa</v>
      </c>
      <c r="AH507" t="str">
        <f>_xlfn.LET(_xlpm.d,PROPER(TRIM(tbl_FinancialData[[#This Row],[Department]])),IF(_xlpm.d="It","IT",_xlpm.d))</f>
        <v>IT</v>
      </c>
      <c r="AI507" t="str">
        <f>_xlfn.LET(_xlpm.pid,tbl_FinancialData[[#This Row],[Product ID]],_xlpm.n,PROPER(TRIM(tbl_FinancialData[[#This Row],[Product Name]])),IF(_xlpm.pid="P020","Document Scanner",IF(_xlpm.pid="P015","Network Router",SUBSTITUTE(SUBSTITUTE(_xlpm.n,"Crm","CRM"),"Ups","UPS"))))</f>
        <v>UPS System</v>
      </c>
      <c r="AJ507" s="3" t="str">
        <f>UPPER(TRIM(tbl_FinancialData[[#This Row],[Cost Center]]))</f>
        <v>CC-1001</v>
      </c>
    </row>
    <row r="508" spans="1:36" x14ac:dyDescent="0.25">
      <c r="A508" s="3" t="s">
        <v>709</v>
      </c>
      <c r="B508" s="2">
        <v>46001</v>
      </c>
      <c r="C508" t="s">
        <v>107</v>
      </c>
      <c r="D508" s="3" t="str">
        <f t="shared" si="31"/>
        <v>Q3</v>
      </c>
      <c r="E508" s="3" t="str">
        <f t="shared" si="32"/>
        <v>FY2026</v>
      </c>
      <c r="F508" s="8" t="s">
        <v>67</v>
      </c>
      <c r="G508" s="3" t="s">
        <v>35</v>
      </c>
      <c r="H508" t="s">
        <v>68</v>
      </c>
      <c r="I508" t="s">
        <v>260</v>
      </c>
      <c r="J508" s="3" t="s">
        <v>38</v>
      </c>
      <c r="K508" t="s">
        <v>160</v>
      </c>
      <c r="L508" s="3" t="s">
        <v>72</v>
      </c>
      <c r="M508" s="3" t="s">
        <v>52</v>
      </c>
      <c r="N508" t="s">
        <v>53</v>
      </c>
      <c r="O508" t="s">
        <v>54</v>
      </c>
      <c r="P508" t="s">
        <v>55</v>
      </c>
      <c r="Q508" s="3">
        <v>2729.09</v>
      </c>
      <c r="R508" s="3">
        <v>2880.35</v>
      </c>
      <c r="S508" s="3">
        <v>1844.57</v>
      </c>
      <c r="T508" s="3">
        <v>352.22</v>
      </c>
      <c r="U508" s="3">
        <v>137.21</v>
      </c>
      <c r="V508" s="3">
        <v>119.52</v>
      </c>
      <c r="W508" s="3">
        <v>103.82</v>
      </c>
      <c r="X508" s="3">
        <v>2557.33</v>
      </c>
      <c r="Y508" s="3">
        <v>884.51</v>
      </c>
      <c r="Z508" s="3">
        <f t="shared" si="33"/>
        <v>171.76000000000022</v>
      </c>
      <c r="AA508" s="37">
        <f t="shared" si="34"/>
        <v>6.2936729825692886E-2</v>
      </c>
      <c r="AB508" s="3">
        <v>-151.27000000000001</v>
      </c>
      <c r="AC508" s="3">
        <v>136.44999999999999</v>
      </c>
      <c r="AD508" s="3">
        <v>129.63</v>
      </c>
      <c r="AE508" s="3">
        <v>2722.26</v>
      </c>
      <c r="AF508" t="str">
        <f>IF(tbl_FinancialData[[#This Row],[City]]="","Unknown",PROPER(TRIM(tbl_FinancialData[[#This Row],[City]])))</f>
        <v>Rourkela</v>
      </c>
      <c r="AG508" t="str">
        <f>_xlfn.LET(_xlpm.city,LOWER(TRIM(tbl_FinancialData[[#This Row],[City]])),_xlpm.st,PROPER(TRIM(tbl_FinancialData[[#This Row],[State]])),IF(_xlpm.city="pune","Maharashtra",IF(_xlpm.city="jamshedpur","Jharkhand",IF(_xlpm.city="bhilai","Chhattisgarh",IF(_xlpm.city="mumbai","Maharashtra",_xlpm.st)))))</f>
        <v>Odisha</v>
      </c>
      <c r="AH508" t="str">
        <f>_xlfn.LET(_xlpm.d,PROPER(TRIM(tbl_FinancialData[[#This Row],[Department]])),IF(_xlpm.d="It","IT",_xlpm.d))</f>
        <v>IT</v>
      </c>
      <c r="AI508" t="str">
        <f>_xlfn.LET(_xlpm.pid,tbl_FinancialData[[#This Row],[Product ID]],_xlpm.n,PROPER(TRIM(tbl_FinancialData[[#This Row],[Product Name]])),IF(_xlpm.pid="P020","Document Scanner",IF(_xlpm.pid="P015","Network Router",SUBSTITUTE(SUBSTITUTE(_xlpm.n,"Crm","CRM"),"Ups","UPS"))))</f>
        <v>Mouse</v>
      </c>
      <c r="AJ508" s="3" t="str">
        <f>UPPER(TRIM(tbl_FinancialData[[#This Row],[Cost Center]]))</f>
        <v>CC-1004</v>
      </c>
    </row>
    <row r="509" spans="1:36" x14ac:dyDescent="0.25">
      <c r="A509" s="3" t="s">
        <v>710</v>
      </c>
      <c r="B509" s="2">
        <v>45975</v>
      </c>
      <c r="C509" t="s">
        <v>147</v>
      </c>
      <c r="D509" s="3" t="str">
        <f t="shared" si="31"/>
        <v>Q3</v>
      </c>
      <c r="E509" s="3" t="str">
        <f t="shared" si="32"/>
        <v>FY2026</v>
      </c>
      <c r="F509" s="8" t="s">
        <v>34</v>
      </c>
      <c r="G509" s="3" t="s">
        <v>35</v>
      </c>
      <c r="H509" t="s">
        <v>98</v>
      </c>
      <c r="I509" t="s">
        <v>304</v>
      </c>
      <c r="J509" s="3" t="s">
        <v>100</v>
      </c>
      <c r="K509" t="s">
        <v>50</v>
      </c>
      <c r="L509" s="3" t="s">
        <v>51</v>
      </c>
      <c r="M509" s="3" t="s">
        <v>52</v>
      </c>
      <c r="N509" t="s">
        <v>53</v>
      </c>
      <c r="O509" t="s">
        <v>54</v>
      </c>
      <c r="P509" t="s">
        <v>55</v>
      </c>
      <c r="Q509" s="3">
        <v>6341.99</v>
      </c>
      <c r="R509" s="3">
        <v>6114.56</v>
      </c>
      <c r="S509" s="3">
        <v>4156.95</v>
      </c>
      <c r="T509" s="3">
        <v>439.97</v>
      </c>
      <c r="U509" s="3">
        <v>229.33</v>
      </c>
      <c r="V509" s="3">
        <v>522.5</v>
      </c>
      <c r="W509" s="3">
        <v>127.79</v>
      </c>
      <c r="X509" s="3">
        <v>5476.54</v>
      </c>
      <c r="Y509" s="3">
        <v>2185.04</v>
      </c>
      <c r="Z509" s="3">
        <f t="shared" si="33"/>
        <v>865.44999999999982</v>
      </c>
      <c r="AA509" s="37">
        <f t="shared" si="34"/>
        <v>0.1364634759752065</v>
      </c>
      <c r="AB509" s="3">
        <v>227.43</v>
      </c>
      <c r="AC509" s="3">
        <v>317.10000000000002</v>
      </c>
      <c r="AD509" s="3">
        <v>301.24</v>
      </c>
      <c r="AE509" s="3">
        <v>6326.14</v>
      </c>
      <c r="AF509" t="str">
        <f>IF(tbl_FinancialData[[#This Row],[City]]="","Unknown",PROPER(TRIM(tbl_FinancialData[[#This Row],[City]])))</f>
        <v>Pune</v>
      </c>
      <c r="AG509" t="str">
        <f>_xlfn.LET(_xlpm.city,LOWER(TRIM(tbl_FinancialData[[#This Row],[City]])),_xlpm.st,PROPER(TRIM(tbl_FinancialData[[#This Row],[State]])),IF(_xlpm.city="pune","Maharashtra",IF(_xlpm.city="jamshedpur","Jharkhand",IF(_xlpm.city="bhilai","Chhattisgarh",IF(_xlpm.city="mumbai","Maharashtra",_xlpm.st)))))</f>
        <v>Maharashtra</v>
      </c>
      <c r="AH509" t="str">
        <f>_xlfn.LET(_xlpm.d,PROPER(TRIM(tbl_FinancialData[[#This Row],[Department]])),IF(_xlpm.d="It","IT",_xlpm.d))</f>
        <v>Sales</v>
      </c>
      <c r="AI509" t="str">
        <f>_xlfn.LET(_xlpm.pid,tbl_FinancialData[[#This Row],[Product ID]],_xlpm.n,PROPER(TRIM(tbl_FinancialData[[#This Row],[Product Name]])),IF(_xlpm.pid="P020","Document Scanner",IF(_xlpm.pid="P015","Network Router",SUBSTITUTE(SUBSTITUTE(_xlpm.n,"Crm","CRM"),"Ups","UPS"))))</f>
        <v>Mouse</v>
      </c>
      <c r="AJ509" s="3" t="str">
        <f>UPPER(TRIM(tbl_FinancialData[[#This Row],[Cost Center]]))</f>
        <v>CC-1003</v>
      </c>
    </row>
    <row r="510" spans="1:36" x14ac:dyDescent="0.25">
      <c r="A510" s="3" t="s">
        <v>711</v>
      </c>
      <c r="B510" s="2">
        <v>45852</v>
      </c>
      <c r="C510" t="s">
        <v>32</v>
      </c>
      <c r="D510" s="3" t="str">
        <f t="shared" si="31"/>
        <v>Q2</v>
      </c>
      <c r="E510" s="3" t="str">
        <f t="shared" si="32"/>
        <v>FY2026</v>
      </c>
      <c r="F510" s="8" t="s">
        <v>59</v>
      </c>
      <c r="G510" s="3" t="s">
        <v>35</v>
      </c>
      <c r="H510" t="s">
        <v>139</v>
      </c>
      <c r="I510" t="s">
        <v>140</v>
      </c>
      <c r="J510" s="3" t="s">
        <v>80</v>
      </c>
      <c r="K510" t="s">
        <v>50</v>
      </c>
      <c r="L510" s="3" t="s">
        <v>94</v>
      </c>
      <c r="M510" s="3" t="s">
        <v>211</v>
      </c>
      <c r="N510" t="s">
        <v>212</v>
      </c>
      <c r="O510" t="s">
        <v>112</v>
      </c>
      <c r="P510" t="s">
        <v>113</v>
      </c>
      <c r="Q510" s="3">
        <v>15990.95</v>
      </c>
      <c r="R510" s="3">
        <v>16991.53</v>
      </c>
      <c r="S510" s="3">
        <v>11401.82</v>
      </c>
      <c r="T510" s="3">
        <v>1277.49</v>
      </c>
      <c r="U510" s="3">
        <v>1108.0899999999999</v>
      </c>
      <c r="V510" s="3">
        <v>720.92</v>
      </c>
      <c r="W510" s="3">
        <v>381.68</v>
      </c>
      <c r="X510" s="3">
        <v>14890.01</v>
      </c>
      <c r="Y510" s="3">
        <v>4589.13</v>
      </c>
      <c r="Z510" s="3">
        <f t="shared" si="33"/>
        <v>1100.9400000000005</v>
      </c>
      <c r="AA510" s="37">
        <f t="shared" si="34"/>
        <v>6.8847691975773825E-2</v>
      </c>
      <c r="AB510" s="3">
        <v>-1000.58</v>
      </c>
      <c r="AC510" s="3">
        <v>1599.1</v>
      </c>
      <c r="AD510" s="3">
        <v>1727.02</v>
      </c>
      <c r="AE510" s="3">
        <v>16118.88</v>
      </c>
      <c r="AF510" t="str">
        <f>IF(tbl_FinancialData[[#This Row],[City]]="","Unknown",PROPER(TRIM(tbl_FinancialData[[#This Row],[City]])))</f>
        <v>Faridabad</v>
      </c>
      <c r="AG510" t="str">
        <f>_xlfn.LET(_xlpm.city,LOWER(TRIM(tbl_FinancialData[[#This Row],[City]])),_xlpm.st,PROPER(TRIM(tbl_FinancialData[[#This Row],[State]])),IF(_xlpm.city="pune","Maharashtra",IF(_xlpm.city="jamshedpur","Jharkhand",IF(_xlpm.city="bhilai","Chhattisgarh",IF(_xlpm.city="mumbai","Maharashtra",_xlpm.st)))))</f>
        <v>Haryana</v>
      </c>
      <c r="AH510" t="str">
        <f>_xlfn.LET(_xlpm.d,PROPER(TRIM(tbl_FinancialData[[#This Row],[Department]])),IF(_xlpm.d="It","IT",_xlpm.d))</f>
        <v>Sales</v>
      </c>
      <c r="AI510" t="str">
        <f>_xlfn.LET(_xlpm.pid,tbl_FinancialData[[#This Row],[Product ID]],_xlpm.n,PROPER(TRIM(tbl_FinancialData[[#This Row],[Product Name]])),IF(_xlpm.pid="P020","Document Scanner",IF(_xlpm.pid="P015","Network Router",SUBSTITUTE(SUBSTITUTE(_xlpm.n,"Crm","CRM"),"Ups","UPS"))))</f>
        <v>Office Chair</v>
      </c>
      <c r="AJ510" s="3" t="str">
        <f>UPPER(TRIM(tbl_FinancialData[[#This Row],[Cost Center]]))</f>
        <v>CC-1001</v>
      </c>
    </row>
    <row r="511" spans="1:36" x14ac:dyDescent="0.25">
      <c r="A511" s="3" t="s">
        <v>712</v>
      </c>
      <c r="B511" s="2">
        <v>45885</v>
      </c>
      <c r="C511" t="s">
        <v>117</v>
      </c>
      <c r="D511" s="3" t="str">
        <f t="shared" si="31"/>
        <v>Q2</v>
      </c>
      <c r="E511" s="3" t="str">
        <f t="shared" si="32"/>
        <v>FY2026</v>
      </c>
      <c r="F511" s="8" t="s">
        <v>85</v>
      </c>
      <c r="G511" s="3" t="s">
        <v>35</v>
      </c>
      <c r="H511" t="s">
        <v>86</v>
      </c>
      <c r="I511" t="s">
        <v>87</v>
      </c>
      <c r="J511" s="3" t="s">
        <v>80</v>
      </c>
      <c r="K511" t="s">
        <v>39</v>
      </c>
      <c r="L511" s="3" t="s">
        <v>94</v>
      </c>
      <c r="M511" s="3" t="s">
        <v>110</v>
      </c>
      <c r="N511" t="s">
        <v>111</v>
      </c>
      <c r="O511" t="s">
        <v>112</v>
      </c>
      <c r="P511" t="s">
        <v>113</v>
      </c>
      <c r="Q511" s="3">
        <v>7913.24</v>
      </c>
      <c r="R511" s="3">
        <v>9150.24</v>
      </c>
      <c r="S511" s="3">
        <v>4407.87</v>
      </c>
      <c r="T511" s="3">
        <v>555.35</v>
      </c>
      <c r="U511" s="3">
        <v>472.61</v>
      </c>
      <c r="V511" s="3">
        <v>838.04</v>
      </c>
      <c r="W511" s="3">
        <v>107.7</v>
      </c>
      <c r="X511" s="3">
        <v>6381.58</v>
      </c>
      <c r="Y511" s="3">
        <v>3505.37</v>
      </c>
      <c r="Z511" s="3">
        <f t="shared" si="33"/>
        <v>1531.6599999999999</v>
      </c>
      <c r="AA511" s="37">
        <f t="shared" si="34"/>
        <v>0.19355662156082715</v>
      </c>
      <c r="AB511" s="3">
        <v>-1237</v>
      </c>
      <c r="AC511" s="3">
        <v>791.32</v>
      </c>
      <c r="AD511" s="3">
        <v>1281.94</v>
      </c>
      <c r="AE511" s="3">
        <v>8403.86</v>
      </c>
      <c r="AF511" t="str">
        <f>IF(tbl_FinancialData[[#This Row],[City]]="","Unknown",PROPER(TRIM(tbl_FinancialData[[#This Row],[City]])))</f>
        <v>Indore</v>
      </c>
      <c r="AG511" t="str">
        <f>_xlfn.LET(_xlpm.city,LOWER(TRIM(tbl_FinancialData[[#This Row],[City]])),_xlpm.st,PROPER(TRIM(tbl_FinancialData[[#This Row],[State]])),IF(_xlpm.city="pune","Maharashtra",IF(_xlpm.city="jamshedpur","Jharkhand",IF(_xlpm.city="bhilai","Chhattisgarh",IF(_xlpm.city="mumbai","Maharashtra",_xlpm.st)))))</f>
        <v>Madhya Pradesh</v>
      </c>
      <c r="AH511" t="str">
        <f>_xlfn.LET(_xlpm.d,PROPER(TRIM(tbl_FinancialData[[#This Row],[Department]])),IF(_xlpm.d="It","IT",_xlpm.d))</f>
        <v>Operations</v>
      </c>
      <c r="AI511" t="str">
        <f>_xlfn.LET(_xlpm.pid,tbl_FinancialData[[#This Row],[Product ID]],_xlpm.n,PROPER(TRIM(tbl_FinancialData[[#This Row],[Product Name]])),IF(_xlpm.pid="P020","Document Scanner",IF(_xlpm.pid="P015","Network Router",SUBSTITUTE(SUBSTITUTE(_xlpm.n,"Crm","CRM"),"Ups","UPS"))))</f>
        <v>Office Desk</v>
      </c>
      <c r="AJ511" s="3" t="str">
        <f>UPPER(TRIM(tbl_FinancialData[[#This Row],[Cost Center]]))</f>
        <v>CC-1001</v>
      </c>
    </row>
    <row r="512" spans="1:36" x14ac:dyDescent="0.25">
      <c r="A512" s="3" t="s">
        <v>713</v>
      </c>
      <c r="B512" s="2">
        <v>45927</v>
      </c>
      <c r="C512" t="s">
        <v>46</v>
      </c>
      <c r="D512" s="3" t="str">
        <f t="shared" si="31"/>
        <v>Q2</v>
      </c>
      <c r="E512" s="3" t="str">
        <f t="shared" si="32"/>
        <v>FY2026</v>
      </c>
      <c r="F512" s="8" t="s">
        <v>67</v>
      </c>
      <c r="G512" s="3" t="s">
        <v>35</v>
      </c>
      <c r="H512" t="s">
        <v>68</v>
      </c>
      <c r="I512" t="s">
        <v>204</v>
      </c>
      <c r="J512" s="3" t="s">
        <v>70</v>
      </c>
      <c r="K512" t="s">
        <v>39</v>
      </c>
      <c r="L512" s="3" t="s">
        <v>51</v>
      </c>
      <c r="M512" s="3" t="s">
        <v>41</v>
      </c>
      <c r="N512" t="s">
        <v>42</v>
      </c>
      <c r="O512" t="s">
        <v>43</v>
      </c>
      <c r="P512" t="s">
        <v>44</v>
      </c>
      <c r="Q512" s="3">
        <v>24009.79</v>
      </c>
      <c r="R512" s="3">
        <v>24592.81</v>
      </c>
      <c r="S512" s="3">
        <v>13693.14</v>
      </c>
      <c r="T512" s="3">
        <v>1898.1</v>
      </c>
      <c r="U512" s="3">
        <v>681.82</v>
      </c>
      <c r="V512" s="3">
        <v>2277.16</v>
      </c>
      <c r="W512" s="3">
        <v>606.66999999999996</v>
      </c>
      <c r="X512" s="3">
        <v>19156.88</v>
      </c>
      <c r="Y512" s="3">
        <v>10316.65</v>
      </c>
      <c r="Z512" s="3">
        <f t="shared" si="33"/>
        <v>4852.91</v>
      </c>
      <c r="AA512" s="37">
        <f t="shared" si="34"/>
        <v>0.20212213434603132</v>
      </c>
      <c r="AB512" s="3">
        <v>-583.02</v>
      </c>
      <c r="AC512" s="3">
        <v>480.2</v>
      </c>
      <c r="AD512" s="3">
        <v>4235.33</v>
      </c>
      <c r="AE512" s="3">
        <v>27764.92</v>
      </c>
      <c r="AF512" t="str">
        <f>IF(tbl_FinancialData[[#This Row],[City]]="","Unknown",PROPER(TRIM(tbl_FinancialData[[#This Row],[City]])))</f>
        <v>Cuttack</v>
      </c>
      <c r="AG512" t="str">
        <f>_xlfn.LET(_xlpm.city,LOWER(TRIM(tbl_FinancialData[[#This Row],[City]])),_xlpm.st,PROPER(TRIM(tbl_FinancialData[[#This Row],[State]])),IF(_xlpm.city="pune","Maharashtra",IF(_xlpm.city="jamshedpur","Jharkhand",IF(_xlpm.city="bhilai","Chhattisgarh",IF(_xlpm.city="mumbai","Maharashtra",_xlpm.st)))))</f>
        <v>Odisha</v>
      </c>
      <c r="AH512" t="str">
        <f>_xlfn.LET(_xlpm.d,PROPER(TRIM(tbl_FinancialData[[#This Row],[Department]])),IF(_xlpm.d="It","IT",_xlpm.d))</f>
        <v>Operations</v>
      </c>
      <c r="AI512" t="str">
        <f>_xlfn.LET(_xlpm.pid,tbl_FinancialData[[#This Row],[Product ID]],_xlpm.n,PROPER(TRIM(tbl_FinancialData[[#This Row],[Product Name]])),IF(_xlpm.pid="P020","Document Scanner",IF(_xlpm.pid="P015","Network Router",SUBSTITUTE(SUBSTITUTE(_xlpm.n,"Crm","CRM"),"Ups","UPS"))))</f>
        <v>Conference Camera</v>
      </c>
      <c r="AJ512" s="3" t="str">
        <f>UPPER(TRIM(tbl_FinancialData[[#This Row],[Cost Center]]))</f>
        <v>CC-1003</v>
      </c>
    </row>
    <row r="513" spans="1:36" x14ac:dyDescent="0.25">
      <c r="A513" s="3" t="s">
        <v>714</v>
      </c>
      <c r="B513" s="2">
        <v>46021</v>
      </c>
      <c r="C513" t="s">
        <v>107</v>
      </c>
      <c r="D513" s="3" t="str">
        <f t="shared" si="31"/>
        <v>Q3</v>
      </c>
      <c r="E513" s="3" t="str">
        <f t="shared" si="32"/>
        <v>FY2026</v>
      </c>
      <c r="F513" s="8" t="s">
        <v>59</v>
      </c>
      <c r="G513" s="3" t="s">
        <v>35</v>
      </c>
      <c r="H513" t="s">
        <v>139</v>
      </c>
      <c r="I513" t="s">
        <v>152</v>
      </c>
      <c r="J513" s="3" t="s">
        <v>70</v>
      </c>
      <c r="K513" t="s">
        <v>39</v>
      </c>
      <c r="L513" s="3" t="s">
        <v>94</v>
      </c>
      <c r="M513" s="3" t="s">
        <v>141</v>
      </c>
      <c r="N513" t="s">
        <v>142</v>
      </c>
      <c r="O513" t="s">
        <v>54</v>
      </c>
      <c r="P513" t="s">
        <v>143</v>
      </c>
      <c r="Q513" s="3">
        <v>2279.35</v>
      </c>
      <c r="R513" s="3">
        <v>2044.39</v>
      </c>
      <c r="S513" s="3">
        <v>1569.08</v>
      </c>
      <c r="T513" s="3">
        <v>167.71</v>
      </c>
      <c r="U513" s="3">
        <v>57.25</v>
      </c>
      <c r="V513" s="3">
        <v>131.99</v>
      </c>
      <c r="W513" s="3">
        <v>49.95</v>
      </c>
      <c r="X513" s="3">
        <v>1975.98</v>
      </c>
      <c r="Y513" s="3">
        <v>710.26</v>
      </c>
      <c r="Z513" s="3">
        <f t="shared" si="33"/>
        <v>303.36999999999989</v>
      </c>
      <c r="AA513" s="37">
        <f t="shared" si="34"/>
        <v>0.13309496128282181</v>
      </c>
      <c r="AB513" s="3">
        <v>234.95</v>
      </c>
      <c r="AC513" s="3">
        <v>227.93</v>
      </c>
      <c r="AD513" s="3">
        <v>246.17</v>
      </c>
      <c r="AE513" s="3">
        <v>2297.58</v>
      </c>
      <c r="AF513" t="str">
        <f>IF(tbl_FinancialData[[#This Row],[City]]="","Unknown",PROPER(TRIM(tbl_FinancialData[[#This Row],[City]])))</f>
        <v>Panipat</v>
      </c>
      <c r="AG513" t="str">
        <f>_xlfn.LET(_xlpm.city,LOWER(TRIM(tbl_FinancialData[[#This Row],[City]])),_xlpm.st,PROPER(TRIM(tbl_FinancialData[[#This Row],[State]])),IF(_xlpm.city="pune","Maharashtra",IF(_xlpm.city="jamshedpur","Jharkhand",IF(_xlpm.city="bhilai","Chhattisgarh",IF(_xlpm.city="mumbai","Maharashtra",_xlpm.st)))))</f>
        <v>Haryana</v>
      </c>
      <c r="AH513" t="str">
        <f>_xlfn.LET(_xlpm.d,PROPER(TRIM(tbl_FinancialData[[#This Row],[Department]])),IF(_xlpm.d="It","IT",_xlpm.d))</f>
        <v>Operations</v>
      </c>
      <c r="AI513" t="str">
        <f>_xlfn.LET(_xlpm.pid,tbl_FinancialData[[#This Row],[Product ID]],_xlpm.n,PROPER(TRIM(tbl_FinancialData[[#This Row],[Product Name]])),IF(_xlpm.pid="P020","Document Scanner",IF(_xlpm.pid="P015","Network Router",SUBSTITUTE(SUBSTITUTE(_xlpm.n,"Crm","CRM"),"Ups","UPS"))))</f>
        <v>Headset</v>
      </c>
      <c r="AJ513" s="3" t="str">
        <f>UPPER(TRIM(tbl_FinancialData[[#This Row],[Cost Center]]))</f>
        <v>CC-1001</v>
      </c>
    </row>
    <row r="514" spans="1:36" x14ac:dyDescent="0.25">
      <c r="A514" s="3" t="s">
        <v>715</v>
      </c>
      <c r="B514" s="2">
        <v>45764</v>
      </c>
      <c r="C514" t="s">
        <v>128</v>
      </c>
      <c r="D514" s="3" t="str">
        <f t="shared" ref="D514:D577" si="35">"Q"&amp;INT(MOD(MONTH(B514)-4,12)/3)+1</f>
        <v>Q1</v>
      </c>
      <c r="E514" s="3" t="str">
        <f t="shared" ref="E514:E577" si="36">"FY"&amp; (YEAR(B514)+(MONTH(B514)&gt;=4))</f>
        <v>FY2026</v>
      </c>
      <c r="F514" s="8" t="s">
        <v>85</v>
      </c>
      <c r="G514" s="3" t="s">
        <v>35</v>
      </c>
      <c r="H514" t="s">
        <v>716</v>
      </c>
      <c r="I514" t="s">
        <v>249</v>
      </c>
      <c r="J514" s="3" t="s">
        <v>70</v>
      </c>
      <c r="K514" t="s">
        <v>71</v>
      </c>
      <c r="L514" s="3" t="s">
        <v>94</v>
      </c>
      <c r="M514" s="3" t="s">
        <v>120</v>
      </c>
      <c r="N514" t="s">
        <v>121</v>
      </c>
      <c r="O514" t="s">
        <v>43</v>
      </c>
      <c r="P514" t="s">
        <v>122</v>
      </c>
      <c r="Q514" s="3">
        <v>29505.95</v>
      </c>
      <c r="R514" s="3">
        <v>29309.41</v>
      </c>
      <c r="S514" s="3">
        <v>16405.43</v>
      </c>
      <c r="T514" s="3">
        <v>3074.06</v>
      </c>
      <c r="U514" s="3">
        <v>1293.04</v>
      </c>
      <c r="V514" s="3">
        <v>2542.6999999999998</v>
      </c>
      <c r="W514" s="3">
        <v>363.11</v>
      </c>
      <c r="X514" s="3">
        <v>23678.34</v>
      </c>
      <c r="Y514" s="3">
        <v>13100.52</v>
      </c>
      <c r="Z514" s="3">
        <f t="shared" si="33"/>
        <v>5827.6100000000006</v>
      </c>
      <c r="AA514" s="37">
        <f t="shared" si="34"/>
        <v>0.19750626568539567</v>
      </c>
      <c r="AB514" s="3">
        <v>196.54</v>
      </c>
      <c r="AC514" s="3">
        <v>590.12</v>
      </c>
      <c r="AD514" s="3">
        <v>3469.9</v>
      </c>
      <c r="AE514" s="3">
        <v>32385.73</v>
      </c>
      <c r="AF514" t="str">
        <f>IF(tbl_FinancialData[[#This Row],[City]]="","Unknown",PROPER(TRIM(tbl_FinancialData[[#This Row],[City]])))</f>
        <v>Bhilai</v>
      </c>
      <c r="AG514" t="str">
        <f>_xlfn.LET(_xlpm.city,LOWER(TRIM(tbl_FinancialData[[#This Row],[City]])),_xlpm.st,PROPER(TRIM(tbl_FinancialData[[#This Row],[State]])),IF(_xlpm.city="pune","Maharashtra",IF(_xlpm.city="jamshedpur","Jharkhand",IF(_xlpm.city="bhilai","Chhattisgarh",IF(_xlpm.city="mumbai","Maharashtra",_xlpm.st)))))</f>
        <v>Chhattisgarh</v>
      </c>
      <c r="AH514" t="str">
        <f>_xlfn.LET(_xlpm.d,PROPER(TRIM(tbl_FinancialData[[#This Row],[Department]])),IF(_xlpm.d="It","IT",_xlpm.d))</f>
        <v>Marketing</v>
      </c>
      <c r="AI514" t="str">
        <f>_xlfn.LET(_xlpm.pid,tbl_FinancialData[[#This Row],[Product ID]],_xlpm.n,PROPER(TRIM(tbl_FinancialData[[#This Row],[Product Name]])),IF(_xlpm.pid="P020","Document Scanner",IF(_xlpm.pid="P015","Network Router",SUBSTITUTE(SUBSTITUTE(_xlpm.n,"Crm","CRM"),"Ups","UPS"))))</f>
        <v>Projector</v>
      </c>
      <c r="AJ514" s="3" t="str">
        <f>UPPER(TRIM(tbl_FinancialData[[#This Row],[Cost Center]]))</f>
        <v>CC-1001</v>
      </c>
    </row>
    <row r="515" spans="1:36" x14ac:dyDescent="0.25">
      <c r="A515" s="3" t="s">
        <v>717</v>
      </c>
      <c r="B515" s="2">
        <v>45765</v>
      </c>
      <c r="C515" t="s">
        <v>128</v>
      </c>
      <c r="D515" s="3" t="str">
        <f t="shared" si="35"/>
        <v>Q1</v>
      </c>
      <c r="E515" s="3" t="str">
        <f t="shared" si="36"/>
        <v>FY2026</v>
      </c>
      <c r="F515" s="8" t="s">
        <v>59</v>
      </c>
      <c r="G515" s="3" t="s">
        <v>35</v>
      </c>
      <c r="H515" t="s">
        <v>230</v>
      </c>
      <c r="I515" t="s">
        <v>231</v>
      </c>
      <c r="J515" s="3" t="s">
        <v>100</v>
      </c>
      <c r="K515" t="s">
        <v>50</v>
      </c>
      <c r="L515" s="3" t="s">
        <v>94</v>
      </c>
      <c r="M515" s="3" t="s">
        <v>73</v>
      </c>
      <c r="N515" t="s">
        <v>74</v>
      </c>
      <c r="O515" t="s">
        <v>43</v>
      </c>
      <c r="P515" t="s">
        <v>75</v>
      </c>
      <c r="Q515" s="3">
        <v>73104.36</v>
      </c>
      <c r="R515" s="3">
        <v>85846.14</v>
      </c>
      <c r="S515" s="3">
        <v>51346.41</v>
      </c>
      <c r="T515" s="3">
        <v>8907.76</v>
      </c>
      <c r="U515" s="3">
        <v>5304.03</v>
      </c>
      <c r="V515" s="3">
        <v>5070.51</v>
      </c>
      <c r="W515" s="3">
        <v>1002.58</v>
      </c>
      <c r="X515" s="3">
        <v>71631.3</v>
      </c>
      <c r="Y515" s="3">
        <v>21757.94</v>
      </c>
      <c r="Z515" s="3">
        <f t="shared" ref="Z515:Z578" si="37">Q515-X515</f>
        <v>1473.0599999999977</v>
      </c>
      <c r="AA515" s="37">
        <f t="shared" ref="AA515:AA578" si="38">Z515/Q515</f>
        <v>2.0150097750667645E-2</v>
      </c>
      <c r="AB515" s="3">
        <v>-12741.79</v>
      </c>
      <c r="AC515" s="3">
        <v>3655.22</v>
      </c>
      <c r="AD515" s="3">
        <v>12500.84</v>
      </c>
      <c r="AE515" s="3">
        <v>81949.98</v>
      </c>
      <c r="AF515" t="str">
        <f>IF(tbl_FinancialData[[#This Row],[City]]="","Unknown",PROPER(TRIM(tbl_FinancialData[[#This Row],[City]])))</f>
        <v>Ludhiana</v>
      </c>
      <c r="AG515" t="str">
        <f>_xlfn.LET(_xlpm.city,LOWER(TRIM(tbl_FinancialData[[#This Row],[City]])),_xlpm.st,PROPER(TRIM(tbl_FinancialData[[#This Row],[State]])),IF(_xlpm.city="pune","Maharashtra",IF(_xlpm.city="jamshedpur","Jharkhand",IF(_xlpm.city="bhilai","Chhattisgarh",IF(_xlpm.city="mumbai","Maharashtra",_xlpm.st)))))</f>
        <v>Punjab</v>
      </c>
      <c r="AH515" t="str">
        <f>_xlfn.LET(_xlpm.d,PROPER(TRIM(tbl_FinancialData[[#This Row],[Department]])),IF(_xlpm.d="It","IT",_xlpm.d))</f>
        <v>Sales</v>
      </c>
      <c r="AI515" t="str">
        <f>_xlfn.LET(_xlpm.pid,tbl_FinancialData[[#This Row],[Product ID]],_xlpm.n,PROPER(TRIM(tbl_FinancialData[[#This Row],[Product Name]])),IF(_xlpm.pid="P020","Document Scanner",IF(_xlpm.pid="P015","Network Router",SUBSTITUTE(SUBSTITUTE(_xlpm.n,"Crm","CRM"),"Ups","UPS"))))</f>
        <v>Monitor</v>
      </c>
      <c r="AJ515" s="3" t="str">
        <f>UPPER(TRIM(tbl_FinancialData[[#This Row],[Cost Center]]))</f>
        <v>CC-1001</v>
      </c>
    </row>
    <row r="516" spans="1:36" x14ac:dyDescent="0.25">
      <c r="A516" s="3" t="s">
        <v>718</v>
      </c>
      <c r="B516" s="2">
        <v>46045</v>
      </c>
      <c r="C516" t="s">
        <v>77</v>
      </c>
      <c r="D516" s="3" t="str">
        <f t="shared" si="35"/>
        <v>Q4</v>
      </c>
      <c r="E516" s="3" t="str">
        <f t="shared" si="36"/>
        <v>FY2026</v>
      </c>
      <c r="F516" s="8" t="s">
        <v>85</v>
      </c>
      <c r="G516" s="3" t="s">
        <v>35</v>
      </c>
      <c r="H516" t="s">
        <v>86</v>
      </c>
      <c r="I516" t="s">
        <v>87</v>
      </c>
      <c r="J516" s="3" t="s">
        <v>100</v>
      </c>
      <c r="K516" t="s">
        <v>50</v>
      </c>
      <c r="L516" s="3" t="s">
        <v>51</v>
      </c>
      <c r="M516" s="3" t="s">
        <v>186</v>
      </c>
      <c r="N516" t="s">
        <v>187</v>
      </c>
      <c r="O516" t="s">
        <v>173</v>
      </c>
      <c r="P516" t="s">
        <v>174</v>
      </c>
      <c r="Q516" s="3">
        <v>18154.12</v>
      </c>
      <c r="R516" s="3">
        <v>17933.78</v>
      </c>
      <c r="S516" s="3">
        <v>9262.09</v>
      </c>
      <c r="T516" s="3">
        <v>1763.61</v>
      </c>
      <c r="U516" s="3">
        <v>1073.53</v>
      </c>
      <c r="V516" s="3">
        <v>1020.98</v>
      </c>
      <c r="W516" s="3">
        <v>468.66</v>
      </c>
      <c r="X516" s="3">
        <v>13588.87</v>
      </c>
      <c r="Y516" s="3">
        <v>8892.02</v>
      </c>
      <c r="Z516" s="3">
        <f t="shared" si="37"/>
        <v>4565.2499999999982</v>
      </c>
      <c r="AA516" s="37">
        <f t="shared" si="38"/>
        <v>0.2514718422044141</v>
      </c>
      <c r="AB516" s="3">
        <v>220.34</v>
      </c>
      <c r="AC516" s="3">
        <v>1452.33</v>
      </c>
      <c r="AD516" s="3">
        <v>2004.21</v>
      </c>
      <c r="AE516" s="3">
        <v>18706</v>
      </c>
      <c r="AF516" t="str">
        <f>IF(tbl_FinancialData[[#This Row],[City]]="","Unknown",PROPER(TRIM(tbl_FinancialData[[#This Row],[City]])))</f>
        <v>Indore</v>
      </c>
      <c r="AG516" t="str">
        <f>_xlfn.LET(_xlpm.city,LOWER(TRIM(tbl_FinancialData[[#This Row],[City]])),_xlpm.st,PROPER(TRIM(tbl_FinancialData[[#This Row],[State]])),IF(_xlpm.city="pune","Maharashtra",IF(_xlpm.city="jamshedpur","Jharkhand",IF(_xlpm.city="bhilai","Chhattisgarh",IF(_xlpm.city="mumbai","Maharashtra",_xlpm.st)))))</f>
        <v>Madhya Pradesh</v>
      </c>
      <c r="AH516" t="str">
        <f>_xlfn.LET(_xlpm.d,PROPER(TRIM(tbl_FinancialData[[#This Row],[Department]])),IF(_xlpm.d="It","IT",_xlpm.d))</f>
        <v>Sales</v>
      </c>
      <c r="AI516" t="str">
        <f>_xlfn.LET(_xlpm.pid,tbl_FinancialData[[#This Row],[Product ID]],_xlpm.n,PROPER(TRIM(tbl_FinancialData[[#This Row],[Product Name]])),IF(_xlpm.pid="P020","Document Scanner",IF(_xlpm.pid="P015","Network Router",SUBSTITUTE(SUBSTITUTE(_xlpm.n,"Crm","CRM"),"Ups","UPS"))))</f>
        <v>Network Router</v>
      </c>
      <c r="AJ516" s="3" t="str">
        <f>UPPER(TRIM(tbl_FinancialData[[#This Row],[Cost Center]]))</f>
        <v>CC-1003</v>
      </c>
    </row>
    <row r="517" spans="1:36" x14ac:dyDescent="0.25">
      <c r="A517" s="3" t="s">
        <v>719</v>
      </c>
      <c r="B517" s="2">
        <v>46001</v>
      </c>
      <c r="C517" t="s">
        <v>107</v>
      </c>
      <c r="D517" s="3" t="str">
        <f t="shared" si="35"/>
        <v>Q3</v>
      </c>
      <c r="E517" s="3" t="str">
        <f t="shared" si="36"/>
        <v>FY2026</v>
      </c>
      <c r="F517" s="8" t="s">
        <v>67</v>
      </c>
      <c r="G517" s="3" t="s">
        <v>35</v>
      </c>
      <c r="H517" t="s">
        <v>168</v>
      </c>
      <c r="I517" t="s">
        <v>278</v>
      </c>
      <c r="J517" s="3" t="s">
        <v>100</v>
      </c>
      <c r="K517" t="s">
        <v>71</v>
      </c>
      <c r="L517" s="3" t="s">
        <v>72</v>
      </c>
      <c r="M517" s="3" t="s">
        <v>120</v>
      </c>
      <c r="N517" t="s">
        <v>121</v>
      </c>
      <c r="O517" t="s">
        <v>43</v>
      </c>
      <c r="P517" t="s">
        <v>122</v>
      </c>
      <c r="Q517" s="3">
        <v>17279.64</v>
      </c>
      <c r="R517" s="3">
        <v>18629.46</v>
      </c>
      <c r="S517" s="3">
        <v>11323.34</v>
      </c>
      <c r="T517" s="3">
        <v>1490.56</v>
      </c>
      <c r="U517" s="3">
        <v>1200.6099999999999</v>
      </c>
      <c r="V517" s="3">
        <v>1188.72</v>
      </c>
      <c r="W517" s="3">
        <v>576.67999999999995</v>
      </c>
      <c r="X517" s="3">
        <v>15779.91</v>
      </c>
      <c r="Y517" s="3">
        <v>5956.3</v>
      </c>
      <c r="Z517" s="3">
        <f t="shared" si="37"/>
        <v>1499.7299999999996</v>
      </c>
      <c r="AA517" s="37">
        <f t="shared" si="38"/>
        <v>8.6791738716778796E-2</v>
      </c>
      <c r="AB517" s="3">
        <v>-1349.82</v>
      </c>
      <c r="AC517" s="3">
        <v>0</v>
      </c>
      <c r="AD517" s="3">
        <v>2073.56</v>
      </c>
      <c r="AE517" s="3">
        <v>19353.2</v>
      </c>
      <c r="AF517" t="str">
        <f>IF(tbl_FinancialData[[#This Row],[City]]="","Unknown",PROPER(TRIM(tbl_FinancialData[[#This Row],[City]])))</f>
        <v>Siliguri</v>
      </c>
      <c r="AG517" t="str">
        <f>_xlfn.LET(_xlpm.city,LOWER(TRIM(tbl_FinancialData[[#This Row],[City]])),_xlpm.st,PROPER(TRIM(tbl_FinancialData[[#This Row],[State]])),IF(_xlpm.city="pune","Maharashtra",IF(_xlpm.city="jamshedpur","Jharkhand",IF(_xlpm.city="bhilai","Chhattisgarh",IF(_xlpm.city="mumbai","Maharashtra",_xlpm.st)))))</f>
        <v>West Bengal</v>
      </c>
      <c r="AH517" t="str">
        <f>_xlfn.LET(_xlpm.d,PROPER(TRIM(tbl_FinancialData[[#This Row],[Department]])),IF(_xlpm.d="It","IT",_xlpm.d))</f>
        <v>Marketing</v>
      </c>
      <c r="AI517" t="str">
        <f>_xlfn.LET(_xlpm.pid,tbl_FinancialData[[#This Row],[Product ID]],_xlpm.n,PROPER(TRIM(tbl_FinancialData[[#This Row],[Product Name]])),IF(_xlpm.pid="P020","Document Scanner",IF(_xlpm.pid="P015","Network Router",SUBSTITUTE(SUBSTITUTE(_xlpm.n,"Crm","CRM"),"Ups","UPS"))))</f>
        <v>Projector</v>
      </c>
      <c r="AJ517" s="3" t="str">
        <f>UPPER(TRIM(tbl_FinancialData[[#This Row],[Cost Center]]))</f>
        <v>CC-1004</v>
      </c>
    </row>
    <row r="518" spans="1:36" x14ac:dyDescent="0.25">
      <c r="A518" s="3" t="s">
        <v>720</v>
      </c>
      <c r="B518" s="2">
        <v>45969</v>
      </c>
      <c r="C518" t="s">
        <v>147</v>
      </c>
      <c r="D518" s="3" t="str">
        <f t="shared" si="35"/>
        <v>Q3</v>
      </c>
      <c r="E518" s="3" t="str">
        <f t="shared" si="36"/>
        <v>FY2026</v>
      </c>
      <c r="F518" s="8" t="s">
        <v>59</v>
      </c>
      <c r="G518" s="3" t="s">
        <v>35</v>
      </c>
      <c r="H518" t="s">
        <v>60</v>
      </c>
      <c r="I518" t="s">
        <v>61</v>
      </c>
      <c r="J518" s="3" t="s">
        <v>38</v>
      </c>
      <c r="K518" t="s">
        <v>71</v>
      </c>
      <c r="L518" s="3" t="s">
        <v>94</v>
      </c>
      <c r="M518" s="3" t="s">
        <v>141</v>
      </c>
      <c r="N518" t="s">
        <v>142</v>
      </c>
      <c r="O518" t="s">
        <v>54</v>
      </c>
      <c r="P518" t="s">
        <v>143</v>
      </c>
      <c r="Q518" s="3">
        <v>2095.9499999999998</v>
      </c>
      <c r="R518" s="3">
        <v>1976.59</v>
      </c>
      <c r="S518" s="3">
        <v>1256.4100000000001</v>
      </c>
      <c r="T518" s="3">
        <v>184.61</v>
      </c>
      <c r="U518" s="3">
        <v>175.22</v>
      </c>
      <c r="V518" s="3">
        <v>89.66</v>
      </c>
      <c r="W518" s="3">
        <v>44.43</v>
      </c>
      <c r="X518" s="3">
        <v>1750.33</v>
      </c>
      <c r="Y518" s="3">
        <v>839.54</v>
      </c>
      <c r="Z518" s="3">
        <f t="shared" si="37"/>
        <v>345.61999999999989</v>
      </c>
      <c r="AA518" s="37">
        <f t="shared" si="38"/>
        <v>0.16489897182661797</v>
      </c>
      <c r="AB518" s="3">
        <v>119.36</v>
      </c>
      <c r="AC518" s="3">
        <v>104.8</v>
      </c>
      <c r="AD518" s="3">
        <v>358.41</v>
      </c>
      <c r="AE518" s="3">
        <v>2349.56</v>
      </c>
      <c r="AF518" t="str">
        <f>IF(tbl_FinancialData[[#This Row],[City]]="","Unknown",PROPER(TRIM(tbl_FinancialData[[#This Row],[City]])))</f>
        <v>Lucknow</v>
      </c>
      <c r="AG518" t="str">
        <f>_xlfn.LET(_xlpm.city,LOWER(TRIM(tbl_FinancialData[[#This Row],[City]])),_xlpm.st,PROPER(TRIM(tbl_FinancialData[[#This Row],[State]])),IF(_xlpm.city="pune","Maharashtra",IF(_xlpm.city="jamshedpur","Jharkhand",IF(_xlpm.city="bhilai","Chhattisgarh",IF(_xlpm.city="mumbai","Maharashtra",_xlpm.st)))))</f>
        <v>Uttar Pradesh</v>
      </c>
      <c r="AH518" t="str">
        <f>_xlfn.LET(_xlpm.d,PROPER(TRIM(tbl_FinancialData[[#This Row],[Department]])),IF(_xlpm.d="It","IT",_xlpm.d))</f>
        <v>Marketing</v>
      </c>
      <c r="AI518" t="str">
        <f>_xlfn.LET(_xlpm.pid,tbl_FinancialData[[#This Row],[Product ID]],_xlpm.n,PROPER(TRIM(tbl_FinancialData[[#This Row],[Product Name]])),IF(_xlpm.pid="P020","Document Scanner",IF(_xlpm.pid="P015","Network Router",SUBSTITUTE(SUBSTITUTE(_xlpm.n,"Crm","CRM"),"Ups","UPS"))))</f>
        <v>Headset</v>
      </c>
      <c r="AJ518" s="3" t="str">
        <f>UPPER(TRIM(tbl_FinancialData[[#This Row],[Cost Center]]))</f>
        <v>CC-1001</v>
      </c>
    </row>
    <row r="519" spans="1:36" x14ac:dyDescent="0.25">
      <c r="A519" s="3" t="s">
        <v>721</v>
      </c>
      <c r="B519" s="2">
        <v>46104</v>
      </c>
      <c r="C519" t="s">
        <v>125</v>
      </c>
      <c r="D519" s="3" t="str">
        <f t="shared" si="35"/>
        <v>Q4</v>
      </c>
      <c r="E519" s="3" t="str">
        <f t="shared" si="36"/>
        <v>FY2026</v>
      </c>
      <c r="F519" s="8" t="s">
        <v>34</v>
      </c>
      <c r="G519" s="3" t="s">
        <v>35</v>
      </c>
      <c r="H519" t="s">
        <v>36</v>
      </c>
      <c r="I519" t="s">
        <v>245</v>
      </c>
      <c r="J519" s="3" t="s">
        <v>100</v>
      </c>
      <c r="K519" t="s">
        <v>50</v>
      </c>
      <c r="L519" s="3" t="s">
        <v>81</v>
      </c>
      <c r="M519" s="3" t="s">
        <v>52</v>
      </c>
      <c r="N519" t="s">
        <v>53</v>
      </c>
      <c r="O519" t="s">
        <v>54</v>
      </c>
      <c r="P519" t="s">
        <v>55</v>
      </c>
      <c r="Q519" s="3">
        <v>9239.91</v>
      </c>
      <c r="R519" s="3">
        <v>8584.4599999999991</v>
      </c>
      <c r="S519" s="3">
        <v>4509.78</v>
      </c>
      <c r="T519" s="3">
        <v>566.29999999999995</v>
      </c>
      <c r="U519" s="3">
        <v>596.64</v>
      </c>
      <c r="V519" s="3">
        <v>502.13</v>
      </c>
      <c r="W519" s="3">
        <v>165.41</v>
      </c>
      <c r="X519" s="3">
        <v>6340.26</v>
      </c>
      <c r="Y519" s="3">
        <v>4730.13</v>
      </c>
      <c r="Z519" s="3">
        <f t="shared" si="37"/>
        <v>2899.6499999999996</v>
      </c>
      <c r="AA519" s="37">
        <f t="shared" si="38"/>
        <v>0.31381799173368569</v>
      </c>
      <c r="AB519" s="3">
        <v>655.44</v>
      </c>
      <c r="AC519" s="3">
        <v>0</v>
      </c>
      <c r="AD519" s="3">
        <v>1663.18</v>
      </c>
      <c r="AE519" s="3">
        <v>10903.09</v>
      </c>
      <c r="AF519" t="str">
        <f>IF(tbl_FinancialData[[#This Row],[City]]="","Unknown",PROPER(TRIM(tbl_FinancialData[[#This Row],[City]])))</f>
        <v>Margao</v>
      </c>
      <c r="AG519" t="str">
        <f>_xlfn.LET(_xlpm.city,LOWER(TRIM(tbl_FinancialData[[#This Row],[City]])),_xlpm.st,PROPER(TRIM(tbl_FinancialData[[#This Row],[State]])),IF(_xlpm.city="pune","Maharashtra",IF(_xlpm.city="jamshedpur","Jharkhand",IF(_xlpm.city="bhilai","Chhattisgarh",IF(_xlpm.city="mumbai","Maharashtra",_xlpm.st)))))</f>
        <v>Goa</v>
      </c>
      <c r="AH519" t="str">
        <f>_xlfn.LET(_xlpm.d,PROPER(TRIM(tbl_FinancialData[[#This Row],[Department]])),IF(_xlpm.d="It","IT",_xlpm.d))</f>
        <v>Sales</v>
      </c>
      <c r="AI519" t="str">
        <f>_xlfn.LET(_xlpm.pid,tbl_FinancialData[[#This Row],[Product ID]],_xlpm.n,PROPER(TRIM(tbl_FinancialData[[#This Row],[Product Name]])),IF(_xlpm.pid="P020","Document Scanner",IF(_xlpm.pid="P015","Network Router",SUBSTITUTE(SUBSTITUTE(_xlpm.n,"Crm","CRM"),"Ups","UPS"))))</f>
        <v>Mouse</v>
      </c>
      <c r="AJ519" s="3" t="str">
        <f>UPPER(TRIM(tbl_FinancialData[[#This Row],[Cost Center]]))</f>
        <v>CC-1005</v>
      </c>
    </row>
    <row r="520" spans="1:36" x14ac:dyDescent="0.25">
      <c r="A520" s="3" t="s">
        <v>722</v>
      </c>
      <c r="B520" s="2">
        <v>45881</v>
      </c>
      <c r="C520" t="s">
        <v>117</v>
      </c>
      <c r="D520" s="3" t="str">
        <f t="shared" si="35"/>
        <v>Q2</v>
      </c>
      <c r="E520" s="3" t="str">
        <f t="shared" si="36"/>
        <v>FY2026</v>
      </c>
      <c r="F520" s="8" t="s">
        <v>34</v>
      </c>
      <c r="G520" s="3" t="s">
        <v>35</v>
      </c>
      <c r="H520" t="s">
        <v>36</v>
      </c>
      <c r="I520" t="s">
        <v>145</v>
      </c>
      <c r="J520" s="3" t="s">
        <v>38</v>
      </c>
      <c r="K520" t="s">
        <v>160</v>
      </c>
      <c r="L520" s="3" t="s">
        <v>40</v>
      </c>
      <c r="M520" s="3" t="s">
        <v>189</v>
      </c>
      <c r="N520" t="s">
        <v>190</v>
      </c>
      <c r="O520" t="s">
        <v>104</v>
      </c>
      <c r="P520" t="s">
        <v>105</v>
      </c>
      <c r="Q520" s="3">
        <v>26112.33</v>
      </c>
      <c r="R520" s="3">
        <v>26401.83</v>
      </c>
      <c r="S520" s="3">
        <v>17450.580000000002</v>
      </c>
      <c r="T520" s="3">
        <v>1500.51</v>
      </c>
      <c r="U520" s="3">
        <v>1536.89</v>
      </c>
      <c r="V520" s="3">
        <v>2791.69</v>
      </c>
      <c r="W520" s="3">
        <v>1019.86</v>
      </c>
      <c r="X520" s="3">
        <v>24299.53</v>
      </c>
      <c r="Y520" s="3">
        <v>8661.75</v>
      </c>
      <c r="Z520" s="3">
        <f t="shared" si="37"/>
        <v>1812.8000000000029</v>
      </c>
      <c r="AA520" s="37">
        <f t="shared" si="38"/>
        <v>6.9423142247359876E-2</v>
      </c>
      <c r="AB520" s="3">
        <v>-289.49</v>
      </c>
      <c r="AC520" s="3">
        <v>2611.23</v>
      </c>
      <c r="AD520" s="3">
        <v>4230.2</v>
      </c>
      <c r="AE520" s="3">
        <v>27731.3</v>
      </c>
      <c r="AF520" t="str">
        <f>IF(tbl_FinancialData[[#This Row],[City]]="","Unknown",PROPER(TRIM(tbl_FinancialData[[#This Row],[City]])))</f>
        <v>Panaji</v>
      </c>
      <c r="AG520" t="str">
        <f>_xlfn.LET(_xlpm.city,LOWER(TRIM(tbl_FinancialData[[#This Row],[City]])),_xlpm.st,PROPER(TRIM(tbl_FinancialData[[#This Row],[State]])),IF(_xlpm.city="pune","Maharashtra",IF(_xlpm.city="jamshedpur","Jharkhand",IF(_xlpm.city="bhilai","Chhattisgarh",IF(_xlpm.city="mumbai","Maharashtra",_xlpm.st)))))</f>
        <v>Goa</v>
      </c>
      <c r="AH520" t="str">
        <f>_xlfn.LET(_xlpm.d,PROPER(TRIM(tbl_FinancialData[[#This Row],[Department]])),IF(_xlpm.d="It","IT",_xlpm.d))</f>
        <v>IT</v>
      </c>
      <c r="AI520" t="str">
        <f>_xlfn.LET(_xlpm.pid,tbl_FinancialData[[#This Row],[Product ID]],_xlpm.n,PROPER(TRIM(tbl_FinancialData[[#This Row],[Product Name]])),IF(_xlpm.pid="P020","Document Scanner",IF(_xlpm.pid="P015","Network Router",SUBSTITUTE(SUBSTITUTE(_xlpm.n,"Crm","CRM"),"Ups","UPS"))))</f>
        <v>CRM Software</v>
      </c>
      <c r="AJ520" s="3" t="str">
        <f>UPPER(TRIM(tbl_FinancialData[[#This Row],[Cost Center]]))</f>
        <v>CC-1002</v>
      </c>
    </row>
    <row r="521" spans="1:36" x14ac:dyDescent="0.25">
      <c r="A521" s="3" t="s">
        <v>723</v>
      </c>
      <c r="B521" s="2">
        <v>45925</v>
      </c>
      <c r="C521" t="s">
        <v>46</v>
      </c>
      <c r="D521" s="3" t="str">
        <f t="shared" si="35"/>
        <v>Q2</v>
      </c>
      <c r="E521" s="3" t="str">
        <f t="shared" si="36"/>
        <v>FY2026</v>
      </c>
      <c r="F521" s="8" t="s">
        <v>34</v>
      </c>
      <c r="G521" s="3" t="s">
        <v>35</v>
      </c>
      <c r="H521" t="s">
        <v>36</v>
      </c>
      <c r="I521" t="s">
        <v>245</v>
      </c>
      <c r="J521" s="3" t="s">
        <v>80</v>
      </c>
      <c r="K521" t="s">
        <v>39</v>
      </c>
      <c r="L521" s="3" t="s">
        <v>81</v>
      </c>
      <c r="M521" s="3" t="s">
        <v>102</v>
      </c>
      <c r="N521" t="s">
        <v>103</v>
      </c>
      <c r="O521" t="s">
        <v>104</v>
      </c>
      <c r="P521" t="s">
        <v>105</v>
      </c>
      <c r="Q521" s="3">
        <v>22337.439999999999</v>
      </c>
      <c r="R521" s="3">
        <v>26312.3</v>
      </c>
      <c r="S521" s="3">
        <v>14787.22</v>
      </c>
      <c r="T521" s="3">
        <v>2535.09</v>
      </c>
      <c r="U521" s="3">
        <v>1453.5</v>
      </c>
      <c r="V521" s="3">
        <v>2655.34</v>
      </c>
      <c r="W521" s="3">
        <v>723.7</v>
      </c>
      <c r="X521" s="3">
        <v>22154.84</v>
      </c>
      <c r="Y521" s="3">
        <v>7550.22</v>
      </c>
      <c r="Z521" s="3">
        <f t="shared" si="37"/>
        <v>182.59999999999854</v>
      </c>
      <c r="AA521" s="37">
        <f t="shared" si="38"/>
        <v>8.1746162496686529E-3</v>
      </c>
      <c r="AB521" s="3">
        <v>-3974.86</v>
      </c>
      <c r="AC521" s="3">
        <v>1786.99</v>
      </c>
      <c r="AD521" s="3">
        <v>3699.08</v>
      </c>
      <c r="AE521" s="3">
        <v>24249.52</v>
      </c>
      <c r="AF521" t="str">
        <f>IF(tbl_FinancialData[[#This Row],[City]]="","Unknown",PROPER(TRIM(tbl_FinancialData[[#This Row],[City]])))</f>
        <v>Margao</v>
      </c>
      <c r="AG521" t="str">
        <f>_xlfn.LET(_xlpm.city,LOWER(TRIM(tbl_FinancialData[[#This Row],[City]])),_xlpm.st,PROPER(TRIM(tbl_FinancialData[[#This Row],[State]])),IF(_xlpm.city="pune","Maharashtra",IF(_xlpm.city="jamshedpur","Jharkhand",IF(_xlpm.city="bhilai","Chhattisgarh",IF(_xlpm.city="mumbai","Maharashtra",_xlpm.st)))))</f>
        <v>Goa</v>
      </c>
      <c r="AH521" t="str">
        <f>_xlfn.LET(_xlpm.d,PROPER(TRIM(tbl_FinancialData[[#This Row],[Department]])),IF(_xlpm.d="It","IT",_xlpm.d))</f>
        <v>Operations</v>
      </c>
      <c r="AI521" t="str">
        <f>_xlfn.LET(_xlpm.pid,tbl_FinancialData[[#This Row],[Product ID]],_xlpm.n,PROPER(TRIM(tbl_FinancialData[[#This Row],[Product Name]])),IF(_xlpm.pid="P020","Document Scanner",IF(_xlpm.pid="P015","Network Router",SUBSTITUTE(SUBSTITUTE(_xlpm.n,"Crm","CRM"),"Ups","UPS"))))</f>
        <v>Accounting Software</v>
      </c>
      <c r="AJ521" s="3" t="str">
        <f>UPPER(TRIM(tbl_FinancialData[[#This Row],[Cost Center]]))</f>
        <v>CC-1005</v>
      </c>
    </row>
    <row r="522" spans="1:36" x14ac:dyDescent="0.25">
      <c r="A522" s="3" t="s">
        <v>724</v>
      </c>
      <c r="B522" s="2">
        <v>45999</v>
      </c>
      <c r="C522" t="s">
        <v>107</v>
      </c>
      <c r="D522" s="3" t="str">
        <f t="shared" si="35"/>
        <v>Q3</v>
      </c>
      <c r="E522" s="3" t="str">
        <f t="shared" si="36"/>
        <v>FY2026</v>
      </c>
      <c r="F522" s="8" t="s">
        <v>47</v>
      </c>
      <c r="G522" s="3" t="s">
        <v>35</v>
      </c>
      <c r="H522" t="s">
        <v>206</v>
      </c>
      <c r="I522" t="s">
        <v>344</v>
      </c>
      <c r="J522" s="3" t="s">
        <v>70</v>
      </c>
      <c r="K522" t="s">
        <v>50</v>
      </c>
      <c r="L522" s="3" t="s">
        <v>51</v>
      </c>
      <c r="M522" s="3" t="s">
        <v>95</v>
      </c>
      <c r="N522" t="s">
        <v>96</v>
      </c>
      <c r="O522" t="s">
        <v>43</v>
      </c>
      <c r="P522" t="s">
        <v>90</v>
      </c>
      <c r="Q522" s="3">
        <v>28205.15</v>
      </c>
      <c r="R522" s="3">
        <v>26564.23</v>
      </c>
      <c r="S522" s="3">
        <v>16525.259999999998</v>
      </c>
      <c r="T522" s="3">
        <v>1556.93</v>
      </c>
      <c r="U522" s="3">
        <v>2218.1999999999998</v>
      </c>
      <c r="V522" s="3">
        <v>1412.38</v>
      </c>
      <c r="W522" s="3">
        <v>1173.57</v>
      </c>
      <c r="X522" s="3">
        <v>22886.33</v>
      </c>
      <c r="Y522" s="3">
        <v>11679.89</v>
      </c>
      <c r="Z522" s="3">
        <f t="shared" si="37"/>
        <v>5318.82</v>
      </c>
      <c r="AA522" s="37">
        <f t="shared" si="38"/>
        <v>0.18857619973657291</v>
      </c>
      <c r="AB522" s="3">
        <v>1640.92</v>
      </c>
      <c r="AC522" s="3">
        <v>2256.41</v>
      </c>
      <c r="AD522" s="3">
        <v>3113.85</v>
      </c>
      <c r="AE522" s="3">
        <v>29062.59</v>
      </c>
      <c r="AF522" t="str">
        <f>IF(tbl_FinancialData[[#This Row],[City]]="","Unknown",PROPER(TRIM(tbl_FinancialData[[#This Row],[City]])))</f>
        <v>Hyderabad</v>
      </c>
      <c r="AG522" t="str">
        <f>_xlfn.LET(_xlpm.city,LOWER(TRIM(tbl_FinancialData[[#This Row],[City]])),_xlpm.st,PROPER(TRIM(tbl_FinancialData[[#This Row],[State]])),IF(_xlpm.city="pune","Maharashtra",IF(_xlpm.city="jamshedpur","Jharkhand",IF(_xlpm.city="bhilai","Chhattisgarh",IF(_xlpm.city="mumbai","Maharashtra",_xlpm.st)))))</f>
        <v>Telangana</v>
      </c>
      <c r="AH522" t="str">
        <f>_xlfn.LET(_xlpm.d,PROPER(TRIM(tbl_FinancialData[[#This Row],[Department]])),IF(_xlpm.d="It","IT",_xlpm.d))</f>
        <v>Sales</v>
      </c>
      <c r="AI522" t="str">
        <f>_xlfn.LET(_xlpm.pid,tbl_FinancialData[[#This Row],[Product ID]],_xlpm.n,PROPER(TRIM(tbl_FinancialData[[#This Row],[Product Name]])),IF(_xlpm.pid="P020","Document Scanner",IF(_xlpm.pid="P015","Network Router",SUBSTITUTE(SUBSTITUTE(_xlpm.n,"Crm","CRM"),"Ups","UPS"))))</f>
        <v>Document Scanner</v>
      </c>
      <c r="AJ522" s="3" t="str">
        <f>UPPER(TRIM(tbl_FinancialData[[#This Row],[Cost Center]]))</f>
        <v>CC-1003</v>
      </c>
    </row>
    <row r="523" spans="1:36" x14ac:dyDescent="0.25">
      <c r="A523" s="3" t="s">
        <v>725</v>
      </c>
      <c r="B523" s="2">
        <v>45809</v>
      </c>
      <c r="C523" t="s">
        <v>156</v>
      </c>
      <c r="D523" s="3" t="str">
        <f t="shared" si="35"/>
        <v>Q1</v>
      </c>
      <c r="E523" s="3" t="str">
        <f t="shared" si="36"/>
        <v>FY2026</v>
      </c>
      <c r="F523" s="8" t="s">
        <v>59</v>
      </c>
      <c r="G523" s="3" t="s">
        <v>35</v>
      </c>
      <c r="H523" t="s">
        <v>254</v>
      </c>
      <c r="I523" t="s">
        <v>200</v>
      </c>
      <c r="J523" s="3" t="s">
        <v>80</v>
      </c>
      <c r="K523" t="s">
        <v>101</v>
      </c>
      <c r="L523" s="3" t="s">
        <v>40</v>
      </c>
      <c r="M523" s="3" t="s">
        <v>211</v>
      </c>
      <c r="N523" t="s">
        <v>212</v>
      </c>
      <c r="O523" t="s">
        <v>112</v>
      </c>
      <c r="P523" t="s">
        <v>113</v>
      </c>
      <c r="Q523" s="3">
        <v>29901.63</v>
      </c>
      <c r="R523" s="3">
        <v>30463.35</v>
      </c>
      <c r="S523" s="3">
        <v>19986.759999999998</v>
      </c>
      <c r="T523" s="3">
        <v>3460.4</v>
      </c>
      <c r="U523" s="3">
        <v>1825.25</v>
      </c>
      <c r="V523" s="3">
        <v>1626.16</v>
      </c>
      <c r="W523" s="3">
        <v>788.55</v>
      </c>
      <c r="X523" s="3">
        <v>27687.13</v>
      </c>
      <c r="Y523" s="3">
        <v>9914.86</v>
      </c>
      <c r="Z523" s="3">
        <f t="shared" si="37"/>
        <v>2214.5</v>
      </c>
      <c r="AA523" s="37">
        <f t="shared" si="38"/>
        <v>7.4059507792718984E-2</v>
      </c>
      <c r="AB523" s="3">
        <v>-561.73</v>
      </c>
      <c r="AC523" s="3">
        <v>2990.16</v>
      </c>
      <c r="AD523" s="3">
        <v>4844.0600000000004</v>
      </c>
      <c r="AE523" s="3">
        <v>31755.53</v>
      </c>
      <c r="AF523" t="str">
        <f>IF(tbl_FinancialData[[#This Row],[City]]="","Unknown",PROPER(TRIM(tbl_FinancialData[[#This Row],[City]])))</f>
        <v>Gurugram</v>
      </c>
      <c r="AG523" t="str">
        <f>_xlfn.LET(_xlpm.city,LOWER(TRIM(tbl_FinancialData[[#This Row],[City]])),_xlpm.st,PROPER(TRIM(tbl_FinancialData[[#This Row],[State]])),IF(_xlpm.city="pune","Maharashtra",IF(_xlpm.city="jamshedpur","Jharkhand",IF(_xlpm.city="bhilai","Chhattisgarh",IF(_xlpm.city="mumbai","Maharashtra",_xlpm.st)))))</f>
        <v>Delhi</v>
      </c>
      <c r="AH523" t="str">
        <f>_xlfn.LET(_xlpm.d,PROPER(TRIM(tbl_FinancialData[[#This Row],[Department]])),IF(_xlpm.d="It","IT",_xlpm.d))</f>
        <v>Finance</v>
      </c>
      <c r="AI523" t="str">
        <f>_xlfn.LET(_xlpm.pid,tbl_FinancialData[[#This Row],[Product ID]],_xlpm.n,PROPER(TRIM(tbl_FinancialData[[#This Row],[Product Name]])),IF(_xlpm.pid="P020","Document Scanner",IF(_xlpm.pid="P015","Network Router",SUBSTITUTE(SUBSTITUTE(_xlpm.n,"Crm","CRM"),"Ups","UPS"))))</f>
        <v>Office Chair</v>
      </c>
      <c r="AJ523" s="3" t="str">
        <f>UPPER(TRIM(tbl_FinancialData[[#This Row],[Cost Center]]))</f>
        <v>CC-1002</v>
      </c>
    </row>
    <row r="524" spans="1:36" x14ac:dyDescent="0.25">
      <c r="A524" s="3" t="s">
        <v>726</v>
      </c>
      <c r="B524" s="2">
        <v>45794</v>
      </c>
      <c r="C524" t="s">
        <v>65</v>
      </c>
      <c r="D524" s="3" t="str">
        <f t="shared" si="35"/>
        <v>Q1</v>
      </c>
      <c r="E524" s="3" t="str">
        <f t="shared" si="36"/>
        <v>FY2026</v>
      </c>
      <c r="F524" s="8" t="s">
        <v>34</v>
      </c>
      <c r="G524" s="3" t="s">
        <v>35</v>
      </c>
      <c r="H524" t="s">
        <v>134</v>
      </c>
      <c r="I524" t="s">
        <v>154</v>
      </c>
      <c r="J524" s="3" t="s">
        <v>100</v>
      </c>
      <c r="K524" t="s">
        <v>39</v>
      </c>
      <c r="L524" s="3" t="s">
        <v>51</v>
      </c>
      <c r="M524" s="3" t="s">
        <v>95</v>
      </c>
      <c r="N524" t="s">
        <v>96</v>
      </c>
      <c r="O524" t="s">
        <v>43</v>
      </c>
      <c r="P524" t="s">
        <v>90</v>
      </c>
      <c r="Q524" s="3">
        <v>62654.09</v>
      </c>
      <c r="R524" s="3">
        <v>58844.36</v>
      </c>
      <c r="S524" s="3">
        <v>34844.519999999997</v>
      </c>
      <c r="T524" s="3">
        <v>4545.83</v>
      </c>
      <c r="U524" s="3">
        <v>3728.28</v>
      </c>
      <c r="V524" s="3">
        <v>2765.23</v>
      </c>
      <c r="W524" s="3">
        <v>974.19</v>
      </c>
      <c r="X524" s="3">
        <v>46858.06</v>
      </c>
      <c r="Y524" s="3">
        <v>27809.57</v>
      </c>
      <c r="Z524" s="3">
        <f t="shared" si="37"/>
        <v>15796.029999999999</v>
      </c>
      <c r="AA524" s="37">
        <f t="shared" si="38"/>
        <v>0.25211490582657892</v>
      </c>
      <c r="AB524" s="3">
        <v>3809.73</v>
      </c>
      <c r="AC524" s="3">
        <v>5012.33</v>
      </c>
      <c r="AD524" s="3">
        <v>2882.09</v>
      </c>
      <c r="AE524" s="3">
        <v>60523.85</v>
      </c>
      <c r="AF524" t="str">
        <f>IF(tbl_FinancialData[[#This Row],[City]]="","Unknown",PROPER(TRIM(tbl_FinancialData[[#This Row],[City]])))</f>
        <v>Udaipur</v>
      </c>
      <c r="AG524" t="str">
        <f>_xlfn.LET(_xlpm.city,LOWER(TRIM(tbl_FinancialData[[#This Row],[City]])),_xlpm.st,PROPER(TRIM(tbl_FinancialData[[#This Row],[State]])),IF(_xlpm.city="pune","Maharashtra",IF(_xlpm.city="jamshedpur","Jharkhand",IF(_xlpm.city="bhilai","Chhattisgarh",IF(_xlpm.city="mumbai","Maharashtra",_xlpm.st)))))</f>
        <v>Rajasthan</v>
      </c>
      <c r="AH524" t="str">
        <f>_xlfn.LET(_xlpm.d,PROPER(TRIM(tbl_FinancialData[[#This Row],[Department]])),IF(_xlpm.d="It","IT",_xlpm.d))</f>
        <v>Operations</v>
      </c>
      <c r="AI524" t="str">
        <f>_xlfn.LET(_xlpm.pid,tbl_FinancialData[[#This Row],[Product ID]],_xlpm.n,PROPER(TRIM(tbl_FinancialData[[#This Row],[Product Name]])),IF(_xlpm.pid="P020","Document Scanner",IF(_xlpm.pid="P015","Network Router",SUBSTITUTE(SUBSTITUTE(_xlpm.n,"Crm","CRM"),"Ups","UPS"))))</f>
        <v>Document Scanner</v>
      </c>
      <c r="AJ524" s="3" t="str">
        <f>UPPER(TRIM(tbl_FinancialData[[#This Row],[Cost Center]]))</f>
        <v>CC-1003</v>
      </c>
    </row>
    <row r="525" spans="1:36" x14ac:dyDescent="0.25">
      <c r="A525" s="3" t="s">
        <v>727</v>
      </c>
      <c r="B525" s="2">
        <v>45827</v>
      </c>
      <c r="C525" t="s">
        <v>156</v>
      </c>
      <c r="D525" s="3" t="str">
        <f t="shared" si="35"/>
        <v>Q1</v>
      </c>
      <c r="E525" s="3" t="str">
        <f t="shared" si="36"/>
        <v>FY2026</v>
      </c>
      <c r="F525" s="8" t="s">
        <v>67</v>
      </c>
      <c r="G525" s="3" t="s">
        <v>35</v>
      </c>
      <c r="H525" t="s">
        <v>168</v>
      </c>
      <c r="I525" t="s">
        <v>251</v>
      </c>
      <c r="J525" s="3" t="s">
        <v>38</v>
      </c>
      <c r="K525" t="s">
        <v>101</v>
      </c>
      <c r="L525" s="3" t="s">
        <v>72</v>
      </c>
      <c r="M525" s="3" t="s">
        <v>130</v>
      </c>
      <c r="N525" t="s">
        <v>131</v>
      </c>
      <c r="O525" t="s">
        <v>43</v>
      </c>
      <c r="P525" t="s">
        <v>132</v>
      </c>
      <c r="Q525" s="3">
        <v>38490.35</v>
      </c>
      <c r="R525" s="3">
        <v>35676.68</v>
      </c>
      <c r="S525" s="3">
        <v>22512.55</v>
      </c>
      <c r="T525" s="3">
        <v>3146.63</v>
      </c>
      <c r="U525" s="3">
        <v>2822.51</v>
      </c>
      <c r="V525" s="3">
        <v>3327.84</v>
      </c>
      <c r="W525" s="3">
        <v>907.78</v>
      </c>
      <c r="X525" s="3">
        <v>32717.3</v>
      </c>
      <c r="Y525" s="3">
        <v>15977.8</v>
      </c>
      <c r="Z525" s="3">
        <f t="shared" si="37"/>
        <v>5773.0499999999993</v>
      </c>
      <c r="AA525" s="37">
        <f t="shared" si="38"/>
        <v>0.14998694477966554</v>
      </c>
      <c r="AB525" s="3">
        <v>2813.67</v>
      </c>
      <c r="AC525" s="3">
        <v>0</v>
      </c>
      <c r="AD525" s="3">
        <v>1924.52</v>
      </c>
      <c r="AE525" s="3">
        <v>40414.86</v>
      </c>
      <c r="AF525" t="str">
        <f>IF(tbl_FinancialData[[#This Row],[City]]="","Unknown",PROPER(TRIM(tbl_FinancialData[[#This Row],[City]])))</f>
        <v>Durgapur</v>
      </c>
      <c r="AG525" t="str">
        <f>_xlfn.LET(_xlpm.city,LOWER(TRIM(tbl_FinancialData[[#This Row],[City]])),_xlpm.st,PROPER(TRIM(tbl_FinancialData[[#This Row],[State]])),IF(_xlpm.city="pune","Maharashtra",IF(_xlpm.city="jamshedpur","Jharkhand",IF(_xlpm.city="bhilai","Chhattisgarh",IF(_xlpm.city="mumbai","Maharashtra",_xlpm.st)))))</f>
        <v>West Bengal</v>
      </c>
      <c r="AH525" t="str">
        <f>_xlfn.LET(_xlpm.d,PROPER(TRIM(tbl_FinancialData[[#This Row],[Department]])),IF(_xlpm.d="It","IT",_xlpm.d))</f>
        <v>Finance</v>
      </c>
      <c r="AI525" t="str">
        <f>_xlfn.LET(_xlpm.pid,tbl_FinancialData[[#This Row],[Product ID]],_xlpm.n,PROPER(TRIM(tbl_FinancialData[[#This Row],[Product Name]])),IF(_xlpm.pid="P020","Document Scanner",IF(_xlpm.pid="P015","Network Router",SUBSTITUTE(SUBSTITUTE(_xlpm.n,"Crm","CRM"),"Ups","UPS"))))</f>
        <v>UPS System</v>
      </c>
      <c r="AJ525" s="3" t="str">
        <f>UPPER(TRIM(tbl_FinancialData[[#This Row],[Cost Center]]))</f>
        <v>CC-1004</v>
      </c>
    </row>
    <row r="526" spans="1:36" x14ac:dyDescent="0.25">
      <c r="A526" s="3" t="s">
        <v>728</v>
      </c>
      <c r="B526" s="2">
        <v>45974</v>
      </c>
      <c r="C526" t="s">
        <v>147</v>
      </c>
      <c r="D526" s="3" t="str">
        <f t="shared" si="35"/>
        <v>Q3</v>
      </c>
      <c r="E526" s="3" t="str">
        <f t="shared" si="36"/>
        <v>FY2026</v>
      </c>
      <c r="F526" s="8" t="s">
        <v>59</v>
      </c>
      <c r="G526" s="3" t="s">
        <v>35</v>
      </c>
      <c r="H526" t="s">
        <v>139</v>
      </c>
      <c r="I526" t="s">
        <v>140</v>
      </c>
      <c r="J526" s="3" t="s">
        <v>80</v>
      </c>
      <c r="K526" t="s">
        <v>50</v>
      </c>
      <c r="L526" s="3" t="s">
        <v>51</v>
      </c>
      <c r="M526" s="3" t="s">
        <v>102</v>
      </c>
      <c r="N526" t="s">
        <v>103</v>
      </c>
      <c r="O526" t="s">
        <v>104</v>
      </c>
      <c r="P526" t="s">
        <v>105</v>
      </c>
      <c r="Q526" s="3">
        <v>26187.83</v>
      </c>
      <c r="R526" s="3">
        <v>28315.54</v>
      </c>
      <c r="S526" s="3">
        <v>16989.16</v>
      </c>
      <c r="T526" s="3">
        <v>1920.06</v>
      </c>
      <c r="U526" s="3">
        <v>1455.37</v>
      </c>
      <c r="V526" s="3">
        <v>3050.87</v>
      </c>
      <c r="W526" s="3">
        <v>964.62</v>
      </c>
      <c r="X526" s="3">
        <v>24380.080000000002</v>
      </c>
      <c r="Y526" s="3">
        <v>9198.67</v>
      </c>
      <c r="Z526" s="3">
        <f t="shared" si="37"/>
        <v>1807.75</v>
      </c>
      <c r="AA526" s="37">
        <f t="shared" si="38"/>
        <v>6.9030156374163112E-2</v>
      </c>
      <c r="AB526" s="3">
        <v>-2127.71</v>
      </c>
      <c r="AC526" s="3">
        <v>2618.7800000000002</v>
      </c>
      <c r="AD526" s="3">
        <v>4242.43</v>
      </c>
      <c r="AE526" s="3">
        <v>27811.48</v>
      </c>
      <c r="AF526" t="str">
        <f>IF(tbl_FinancialData[[#This Row],[City]]="","Unknown",PROPER(TRIM(tbl_FinancialData[[#This Row],[City]])))</f>
        <v>Faridabad</v>
      </c>
      <c r="AG526" t="str">
        <f>_xlfn.LET(_xlpm.city,LOWER(TRIM(tbl_FinancialData[[#This Row],[City]])),_xlpm.st,PROPER(TRIM(tbl_FinancialData[[#This Row],[State]])),IF(_xlpm.city="pune","Maharashtra",IF(_xlpm.city="jamshedpur","Jharkhand",IF(_xlpm.city="bhilai","Chhattisgarh",IF(_xlpm.city="mumbai","Maharashtra",_xlpm.st)))))</f>
        <v>Haryana</v>
      </c>
      <c r="AH526" t="str">
        <f>_xlfn.LET(_xlpm.d,PROPER(TRIM(tbl_FinancialData[[#This Row],[Department]])),IF(_xlpm.d="It","IT",_xlpm.d))</f>
        <v>Sales</v>
      </c>
      <c r="AI526" t="str">
        <f>_xlfn.LET(_xlpm.pid,tbl_FinancialData[[#This Row],[Product ID]],_xlpm.n,PROPER(TRIM(tbl_FinancialData[[#This Row],[Product Name]])),IF(_xlpm.pid="P020","Document Scanner",IF(_xlpm.pid="P015","Network Router",SUBSTITUTE(SUBSTITUTE(_xlpm.n,"Crm","CRM"),"Ups","UPS"))))</f>
        <v>Accounting Software</v>
      </c>
      <c r="AJ526" s="3" t="str">
        <f>UPPER(TRIM(tbl_FinancialData[[#This Row],[Cost Center]]))</f>
        <v>CC-1003</v>
      </c>
    </row>
    <row r="527" spans="1:36" x14ac:dyDescent="0.25">
      <c r="A527" s="3" t="s">
        <v>729</v>
      </c>
      <c r="B527" s="2">
        <v>46012</v>
      </c>
      <c r="C527" t="s">
        <v>107</v>
      </c>
      <c r="D527" s="3" t="str">
        <f t="shared" si="35"/>
        <v>Q3</v>
      </c>
      <c r="E527" s="3" t="str">
        <f t="shared" si="36"/>
        <v>FY2026</v>
      </c>
      <c r="F527" s="8" t="s">
        <v>59</v>
      </c>
      <c r="G527" s="3" t="s">
        <v>35</v>
      </c>
      <c r="H527" t="s">
        <v>60</v>
      </c>
      <c r="I527" t="s">
        <v>185</v>
      </c>
      <c r="J527" s="3" t="s">
        <v>38</v>
      </c>
      <c r="K527" t="s">
        <v>101</v>
      </c>
      <c r="L527" s="3" t="s">
        <v>81</v>
      </c>
      <c r="M527" s="3" t="s">
        <v>52</v>
      </c>
      <c r="N527" t="s">
        <v>53</v>
      </c>
      <c r="O527" t="s">
        <v>54</v>
      </c>
      <c r="P527" t="s">
        <v>55</v>
      </c>
      <c r="Q527" s="3">
        <v>9848.24</v>
      </c>
      <c r="R527" s="3">
        <v>9719.32</v>
      </c>
      <c r="S527" s="3">
        <v>6694.83</v>
      </c>
      <c r="T527" s="3">
        <v>1162.71</v>
      </c>
      <c r="U527" s="3">
        <v>517.58000000000004</v>
      </c>
      <c r="V527" s="3">
        <v>446.3</v>
      </c>
      <c r="W527" s="3">
        <v>99.03</v>
      </c>
      <c r="X527" s="3">
        <v>8920.44</v>
      </c>
      <c r="Y527" s="3">
        <v>3153.41</v>
      </c>
      <c r="Z527" s="3">
        <f t="shared" si="37"/>
        <v>927.79999999999927</v>
      </c>
      <c r="AA527" s="37">
        <f t="shared" si="38"/>
        <v>9.4209726814131187E-2</v>
      </c>
      <c r="AB527" s="3">
        <v>128.91</v>
      </c>
      <c r="AC527" s="3">
        <v>295.45</v>
      </c>
      <c r="AD527" s="3">
        <v>1146.33</v>
      </c>
      <c r="AE527" s="3">
        <v>10699.12</v>
      </c>
      <c r="AF527" t="str">
        <f>IF(tbl_FinancialData[[#This Row],[City]]="","Unknown",PROPER(TRIM(tbl_FinancialData[[#This Row],[City]])))</f>
        <v>Kanpur</v>
      </c>
      <c r="AG527" t="str">
        <f>_xlfn.LET(_xlpm.city,LOWER(TRIM(tbl_FinancialData[[#This Row],[City]])),_xlpm.st,PROPER(TRIM(tbl_FinancialData[[#This Row],[State]])),IF(_xlpm.city="pune","Maharashtra",IF(_xlpm.city="jamshedpur","Jharkhand",IF(_xlpm.city="bhilai","Chhattisgarh",IF(_xlpm.city="mumbai","Maharashtra",_xlpm.st)))))</f>
        <v>Uttar Pradesh</v>
      </c>
      <c r="AH527" t="str">
        <f>_xlfn.LET(_xlpm.d,PROPER(TRIM(tbl_FinancialData[[#This Row],[Department]])),IF(_xlpm.d="It","IT",_xlpm.d))</f>
        <v>Finance</v>
      </c>
      <c r="AI527" t="str">
        <f>_xlfn.LET(_xlpm.pid,tbl_FinancialData[[#This Row],[Product ID]],_xlpm.n,PROPER(TRIM(tbl_FinancialData[[#This Row],[Product Name]])),IF(_xlpm.pid="P020","Document Scanner",IF(_xlpm.pid="P015","Network Router",SUBSTITUTE(SUBSTITUTE(_xlpm.n,"Crm","CRM"),"Ups","UPS"))))</f>
        <v>Mouse</v>
      </c>
      <c r="AJ527" s="3" t="str">
        <f>UPPER(TRIM(tbl_FinancialData[[#This Row],[Cost Center]]))</f>
        <v>CC-1005</v>
      </c>
    </row>
    <row r="528" spans="1:36" x14ac:dyDescent="0.25">
      <c r="A528" s="3" t="s">
        <v>730</v>
      </c>
      <c r="B528" s="2">
        <v>46047</v>
      </c>
      <c r="C528" t="s">
        <v>77</v>
      </c>
      <c r="D528" s="3" t="str">
        <f t="shared" si="35"/>
        <v>Q4</v>
      </c>
      <c r="E528" s="3" t="str">
        <f t="shared" si="36"/>
        <v>FY2026</v>
      </c>
      <c r="F528" s="8" t="s">
        <v>47</v>
      </c>
      <c r="G528" s="3" t="s">
        <v>35</v>
      </c>
      <c r="H528" t="s">
        <v>206</v>
      </c>
      <c r="I528" t="s">
        <v>207</v>
      </c>
      <c r="J528" s="3" t="s">
        <v>38</v>
      </c>
      <c r="K528" t="s">
        <v>160</v>
      </c>
      <c r="L528" s="3" t="s">
        <v>72</v>
      </c>
      <c r="M528" s="3" t="s">
        <v>141</v>
      </c>
      <c r="N528" t="s">
        <v>142</v>
      </c>
      <c r="O528" t="s">
        <v>54</v>
      </c>
      <c r="P528" t="s">
        <v>143</v>
      </c>
      <c r="Q528" s="3">
        <v>6817.89</v>
      </c>
      <c r="R528" s="3">
        <v>6306.27</v>
      </c>
      <c r="S528" s="3">
        <v>4208.2700000000004</v>
      </c>
      <c r="T528" s="3">
        <v>479.24</v>
      </c>
      <c r="U528" s="3">
        <v>271.52</v>
      </c>
      <c r="V528" s="3">
        <v>279</v>
      </c>
      <c r="W528" s="3">
        <v>99.28</v>
      </c>
      <c r="X528" s="3">
        <v>5337.31</v>
      </c>
      <c r="Y528" s="3">
        <v>2609.62</v>
      </c>
      <c r="Z528" s="3">
        <f t="shared" si="37"/>
        <v>1480.58</v>
      </c>
      <c r="AA528" s="37">
        <f t="shared" si="38"/>
        <v>0.21716102782532423</v>
      </c>
      <c r="AB528" s="3">
        <v>511.62</v>
      </c>
      <c r="AC528" s="3">
        <v>136.36000000000001</v>
      </c>
      <c r="AD528" s="3">
        <v>334.08</v>
      </c>
      <c r="AE528" s="3">
        <v>7015.61</v>
      </c>
      <c r="AF528" t="str">
        <f>IF(tbl_FinancialData[[#This Row],[City]]="","Unknown",PROPER(TRIM(tbl_FinancialData[[#This Row],[City]])))</f>
        <v>Nizamabad</v>
      </c>
      <c r="AG528" t="str">
        <f>_xlfn.LET(_xlpm.city,LOWER(TRIM(tbl_FinancialData[[#This Row],[City]])),_xlpm.st,PROPER(TRIM(tbl_FinancialData[[#This Row],[State]])),IF(_xlpm.city="pune","Maharashtra",IF(_xlpm.city="jamshedpur","Jharkhand",IF(_xlpm.city="bhilai","Chhattisgarh",IF(_xlpm.city="mumbai","Maharashtra",_xlpm.st)))))</f>
        <v>Telangana</v>
      </c>
      <c r="AH528" t="str">
        <f>_xlfn.LET(_xlpm.d,PROPER(TRIM(tbl_FinancialData[[#This Row],[Department]])),IF(_xlpm.d="It","IT",_xlpm.d))</f>
        <v>IT</v>
      </c>
      <c r="AI528" t="str">
        <f>_xlfn.LET(_xlpm.pid,tbl_FinancialData[[#This Row],[Product ID]],_xlpm.n,PROPER(TRIM(tbl_FinancialData[[#This Row],[Product Name]])),IF(_xlpm.pid="P020","Document Scanner",IF(_xlpm.pid="P015","Network Router",SUBSTITUTE(SUBSTITUTE(_xlpm.n,"Crm","CRM"),"Ups","UPS"))))</f>
        <v>Headset</v>
      </c>
      <c r="AJ528" s="3" t="str">
        <f>UPPER(TRIM(tbl_FinancialData[[#This Row],[Cost Center]]))</f>
        <v>CC-1004</v>
      </c>
    </row>
    <row r="529" spans="1:36" x14ac:dyDescent="0.25">
      <c r="A529" s="3" t="s">
        <v>731</v>
      </c>
      <c r="B529" s="2">
        <v>45752</v>
      </c>
      <c r="C529" t="s">
        <v>128</v>
      </c>
      <c r="D529" s="3" t="str">
        <f t="shared" si="35"/>
        <v>Q1</v>
      </c>
      <c r="E529" s="3" t="str">
        <f t="shared" si="36"/>
        <v>FY2026</v>
      </c>
      <c r="F529" s="8" t="s">
        <v>59</v>
      </c>
      <c r="G529" s="3" t="s">
        <v>35</v>
      </c>
      <c r="H529" t="s">
        <v>60</v>
      </c>
      <c r="I529" t="s">
        <v>61</v>
      </c>
      <c r="J529" s="3" t="s">
        <v>80</v>
      </c>
      <c r="K529" t="s">
        <v>50</v>
      </c>
      <c r="L529" s="3" t="s">
        <v>51</v>
      </c>
      <c r="M529" s="3" t="s">
        <v>141</v>
      </c>
      <c r="N529" t="s">
        <v>142</v>
      </c>
      <c r="O529" t="s">
        <v>54</v>
      </c>
      <c r="P529" t="s">
        <v>143</v>
      </c>
      <c r="Q529" s="3">
        <v>3435.05</v>
      </c>
      <c r="R529" s="3">
        <v>3455.6</v>
      </c>
      <c r="S529" s="3">
        <v>1806.98</v>
      </c>
      <c r="T529" s="3">
        <v>263.49</v>
      </c>
      <c r="U529" s="3">
        <v>248.36</v>
      </c>
      <c r="V529" s="3">
        <v>321.32</v>
      </c>
      <c r="W529" s="3">
        <v>42.98</v>
      </c>
      <c r="X529" s="3">
        <v>2683.12</v>
      </c>
      <c r="Y529" s="3">
        <v>1628.08</v>
      </c>
      <c r="Z529" s="3">
        <f t="shared" si="37"/>
        <v>751.93000000000029</v>
      </c>
      <c r="AA529" s="37">
        <f t="shared" si="38"/>
        <v>0.21889928821996776</v>
      </c>
      <c r="AB529" s="3">
        <v>-20.55</v>
      </c>
      <c r="AC529" s="3">
        <v>171.75</v>
      </c>
      <c r="AD529" s="3">
        <v>163.16</v>
      </c>
      <c r="AE529" s="3">
        <v>3426.46</v>
      </c>
      <c r="AF529" t="str">
        <f>IF(tbl_FinancialData[[#This Row],[City]]="","Unknown",PROPER(TRIM(tbl_FinancialData[[#This Row],[City]])))</f>
        <v>Lucknow</v>
      </c>
      <c r="AG529" t="str">
        <f>_xlfn.LET(_xlpm.city,LOWER(TRIM(tbl_FinancialData[[#This Row],[City]])),_xlpm.st,PROPER(TRIM(tbl_FinancialData[[#This Row],[State]])),IF(_xlpm.city="pune","Maharashtra",IF(_xlpm.city="jamshedpur","Jharkhand",IF(_xlpm.city="bhilai","Chhattisgarh",IF(_xlpm.city="mumbai","Maharashtra",_xlpm.st)))))</f>
        <v>Uttar Pradesh</v>
      </c>
      <c r="AH529" t="str">
        <f>_xlfn.LET(_xlpm.d,PROPER(TRIM(tbl_FinancialData[[#This Row],[Department]])),IF(_xlpm.d="It","IT",_xlpm.d))</f>
        <v>Sales</v>
      </c>
      <c r="AI529" t="str">
        <f>_xlfn.LET(_xlpm.pid,tbl_FinancialData[[#This Row],[Product ID]],_xlpm.n,PROPER(TRIM(tbl_FinancialData[[#This Row],[Product Name]])),IF(_xlpm.pid="P020","Document Scanner",IF(_xlpm.pid="P015","Network Router",SUBSTITUTE(SUBSTITUTE(_xlpm.n,"Crm","CRM"),"Ups","UPS"))))</f>
        <v>Headset</v>
      </c>
      <c r="AJ529" s="3" t="str">
        <f>UPPER(TRIM(tbl_FinancialData[[#This Row],[Cost Center]]))</f>
        <v>CC-1003</v>
      </c>
    </row>
    <row r="530" spans="1:36" x14ac:dyDescent="0.25">
      <c r="A530" s="3" t="s">
        <v>732</v>
      </c>
      <c r="B530" s="2">
        <v>46095</v>
      </c>
      <c r="C530" t="s">
        <v>125</v>
      </c>
      <c r="D530" s="3" t="str">
        <f t="shared" si="35"/>
        <v>Q4</v>
      </c>
      <c r="E530" s="3" t="str">
        <f t="shared" si="36"/>
        <v>FY2026</v>
      </c>
      <c r="F530" s="8" t="s">
        <v>67</v>
      </c>
      <c r="G530" s="3" t="s">
        <v>35</v>
      </c>
      <c r="H530" t="s">
        <v>168</v>
      </c>
      <c r="I530" t="s">
        <v>251</v>
      </c>
      <c r="J530" s="3" t="s">
        <v>80</v>
      </c>
      <c r="K530" t="s">
        <v>39</v>
      </c>
      <c r="L530" s="3" t="s">
        <v>94</v>
      </c>
      <c r="M530" s="3" t="s">
        <v>171</v>
      </c>
      <c r="N530" t="s">
        <v>172</v>
      </c>
      <c r="O530" t="s">
        <v>173</v>
      </c>
      <c r="P530" t="s">
        <v>174</v>
      </c>
      <c r="Q530" s="3">
        <v>19056.849999999999</v>
      </c>
      <c r="R530" s="3">
        <v>20407.330000000002</v>
      </c>
      <c r="S530" s="3">
        <v>12489.18</v>
      </c>
      <c r="T530" s="3">
        <v>2352.39</v>
      </c>
      <c r="U530" s="3">
        <v>1605.95</v>
      </c>
      <c r="V530" s="3">
        <v>1888.83</v>
      </c>
      <c r="W530" s="3">
        <v>322.52</v>
      </c>
      <c r="X530" s="3">
        <v>18658.87</v>
      </c>
      <c r="Y530" s="3">
        <v>6567.67</v>
      </c>
      <c r="Z530" s="3">
        <f t="shared" si="37"/>
        <v>397.97999999999956</v>
      </c>
      <c r="AA530" s="37">
        <f t="shared" si="38"/>
        <v>2.088382917428639E-2</v>
      </c>
      <c r="AB530" s="3">
        <v>-1350.48</v>
      </c>
      <c r="AC530" s="3">
        <v>1524.55</v>
      </c>
      <c r="AD530" s="3">
        <v>876.62</v>
      </c>
      <c r="AE530" s="3">
        <v>18408.919999999998</v>
      </c>
      <c r="AF530" t="str">
        <f>IF(tbl_FinancialData[[#This Row],[City]]="","Unknown",PROPER(TRIM(tbl_FinancialData[[#This Row],[City]])))</f>
        <v>Durgapur</v>
      </c>
      <c r="AG530" t="str">
        <f>_xlfn.LET(_xlpm.city,LOWER(TRIM(tbl_FinancialData[[#This Row],[City]])),_xlpm.st,PROPER(TRIM(tbl_FinancialData[[#This Row],[State]])),IF(_xlpm.city="pune","Maharashtra",IF(_xlpm.city="jamshedpur","Jharkhand",IF(_xlpm.city="bhilai","Chhattisgarh",IF(_xlpm.city="mumbai","Maharashtra",_xlpm.st)))))</f>
        <v>West Bengal</v>
      </c>
      <c r="AH530" t="str">
        <f>_xlfn.LET(_xlpm.d,PROPER(TRIM(tbl_FinancialData[[#This Row],[Department]])),IF(_xlpm.d="It","IT",_xlpm.d))</f>
        <v>Operations</v>
      </c>
      <c r="AI530" t="str">
        <f>_xlfn.LET(_xlpm.pid,tbl_FinancialData[[#This Row],[Product ID]],_xlpm.n,PROPER(TRIM(tbl_FinancialData[[#This Row],[Product Name]])),IF(_xlpm.pid="P020","Document Scanner",IF(_xlpm.pid="P015","Network Router",SUBSTITUTE(SUBSTITUTE(_xlpm.n,"Crm","CRM"),"Ups","UPS"))))</f>
        <v>Network Switch</v>
      </c>
      <c r="AJ530" s="3" t="str">
        <f>UPPER(TRIM(tbl_FinancialData[[#This Row],[Cost Center]]))</f>
        <v>CC-1001</v>
      </c>
    </row>
    <row r="531" spans="1:36" x14ac:dyDescent="0.25">
      <c r="A531" s="3" t="s">
        <v>733</v>
      </c>
      <c r="B531" s="2">
        <v>45962</v>
      </c>
      <c r="C531" t="s">
        <v>147</v>
      </c>
      <c r="D531" s="3" t="str">
        <f t="shared" si="35"/>
        <v>Q3</v>
      </c>
      <c r="E531" s="3" t="str">
        <f t="shared" si="36"/>
        <v>FY2026</v>
      </c>
      <c r="F531" s="8" t="s">
        <v>34</v>
      </c>
      <c r="G531" s="3" t="s">
        <v>35</v>
      </c>
      <c r="H531" t="s">
        <v>134</v>
      </c>
      <c r="I531" t="s">
        <v>176</v>
      </c>
      <c r="J531" s="3" t="s">
        <v>100</v>
      </c>
      <c r="K531" t="s">
        <v>71</v>
      </c>
      <c r="L531" s="3" t="s">
        <v>51</v>
      </c>
      <c r="M531" s="3" t="s">
        <v>161</v>
      </c>
      <c r="N531" t="s">
        <v>162</v>
      </c>
      <c r="O531" t="s">
        <v>43</v>
      </c>
      <c r="P531" t="s">
        <v>163</v>
      </c>
      <c r="Q531" s="3">
        <v>36314.129999999997</v>
      </c>
      <c r="R531" s="3">
        <v>42459.07</v>
      </c>
      <c r="S531" s="3">
        <v>18263.75</v>
      </c>
      <c r="T531" s="3">
        <v>1881.22</v>
      </c>
      <c r="U531" s="3">
        <v>1039.45</v>
      </c>
      <c r="V531" s="3">
        <v>1604.81</v>
      </c>
      <c r="W531" s="3">
        <v>1516.97</v>
      </c>
      <c r="X531" s="3">
        <v>24306.19</v>
      </c>
      <c r="Y531" s="3">
        <v>18050.38</v>
      </c>
      <c r="Z531" s="3">
        <f t="shared" si="37"/>
        <v>12007.939999999999</v>
      </c>
      <c r="AA531" s="37">
        <f t="shared" si="38"/>
        <v>0.33066853040400523</v>
      </c>
      <c r="AB531" s="3">
        <v>-6144.94</v>
      </c>
      <c r="AC531" s="3">
        <v>1815.71</v>
      </c>
      <c r="AD531" s="3">
        <v>6209.72</v>
      </c>
      <c r="AE531" s="3">
        <v>40708.14</v>
      </c>
      <c r="AF531" t="str">
        <f>IF(tbl_FinancialData[[#This Row],[City]]="","Unknown",PROPER(TRIM(tbl_FinancialData[[#This Row],[City]])))</f>
        <v>Jaipur</v>
      </c>
      <c r="AG531" t="str">
        <f>_xlfn.LET(_xlpm.city,LOWER(TRIM(tbl_FinancialData[[#This Row],[City]])),_xlpm.st,PROPER(TRIM(tbl_FinancialData[[#This Row],[State]])),IF(_xlpm.city="pune","Maharashtra",IF(_xlpm.city="jamshedpur","Jharkhand",IF(_xlpm.city="bhilai","Chhattisgarh",IF(_xlpm.city="mumbai","Maharashtra",_xlpm.st)))))</f>
        <v>Rajasthan</v>
      </c>
      <c r="AH531" t="str">
        <f>_xlfn.LET(_xlpm.d,PROPER(TRIM(tbl_FinancialData[[#This Row],[Department]])),IF(_xlpm.d="It","IT",_xlpm.d))</f>
        <v>Marketing</v>
      </c>
      <c r="AI531" t="str">
        <f>_xlfn.LET(_xlpm.pid,tbl_FinancialData[[#This Row],[Product ID]],_xlpm.n,PROPER(TRIM(tbl_FinancialData[[#This Row],[Product Name]])),IF(_xlpm.pid="P020","Document Scanner",IF(_xlpm.pid="P015","Network Router",SUBSTITUTE(SUBSTITUTE(_xlpm.n,"Crm","CRM"),"Ups","UPS"))))</f>
        <v>Tablet</v>
      </c>
      <c r="AJ531" s="3" t="str">
        <f>UPPER(TRIM(tbl_FinancialData[[#This Row],[Cost Center]]))</f>
        <v>CC-1003</v>
      </c>
    </row>
    <row r="532" spans="1:36" x14ac:dyDescent="0.25">
      <c r="A532" s="3" t="s">
        <v>734</v>
      </c>
      <c r="B532" s="2">
        <v>46025</v>
      </c>
      <c r="C532" t="s">
        <v>77</v>
      </c>
      <c r="D532" s="3" t="str">
        <f t="shared" si="35"/>
        <v>Q4</v>
      </c>
      <c r="E532" s="3" t="str">
        <f t="shared" si="36"/>
        <v>FY2026</v>
      </c>
      <c r="F532" s="8" t="s">
        <v>34</v>
      </c>
      <c r="G532" s="3" t="s">
        <v>35</v>
      </c>
      <c r="H532" t="s">
        <v>98</v>
      </c>
      <c r="I532" t="s">
        <v>149</v>
      </c>
      <c r="J532" s="3" t="s">
        <v>70</v>
      </c>
      <c r="K532" t="s">
        <v>101</v>
      </c>
      <c r="L532" s="3" t="s">
        <v>81</v>
      </c>
      <c r="M532" s="3" t="s">
        <v>189</v>
      </c>
      <c r="N532" t="s">
        <v>190</v>
      </c>
      <c r="O532" t="s">
        <v>104</v>
      </c>
      <c r="P532" t="s">
        <v>105</v>
      </c>
      <c r="Q532" s="3">
        <v>7552.3</v>
      </c>
      <c r="R532" s="3">
        <v>7363.12</v>
      </c>
      <c r="S532" s="3">
        <v>3689.6</v>
      </c>
      <c r="T532" s="3">
        <v>460.23</v>
      </c>
      <c r="U532" s="3">
        <v>563.87</v>
      </c>
      <c r="V532" s="3">
        <v>312.99</v>
      </c>
      <c r="W532" s="3">
        <v>322.47000000000003</v>
      </c>
      <c r="X532" s="3">
        <v>5349.16</v>
      </c>
      <c r="Y532" s="3">
        <v>3862.7</v>
      </c>
      <c r="Z532" s="3">
        <f t="shared" si="37"/>
        <v>2203.1400000000003</v>
      </c>
      <c r="AA532" s="37">
        <f t="shared" si="38"/>
        <v>0.2917177548561366</v>
      </c>
      <c r="AB532" s="3">
        <v>189.18</v>
      </c>
      <c r="AC532" s="3">
        <v>0</v>
      </c>
      <c r="AD532" s="3">
        <v>1359.41</v>
      </c>
      <c r="AE532" s="3">
        <v>8911.7099999999991</v>
      </c>
      <c r="AF532" t="str">
        <f>IF(tbl_FinancialData[[#This Row],[City]]="","Unknown",PROPER(TRIM(tbl_FinancialData[[#This Row],[City]])))</f>
        <v>Nagpur</v>
      </c>
      <c r="AG532" t="str">
        <f>_xlfn.LET(_xlpm.city,LOWER(TRIM(tbl_FinancialData[[#This Row],[City]])),_xlpm.st,PROPER(TRIM(tbl_FinancialData[[#This Row],[State]])),IF(_xlpm.city="pune","Maharashtra",IF(_xlpm.city="jamshedpur","Jharkhand",IF(_xlpm.city="bhilai","Chhattisgarh",IF(_xlpm.city="mumbai","Maharashtra",_xlpm.st)))))</f>
        <v>Maharashtra</v>
      </c>
      <c r="AH532" t="str">
        <f>_xlfn.LET(_xlpm.d,PROPER(TRIM(tbl_FinancialData[[#This Row],[Department]])),IF(_xlpm.d="It","IT",_xlpm.d))</f>
        <v>Finance</v>
      </c>
      <c r="AI532" t="str">
        <f>_xlfn.LET(_xlpm.pid,tbl_FinancialData[[#This Row],[Product ID]],_xlpm.n,PROPER(TRIM(tbl_FinancialData[[#This Row],[Product Name]])),IF(_xlpm.pid="P020","Document Scanner",IF(_xlpm.pid="P015","Network Router",SUBSTITUTE(SUBSTITUTE(_xlpm.n,"Crm","CRM"),"Ups","UPS"))))</f>
        <v>CRM Software</v>
      </c>
      <c r="AJ532" s="3" t="str">
        <f>UPPER(TRIM(tbl_FinancialData[[#This Row],[Cost Center]]))</f>
        <v>CC-1005</v>
      </c>
    </row>
    <row r="533" spans="1:36" x14ac:dyDescent="0.25">
      <c r="A533" s="3" t="s">
        <v>735</v>
      </c>
      <c r="B533" s="2">
        <v>45992</v>
      </c>
      <c r="C533" t="s">
        <v>107</v>
      </c>
      <c r="D533" s="3" t="str">
        <f t="shared" si="35"/>
        <v>Q3</v>
      </c>
      <c r="E533" s="3" t="str">
        <f t="shared" si="36"/>
        <v>FY2026</v>
      </c>
      <c r="F533" s="8" t="s">
        <v>85</v>
      </c>
      <c r="G533" s="3" t="s">
        <v>35</v>
      </c>
      <c r="H533" t="s">
        <v>60</v>
      </c>
      <c r="I533" t="s">
        <v>61</v>
      </c>
      <c r="J533" s="3" t="s">
        <v>38</v>
      </c>
      <c r="K533" t="s">
        <v>50</v>
      </c>
      <c r="L533" s="3" t="s">
        <v>81</v>
      </c>
      <c r="M533" s="3" t="s">
        <v>82</v>
      </c>
      <c r="N533" t="s">
        <v>83</v>
      </c>
      <c r="O533" t="s">
        <v>43</v>
      </c>
      <c r="P533" t="s">
        <v>75</v>
      </c>
      <c r="Q533" s="3">
        <v>24428.14</v>
      </c>
      <c r="R533" s="3">
        <v>24607.64</v>
      </c>
      <c r="S533" s="3">
        <v>13539</v>
      </c>
      <c r="T533" s="3">
        <v>1769.84</v>
      </c>
      <c r="U533" s="3">
        <v>2154.44</v>
      </c>
      <c r="V533" s="3">
        <v>1276.8399999999999</v>
      </c>
      <c r="W533" s="3">
        <v>871.27</v>
      </c>
      <c r="X533" s="3">
        <v>19611.38</v>
      </c>
      <c r="Y533" s="3">
        <v>10889.14</v>
      </c>
      <c r="Z533" s="3">
        <f t="shared" si="37"/>
        <v>4816.7599999999984</v>
      </c>
      <c r="AA533" s="37">
        <f t="shared" si="38"/>
        <v>0.19718079231574728</v>
      </c>
      <c r="AB533" s="3">
        <v>-179.49</v>
      </c>
      <c r="AC533" s="3">
        <v>0</v>
      </c>
      <c r="AD533" s="3">
        <v>2931.38</v>
      </c>
      <c r="AE533" s="3">
        <v>27359.52</v>
      </c>
      <c r="AF533" t="str">
        <f>IF(tbl_FinancialData[[#This Row],[City]]="","Unknown",PROPER(TRIM(tbl_FinancialData[[#This Row],[City]])))</f>
        <v>Lucknow</v>
      </c>
      <c r="AG533" t="str">
        <f>_xlfn.LET(_xlpm.city,LOWER(TRIM(tbl_FinancialData[[#This Row],[City]])),_xlpm.st,PROPER(TRIM(tbl_FinancialData[[#This Row],[State]])),IF(_xlpm.city="pune","Maharashtra",IF(_xlpm.city="jamshedpur","Jharkhand",IF(_xlpm.city="bhilai","Chhattisgarh",IF(_xlpm.city="mumbai","Maharashtra",_xlpm.st)))))</f>
        <v>Uttar Pradesh</v>
      </c>
      <c r="AH533" t="str">
        <f>_xlfn.LET(_xlpm.d,PROPER(TRIM(tbl_FinancialData[[#This Row],[Department]])),IF(_xlpm.d="It","IT",_xlpm.d))</f>
        <v>Sales</v>
      </c>
      <c r="AI533" t="str">
        <f>_xlfn.LET(_xlpm.pid,tbl_FinancialData[[#This Row],[Product ID]],_xlpm.n,PROPER(TRIM(tbl_FinancialData[[#This Row],[Product Name]])),IF(_xlpm.pid="P020","Document Scanner",IF(_xlpm.pid="P015","Network Router",SUBSTITUTE(SUBSTITUTE(_xlpm.n,"Crm","CRM"),"Ups","UPS"))))</f>
        <v>Business Laptop</v>
      </c>
      <c r="AJ533" s="3" t="str">
        <f>UPPER(TRIM(tbl_FinancialData[[#This Row],[Cost Center]]))</f>
        <v>CC-1005</v>
      </c>
    </row>
    <row r="534" spans="1:36" x14ac:dyDescent="0.25">
      <c r="A534" s="3" t="s">
        <v>736</v>
      </c>
      <c r="B534" s="2">
        <v>45872</v>
      </c>
      <c r="C534" t="s">
        <v>117</v>
      </c>
      <c r="D534" s="3" t="str">
        <f t="shared" si="35"/>
        <v>Q2</v>
      </c>
      <c r="E534" s="3" t="str">
        <f t="shared" si="36"/>
        <v>FY2026</v>
      </c>
      <c r="F534" s="8" t="s">
        <v>85</v>
      </c>
      <c r="G534" s="3" t="s">
        <v>35</v>
      </c>
      <c r="H534" t="s">
        <v>60</v>
      </c>
      <c r="I534" t="s">
        <v>185</v>
      </c>
      <c r="J534" s="3" t="s">
        <v>70</v>
      </c>
      <c r="K534" t="s">
        <v>71</v>
      </c>
      <c r="L534" s="3" t="s">
        <v>40</v>
      </c>
      <c r="M534" s="3" t="s">
        <v>161</v>
      </c>
      <c r="N534" t="s">
        <v>162</v>
      </c>
      <c r="O534" t="s">
        <v>43</v>
      </c>
      <c r="P534" t="s">
        <v>163</v>
      </c>
      <c r="Q534" s="3">
        <v>29750.720000000001</v>
      </c>
      <c r="R534" s="3">
        <v>34712.42</v>
      </c>
      <c r="S534" s="3">
        <v>20872.87</v>
      </c>
      <c r="T534" s="3">
        <v>2575.98</v>
      </c>
      <c r="U534" s="3">
        <v>2380.14</v>
      </c>
      <c r="V534" s="3">
        <v>2266.58</v>
      </c>
      <c r="W534" s="3">
        <v>739.41</v>
      </c>
      <c r="X534" s="3">
        <v>28834.97</v>
      </c>
      <c r="Y534" s="3">
        <v>8877.86</v>
      </c>
      <c r="Z534" s="3">
        <f t="shared" si="37"/>
        <v>915.75</v>
      </c>
      <c r="AA534" s="37">
        <f t="shared" si="38"/>
        <v>3.0780767658732291E-2</v>
      </c>
      <c r="AB534" s="3">
        <v>-4961.7</v>
      </c>
      <c r="AC534" s="3">
        <v>0</v>
      </c>
      <c r="AD534" s="3">
        <v>3570.09</v>
      </c>
      <c r="AE534" s="3">
        <v>33320.81</v>
      </c>
      <c r="AF534" t="str">
        <f>IF(tbl_FinancialData[[#This Row],[City]]="","Unknown",PROPER(TRIM(tbl_FinancialData[[#This Row],[City]])))</f>
        <v>Kanpur</v>
      </c>
      <c r="AG534" t="str">
        <f>_xlfn.LET(_xlpm.city,LOWER(TRIM(tbl_FinancialData[[#This Row],[City]])),_xlpm.st,PROPER(TRIM(tbl_FinancialData[[#This Row],[State]])),IF(_xlpm.city="pune","Maharashtra",IF(_xlpm.city="jamshedpur","Jharkhand",IF(_xlpm.city="bhilai","Chhattisgarh",IF(_xlpm.city="mumbai","Maharashtra",_xlpm.st)))))</f>
        <v>Uttar Pradesh</v>
      </c>
      <c r="AH534" t="str">
        <f>_xlfn.LET(_xlpm.d,PROPER(TRIM(tbl_FinancialData[[#This Row],[Department]])),IF(_xlpm.d="It","IT",_xlpm.d))</f>
        <v>Marketing</v>
      </c>
      <c r="AI534" t="str">
        <f>_xlfn.LET(_xlpm.pid,tbl_FinancialData[[#This Row],[Product ID]],_xlpm.n,PROPER(TRIM(tbl_FinancialData[[#This Row],[Product Name]])),IF(_xlpm.pid="P020","Document Scanner",IF(_xlpm.pid="P015","Network Router",SUBSTITUTE(SUBSTITUTE(_xlpm.n,"Crm","CRM"),"Ups","UPS"))))</f>
        <v>Tablet</v>
      </c>
      <c r="AJ534" s="3" t="str">
        <f>UPPER(TRIM(tbl_FinancialData[[#This Row],[Cost Center]]))</f>
        <v>CC-1002</v>
      </c>
    </row>
    <row r="535" spans="1:36" x14ac:dyDescent="0.25">
      <c r="A535" s="3" t="s">
        <v>737</v>
      </c>
      <c r="B535" s="2">
        <v>45773</v>
      </c>
      <c r="C535" t="s">
        <v>128</v>
      </c>
      <c r="D535" s="3" t="str">
        <f t="shared" si="35"/>
        <v>Q1</v>
      </c>
      <c r="E535" s="3" t="str">
        <f t="shared" si="36"/>
        <v>FY2026</v>
      </c>
      <c r="F535" s="8" t="s">
        <v>67</v>
      </c>
      <c r="G535" s="3" t="s">
        <v>35</v>
      </c>
      <c r="H535" t="s">
        <v>118</v>
      </c>
      <c r="I535" t="s">
        <v>119</v>
      </c>
      <c r="J535" s="3" t="s">
        <v>70</v>
      </c>
      <c r="K535" t="s">
        <v>71</v>
      </c>
      <c r="L535" s="3" t="s">
        <v>81</v>
      </c>
      <c r="M535" s="3" t="s">
        <v>141</v>
      </c>
      <c r="N535" t="s">
        <v>142</v>
      </c>
      <c r="O535" t="s">
        <v>54</v>
      </c>
      <c r="P535" t="s">
        <v>143</v>
      </c>
      <c r="Q535" s="3">
        <v>7065.11</v>
      </c>
      <c r="R535" s="3">
        <v>7043.95</v>
      </c>
      <c r="S535" s="3">
        <v>4080.7</v>
      </c>
      <c r="T535" s="3">
        <v>679.36</v>
      </c>
      <c r="U535" s="3">
        <v>246.51</v>
      </c>
      <c r="V535" s="3">
        <v>382.44</v>
      </c>
      <c r="W535" s="3">
        <v>141.21</v>
      </c>
      <c r="X535" s="3">
        <v>5530.24</v>
      </c>
      <c r="Y535" s="3">
        <v>2984.41</v>
      </c>
      <c r="Z535" s="3">
        <f t="shared" si="37"/>
        <v>1534.87</v>
      </c>
      <c r="AA535" s="37">
        <f t="shared" si="38"/>
        <v>0.2172464406074357</v>
      </c>
      <c r="AB535" s="3">
        <v>21.16</v>
      </c>
      <c r="AC535" s="3">
        <v>706.51</v>
      </c>
      <c r="AD535" s="3">
        <v>1144.55</v>
      </c>
      <c r="AE535" s="3">
        <v>7503.15</v>
      </c>
      <c r="AF535" t="str">
        <f>IF(tbl_FinancialData[[#This Row],[City]]="","Unknown",PROPER(TRIM(tbl_FinancialData[[#This Row],[City]])))</f>
        <v>Ranchi</v>
      </c>
      <c r="AG535" t="str">
        <f>_xlfn.LET(_xlpm.city,LOWER(TRIM(tbl_FinancialData[[#This Row],[City]])),_xlpm.st,PROPER(TRIM(tbl_FinancialData[[#This Row],[State]])),IF(_xlpm.city="pune","Maharashtra",IF(_xlpm.city="jamshedpur","Jharkhand",IF(_xlpm.city="bhilai","Chhattisgarh",IF(_xlpm.city="mumbai","Maharashtra",_xlpm.st)))))</f>
        <v>Jharkhand</v>
      </c>
      <c r="AH535" t="str">
        <f>_xlfn.LET(_xlpm.d,PROPER(TRIM(tbl_FinancialData[[#This Row],[Department]])),IF(_xlpm.d="It","IT",_xlpm.d))</f>
        <v>Marketing</v>
      </c>
      <c r="AI535" t="str">
        <f>_xlfn.LET(_xlpm.pid,tbl_FinancialData[[#This Row],[Product ID]],_xlpm.n,PROPER(TRIM(tbl_FinancialData[[#This Row],[Product Name]])),IF(_xlpm.pid="P020","Document Scanner",IF(_xlpm.pid="P015","Network Router",SUBSTITUTE(SUBSTITUTE(_xlpm.n,"Crm","CRM"),"Ups","UPS"))))</f>
        <v>Headset</v>
      </c>
      <c r="AJ535" s="3" t="str">
        <f>UPPER(TRIM(tbl_FinancialData[[#This Row],[Cost Center]]))</f>
        <v>CC-1005</v>
      </c>
    </row>
    <row r="536" spans="1:36" x14ac:dyDescent="0.25">
      <c r="A536" s="3" t="s">
        <v>738</v>
      </c>
      <c r="B536" s="2">
        <v>46100</v>
      </c>
      <c r="C536" t="s">
        <v>125</v>
      </c>
      <c r="D536" s="3" t="str">
        <f t="shared" si="35"/>
        <v>Q4</v>
      </c>
      <c r="E536" s="3" t="str">
        <f t="shared" si="36"/>
        <v>FY2026</v>
      </c>
      <c r="F536" s="8" t="s">
        <v>34</v>
      </c>
      <c r="G536" s="3" t="s">
        <v>35</v>
      </c>
      <c r="H536" t="s">
        <v>98</v>
      </c>
      <c r="I536" t="s">
        <v>304</v>
      </c>
      <c r="J536" s="3" t="s">
        <v>100</v>
      </c>
      <c r="K536" t="s">
        <v>71</v>
      </c>
      <c r="L536" s="3" t="s">
        <v>72</v>
      </c>
      <c r="M536" s="3" t="s">
        <v>197</v>
      </c>
      <c r="N536" t="s">
        <v>198</v>
      </c>
      <c r="O536" t="s">
        <v>43</v>
      </c>
      <c r="P536" t="s">
        <v>163</v>
      </c>
      <c r="Q536" s="3">
        <v>69391.289999999994</v>
      </c>
      <c r="R536" s="3">
        <v>78669.78</v>
      </c>
      <c r="S536" s="3">
        <v>35231.64</v>
      </c>
      <c r="T536" s="3">
        <v>8850.7800000000007</v>
      </c>
      <c r="U536" s="3">
        <v>6063.11</v>
      </c>
      <c r="V536" s="3">
        <v>4760.07</v>
      </c>
      <c r="W536" s="3">
        <v>853.95</v>
      </c>
      <c r="X536" s="3">
        <v>55759.56</v>
      </c>
      <c r="Y536" s="3">
        <v>34159.65</v>
      </c>
      <c r="Z536" s="3">
        <f t="shared" si="37"/>
        <v>13631.729999999996</v>
      </c>
      <c r="AA536" s="37">
        <f t="shared" si="38"/>
        <v>0.19644727746090318</v>
      </c>
      <c r="AB536" s="3">
        <v>-9278.49</v>
      </c>
      <c r="AC536" s="3">
        <v>0</v>
      </c>
      <c r="AD536" s="3">
        <v>12490.43</v>
      </c>
      <c r="AE536" s="3">
        <v>81881.72</v>
      </c>
      <c r="AF536" t="str">
        <f>IF(tbl_FinancialData[[#This Row],[City]]="","Unknown",PROPER(TRIM(tbl_FinancialData[[#This Row],[City]])))</f>
        <v>Pune</v>
      </c>
      <c r="AG536" t="str">
        <f>_xlfn.LET(_xlpm.city,LOWER(TRIM(tbl_FinancialData[[#This Row],[City]])),_xlpm.st,PROPER(TRIM(tbl_FinancialData[[#This Row],[State]])),IF(_xlpm.city="pune","Maharashtra",IF(_xlpm.city="jamshedpur","Jharkhand",IF(_xlpm.city="bhilai","Chhattisgarh",IF(_xlpm.city="mumbai","Maharashtra",_xlpm.st)))))</f>
        <v>Maharashtra</v>
      </c>
      <c r="AH536" t="str">
        <f>_xlfn.LET(_xlpm.d,PROPER(TRIM(tbl_FinancialData[[#This Row],[Department]])),IF(_xlpm.d="It","IT",_xlpm.d))</f>
        <v>Marketing</v>
      </c>
      <c r="AI536" t="str">
        <f>_xlfn.LET(_xlpm.pid,tbl_FinancialData[[#This Row],[Product ID]],_xlpm.n,PROPER(TRIM(tbl_FinancialData[[#This Row],[Product Name]])),IF(_xlpm.pid="P020","Document Scanner",IF(_xlpm.pid="P015","Network Router",SUBSTITUTE(SUBSTITUTE(_xlpm.n,"Crm","CRM"),"Ups","UPS"))))</f>
        <v>Smartphone</v>
      </c>
      <c r="AJ536" s="3" t="str">
        <f>UPPER(TRIM(tbl_FinancialData[[#This Row],[Cost Center]]))</f>
        <v>CC-1004</v>
      </c>
    </row>
    <row r="537" spans="1:36" x14ac:dyDescent="0.25">
      <c r="A537" s="3" t="s">
        <v>739</v>
      </c>
      <c r="B537" s="2">
        <v>45762</v>
      </c>
      <c r="C537" t="s">
        <v>128</v>
      </c>
      <c r="D537" s="3" t="str">
        <f t="shared" si="35"/>
        <v>Q1</v>
      </c>
      <c r="E537" s="3" t="str">
        <f t="shared" si="36"/>
        <v>FY2026</v>
      </c>
      <c r="F537" s="8" t="s">
        <v>47</v>
      </c>
      <c r="G537" s="3" t="s">
        <v>35</v>
      </c>
      <c r="H537" t="s">
        <v>78</v>
      </c>
      <c r="I537" t="s">
        <v>183</v>
      </c>
      <c r="J537" s="3" t="s">
        <v>70</v>
      </c>
      <c r="K537" t="s">
        <v>71</v>
      </c>
      <c r="L537" s="3" t="s">
        <v>81</v>
      </c>
      <c r="M537" s="3" t="s">
        <v>95</v>
      </c>
      <c r="N537" t="s">
        <v>96</v>
      </c>
      <c r="O537" t="s">
        <v>43</v>
      </c>
      <c r="P537" t="s">
        <v>90</v>
      </c>
      <c r="Q537" s="3">
        <v>68825.63</v>
      </c>
      <c r="R537" s="3">
        <v>78774.820000000007</v>
      </c>
      <c r="S537" s="3">
        <v>41052.239999999998</v>
      </c>
      <c r="T537" s="3">
        <v>6425.74</v>
      </c>
      <c r="U537" s="3">
        <v>5832.11</v>
      </c>
      <c r="V537" s="3">
        <v>7707.97</v>
      </c>
      <c r="W537" s="3">
        <v>1767.83</v>
      </c>
      <c r="X537" s="3">
        <v>62785.9</v>
      </c>
      <c r="Y537" s="3">
        <v>27773.39</v>
      </c>
      <c r="Z537" s="3">
        <f t="shared" si="37"/>
        <v>6039.7300000000032</v>
      </c>
      <c r="AA537" s="37">
        <f t="shared" si="38"/>
        <v>8.7754082309163067E-2</v>
      </c>
      <c r="AB537" s="3">
        <v>-9949.19</v>
      </c>
      <c r="AC537" s="3">
        <v>1376.51</v>
      </c>
      <c r="AD537" s="3">
        <v>8093.89</v>
      </c>
      <c r="AE537" s="3">
        <v>75543.009999999995</v>
      </c>
      <c r="AF537" t="str">
        <f>IF(tbl_FinancialData[[#This Row],[City]]="","Unknown",PROPER(TRIM(tbl_FinancialData[[#This Row],[City]])))</f>
        <v>Kozhikode</v>
      </c>
      <c r="AG537" t="str">
        <f>_xlfn.LET(_xlpm.city,LOWER(TRIM(tbl_FinancialData[[#This Row],[City]])),_xlpm.st,PROPER(TRIM(tbl_FinancialData[[#This Row],[State]])),IF(_xlpm.city="pune","Maharashtra",IF(_xlpm.city="jamshedpur","Jharkhand",IF(_xlpm.city="bhilai","Chhattisgarh",IF(_xlpm.city="mumbai","Maharashtra",_xlpm.st)))))</f>
        <v>Kerala</v>
      </c>
      <c r="AH537" t="str">
        <f>_xlfn.LET(_xlpm.d,PROPER(TRIM(tbl_FinancialData[[#This Row],[Department]])),IF(_xlpm.d="It","IT",_xlpm.d))</f>
        <v>Marketing</v>
      </c>
      <c r="AI537" t="str">
        <f>_xlfn.LET(_xlpm.pid,tbl_FinancialData[[#This Row],[Product ID]],_xlpm.n,PROPER(TRIM(tbl_FinancialData[[#This Row],[Product Name]])),IF(_xlpm.pid="P020","Document Scanner",IF(_xlpm.pid="P015","Network Router",SUBSTITUTE(SUBSTITUTE(_xlpm.n,"Crm","CRM"),"Ups","UPS"))))</f>
        <v>Document Scanner</v>
      </c>
      <c r="AJ537" s="3" t="str">
        <f>UPPER(TRIM(tbl_FinancialData[[#This Row],[Cost Center]]))</f>
        <v>CC-1005</v>
      </c>
    </row>
    <row r="538" spans="1:36" x14ac:dyDescent="0.25">
      <c r="A538" s="3" t="s">
        <v>740</v>
      </c>
      <c r="B538" s="2">
        <v>46002</v>
      </c>
      <c r="C538" t="s">
        <v>107</v>
      </c>
      <c r="D538" s="3" t="str">
        <f t="shared" si="35"/>
        <v>Q3</v>
      </c>
      <c r="E538" s="3" t="str">
        <f t="shared" si="36"/>
        <v>FY2026</v>
      </c>
      <c r="F538" s="8" t="s">
        <v>47</v>
      </c>
      <c r="G538" s="3" t="s">
        <v>35</v>
      </c>
      <c r="H538" t="s">
        <v>206</v>
      </c>
      <c r="I538" t="s">
        <v>296</v>
      </c>
      <c r="J538" s="3" t="s">
        <v>80</v>
      </c>
      <c r="K538" t="s">
        <v>50</v>
      </c>
      <c r="L538" s="3" t="s">
        <v>81</v>
      </c>
      <c r="M538" s="3" t="s">
        <v>120</v>
      </c>
      <c r="N538" t="s">
        <v>121</v>
      </c>
      <c r="O538" t="s">
        <v>43</v>
      </c>
      <c r="P538" t="s">
        <v>122</v>
      </c>
      <c r="Q538" s="3">
        <v>45381.74</v>
      </c>
      <c r="R538" s="3">
        <v>42874</v>
      </c>
      <c r="S538" s="3">
        <v>23511.05</v>
      </c>
      <c r="T538" s="3">
        <v>3404.29</v>
      </c>
      <c r="U538" s="3">
        <v>1446.97</v>
      </c>
      <c r="V538" s="3">
        <v>1882.97</v>
      </c>
      <c r="W538" s="3">
        <v>1731.88</v>
      </c>
      <c r="X538" s="3">
        <v>31977.16</v>
      </c>
      <c r="Y538" s="3">
        <v>21870.69</v>
      </c>
      <c r="Z538" s="3">
        <f t="shared" si="37"/>
        <v>13404.579999999998</v>
      </c>
      <c r="AA538" s="37">
        <f t="shared" si="38"/>
        <v>0.29537386622901629</v>
      </c>
      <c r="AB538" s="3">
        <v>2507.7399999999998</v>
      </c>
      <c r="AC538" s="3">
        <v>0</v>
      </c>
      <c r="AD538" s="3">
        <v>8168.71</v>
      </c>
      <c r="AE538" s="3">
        <v>53550.45</v>
      </c>
      <c r="AF538" t="str">
        <f>IF(tbl_FinancialData[[#This Row],[City]]="","Unknown",PROPER(TRIM(tbl_FinancialData[[#This Row],[City]])))</f>
        <v>Warangal</v>
      </c>
      <c r="AG538" t="str">
        <f>_xlfn.LET(_xlpm.city,LOWER(TRIM(tbl_FinancialData[[#This Row],[City]])),_xlpm.st,PROPER(TRIM(tbl_FinancialData[[#This Row],[State]])),IF(_xlpm.city="pune","Maharashtra",IF(_xlpm.city="jamshedpur","Jharkhand",IF(_xlpm.city="bhilai","Chhattisgarh",IF(_xlpm.city="mumbai","Maharashtra",_xlpm.st)))))</f>
        <v>Telangana</v>
      </c>
      <c r="AH538" t="str">
        <f>_xlfn.LET(_xlpm.d,PROPER(TRIM(tbl_FinancialData[[#This Row],[Department]])),IF(_xlpm.d="It","IT",_xlpm.d))</f>
        <v>Sales</v>
      </c>
      <c r="AI538" t="str">
        <f>_xlfn.LET(_xlpm.pid,tbl_FinancialData[[#This Row],[Product ID]],_xlpm.n,PROPER(TRIM(tbl_FinancialData[[#This Row],[Product Name]])),IF(_xlpm.pid="P020","Document Scanner",IF(_xlpm.pid="P015","Network Router",SUBSTITUTE(SUBSTITUTE(_xlpm.n,"Crm","CRM"),"Ups","UPS"))))</f>
        <v>Projector</v>
      </c>
      <c r="AJ538" s="3" t="str">
        <f>UPPER(TRIM(tbl_FinancialData[[#This Row],[Cost Center]]))</f>
        <v>CC-1005</v>
      </c>
    </row>
    <row r="539" spans="1:36" x14ac:dyDescent="0.25">
      <c r="A539" s="3" t="s">
        <v>741</v>
      </c>
      <c r="B539" s="2">
        <v>45852</v>
      </c>
      <c r="C539" t="s">
        <v>32</v>
      </c>
      <c r="D539" s="3" t="str">
        <f t="shared" si="35"/>
        <v>Q2</v>
      </c>
      <c r="E539" s="3" t="str">
        <f t="shared" si="36"/>
        <v>FY2026</v>
      </c>
      <c r="F539" s="8" t="s">
        <v>67</v>
      </c>
      <c r="G539" s="3" t="s">
        <v>35</v>
      </c>
      <c r="H539" t="s">
        <v>217</v>
      </c>
      <c r="I539" t="s">
        <v>241</v>
      </c>
      <c r="J539" s="3" t="s">
        <v>70</v>
      </c>
      <c r="K539" t="s">
        <v>50</v>
      </c>
      <c r="L539" s="3" t="s">
        <v>72</v>
      </c>
      <c r="M539" s="3" t="s">
        <v>189</v>
      </c>
      <c r="N539" t="s">
        <v>190</v>
      </c>
      <c r="O539" t="s">
        <v>104</v>
      </c>
      <c r="P539" t="s">
        <v>105</v>
      </c>
      <c r="Q539" s="3">
        <v>23694.76</v>
      </c>
      <c r="R539" s="3">
        <v>24616.33</v>
      </c>
      <c r="S539" s="3">
        <v>13351.17</v>
      </c>
      <c r="T539" s="3">
        <v>2171.4299999999998</v>
      </c>
      <c r="U539" s="3">
        <v>1601.76</v>
      </c>
      <c r="V539" s="3">
        <v>1740.83</v>
      </c>
      <c r="W539" s="3">
        <v>829.21</v>
      </c>
      <c r="X539" s="3">
        <v>19694.400000000001</v>
      </c>
      <c r="Y539" s="3">
        <v>10343.6</v>
      </c>
      <c r="Z539" s="3">
        <f t="shared" si="37"/>
        <v>4000.3599999999969</v>
      </c>
      <c r="AA539" s="37">
        <f t="shared" si="38"/>
        <v>0.16882888875008639</v>
      </c>
      <c r="AB539" s="3">
        <v>-921.57</v>
      </c>
      <c r="AC539" s="3">
        <v>1895.58</v>
      </c>
      <c r="AD539" s="3">
        <v>1089.96</v>
      </c>
      <c r="AE539" s="3">
        <v>22889.14</v>
      </c>
      <c r="AF539" t="str">
        <f>IF(tbl_FinancialData[[#This Row],[City]]="","Unknown",PROPER(TRIM(tbl_FinancialData[[#This Row],[City]])))</f>
        <v>Muzaffarpur</v>
      </c>
      <c r="AG539" t="str">
        <f>_xlfn.LET(_xlpm.city,LOWER(TRIM(tbl_FinancialData[[#This Row],[City]])),_xlpm.st,PROPER(TRIM(tbl_FinancialData[[#This Row],[State]])),IF(_xlpm.city="pune","Maharashtra",IF(_xlpm.city="jamshedpur","Jharkhand",IF(_xlpm.city="bhilai","Chhattisgarh",IF(_xlpm.city="mumbai","Maharashtra",_xlpm.st)))))</f>
        <v>Bihar</v>
      </c>
      <c r="AH539" t="str">
        <f>_xlfn.LET(_xlpm.d,PROPER(TRIM(tbl_FinancialData[[#This Row],[Department]])),IF(_xlpm.d="It","IT",_xlpm.d))</f>
        <v>Sales</v>
      </c>
      <c r="AI539" t="str">
        <f>_xlfn.LET(_xlpm.pid,tbl_FinancialData[[#This Row],[Product ID]],_xlpm.n,PROPER(TRIM(tbl_FinancialData[[#This Row],[Product Name]])),IF(_xlpm.pid="P020","Document Scanner",IF(_xlpm.pid="P015","Network Router",SUBSTITUTE(SUBSTITUTE(_xlpm.n,"Crm","CRM"),"Ups","UPS"))))</f>
        <v>CRM Software</v>
      </c>
      <c r="AJ539" s="3" t="str">
        <f>UPPER(TRIM(tbl_FinancialData[[#This Row],[Cost Center]]))</f>
        <v>CC-1004</v>
      </c>
    </row>
    <row r="540" spans="1:36" x14ac:dyDescent="0.25">
      <c r="A540" s="3" t="s">
        <v>742</v>
      </c>
      <c r="B540" s="2">
        <v>45964</v>
      </c>
      <c r="C540" t="s">
        <v>147</v>
      </c>
      <c r="D540" s="3" t="str">
        <f t="shared" si="35"/>
        <v>Q3</v>
      </c>
      <c r="E540" s="3" t="str">
        <f t="shared" si="36"/>
        <v>FY2026</v>
      </c>
      <c r="F540" s="8" t="s">
        <v>67</v>
      </c>
      <c r="G540" s="3" t="s">
        <v>35</v>
      </c>
      <c r="H540" t="s">
        <v>217</v>
      </c>
      <c r="I540" t="s">
        <v>241</v>
      </c>
      <c r="J540" s="3" t="s">
        <v>80</v>
      </c>
      <c r="K540" t="s">
        <v>101</v>
      </c>
      <c r="L540" s="3" t="s">
        <v>40</v>
      </c>
      <c r="M540" s="3" t="s">
        <v>95</v>
      </c>
      <c r="N540" t="s">
        <v>96</v>
      </c>
      <c r="O540" t="s">
        <v>43</v>
      </c>
      <c r="P540" t="s">
        <v>90</v>
      </c>
      <c r="Q540" s="3">
        <v>33519.07</v>
      </c>
      <c r="R540" s="3">
        <v>33755.79</v>
      </c>
      <c r="S540" s="3">
        <v>20687.73</v>
      </c>
      <c r="T540" s="3">
        <v>4097.04</v>
      </c>
      <c r="U540" s="3">
        <v>1697.46</v>
      </c>
      <c r="V540" s="3">
        <v>3971.69</v>
      </c>
      <c r="W540" s="3">
        <v>1225.6600000000001</v>
      </c>
      <c r="X540" s="3">
        <v>31679.58</v>
      </c>
      <c r="Y540" s="3">
        <v>12831.34</v>
      </c>
      <c r="Z540" s="3">
        <f t="shared" si="37"/>
        <v>1839.489999999998</v>
      </c>
      <c r="AA540" s="37">
        <f t="shared" si="38"/>
        <v>5.4878909229880125E-2</v>
      </c>
      <c r="AB540" s="3">
        <v>-236.72</v>
      </c>
      <c r="AC540" s="3">
        <v>1005.57</v>
      </c>
      <c r="AD540" s="3">
        <v>5852.43</v>
      </c>
      <c r="AE540" s="3">
        <v>38365.93</v>
      </c>
      <c r="AF540" t="str">
        <f>IF(tbl_FinancialData[[#This Row],[City]]="","Unknown",PROPER(TRIM(tbl_FinancialData[[#This Row],[City]])))</f>
        <v>Muzaffarpur</v>
      </c>
      <c r="AG540" t="str">
        <f>_xlfn.LET(_xlpm.city,LOWER(TRIM(tbl_FinancialData[[#This Row],[City]])),_xlpm.st,PROPER(TRIM(tbl_FinancialData[[#This Row],[State]])),IF(_xlpm.city="pune","Maharashtra",IF(_xlpm.city="jamshedpur","Jharkhand",IF(_xlpm.city="bhilai","Chhattisgarh",IF(_xlpm.city="mumbai","Maharashtra",_xlpm.st)))))</f>
        <v>Bihar</v>
      </c>
      <c r="AH540" t="str">
        <f>_xlfn.LET(_xlpm.d,PROPER(TRIM(tbl_FinancialData[[#This Row],[Department]])),IF(_xlpm.d="It","IT",_xlpm.d))</f>
        <v>Finance</v>
      </c>
      <c r="AI540" t="str">
        <f>_xlfn.LET(_xlpm.pid,tbl_FinancialData[[#This Row],[Product ID]],_xlpm.n,PROPER(TRIM(tbl_FinancialData[[#This Row],[Product Name]])),IF(_xlpm.pid="P020","Document Scanner",IF(_xlpm.pid="P015","Network Router",SUBSTITUTE(SUBSTITUTE(_xlpm.n,"Crm","CRM"),"Ups","UPS"))))</f>
        <v>Document Scanner</v>
      </c>
      <c r="AJ540" s="3" t="str">
        <f>UPPER(TRIM(tbl_FinancialData[[#This Row],[Cost Center]]))</f>
        <v>CC-1002</v>
      </c>
    </row>
    <row r="541" spans="1:36" x14ac:dyDescent="0.25">
      <c r="A541" s="3" t="s">
        <v>743</v>
      </c>
      <c r="B541" s="2">
        <v>46000</v>
      </c>
      <c r="C541" t="s">
        <v>107</v>
      </c>
      <c r="D541" s="3" t="str">
        <f t="shared" si="35"/>
        <v>Q3</v>
      </c>
      <c r="E541" s="3" t="str">
        <f t="shared" si="36"/>
        <v>FY2026</v>
      </c>
      <c r="F541" s="8" t="s">
        <v>85</v>
      </c>
      <c r="G541" s="3" t="s">
        <v>35</v>
      </c>
      <c r="H541" t="s">
        <v>60</v>
      </c>
      <c r="I541" t="s">
        <v>61</v>
      </c>
      <c r="J541" s="3" t="s">
        <v>70</v>
      </c>
      <c r="K541" t="s">
        <v>71</v>
      </c>
      <c r="L541" s="3" t="s">
        <v>72</v>
      </c>
      <c r="M541" s="3" t="s">
        <v>73</v>
      </c>
      <c r="N541" t="s">
        <v>74</v>
      </c>
      <c r="O541" t="s">
        <v>43</v>
      </c>
      <c r="P541" t="s">
        <v>75</v>
      </c>
      <c r="Q541" s="3">
        <v>53213.91</v>
      </c>
      <c r="R541" s="3">
        <v>50972.71</v>
      </c>
      <c r="S541" s="3">
        <v>31040.66</v>
      </c>
      <c r="T541" s="3">
        <v>4649.79</v>
      </c>
      <c r="U541" s="3">
        <v>2160.7800000000002</v>
      </c>
      <c r="V541" s="3">
        <v>5936.96</v>
      </c>
      <c r="W541" s="3">
        <v>1542.63</v>
      </c>
      <c r="X541" s="3">
        <v>45330.82</v>
      </c>
      <c r="Y541" s="3">
        <v>22173.25</v>
      </c>
      <c r="Z541" s="3">
        <f t="shared" si="37"/>
        <v>7883.0900000000038</v>
      </c>
      <c r="AA541" s="37">
        <f t="shared" si="38"/>
        <v>0.14813964995242793</v>
      </c>
      <c r="AB541" s="3">
        <v>2241.1999999999998</v>
      </c>
      <c r="AC541" s="3">
        <v>5321.39</v>
      </c>
      <c r="AD541" s="3">
        <v>8620.65</v>
      </c>
      <c r="AE541" s="3">
        <v>56513.17</v>
      </c>
      <c r="AF541" t="str">
        <f>IF(tbl_FinancialData[[#This Row],[City]]="","Unknown",PROPER(TRIM(tbl_FinancialData[[#This Row],[City]])))</f>
        <v>Lucknow</v>
      </c>
      <c r="AG541" t="str">
        <f>_xlfn.LET(_xlpm.city,LOWER(TRIM(tbl_FinancialData[[#This Row],[City]])),_xlpm.st,PROPER(TRIM(tbl_FinancialData[[#This Row],[State]])),IF(_xlpm.city="pune","Maharashtra",IF(_xlpm.city="jamshedpur","Jharkhand",IF(_xlpm.city="bhilai","Chhattisgarh",IF(_xlpm.city="mumbai","Maharashtra",_xlpm.st)))))</f>
        <v>Uttar Pradesh</v>
      </c>
      <c r="AH541" t="str">
        <f>_xlfn.LET(_xlpm.d,PROPER(TRIM(tbl_FinancialData[[#This Row],[Department]])),IF(_xlpm.d="It","IT",_xlpm.d))</f>
        <v>Marketing</v>
      </c>
      <c r="AI541" t="str">
        <f>_xlfn.LET(_xlpm.pid,tbl_FinancialData[[#This Row],[Product ID]],_xlpm.n,PROPER(TRIM(tbl_FinancialData[[#This Row],[Product Name]])),IF(_xlpm.pid="P020","Document Scanner",IF(_xlpm.pid="P015","Network Router",SUBSTITUTE(SUBSTITUTE(_xlpm.n,"Crm","CRM"),"Ups","UPS"))))</f>
        <v>Monitor</v>
      </c>
      <c r="AJ541" s="3" t="str">
        <f>UPPER(TRIM(tbl_FinancialData[[#This Row],[Cost Center]]))</f>
        <v>CC-1004</v>
      </c>
    </row>
    <row r="542" spans="1:36" x14ac:dyDescent="0.25">
      <c r="A542" s="3" t="s">
        <v>744</v>
      </c>
      <c r="B542" s="2">
        <v>45875</v>
      </c>
      <c r="C542" t="s">
        <v>117</v>
      </c>
      <c r="D542" s="3" t="str">
        <f t="shared" si="35"/>
        <v>Q2</v>
      </c>
      <c r="E542" s="3" t="str">
        <f t="shared" si="36"/>
        <v>FY2026</v>
      </c>
      <c r="F542" s="8" t="s">
        <v>34</v>
      </c>
      <c r="G542" s="3" t="s">
        <v>35</v>
      </c>
      <c r="H542" t="s">
        <v>157</v>
      </c>
      <c r="I542" t="s">
        <v>166</v>
      </c>
      <c r="J542" s="3" t="s">
        <v>70</v>
      </c>
      <c r="K542" t="s">
        <v>160</v>
      </c>
      <c r="L542" s="3" t="s">
        <v>40</v>
      </c>
      <c r="M542" s="3" t="s">
        <v>189</v>
      </c>
      <c r="N542" t="s">
        <v>190</v>
      </c>
      <c r="O542" t="s">
        <v>104</v>
      </c>
      <c r="P542" t="s">
        <v>105</v>
      </c>
      <c r="Q542" s="3">
        <v>15756.77</v>
      </c>
      <c r="R542" s="3">
        <v>16482.330000000002</v>
      </c>
      <c r="S542" s="3">
        <v>9440.4500000000007</v>
      </c>
      <c r="T542" s="3">
        <v>1173.57</v>
      </c>
      <c r="U542" s="3">
        <v>1343.56</v>
      </c>
      <c r="V542" s="3">
        <v>1372.21</v>
      </c>
      <c r="W542" s="3">
        <v>382.43</v>
      </c>
      <c r="X542" s="3">
        <v>13712.21</v>
      </c>
      <c r="Y542" s="3">
        <v>6316.33</v>
      </c>
      <c r="Z542" s="3">
        <f t="shared" si="37"/>
        <v>2044.5600000000013</v>
      </c>
      <c r="AA542" s="37">
        <f t="shared" si="38"/>
        <v>0.12975755817975393</v>
      </c>
      <c r="AB542" s="3">
        <v>-725.55</v>
      </c>
      <c r="AC542" s="3">
        <v>787.84</v>
      </c>
      <c r="AD542" s="3">
        <v>2694.41</v>
      </c>
      <c r="AE542" s="3">
        <v>17663.34</v>
      </c>
      <c r="AF542" t="str">
        <f>IF(tbl_FinancialData[[#This Row],[City]]="","Unknown",PROPER(TRIM(tbl_FinancialData[[#This Row],[City]])))</f>
        <v>Vadodara</v>
      </c>
      <c r="AG542" t="str">
        <f>_xlfn.LET(_xlpm.city,LOWER(TRIM(tbl_FinancialData[[#This Row],[City]])),_xlpm.st,PROPER(TRIM(tbl_FinancialData[[#This Row],[State]])),IF(_xlpm.city="pune","Maharashtra",IF(_xlpm.city="jamshedpur","Jharkhand",IF(_xlpm.city="bhilai","Chhattisgarh",IF(_xlpm.city="mumbai","Maharashtra",_xlpm.st)))))</f>
        <v>Gujarat</v>
      </c>
      <c r="AH542" t="str">
        <f>_xlfn.LET(_xlpm.d,PROPER(TRIM(tbl_FinancialData[[#This Row],[Department]])),IF(_xlpm.d="It","IT",_xlpm.d))</f>
        <v>IT</v>
      </c>
      <c r="AI542" t="str">
        <f>_xlfn.LET(_xlpm.pid,tbl_FinancialData[[#This Row],[Product ID]],_xlpm.n,PROPER(TRIM(tbl_FinancialData[[#This Row],[Product Name]])),IF(_xlpm.pid="P020","Document Scanner",IF(_xlpm.pid="P015","Network Router",SUBSTITUTE(SUBSTITUTE(_xlpm.n,"Crm","CRM"),"Ups","UPS"))))</f>
        <v>CRM Software</v>
      </c>
      <c r="AJ542" s="3" t="str">
        <f>UPPER(TRIM(tbl_FinancialData[[#This Row],[Cost Center]]))</f>
        <v>CC-1002</v>
      </c>
    </row>
    <row r="543" spans="1:36" x14ac:dyDescent="0.25">
      <c r="A543" s="3" t="s">
        <v>745</v>
      </c>
      <c r="B543" s="2">
        <v>45933</v>
      </c>
      <c r="C543" t="s">
        <v>92</v>
      </c>
      <c r="D543" s="3" t="str">
        <f t="shared" si="35"/>
        <v>Q3</v>
      </c>
      <c r="E543" s="3" t="str">
        <f t="shared" si="36"/>
        <v>FY2026</v>
      </c>
      <c r="F543" s="8" t="s">
        <v>47</v>
      </c>
      <c r="G543" s="3" t="s">
        <v>35</v>
      </c>
      <c r="H543" t="s">
        <v>48</v>
      </c>
      <c r="I543" t="s">
        <v>126</v>
      </c>
      <c r="J543" s="3" t="s">
        <v>100</v>
      </c>
      <c r="K543" t="s">
        <v>101</v>
      </c>
      <c r="L543" s="3" t="s">
        <v>72</v>
      </c>
      <c r="M543" s="3" t="s">
        <v>95</v>
      </c>
      <c r="N543" t="s">
        <v>96</v>
      </c>
      <c r="O543" t="s">
        <v>43</v>
      </c>
      <c r="P543" t="s">
        <v>90</v>
      </c>
      <c r="Q543" s="3">
        <v>23250.71</v>
      </c>
      <c r="R543" s="3">
        <v>26601.759999999998</v>
      </c>
      <c r="S543" s="3">
        <v>13580.59</v>
      </c>
      <c r="T543" s="3">
        <v>1929.05</v>
      </c>
      <c r="U543" s="3">
        <v>635.09</v>
      </c>
      <c r="V543" s="3">
        <v>1856.29</v>
      </c>
      <c r="W543" s="3">
        <v>683.48</v>
      </c>
      <c r="X543" s="3">
        <v>18684.509999999998</v>
      </c>
      <c r="Y543" s="3">
        <v>9670.1200000000008</v>
      </c>
      <c r="Z543" s="3">
        <f t="shared" si="37"/>
        <v>4566.2000000000007</v>
      </c>
      <c r="AA543" s="37">
        <f t="shared" si="38"/>
        <v>0.19638970164782069</v>
      </c>
      <c r="AB543" s="3">
        <v>-3351.05</v>
      </c>
      <c r="AC543" s="3">
        <v>1162.54</v>
      </c>
      <c r="AD543" s="3">
        <v>3975.87</v>
      </c>
      <c r="AE543" s="3">
        <v>26064.05</v>
      </c>
      <c r="AF543" t="str">
        <f>IF(tbl_FinancialData[[#This Row],[City]]="","Unknown",PROPER(TRIM(tbl_FinancialData[[#This Row],[City]])))</f>
        <v>Coimbatore</v>
      </c>
      <c r="AG543" t="str">
        <f>_xlfn.LET(_xlpm.city,LOWER(TRIM(tbl_FinancialData[[#This Row],[City]])),_xlpm.st,PROPER(TRIM(tbl_FinancialData[[#This Row],[State]])),IF(_xlpm.city="pune","Maharashtra",IF(_xlpm.city="jamshedpur","Jharkhand",IF(_xlpm.city="bhilai","Chhattisgarh",IF(_xlpm.city="mumbai","Maharashtra",_xlpm.st)))))</f>
        <v>Tamil Nadu</v>
      </c>
      <c r="AH543" t="str">
        <f>_xlfn.LET(_xlpm.d,PROPER(TRIM(tbl_FinancialData[[#This Row],[Department]])),IF(_xlpm.d="It","IT",_xlpm.d))</f>
        <v>Finance</v>
      </c>
      <c r="AI543" t="str">
        <f>_xlfn.LET(_xlpm.pid,tbl_FinancialData[[#This Row],[Product ID]],_xlpm.n,PROPER(TRIM(tbl_FinancialData[[#This Row],[Product Name]])),IF(_xlpm.pid="P020","Document Scanner",IF(_xlpm.pid="P015","Network Router",SUBSTITUTE(SUBSTITUTE(_xlpm.n,"Crm","CRM"),"Ups","UPS"))))</f>
        <v>Document Scanner</v>
      </c>
      <c r="AJ543" s="3" t="str">
        <f>UPPER(TRIM(tbl_FinancialData[[#This Row],[Cost Center]]))</f>
        <v>CC-1004</v>
      </c>
    </row>
    <row r="544" spans="1:36" x14ac:dyDescent="0.25">
      <c r="A544" s="3" t="s">
        <v>746</v>
      </c>
      <c r="B544" s="2">
        <v>46018</v>
      </c>
      <c r="C544" t="s">
        <v>107</v>
      </c>
      <c r="D544" s="3" t="str">
        <f t="shared" si="35"/>
        <v>Q3</v>
      </c>
      <c r="E544" s="3" t="str">
        <f t="shared" si="36"/>
        <v>FY2026</v>
      </c>
      <c r="F544" s="8" t="s">
        <v>34</v>
      </c>
      <c r="G544" s="3" t="s">
        <v>35</v>
      </c>
      <c r="H544" t="s">
        <v>157</v>
      </c>
      <c r="I544" t="s">
        <v>194</v>
      </c>
      <c r="J544" s="3" t="s">
        <v>70</v>
      </c>
      <c r="K544" t="s">
        <v>160</v>
      </c>
      <c r="L544" s="3" t="s">
        <v>40</v>
      </c>
      <c r="M544" s="3" t="s">
        <v>186</v>
      </c>
      <c r="N544" t="s">
        <v>187</v>
      </c>
      <c r="O544" t="s">
        <v>173</v>
      </c>
      <c r="P544" t="s">
        <v>174</v>
      </c>
      <c r="Q544" s="3">
        <v>18390.8</v>
      </c>
      <c r="R544" s="3">
        <v>16515.349999999999</v>
      </c>
      <c r="S544" s="3">
        <v>10264.290000000001</v>
      </c>
      <c r="T544" s="3">
        <v>1130.94</v>
      </c>
      <c r="U544" s="3">
        <v>1308.43</v>
      </c>
      <c r="V544" s="3">
        <v>1520.88</v>
      </c>
      <c r="W544" s="3">
        <v>276.49</v>
      </c>
      <c r="X544" s="3">
        <v>14501.03</v>
      </c>
      <c r="Y544" s="3">
        <v>8126.51</v>
      </c>
      <c r="Z544" s="3">
        <f t="shared" si="37"/>
        <v>3889.7699999999986</v>
      </c>
      <c r="AA544" s="37">
        <f t="shared" si="38"/>
        <v>0.21150629662657408</v>
      </c>
      <c r="AB544" s="3">
        <v>1875.46</v>
      </c>
      <c r="AC544" s="3">
        <v>0</v>
      </c>
      <c r="AD544" s="3">
        <v>3310.34</v>
      </c>
      <c r="AE544" s="3">
        <v>21701.15</v>
      </c>
      <c r="AF544" t="str">
        <f>IF(tbl_FinancialData[[#This Row],[City]]="","Unknown",PROPER(TRIM(tbl_FinancialData[[#This Row],[City]])))</f>
        <v>Surat</v>
      </c>
      <c r="AG544" t="str">
        <f>_xlfn.LET(_xlpm.city,LOWER(TRIM(tbl_FinancialData[[#This Row],[City]])),_xlpm.st,PROPER(TRIM(tbl_FinancialData[[#This Row],[State]])),IF(_xlpm.city="pune","Maharashtra",IF(_xlpm.city="jamshedpur","Jharkhand",IF(_xlpm.city="bhilai","Chhattisgarh",IF(_xlpm.city="mumbai","Maharashtra",_xlpm.st)))))</f>
        <v>Gujarat</v>
      </c>
      <c r="AH544" t="str">
        <f>_xlfn.LET(_xlpm.d,PROPER(TRIM(tbl_FinancialData[[#This Row],[Department]])),IF(_xlpm.d="It","IT",_xlpm.d))</f>
        <v>IT</v>
      </c>
      <c r="AI544" t="str">
        <f>_xlfn.LET(_xlpm.pid,tbl_FinancialData[[#This Row],[Product ID]],_xlpm.n,PROPER(TRIM(tbl_FinancialData[[#This Row],[Product Name]])),IF(_xlpm.pid="P020","Document Scanner",IF(_xlpm.pid="P015","Network Router",SUBSTITUTE(SUBSTITUTE(_xlpm.n,"Crm","CRM"),"Ups","UPS"))))</f>
        <v>Network Router</v>
      </c>
      <c r="AJ544" s="3" t="str">
        <f>UPPER(TRIM(tbl_FinancialData[[#This Row],[Cost Center]]))</f>
        <v>CC-1002</v>
      </c>
    </row>
    <row r="545" spans="1:36" x14ac:dyDescent="0.25">
      <c r="A545" s="3" t="s">
        <v>747</v>
      </c>
      <c r="B545" s="2">
        <v>46053</v>
      </c>
      <c r="C545" t="s">
        <v>77</v>
      </c>
      <c r="D545" s="3" t="str">
        <f t="shared" si="35"/>
        <v>Q4</v>
      </c>
      <c r="E545" s="3" t="str">
        <f t="shared" si="36"/>
        <v>FY2026</v>
      </c>
      <c r="F545" s="8" t="s">
        <v>34</v>
      </c>
      <c r="G545" s="3" t="s">
        <v>35</v>
      </c>
      <c r="H545" t="s">
        <v>134</v>
      </c>
      <c r="I545" t="s">
        <v>135</v>
      </c>
      <c r="J545" s="3" t="s">
        <v>100</v>
      </c>
      <c r="K545" t="s">
        <v>50</v>
      </c>
      <c r="L545" s="3" t="s">
        <v>40</v>
      </c>
      <c r="M545" s="3" t="s">
        <v>82</v>
      </c>
      <c r="N545" t="s">
        <v>83</v>
      </c>
      <c r="O545" t="s">
        <v>43</v>
      </c>
      <c r="P545" t="s">
        <v>75</v>
      </c>
      <c r="Q545" s="3">
        <v>43642.73</v>
      </c>
      <c r="R545" s="3">
        <v>41859.57</v>
      </c>
      <c r="S545" s="3">
        <v>21074.93</v>
      </c>
      <c r="T545" s="3">
        <v>3993.96</v>
      </c>
      <c r="U545" s="3">
        <v>2809.47</v>
      </c>
      <c r="V545" s="3">
        <v>5107.49</v>
      </c>
      <c r="W545" s="3">
        <v>1336.84</v>
      </c>
      <c r="X545" s="3">
        <v>34322.699999999997</v>
      </c>
      <c r="Y545" s="3">
        <v>22567.8</v>
      </c>
      <c r="Z545" s="3">
        <f t="shared" si="37"/>
        <v>9320.0300000000061</v>
      </c>
      <c r="AA545" s="37">
        <f t="shared" si="38"/>
        <v>0.21355286436022691</v>
      </c>
      <c r="AB545" s="3">
        <v>1783.16</v>
      </c>
      <c r="AC545" s="3">
        <v>1309.28</v>
      </c>
      <c r="AD545" s="3">
        <v>5080.01</v>
      </c>
      <c r="AE545" s="3">
        <v>47413.46</v>
      </c>
      <c r="AF545" t="str">
        <f>IF(tbl_FinancialData[[#This Row],[City]]="","Unknown",PROPER(TRIM(tbl_FinancialData[[#This Row],[City]])))</f>
        <v>Jodhpur</v>
      </c>
      <c r="AG545" t="str">
        <f>_xlfn.LET(_xlpm.city,LOWER(TRIM(tbl_FinancialData[[#This Row],[City]])),_xlpm.st,PROPER(TRIM(tbl_FinancialData[[#This Row],[State]])),IF(_xlpm.city="pune","Maharashtra",IF(_xlpm.city="jamshedpur","Jharkhand",IF(_xlpm.city="bhilai","Chhattisgarh",IF(_xlpm.city="mumbai","Maharashtra",_xlpm.st)))))</f>
        <v>Rajasthan</v>
      </c>
      <c r="AH545" t="str">
        <f>_xlfn.LET(_xlpm.d,PROPER(TRIM(tbl_FinancialData[[#This Row],[Department]])),IF(_xlpm.d="It","IT",_xlpm.d))</f>
        <v>Sales</v>
      </c>
      <c r="AI545" t="str">
        <f>_xlfn.LET(_xlpm.pid,tbl_FinancialData[[#This Row],[Product ID]],_xlpm.n,PROPER(TRIM(tbl_FinancialData[[#This Row],[Product Name]])),IF(_xlpm.pid="P020","Document Scanner",IF(_xlpm.pid="P015","Network Router",SUBSTITUTE(SUBSTITUTE(_xlpm.n,"Crm","CRM"),"Ups","UPS"))))</f>
        <v>Business Laptop</v>
      </c>
      <c r="AJ545" s="3" t="str">
        <f>UPPER(TRIM(tbl_FinancialData[[#This Row],[Cost Center]]))</f>
        <v>CC-1002</v>
      </c>
    </row>
    <row r="546" spans="1:36" x14ac:dyDescent="0.25">
      <c r="A546" s="3" t="s">
        <v>748</v>
      </c>
      <c r="B546" s="2">
        <v>46095</v>
      </c>
      <c r="C546" t="s">
        <v>125</v>
      </c>
      <c r="D546" s="3" t="str">
        <f t="shared" si="35"/>
        <v>Q4</v>
      </c>
      <c r="E546" s="3" t="str">
        <f t="shared" si="36"/>
        <v>FY2026</v>
      </c>
      <c r="F546" s="8" t="s">
        <v>47</v>
      </c>
      <c r="G546" s="3" t="s">
        <v>35</v>
      </c>
      <c r="H546" t="s">
        <v>48</v>
      </c>
      <c r="I546" t="s">
        <v>126</v>
      </c>
      <c r="J546" s="3" t="s">
        <v>80</v>
      </c>
      <c r="K546" t="s">
        <v>39</v>
      </c>
      <c r="L546" s="3" t="s">
        <v>72</v>
      </c>
      <c r="M546" s="3" t="s">
        <v>110</v>
      </c>
      <c r="N546" t="s">
        <v>111</v>
      </c>
      <c r="O546" t="s">
        <v>112</v>
      </c>
      <c r="P546" t="s">
        <v>113</v>
      </c>
      <c r="Q546" s="3">
        <v>35420.61</v>
      </c>
      <c r="R546" s="3">
        <v>38332.81</v>
      </c>
      <c r="S546" s="3">
        <v>18826.52</v>
      </c>
      <c r="T546" s="3">
        <v>3578.06</v>
      </c>
      <c r="U546" s="3">
        <v>2050.69</v>
      </c>
      <c r="V546" s="3">
        <v>3449.17</v>
      </c>
      <c r="W546" s="3">
        <v>1386.81</v>
      </c>
      <c r="X546" s="3">
        <v>29291.25</v>
      </c>
      <c r="Y546" s="3">
        <v>16594.09</v>
      </c>
      <c r="Z546" s="3">
        <f t="shared" si="37"/>
        <v>6129.3600000000006</v>
      </c>
      <c r="AA546" s="37">
        <f t="shared" si="38"/>
        <v>0.17304501531735339</v>
      </c>
      <c r="AB546" s="3">
        <v>-2912.2</v>
      </c>
      <c r="AC546" s="3">
        <v>1771.03</v>
      </c>
      <c r="AD546" s="3">
        <v>6056.93</v>
      </c>
      <c r="AE546" s="3">
        <v>39706.51</v>
      </c>
      <c r="AF546" t="str">
        <f>IF(tbl_FinancialData[[#This Row],[City]]="","Unknown",PROPER(TRIM(tbl_FinancialData[[#This Row],[City]])))</f>
        <v>Coimbatore</v>
      </c>
      <c r="AG546" t="str">
        <f>_xlfn.LET(_xlpm.city,LOWER(TRIM(tbl_FinancialData[[#This Row],[City]])),_xlpm.st,PROPER(TRIM(tbl_FinancialData[[#This Row],[State]])),IF(_xlpm.city="pune","Maharashtra",IF(_xlpm.city="jamshedpur","Jharkhand",IF(_xlpm.city="bhilai","Chhattisgarh",IF(_xlpm.city="mumbai","Maharashtra",_xlpm.st)))))</f>
        <v>Tamil Nadu</v>
      </c>
      <c r="AH546" t="str">
        <f>_xlfn.LET(_xlpm.d,PROPER(TRIM(tbl_FinancialData[[#This Row],[Department]])),IF(_xlpm.d="It","IT",_xlpm.d))</f>
        <v>Operations</v>
      </c>
      <c r="AI546" t="str">
        <f>_xlfn.LET(_xlpm.pid,tbl_FinancialData[[#This Row],[Product ID]],_xlpm.n,PROPER(TRIM(tbl_FinancialData[[#This Row],[Product Name]])),IF(_xlpm.pid="P020","Document Scanner",IF(_xlpm.pid="P015","Network Router",SUBSTITUTE(SUBSTITUTE(_xlpm.n,"Crm","CRM"),"Ups","UPS"))))</f>
        <v>Office Desk</v>
      </c>
      <c r="AJ546" s="3" t="str">
        <f>UPPER(TRIM(tbl_FinancialData[[#This Row],[Cost Center]]))</f>
        <v>CC-1004</v>
      </c>
    </row>
    <row r="547" spans="1:36" x14ac:dyDescent="0.25">
      <c r="A547" s="3" t="s">
        <v>749</v>
      </c>
      <c r="B547" s="2">
        <v>45780</v>
      </c>
      <c r="C547" t="s">
        <v>65</v>
      </c>
      <c r="D547" s="3" t="str">
        <f t="shared" si="35"/>
        <v>Q1</v>
      </c>
      <c r="E547" s="3" t="str">
        <f t="shared" si="36"/>
        <v>FY2026</v>
      </c>
      <c r="F547" s="8" t="s">
        <v>59</v>
      </c>
      <c r="G547" s="3" t="s">
        <v>35</v>
      </c>
      <c r="H547" t="s">
        <v>60</v>
      </c>
      <c r="I547" t="s">
        <v>61</v>
      </c>
      <c r="J547" s="3" t="s">
        <v>38</v>
      </c>
      <c r="K547" t="s">
        <v>101</v>
      </c>
      <c r="L547" s="3" t="s">
        <v>94</v>
      </c>
      <c r="M547" s="3" t="s">
        <v>73</v>
      </c>
      <c r="N547" t="s">
        <v>74</v>
      </c>
      <c r="O547" t="s">
        <v>43</v>
      </c>
      <c r="P547" t="s">
        <v>75</v>
      </c>
      <c r="Q547" s="3">
        <v>27864.65</v>
      </c>
      <c r="R547" s="3">
        <v>31757.84</v>
      </c>
      <c r="S547" s="3">
        <v>18219.61</v>
      </c>
      <c r="T547" s="3">
        <v>2293.4</v>
      </c>
      <c r="U547" s="3">
        <v>1085.56</v>
      </c>
      <c r="V547" s="3">
        <v>1908.1</v>
      </c>
      <c r="W547" s="3">
        <v>555.72</v>
      </c>
      <c r="X547" s="3">
        <v>24062.400000000001</v>
      </c>
      <c r="Y547" s="3">
        <v>9645.0300000000007</v>
      </c>
      <c r="Z547" s="3">
        <f t="shared" si="37"/>
        <v>3802.25</v>
      </c>
      <c r="AA547" s="37">
        <f t="shared" si="38"/>
        <v>0.13645425296926392</v>
      </c>
      <c r="AB547" s="3">
        <v>-3893.2</v>
      </c>
      <c r="AC547" s="3">
        <v>0</v>
      </c>
      <c r="AD547" s="3">
        <v>5015.6400000000003</v>
      </c>
      <c r="AE547" s="3">
        <v>32880.28</v>
      </c>
      <c r="AF547" t="str">
        <f>IF(tbl_FinancialData[[#This Row],[City]]="","Unknown",PROPER(TRIM(tbl_FinancialData[[#This Row],[City]])))</f>
        <v>Lucknow</v>
      </c>
      <c r="AG547" t="str">
        <f>_xlfn.LET(_xlpm.city,LOWER(TRIM(tbl_FinancialData[[#This Row],[City]])),_xlpm.st,PROPER(TRIM(tbl_FinancialData[[#This Row],[State]])),IF(_xlpm.city="pune","Maharashtra",IF(_xlpm.city="jamshedpur","Jharkhand",IF(_xlpm.city="bhilai","Chhattisgarh",IF(_xlpm.city="mumbai","Maharashtra",_xlpm.st)))))</f>
        <v>Uttar Pradesh</v>
      </c>
      <c r="AH547" t="str">
        <f>_xlfn.LET(_xlpm.d,PROPER(TRIM(tbl_FinancialData[[#This Row],[Department]])),IF(_xlpm.d="It","IT",_xlpm.d))</f>
        <v>Finance</v>
      </c>
      <c r="AI547" t="str">
        <f>_xlfn.LET(_xlpm.pid,tbl_FinancialData[[#This Row],[Product ID]],_xlpm.n,PROPER(TRIM(tbl_FinancialData[[#This Row],[Product Name]])),IF(_xlpm.pid="P020","Document Scanner",IF(_xlpm.pid="P015","Network Router",SUBSTITUTE(SUBSTITUTE(_xlpm.n,"Crm","CRM"),"Ups","UPS"))))</f>
        <v>Monitor</v>
      </c>
      <c r="AJ547" s="3" t="str">
        <f>UPPER(TRIM(tbl_FinancialData[[#This Row],[Cost Center]]))</f>
        <v>CC-1001</v>
      </c>
    </row>
    <row r="548" spans="1:36" x14ac:dyDescent="0.25">
      <c r="A548" s="3" t="s">
        <v>750</v>
      </c>
      <c r="B548" s="2">
        <v>46003</v>
      </c>
      <c r="C548" t="s">
        <v>107</v>
      </c>
      <c r="D548" s="3" t="str">
        <f t="shared" si="35"/>
        <v>Q3</v>
      </c>
      <c r="E548" s="3" t="str">
        <f t="shared" si="36"/>
        <v>FY2026</v>
      </c>
      <c r="F548" s="8" t="s">
        <v>67</v>
      </c>
      <c r="G548" s="3" t="s">
        <v>35</v>
      </c>
      <c r="H548" t="s">
        <v>118</v>
      </c>
      <c r="I548" t="s">
        <v>119</v>
      </c>
      <c r="J548" s="3" t="s">
        <v>70</v>
      </c>
      <c r="K548" t="s">
        <v>101</v>
      </c>
      <c r="L548" s="3" t="s">
        <v>40</v>
      </c>
      <c r="M548" s="3" t="s">
        <v>221</v>
      </c>
      <c r="N548" t="s">
        <v>222</v>
      </c>
      <c r="O548" t="s">
        <v>104</v>
      </c>
      <c r="P548" t="s">
        <v>223</v>
      </c>
      <c r="Q548" s="3">
        <v>7804.05</v>
      </c>
      <c r="R548" s="3">
        <v>8270.7999999999993</v>
      </c>
      <c r="S548" s="3">
        <v>4530.2700000000004</v>
      </c>
      <c r="T548" s="3">
        <v>659.81</v>
      </c>
      <c r="U548" s="3">
        <v>222.46</v>
      </c>
      <c r="V548" s="3">
        <v>634.65</v>
      </c>
      <c r="W548" s="3">
        <v>215.91</v>
      </c>
      <c r="X548" s="3">
        <v>6263.1</v>
      </c>
      <c r="Y548" s="3">
        <v>3273.78</v>
      </c>
      <c r="Z548" s="3">
        <f t="shared" si="37"/>
        <v>1540.9499999999998</v>
      </c>
      <c r="AA548" s="37">
        <f t="shared" si="38"/>
        <v>0.19745516750917791</v>
      </c>
      <c r="AB548" s="3">
        <v>-466.75</v>
      </c>
      <c r="AC548" s="3">
        <v>0</v>
      </c>
      <c r="AD548" s="3">
        <v>390.2</v>
      </c>
      <c r="AE548" s="3">
        <v>8194.25</v>
      </c>
      <c r="AF548" t="str">
        <f>IF(tbl_FinancialData[[#This Row],[City]]="","Unknown",PROPER(TRIM(tbl_FinancialData[[#This Row],[City]])))</f>
        <v>Ranchi</v>
      </c>
      <c r="AG548" t="str">
        <f>_xlfn.LET(_xlpm.city,LOWER(TRIM(tbl_FinancialData[[#This Row],[City]])),_xlpm.st,PROPER(TRIM(tbl_FinancialData[[#This Row],[State]])),IF(_xlpm.city="pune","Maharashtra",IF(_xlpm.city="jamshedpur","Jharkhand",IF(_xlpm.city="bhilai","Chhattisgarh",IF(_xlpm.city="mumbai","Maharashtra",_xlpm.st)))))</f>
        <v>Jharkhand</v>
      </c>
      <c r="AH548" t="str">
        <f>_xlfn.LET(_xlpm.d,PROPER(TRIM(tbl_FinancialData[[#This Row],[Department]])),IF(_xlpm.d="It","IT",_xlpm.d))</f>
        <v>Finance</v>
      </c>
      <c r="AI548" t="str">
        <f>_xlfn.LET(_xlpm.pid,tbl_FinancialData[[#This Row],[Product ID]],_xlpm.n,PROPER(TRIM(tbl_FinancialData[[#This Row],[Product Name]])),IF(_xlpm.pid="P020","Document Scanner",IF(_xlpm.pid="P015","Network Router",SUBSTITUTE(SUBSTITUTE(_xlpm.n,"Crm","CRM"),"Ups","UPS"))))</f>
        <v>Cloud Software</v>
      </c>
      <c r="AJ548" s="3" t="str">
        <f>UPPER(TRIM(tbl_FinancialData[[#This Row],[Cost Center]]))</f>
        <v>CC-1002</v>
      </c>
    </row>
    <row r="549" spans="1:36" x14ac:dyDescent="0.25">
      <c r="A549" s="3" t="s">
        <v>751</v>
      </c>
      <c r="B549" s="2">
        <v>45814</v>
      </c>
      <c r="C549" t="s">
        <v>156</v>
      </c>
      <c r="D549" s="3" t="str">
        <f t="shared" si="35"/>
        <v>Q1</v>
      </c>
      <c r="E549" s="3" t="str">
        <f t="shared" si="36"/>
        <v>FY2026</v>
      </c>
      <c r="F549" s="8" t="s">
        <v>85</v>
      </c>
      <c r="G549" s="3" t="s">
        <v>35</v>
      </c>
      <c r="H549" t="s">
        <v>60</v>
      </c>
      <c r="I549" t="s">
        <v>185</v>
      </c>
      <c r="J549" s="3" t="s">
        <v>38</v>
      </c>
      <c r="K549" t="s">
        <v>50</v>
      </c>
      <c r="L549" s="3" t="s">
        <v>94</v>
      </c>
      <c r="M549" s="3" t="s">
        <v>235</v>
      </c>
      <c r="N549" t="s">
        <v>236</v>
      </c>
      <c r="O549" t="s">
        <v>104</v>
      </c>
      <c r="P549" t="s">
        <v>237</v>
      </c>
      <c r="Q549" s="3">
        <v>23335.82</v>
      </c>
      <c r="R549" s="3">
        <v>22029.22</v>
      </c>
      <c r="S549" s="3">
        <v>13357.71</v>
      </c>
      <c r="T549" s="3">
        <v>2547.54</v>
      </c>
      <c r="U549" s="3">
        <v>1216.8800000000001</v>
      </c>
      <c r="V549" s="3">
        <v>2308.66</v>
      </c>
      <c r="W549" s="3">
        <v>326.11</v>
      </c>
      <c r="X549" s="3">
        <v>19756.91</v>
      </c>
      <c r="Y549" s="3">
        <v>9978.11</v>
      </c>
      <c r="Z549" s="3">
        <f t="shared" si="37"/>
        <v>3578.91</v>
      </c>
      <c r="AA549" s="37">
        <f t="shared" si="38"/>
        <v>0.15336551276106861</v>
      </c>
      <c r="AB549" s="3">
        <v>1306.5999999999999</v>
      </c>
      <c r="AC549" s="3">
        <v>1866.87</v>
      </c>
      <c r="AD549" s="3">
        <v>2576.27</v>
      </c>
      <c r="AE549" s="3">
        <v>24045.23</v>
      </c>
      <c r="AF549" t="str">
        <f>IF(tbl_FinancialData[[#This Row],[City]]="","Unknown",PROPER(TRIM(tbl_FinancialData[[#This Row],[City]])))</f>
        <v>Kanpur</v>
      </c>
      <c r="AG549" t="str">
        <f>_xlfn.LET(_xlpm.city,LOWER(TRIM(tbl_FinancialData[[#This Row],[City]])),_xlpm.st,PROPER(TRIM(tbl_FinancialData[[#This Row],[State]])),IF(_xlpm.city="pune","Maharashtra",IF(_xlpm.city="jamshedpur","Jharkhand",IF(_xlpm.city="bhilai","Chhattisgarh",IF(_xlpm.city="mumbai","Maharashtra",_xlpm.st)))))</f>
        <v>Uttar Pradesh</v>
      </c>
      <c r="AH549" t="str">
        <f>_xlfn.LET(_xlpm.d,PROPER(TRIM(tbl_FinancialData[[#This Row],[Department]])),IF(_xlpm.d="It","IT",_xlpm.d))</f>
        <v>Sales</v>
      </c>
      <c r="AI549" t="str">
        <f>_xlfn.LET(_xlpm.pid,tbl_FinancialData[[#This Row],[Product ID]],_xlpm.n,PROPER(TRIM(tbl_FinancialData[[#This Row],[Product Name]])),IF(_xlpm.pid="P020","Document Scanner",IF(_xlpm.pid="P015","Network Router",SUBSTITUTE(SUBSTITUTE(_xlpm.n,"Crm","CRM"),"Ups","UPS"))))</f>
        <v>Data Storage</v>
      </c>
      <c r="AJ549" s="3" t="str">
        <f>UPPER(TRIM(tbl_FinancialData[[#This Row],[Cost Center]]))</f>
        <v>CC-1001</v>
      </c>
    </row>
    <row r="550" spans="1:36" x14ac:dyDescent="0.25">
      <c r="A550" s="3" t="s">
        <v>752</v>
      </c>
      <c r="B550" s="2">
        <v>45982</v>
      </c>
      <c r="C550" t="s">
        <v>147</v>
      </c>
      <c r="D550" s="3" t="str">
        <f t="shared" si="35"/>
        <v>Q3</v>
      </c>
      <c r="E550" s="3" t="str">
        <f t="shared" si="36"/>
        <v>FY2026</v>
      </c>
      <c r="F550" s="8" t="s">
        <v>34</v>
      </c>
      <c r="G550" s="3" t="s">
        <v>35</v>
      </c>
      <c r="H550" t="s">
        <v>98</v>
      </c>
      <c r="I550" t="s">
        <v>99</v>
      </c>
      <c r="J550" s="3" t="s">
        <v>80</v>
      </c>
      <c r="K550" t="s">
        <v>50</v>
      </c>
      <c r="L550" s="3" t="s">
        <v>94</v>
      </c>
      <c r="M550" s="3" t="s">
        <v>130</v>
      </c>
      <c r="N550" t="s">
        <v>131</v>
      </c>
      <c r="O550" t="s">
        <v>43</v>
      </c>
      <c r="P550" t="s">
        <v>132</v>
      </c>
      <c r="Q550" s="3">
        <v>76299.3</v>
      </c>
      <c r="R550" s="3">
        <v>78369.600000000006</v>
      </c>
      <c r="S550" s="3">
        <v>37302.15</v>
      </c>
      <c r="T550" s="3">
        <v>7082.12</v>
      </c>
      <c r="U550" s="3">
        <v>5402.88</v>
      </c>
      <c r="V550" s="3">
        <v>5122.21</v>
      </c>
      <c r="W550" s="3">
        <v>1059.58</v>
      </c>
      <c r="X550" s="3">
        <v>55968.95</v>
      </c>
      <c r="Y550" s="3">
        <v>38997.15</v>
      </c>
      <c r="Z550" s="3">
        <f t="shared" si="37"/>
        <v>20330.350000000006</v>
      </c>
      <c r="AA550" s="37">
        <f t="shared" si="38"/>
        <v>0.26645526236806899</v>
      </c>
      <c r="AB550" s="3">
        <v>-2070.3000000000002</v>
      </c>
      <c r="AC550" s="3">
        <v>1525.99</v>
      </c>
      <c r="AD550" s="3">
        <v>13459.2</v>
      </c>
      <c r="AE550" s="3">
        <v>88232.51</v>
      </c>
      <c r="AF550" t="str">
        <f>IF(tbl_FinancialData[[#This Row],[City]]="","Unknown",PROPER(TRIM(tbl_FinancialData[[#This Row],[City]])))</f>
        <v>Mumbai</v>
      </c>
      <c r="AG550" t="str">
        <f>_xlfn.LET(_xlpm.city,LOWER(TRIM(tbl_FinancialData[[#This Row],[City]])),_xlpm.st,PROPER(TRIM(tbl_FinancialData[[#This Row],[State]])),IF(_xlpm.city="pune","Maharashtra",IF(_xlpm.city="jamshedpur","Jharkhand",IF(_xlpm.city="bhilai","Chhattisgarh",IF(_xlpm.city="mumbai","Maharashtra",_xlpm.st)))))</f>
        <v>Maharashtra</v>
      </c>
      <c r="AH550" t="str">
        <f>_xlfn.LET(_xlpm.d,PROPER(TRIM(tbl_FinancialData[[#This Row],[Department]])),IF(_xlpm.d="It","IT",_xlpm.d))</f>
        <v>Sales</v>
      </c>
      <c r="AI550" t="str">
        <f>_xlfn.LET(_xlpm.pid,tbl_FinancialData[[#This Row],[Product ID]],_xlpm.n,PROPER(TRIM(tbl_FinancialData[[#This Row],[Product Name]])),IF(_xlpm.pid="P020","Document Scanner",IF(_xlpm.pid="P015","Network Router",SUBSTITUTE(SUBSTITUTE(_xlpm.n,"Crm","CRM"),"Ups","UPS"))))</f>
        <v>UPS System</v>
      </c>
      <c r="AJ550" s="3" t="str">
        <f>UPPER(TRIM(tbl_FinancialData[[#This Row],[Cost Center]]))</f>
        <v>CC-1001</v>
      </c>
    </row>
    <row r="551" spans="1:36" x14ac:dyDescent="0.25">
      <c r="A551" s="3" t="s">
        <v>753</v>
      </c>
      <c r="B551" s="2">
        <v>46109</v>
      </c>
      <c r="C551" t="s">
        <v>125</v>
      </c>
      <c r="D551" s="3" t="str">
        <f t="shared" si="35"/>
        <v>Q4</v>
      </c>
      <c r="E551" s="3" t="str">
        <f t="shared" si="36"/>
        <v>FY2026</v>
      </c>
      <c r="F551" s="8" t="s">
        <v>34</v>
      </c>
      <c r="G551" s="3" t="s">
        <v>35</v>
      </c>
      <c r="H551" t="s">
        <v>134</v>
      </c>
      <c r="I551" t="s">
        <v>135</v>
      </c>
      <c r="J551" s="3" t="s">
        <v>80</v>
      </c>
      <c r="K551" t="s">
        <v>39</v>
      </c>
      <c r="L551" s="3" t="s">
        <v>51</v>
      </c>
      <c r="M551" s="3" t="s">
        <v>186</v>
      </c>
      <c r="N551" t="s">
        <v>187</v>
      </c>
      <c r="O551" t="s">
        <v>173</v>
      </c>
      <c r="P551" t="s">
        <v>174</v>
      </c>
      <c r="Q551" s="3">
        <v>21168.94</v>
      </c>
      <c r="R551" s="3">
        <v>23278.880000000001</v>
      </c>
      <c r="S551" s="3">
        <v>10607.03</v>
      </c>
      <c r="T551" s="3">
        <v>2190.02</v>
      </c>
      <c r="U551" s="3">
        <v>1761.84</v>
      </c>
      <c r="V551" s="3">
        <v>944.62</v>
      </c>
      <c r="W551" s="3">
        <v>315.89999999999998</v>
      </c>
      <c r="X551" s="3">
        <v>15819.42</v>
      </c>
      <c r="Y551" s="3">
        <v>10561.92</v>
      </c>
      <c r="Z551" s="3">
        <f t="shared" si="37"/>
        <v>5349.5199999999986</v>
      </c>
      <c r="AA551" s="37">
        <f t="shared" si="38"/>
        <v>0.25270608731471672</v>
      </c>
      <c r="AB551" s="3">
        <v>-2109.94</v>
      </c>
      <c r="AC551" s="3">
        <v>1058.45</v>
      </c>
      <c r="AD551" s="3">
        <v>2413.2600000000002</v>
      </c>
      <c r="AE551" s="3">
        <v>22523.759999999998</v>
      </c>
      <c r="AF551" t="str">
        <f>IF(tbl_FinancialData[[#This Row],[City]]="","Unknown",PROPER(TRIM(tbl_FinancialData[[#This Row],[City]])))</f>
        <v>Jodhpur</v>
      </c>
      <c r="AG551" t="str">
        <f>_xlfn.LET(_xlpm.city,LOWER(TRIM(tbl_FinancialData[[#This Row],[City]])),_xlpm.st,PROPER(TRIM(tbl_FinancialData[[#This Row],[State]])),IF(_xlpm.city="pune","Maharashtra",IF(_xlpm.city="jamshedpur","Jharkhand",IF(_xlpm.city="bhilai","Chhattisgarh",IF(_xlpm.city="mumbai","Maharashtra",_xlpm.st)))))</f>
        <v>Rajasthan</v>
      </c>
      <c r="AH551" t="str">
        <f>_xlfn.LET(_xlpm.d,PROPER(TRIM(tbl_FinancialData[[#This Row],[Department]])),IF(_xlpm.d="It","IT",_xlpm.d))</f>
        <v>Operations</v>
      </c>
      <c r="AI551" t="str">
        <f>_xlfn.LET(_xlpm.pid,tbl_FinancialData[[#This Row],[Product ID]],_xlpm.n,PROPER(TRIM(tbl_FinancialData[[#This Row],[Product Name]])),IF(_xlpm.pid="P020","Document Scanner",IF(_xlpm.pid="P015","Network Router",SUBSTITUTE(SUBSTITUTE(_xlpm.n,"Crm","CRM"),"Ups","UPS"))))</f>
        <v>Network Router</v>
      </c>
      <c r="AJ551" s="3" t="str">
        <f>UPPER(TRIM(tbl_FinancialData[[#This Row],[Cost Center]]))</f>
        <v>CC-1003</v>
      </c>
    </row>
    <row r="552" spans="1:36" x14ac:dyDescent="0.25">
      <c r="A552" s="3" t="s">
        <v>754</v>
      </c>
      <c r="B552" s="2">
        <v>45859</v>
      </c>
      <c r="C552" t="s">
        <v>32</v>
      </c>
      <c r="D552" s="3" t="str">
        <f t="shared" si="35"/>
        <v>Q2</v>
      </c>
      <c r="E552" s="3" t="str">
        <f t="shared" si="36"/>
        <v>FY2026</v>
      </c>
      <c r="F552" s="8" t="s">
        <v>59</v>
      </c>
      <c r="G552" s="3" t="s">
        <v>35</v>
      </c>
      <c r="H552" t="s">
        <v>60</v>
      </c>
      <c r="I552" t="s">
        <v>108</v>
      </c>
      <c r="J552" s="3" t="s">
        <v>100</v>
      </c>
      <c r="K552" t="s">
        <v>50</v>
      </c>
      <c r="L552" s="3" t="s">
        <v>81</v>
      </c>
      <c r="M552" s="3" t="s">
        <v>41</v>
      </c>
      <c r="N552" t="s">
        <v>42</v>
      </c>
      <c r="O552" t="s">
        <v>43</v>
      </c>
      <c r="P552" t="s">
        <v>44</v>
      </c>
      <c r="Q552" s="3">
        <v>39237.69</v>
      </c>
      <c r="R552" s="3">
        <v>36258.480000000003</v>
      </c>
      <c r="S552" s="3">
        <v>24033.81</v>
      </c>
      <c r="T552" s="3">
        <v>4324.99</v>
      </c>
      <c r="U552" s="3">
        <v>1700.17</v>
      </c>
      <c r="V552" s="3">
        <v>2256.31</v>
      </c>
      <c r="W552" s="3">
        <v>1109.1600000000001</v>
      </c>
      <c r="X552" s="3">
        <v>33424.44</v>
      </c>
      <c r="Y552" s="3">
        <v>15203.87</v>
      </c>
      <c r="Z552" s="3">
        <f t="shared" si="37"/>
        <v>5813.25</v>
      </c>
      <c r="AA552" s="37">
        <f t="shared" si="38"/>
        <v>0.14815474611272986</v>
      </c>
      <c r="AB552" s="3">
        <v>2979.21</v>
      </c>
      <c r="AC552" s="3">
        <v>0</v>
      </c>
      <c r="AD552" s="3">
        <v>7062.78</v>
      </c>
      <c r="AE552" s="3">
        <v>46300.47</v>
      </c>
      <c r="AF552" t="str">
        <f>IF(tbl_FinancialData[[#This Row],[City]]="","Unknown",PROPER(TRIM(tbl_FinancialData[[#This Row],[City]])))</f>
        <v>Agra</v>
      </c>
      <c r="AG552" t="str">
        <f>_xlfn.LET(_xlpm.city,LOWER(TRIM(tbl_FinancialData[[#This Row],[City]])),_xlpm.st,PROPER(TRIM(tbl_FinancialData[[#This Row],[State]])),IF(_xlpm.city="pune","Maharashtra",IF(_xlpm.city="jamshedpur","Jharkhand",IF(_xlpm.city="bhilai","Chhattisgarh",IF(_xlpm.city="mumbai","Maharashtra",_xlpm.st)))))</f>
        <v>Uttar Pradesh</v>
      </c>
      <c r="AH552" t="str">
        <f>_xlfn.LET(_xlpm.d,PROPER(TRIM(tbl_FinancialData[[#This Row],[Department]])),IF(_xlpm.d="It","IT",_xlpm.d))</f>
        <v>Sales</v>
      </c>
      <c r="AI552" t="str">
        <f>_xlfn.LET(_xlpm.pid,tbl_FinancialData[[#This Row],[Product ID]],_xlpm.n,PROPER(TRIM(tbl_FinancialData[[#This Row],[Product Name]])),IF(_xlpm.pid="P020","Document Scanner",IF(_xlpm.pid="P015","Network Router",SUBSTITUTE(SUBSTITUTE(_xlpm.n,"Crm","CRM"),"Ups","UPS"))))</f>
        <v>Conference Camera</v>
      </c>
      <c r="AJ552" s="3" t="str">
        <f>UPPER(TRIM(tbl_FinancialData[[#This Row],[Cost Center]]))</f>
        <v>CC-1005</v>
      </c>
    </row>
    <row r="553" spans="1:36" x14ac:dyDescent="0.25">
      <c r="A553" s="3" t="s">
        <v>755</v>
      </c>
      <c r="B553" s="2">
        <v>45946</v>
      </c>
      <c r="C553" t="s">
        <v>92</v>
      </c>
      <c r="D553" s="3" t="str">
        <f t="shared" si="35"/>
        <v>Q3</v>
      </c>
      <c r="E553" s="3" t="str">
        <f t="shared" si="36"/>
        <v>FY2026</v>
      </c>
      <c r="F553" s="8" t="s">
        <v>67</v>
      </c>
      <c r="G553" s="3" t="s">
        <v>35</v>
      </c>
      <c r="H553" t="s">
        <v>217</v>
      </c>
      <c r="I553" t="s">
        <v>218</v>
      </c>
      <c r="J553" s="3" t="s">
        <v>100</v>
      </c>
      <c r="K553" t="s">
        <v>39</v>
      </c>
      <c r="L553" s="3" t="s">
        <v>94</v>
      </c>
      <c r="M553" s="3" t="s">
        <v>102</v>
      </c>
      <c r="N553" t="s">
        <v>103</v>
      </c>
      <c r="O553" t="s">
        <v>104</v>
      </c>
      <c r="P553" t="s">
        <v>105</v>
      </c>
      <c r="Q553" s="3">
        <v>8425.44</v>
      </c>
      <c r="R553" s="3">
        <v>8208.17</v>
      </c>
      <c r="S553" s="3">
        <v>4973.57</v>
      </c>
      <c r="T553" s="3">
        <v>580.89</v>
      </c>
      <c r="U553" s="3">
        <v>554.19000000000005</v>
      </c>
      <c r="V553" s="3">
        <v>540.23</v>
      </c>
      <c r="W553" s="3">
        <v>369.71</v>
      </c>
      <c r="X553" s="3">
        <v>7018.59</v>
      </c>
      <c r="Y553" s="3">
        <v>3451.87</v>
      </c>
      <c r="Z553" s="3">
        <f t="shared" si="37"/>
        <v>1406.8500000000004</v>
      </c>
      <c r="AA553" s="37">
        <f t="shared" si="38"/>
        <v>0.16697644277331514</v>
      </c>
      <c r="AB553" s="3">
        <v>217.27</v>
      </c>
      <c r="AC553" s="3">
        <v>421.27</v>
      </c>
      <c r="AD553" s="3">
        <v>400.21</v>
      </c>
      <c r="AE553" s="3">
        <v>8404.3700000000008</v>
      </c>
      <c r="AF553" t="str">
        <f>IF(tbl_FinancialData[[#This Row],[City]]="","Unknown",PROPER(TRIM(tbl_FinancialData[[#This Row],[City]])))</f>
        <v>Gaya</v>
      </c>
      <c r="AG553" t="str">
        <f>_xlfn.LET(_xlpm.city,LOWER(TRIM(tbl_FinancialData[[#This Row],[City]])),_xlpm.st,PROPER(TRIM(tbl_FinancialData[[#This Row],[State]])),IF(_xlpm.city="pune","Maharashtra",IF(_xlpm.city="jamshedpur","Jharkhand",IF(_xlpm.city="bhilai","Chhattisgarh",IF(_xlpm.city="mumbai","Maharashtra",_xlpm.st)))))</f>
        <v>Bihar</v>
      </c>
      <c r="AH553" t="str">
        <f>_xlfn.LET(_xlpm.d,PROPER(TRIM(tbl_FinancialData[[#This Row],[Department]])),IF(_xlpm.d="It","IT",_xlpm.d))</f>
        <v>Operations</v>
      </c>
      <c r="AI553" t="str">
        <f>_xlfn.LET(_xlpm.pid,tbl_FinancialData[[#This Row],[Product ID]],_xlpm.n,PROPER(TRIM(tbl_FinancialData[[#This Row],[Product Name]])),IF(_xlpm.pid="P020","Document Scanner",IF(_xlpm.pid="P015","Network Router",SUBSTITUTE(SUBSTITUTE(_xlpm.n,"Crm","CRM"),"Ups","UPS"))))</f>
        <v>Accounting Software</v>
      </c>
      <c r="AJ553" s="3" t="str">
        <f>UPPER(TRIM(tbl_FinancialData[[#This Row],[Cost Center]]))</f>
        <v>CC-1001</v>
      </c>
    </row>
    <row r="554" spans="1:36" x14ac:dyDescent="0.25">
      <c r="A554" s="3" t="s">
        <v>756</v>
      </c>
      <c r="B554" s="2">
        <v>46083</v>
      </c>
      <c r="C554" t="s">
        <v>125</v>
      </c>
      <c r="D554" s="3" t="str">
        <f t="shared" si="35"/>
        <v>Q4</v>
      </c>
      <c r="E554" s="3" t="str">
        <f t="shared" si="36"/>
        <v>FY2026</v>
      </c>
      <c r="F554" s="8" t="s">
        <v>34</v>
      </c>
      <c r="G554" s="3" t="s">
        <v>35</v>
      </c>
      <c r="H554" t="s">
        <v>98</v>
      </c>
      <c r="I554" t="s">
        <v>99</v>
      </c>
      <c r="J554" s="3" t="s">
        <v>100</v>
      </c>
      <c r="K554" t="s">
        <v>71</v>
      </c>
      <c r="L554" s="3" t="s">
        <v>81</v>
      </c>
      <c r="M554" s="3" t="s">
        <v>41</v>
      </c>
      <c r="N554" t="s">
        <v>42</v>
      </c>
      <c r="O554" t="s">
        <v>43</v>
      </c>
      <c r="P554" t="s">
        <v>44</v>
      </c>
      <c r="Q554" s="3">
        <v>44101.36</v>
      </c>
      <c r="R554" s="3">
        <v>45577.03</v>
      </c>
      <c r="S554" s="3">
        <v>31155.66</v>
      </c>
      <c r="T554" s="3">
        <v>2352.83</v>
      </c>
      <c r="U554" s="3">
        <v>2544.62</v>
      </c>
      <c r="V554" s="3">
        <v>3825.26</v>
      </c>
      <c r="W554" s="3">
        <v>1861.38</v>
      </c>
      <c r="X554" s="3">
        <v>41739.75</v>
      </c>
      <c r="Y554" s="3">
        <v>12945.71</v>
      </c>
      <c r="Z554" s="3">
        <f t="shared" si="37"/>
        <v>2361.6100000000006</v>
      </c>
      <c r="AA554" s="37">
        <f t="shared" si="38"/>
        <v>5.354959574942815E-2</v>
      </c>
      <c r="AB554" s="3">
        <v>-1475.67</v>
      </c>
      <c r="AC554" s="3">
        <v>0</v>
      </c>
      <c r="AD554" s="3">
        <v>5292.16</v>
      </c>
      <c r="AE554" s="3">
        <v>49393.53</v>
      </c>
      <c r="AF554" t="str">
        <f>IF(tbl_FinancialData[[#This Row],[City]]="","Unknown",PROPER(TRIM(tbl_FinancialData[[#This Row],[City]])))</f>
        <v>Mumbai</v>
      </c>
      <c r="AG554" t="str">
        <f>_xlfn.LET(_xlpm.city,LOWER(TRIM(tbl_FinancialData[[#This Row],[City]])),_xlpm.st,PROPER(TRIM(tbl_FinancialData[[#This Row],[State]])),IF(_xlpm.city="pune","Maharashtra",IF(_xlpm.city="jamshedpur","Jharkhand",IF(_xlpm.city="bhilai","Chhattisgarh",IF(_xlpm.city="mumbai","Maharashtra",_xlpm.st)))))</f>
        <v>Maharashtra</v>
      </c>
      <c r="AH554" t="str">
        <f>_xlfn.LET(_xlpm.d,PROPER(TRIM(tbl_FinancialData[[#This Row],[Department]])),IF(_xlpm.d="It","IT",_xlpm.d))</f>
        <v>Marketing</v>
      </c>
      <c r="AI554" t="str">
        <f>_xlfn.LET(_xlpm.pid,tbl_FinancialData[[#This Row],[Product ID]],_xlpm.n,PROPER(TRIM(tbl_FinancialData[[#This Row],[Product Name]])),IF(_xlpm.pid="P020","Document Scanner",IF(_xlpm.pid="P015","Network Router",SUBSTITUTE(SUBSTITUTE(_xlpm.n,"Crm","CRM"),"Ups","UPS"))))</f>
        <v>Conference Camera</v>
      </c>
      <c r="AJ554" s="3" t="str">
        <f>UPPER(TRIM(tbl_FinancialData[[#This Row],[Cost Center]]))</f>
        <v>CC-1005</v>
      </c>
    </row>
    <row r="555" spans="1:36" x14ac:dyDescent="0.25">
      <c r="A555" s="3" t="s">
        <v>757</v>
      </c>
      <c r="B555" s="2">
        <v>46103</v>
      </c>
      <c r="C555" t="s">
        <v>125</v>
      </c>
      <c r="D555" s="3" t="str">
        <f t="shared" si="35"/>
        <v>Q4</v>
      </c>
      <c r="E555" s="3" t="str">
        <f t="shared" si="36"/>
        <v>FY2026</v>
      </c>
      <c r="F555" s="8" t="s">
        <v>47</v>
      </c>
      <c r="G555" s="3" t="s">
        <v>35</v>
      </c>
      <c r="H555" t="s">
        <v>214</v>
      </c>
      <c r="I555" t="s">
        <v>220</v>
      </c>
      <c r="J555" s="3" t="s">
        <v>38</v>
      </c>
      <c r="K555" t="s">
        <v>50</v>
      </c>
      <c r="L555" s="3" t="s">
        <v>81</v>
      </c>
      <c r="M555" s="3" t="s">
        <v>41</v>
      </c>
      <c r="N555" t="s">
        <v>42</v>
      </c>
      <c r="O555" t="s">
        <v>43</v>
      </c>
      <c r="P555" t="s">
        <v>44</v>
      </c>
      <c r="Q555" s="3">
        <v>56591.74</v>
      </c>
      <c r="R555" s="3">
        <v>60880.49</v>
      </c>
      <c r="S555" s="3">
        <v>27996.6</v>
      </c>
      <c r="T555" s="3">
        <v>5209.0600000000004</v>
      </c>
      <c r="U555" s="3">
        <v>3241.68</v>
      </c>
      <c r="V555" s="3">
        <v>2916.37</v>
      </c>
      <c r="W555" s="3">
        <v>2388.71</v>
      </c>
      <c r="X555" s="3">
        <v>41752.42</v>
      </c>
      <c r="Y555" s="3">
        <v>28595.15</v>
      </c>
      <c r="Z555" s="3">
        <f t="shared" si="37"/>
        <v>14839.32</v>
      </c>
      <c r="AA555" s="37">
        <f t="shared" si="38"/>
        <v>0.26221706560003283</v>
      </c>
      <c r="AB555" s="3">
        <v>-4288.75</v>
      </c>
      <c r="AC555" s="3">
        <v>1697.75</v>
      </c>
      <c r="AD555" s="3">
        <v>9880.92</v>
      </c>
      <c r="AE555" s="3">
        <v>64774.91</v>
      </c>
      <c r="AF555" t="str">
        <f>IF(tbl_FinancialData[[#This Row],[City]]="","Unknown",PROPER(TRIM(tbl_FinancialData[[#This Row],[City]])))</f>
        <v>Mysuru</v>
      </c>
      <c r="AG555" t="str">
        <f>_xlfn.LET(_xlpm.city,LOWER(TRIM(tbl_FinancialData[[#This Row],[City]])),_xlpm.st,PROPER(TRIM(tbl_FinancialData[[#This Row],[State]])),IF(_xlpm.city="pune","Maharashtra",IF(_xlpm.city="jamshedpur","Jharkhand",IF(_xlpm.city="bhilai","Chhattisgarh",IF(_xlpm.city="mumbai","Maharashtra",_xlpm.st)))))</f>
        <v>Karnataka</v>
      </c>
      <c r="AH555" t="str">
        <f>_xlfn.LET(_xlpm.d,PROPER(TRIM(tbl_FinancialData[[#This Row],[Department]])),IF(_xlpm.d="It","IT",_xlpm.d))</f>
        <v>Sales</v>
      </c>
      <c r="AI555" t="str">
        <f>_xlfn.LET(_xlpm.pid,tbl_FinancialData[[#This Row],[Product ID]],_xlpm.n,PROPER(TRIM(tbl_FinancialData[[#This Row],[Product Name]])),IF(_xlpm.pid="P020","Document Scanner",IF(_xlpm.pid="P015","Network Router",SUBSTITUTE(SUBSTITUTE(_xlpm.n,"Crm","CRM"),"Ups","UPS"))))</f>
        <v>Conference Camera</v>
      </c>
      <c r="AJ555" s="3" t="str">
        <f>UPPER(TRIM(tbl_FinancialData[[#This Row],[Cost Center]]))</f>
        <v>CC-1005</v>
      </c>
    </row>
    <row r="556" spans="1:36" x14ac:dyDescent="0.25">
      <c r="A556" s="3" t="s">
        <v>758</v>
      </c>
      <c r="B556" s="2">
        <v>45766</v>
      </c>
      <c r="C556" t="s">
        <v>128</v>
      </c>
      <c r="D556" s="3" t="str">
        <f t="shared" si="35"/>
        <v>Q1</v>
      </c>
      <c r="E556" s="3" t="str">
        <f t="shared" si="36"/>
        <v>FY2026</v>
      </c>
      <c r="F556" s="8" t="s">
        <v>34</v>
      </c>
      <c r="G556" s="3" t="s">
        <v>35</v>
      </c>
      <c r="H556" t="s">
        <v>157</v>
      </c>
      <c r="I556" t="s">
        <v>158</v>
      </c>
      <c r="J556" s="3" t="s">
        <v>100</v>
      </c>
      <c r="K556" t="s">
        <v>39</v>
      </c>
      <c r="L556" s="3" t="s">
        <v>40</v>
      </c>
      <c r="M556" s="3" t="s">
        <v>141</v>
      </c>
      <c r="N556" t="s">
        <v>142</v>
      </c>
      <c r="O556" t="s">
        <v>54</v>
      </c>
      <c r="P556" t="s">
        <v>143</v>
      </c>
      <c r="Q556" s="3">
        <v>9103.0400000000009</v>
      </c>
      <c r="R556" s="3">
        <v>9986.7900000000009</v>
      </c>
      <c r="S556" s="3">
        <v>6188.65</v>
      </c>
      <c r="T556" s="3">
        <v>601.4</v>
      </c>
      <c r="U556" s="3">
        <v>495.05</v>
      </c>
      <c r="V556" s="3">
        <v>867.95</v>
      </c>
      <c r="W556" s="3">
        <v>294.11</v>
      </c>
      <c r="X556" s="3">
        <v>8447.17</v>
      </c>
      <c r="Y556" s="3">
        <v>2914.39</v>
      </c>
      <c r="Z556" s="3">
        <f t="shared" si="37"/>
        <v>655.8700000000008</v>
      </c>
      <c r="AA556" s="37">
        <f t="shared" si="38"/>
        <v>7.2049557071044476E-2</v>
      </c>
      <c r="AB556" s="3">
        <v>-883.75</v>
      </c>
      <c r="AC556" s="3">
        <v>455.15</v>
      </c>
      <c r="AD556" s="3">
        <v>432.39</v>
      </c>
      <c r="AE556" s="3">
        <v>9080.2900000000009</v>
      </c>
      <c r="AF556" t="str">
        <f>IF(tbl_FinancialData[[#This Row],[City]]="","Unknown",PROPER(TRIM(tbl_FinancialData[[#This Row],[City]])))</f>
        <v>Ahmedabad</v>
      </c>
      <c r="AG556" t="str">
        <f>_xlfn.LET(_xlpm.city,LOWER(TRIM(tbl_FinancialData[[#This Row],[City]])),_xlpm.st,PROPER(TRIM(tbl_FinancialData[[#This Row],[State]])),IF(_xlpm.city="pune","Maharashtra",IF(_xlpm.city="jamshedpur","Jharkhand",IF(_xlpm.city="bhilai","Chhattisgarh",IF(_xlpm.city="mumbai","Maharashtra",_xlpm.st)))))</f>
        <v>Gujarat</v>
      </c>
      <c r="AH556" t="str">
        <f>_xlfn.LET(_xlpm.d,PROPER(TRIM(tbl_FinancialData[[#This Row],[Department]])),IF(_xlpm.d="It","IT",_xlpm.d))</f>
        <v>Operations</v>
      </c>
      <c r="AI556" t="str">
        <f>_xlfn.LET(_xlpm.pid,tbl_FinancialData[[#This Row],[Product ID]],_xlpm.n,PROPER(TRIM(tbl_FinancialData[[#This Row],[Product Name]])),IF(_xlpm.pid="P020","Document Scanner",IF(_xlpm.pid="P015","Network Router",SUBSTITUTE(SUBSTITUTE(_xlpm.n,"Crm","CRM"),"Ups","UPS"))))</f>
        <v>Headset</v>
      </c>
      <c r="AJ556" s="3" t="str">
        <f>UPPER(TRIM(tbl_FinancialData[[#This Row],[Cost Center]]))</f>
        <v>CC-1002</v>
      </c>
    </row>
    <row r="557" spans="1:36" x14ac:dyDescent="0.25">
      <c r="A557" s="3" t="s">
        <v>759</v>
      </c>
      <c r="B557" s="2">
        <v>45861</v>
      </c>
      <c r="C557" t="s">
        <v>32</v>
      </c>
      <c r="D557" s="3" t="str">
        <f t="shared" si="35"/>
        <v>Q2</v>
      </c>
      <c r="E557" s="3" t="str">
        <f t="shared" si="36"/>
        <v>FY2026</v>
      </c>
      <c r="F557" s="8" t="s">
        <v>59</v>
      </c>
      <c r="G557" s="3" t="s">
        <v>35</v>
      </c>
      <c r="H557" t="s">
        <v>139</v>
      </c>
      <c r="I557" t="s">
        <v>140</v>
      </c>
      <c r="J557" s="3" t="s">
        <v>70</v>
      </c>
      <c r="K557" t="s">
        <v>50</v>
      </c>
      <c r="L557" s="3" t="s">
        <v>40</v>
      </c>
      <c r="M557" s="3" t="s">
        <v>186</v>
      </c>
      <c r="N557" t="s">
        <v>187</v>
      </c>
      <c r="O557" t="s">
        <v>173</v>
      </c>
      <c r="P557" t="s">
        <v>174</v>
      </c>
      <c r="Q557" s="3">
        <v>15339.88</v>
      </c>
      <c r="R557" s="3">
        <v>16191.8</v>
      </c>
      <c r="S557" s="3">
        <v>8993.76</v>
      </c>
      <c r="T557" s="3">
        <v>808.93</v>
      </c>
      <c r="U557" s="3">
        <v>702.22</v>
      </c>
      <c r="V557" s="3">
        <v>1608.15</v>
      </c>
      <c r="W557" s="3">
        <v>523.70000000000005</v>
      </c>
      <c r="X557" s="3">
        <v>12636.76</v>
      </c>
      <c r="Y557" s="3">
        <v>6346.12</v>
      </c>
      <c r="Z557" s="3">
        <f t="shared" si="37"/>
        <v>2703.119999999999</v>
      </c>
      <c r="AA557" s="37">
        <f t="shared" si="38"/>
        <v>0.1762151985543563</v>
      </c>
      <c r="AB557" s="3">
        <v>-851.92</v>
      </c>
      <c r="AC557" s="3">
        <v>766.99</v>
      </c>
      <c r="AD557" s="3">
        <v>2623.12</v>
      </c>
      <c r="AE557" s="3">
        <v>17196.009999999998</v>
      </c>
      <c r="AF557" t="str">
        <f>IF(tbl_FinancialData[[#This Row],[City]]="","Unknown",PROPER(TRIM(tbl_FinancialData[[#This Row],[City]])))</f>
        <v>Faridabad</v>
      </c>
      <c r="AG557" t="str">
        <f>_xlfn.LET(_xlpm.city,LOWER(TRIM(tbl_FinancialData[[#This Row],[City]])),_xlpm.st,PROPER(TRIM(tbl_FinancialData[[#This Row],[State]])),IF(_xlpm.city="pune","Maharashtra",IF(_xlpm.city="jamshedpur","Jharkhand",IF(_xlpm.city="bhilai","Chhattisgarh",IF(_xlpm.city="mumbai","Maharashtra",_xlpm.st)))))</f>
        <v>Haryana</v>
      </c>
      <c r="AH557" t="str">
        <f>_xlfn.LET(_xlpm.d,PROPER(TRIM(tbl_FinancialData[[#This Row],[Department]])),IF(_xlpm.d="It","IT",_xlpm.d))</f>
        <v>Sales</v>
      </c>
      <c r="AI557" t="str">
        <f>_xlfn.LET(_xlpm.pid,tbl_FinancialData[[#This Row],[Product ID]],_xlpm.n,PROPER(TRIM(tbl_FinancialData[[#This Row],[Product Name]])),IF(_xlpm.pid="P020","Document Scanner",IF(_xlpm.pid="P015","Network Router",SUBSTITUTE(SUBSTITUTE(_xlpm.n,"Crm","CRM"),"Ups","UPS"))))</f>
        <v>Network Router</v>
      </c>
      <c r="AJ557" s="3" t="str">
        <f>UPPER(TRIM(tbl_FinancialData[[#This Row],[Cost Center]]))</f>
        <v>CC-1002</v>
      </c>
    </row>
    <row r="558" spans="1:36" x14ac:dyDescent="0.25">
      <c r="A558" s="3" t="s">
        <v>760</v>
      </c>
      <c r="B558" s="2">
        <v>46007</v>
      </c>
      <c r="C558" t="s">
        <v>107</v>
      </c>
      <c r="D558" s="3" t="str">
        <f t="shared" si="35"/>
        <v>Q3</v>
      </c>
      <c r="E558" s="3" t="str">
        <f t="shared" si="36"/>
        <v>FY2026</v>
      </c>
      <c r="F558" s="8" t="s">
        <v>59</v>
      </c>
      <c r="G558" s="3" t="s">
        <v>35</v>
      </c>
      <c r="H558" t="s">
        <v>60</v>
      </c>
      <c r="I558" t="s">
        <v>185</v>
      </c>
      <c r="J558" s="3" t="s">
        <v>100</v>
      </c>
      <c r="K558" t="s">
        <v>50</v>
      </c>
      <c r="L558" s="3" t="s">
        <v>72</v>
      </c>
      <c r="M558" s="3" t="s">
        <v>161</v>
      </c>
      <c r="N558" t="s">
        <v>162</v>
      </c>
      <c r="O558" t="s">
        <v>43</v>
      </c>
      <c r="P558" t="s">
        <v>163</v>
      </c>
      <c r="Q558" s="3">
        <v>48517.85</v>
      </c>
      <c r="R558" s="3">
        <v>43450.87</v>
      </c>
      <c r="S558" s="3">
        <v>34260.199999999997</v>
      </c>
      <c r="T558" s="3">
        <v>4472.28</v>
      </c>
      <c r="U558" s="3">
        <v>2238.0700000000002</v>
      </c>
      <c r="V558" s="3">
        <v>2554.4699999999998</v>
      </c>
      <c r="W558" s="3">
        <v>1060.04</v>
      </c>
      <c r="X558" s="3">
        <v>44585.06</v>
      </c>
      <c r="Y558" s="3">
        <v>14257.64</v>
      </c>
      <c r="Z558" s="3">
        <f t="shared" si="37"/>
        <v>3932.7900000000009</v>
      </c>
      <c r="AA558" s="37">
        <f t="shared" si="38"/>
        <v>8.1058620693208808E-2</v>
      </c>
      <c r="AB558" s="3">
        <v>5066.9799999999996</v>
      </c>
      <c r="AC558" s="3">
        <v>0</v>
      </c>
      <c r="AD558" s="3">
        <v>5822.14</v>
      </c>
      <c r="AE558" s="3">
        <v>54339.99</v>
      </c>
      <c r="AF558" t="str">
        <f>IF(tbl_FinancialData[[#This Row],[City]]="","Unknown",PROPER(TRIM(tbl_FinancialData[[#This Row],[City]])))</f>
        <v>Kanpur</v>
      </c>
      <c r="AG558" t="str">
        <f>_xlfn.LET(_xlpm.city,LOWER(TRIM(tbl_FinancialData[[#This Row],[City]])),_xlpm.st,PROPER(TRIM(tbl_FinancialData[[#This Row],[State]])),IF(_xlpm.city="pune","Maharashtra",IF(_xlpm.city="jamshedpur","Jharkhand",IF(_xlpm.city="bhilai","Chhattisgarh",IF(_xlpm.city="mumbai","Maharashtra",_xlpm.st)))))</f>
        <v>Uttar Pradesh</v>
      </c>
      <c r="AH558" t="str">
        <f>_xlfn.LET(_xlpm.d,PROPER(TRIM(tbl_FinancialData[[#This Row],[Department]])),IF(_xlpm.d="It","IT",_xlpm.d))</f>
        <v>Sales</v>
      </c>
      <c r="AI558" t="str">
        <f>_xlfn.LET(_xlpm.pid,tbl_FinancialData[[#This Row],[Product ID]],_xlpm.n,PROPER(TRIM(tbl_FinancialData[[#This Row],[Product Name]])),IF(_xlpm.pid="P020","Document Scanner",IF(_xlpm.pid="P015","Network Router",SUBSTITUTE(SUBSTITUTE(_xlpm.n,"Crm","CRM"),"Ups","UPS"))))</f>
        <v>Tablet</v>
      </c>
      <c r="AJ558" s="3" t="str">
        <f>UPPER(TRIM(tbl_FinancialData[[#This Row],[Cost Center]]))</f>
        <v>CC-1004</v>
      </c>
    </row>
    <row r="559" spans="1:36" x14ac:dyDescent="0.25">
      <c r="A559" s="3" t="s">
        <v>761</v>
      </c>
      <c r="B559" s="2">
        <v>45795</v>
      </c>
      <c r="C559" t="s">
        <v>65</v>
      </c>
      <c r="D559" s="3" t="str">
        <f t="shared" si="35"/>
        <v>Q1</v>
      </c>
      <c r="E559" s="3" t="str">
        <f t="shared" si="36"/>
        <v>FY2026</v>
      </c>
      <c r="F559" s="8" t="s">
        <v>34</v>
      </c>
      <c r="G559" s="3" t="s">
        <v>35</v>
      </c>
      <c r="H559" t="s">
        <v>157</v>
      </c>
      <c r="I559" t="s">
        <v>158</v>
      </c>
      <c r="J559" s="3" t="s">
        <v>38</v>
      </c>
      <c r="K559" t="s">
        <v>50</v>
      </c>
      <c r="L559" s="3" t="s">
        <v>40</v>
      </c>
      <c r="M559" s="3" t="s">
        <v>120</v>
      </c>
      <c r="N559" t="s">
        <v>121</v>
      </c>
      <c r="O559" t="s">
        <v>43</v>
      </c>
      <c r="P559" t="s">
        <v>122</v>
      </c>
      <c r="Q559" s="3">
        <v>63748.67</v>
      </c>
      <c r="R559" s="3">
        <v>72784.33</v>
      </c>
      <c r="S559" s="3">
        <v>33898.58</v>
      </c>
      <c r="T559" s="3">
        <v>3614.83</v>
      </c>
      <c r="U559" s="3">
        <v>3594.67</v>
      </c>
      <c r="V559" s="3">
        <v>5171.7</v>
      </c>
      <c r="W559" s="3">
        <v>2487.56</v>
      </c>
      <c r="X559" s="3">
        <v>48767.34</v>
      </c>
      <c r="Y559" s="3">
        <v>29850.09</v>
      </c>
      <c r="Z559" s="3">
        <f t="shared" si="37"/>
        <v>14981.330000000002</v>
      </c>
      <c r="AA559" s="37">
        <f t="shared" si="38"/>
        <v>0.23500615777552697</v>
      </c>
      <c r="AB559" s="3">
        <v>-9035.66</v>
      </c>
      <c r="AC559" s="3">
        <v>1912.46</v>
      </c>
      <c r="AD559" s="3">
        <v>7420.34</v>
      </c>
      <c r="AE559" s="3">
        <v>69256.55</v>
      </c>
      <c r="AF559" t="str">
        <f>IF(tbl_FinancialData[[#This Row],[City]]="","Unknown",PROPER(TRIM(tbl_FinancialData[[#This Row],[City]])))</f>
        <v>Ahmedabad</v>
      </c>
      <c r="AG559" t="str">
        <f>_xlfn.LET(_xlpm.city,LOWER(TRIM(tbl_FinancialData[[#This Row],[City]])),_xlpm.st,PROPER(TRIM(tbl_FinancialData[[#This Row],[State]])),IF(_xlpm.city="pune","Maharashtra",IF(_xlpm.city="jamshedpur","Jharkhand",IF(_xlpm.city="bhilai","Chhattisgarh",IF(_xlpm.city="mumbai","Maharashtra",_xlpm.st)))))</f>
        <v>Gujarat</v>
      </c>
      <c r="AH559" t="str">
        <f>_xlfn.LET(_xlpm.d,PROPER(TRIM(tbl_FinancialData[[#This Row],[Department]])),IF(_xlpm.d="It","IT",_xlpm.d))</f>
        <v>Sales</v>
      </c>
      <c r="AI559" t="str">
        <f>_xlfn.LET(_xlpm.pid,tbl_FinancialData[[#This Row],[Product ID]],_xlpm.n,PROPER(TRIM(tbl_FinancialData[[#This Row],[Product Name]])),IF(_xlpm.pid="P020","Document Scanner",IF(_xlpm.pid="P015","Network Router",SUBSTITUTE(SUBSTITUTE(_xlpm.n,"Crm","CRM"),"Ups","UPS"))))</f>
        <v>Projector</v>
      </c>
      <c r="AJ559" s="3" t="str">
        <f>UPPER(TRIM(tbl_FinancialData[[#This Row],[Cost Center]]))</f>
        <v>CC-1002</v>
      </c>
    </row>
    <row r="560" spans="1:36" x14ac:dyDescent="0.25">
      <c r="A560" s="3" t="s">
        <v>762</v>
      </c>
      <c r="B560" s="2">
        <v>45987</v>
      </c>
      <c r="C560" t="s">
        <v>147</v>
      </c>
      <c r="D560" s="3" t="str">
        <f t="shared" si="35"/>
        <v>Q3</v>
      </c>
      <c r="E560" s="3" t="str">
        <f t="shared" si="36"/>
        <v>FY2026</v>
      </c>
      <c r="F560" s="8" t="s">
        <v>85</v>
      </c>
      <c r="G560" s="3" t="s">
        <v>35</v>
      </c>
      <c r="H560" t="s">
        <v>60</v>
      </c>
      <c r="I560" t="s">
        <v>61</v>
      </c>
      <c r="J560" s="3" t="s">
        <v>80</v>
      </c>
      <c r="K560" t="s">
        <v>71</v>
      </c>
      <c r="L560" s="3" t="s">
        <v>51</v>
      </c>
      <c r="M560" s="3" t="s">
        <v>130</v>
      </c>
      <c r="N560" t="s">
        <v>131</v>
      </c>
      <c r="O560" t="s">
        <v>43</v>
      </c>
      <c r="P560" t="s">
        <v>132</v>
      </c>
      <c r="Q560" s="3">
        <v>20206.37</v>
      </c>
      <c r="R560" s="3">
        <v>22918.51</v>
      </c>
      <c r="S560" s="3">
        <v>11429.85</v>
      </c>
      <c r="T560" s="3">
        <v>1185.3699999999999</v>
      </c>
      <c r="U560" s="3">
        <v>1057.95</v>
      </c>
      <c r="V560" s="3">
        <v>1983.63</v>
      </c>
      <c r="W560" s="3">
        <v>277.95</v>
      </c>
      <c r="X560" s="3">
        <v>15934.75</v>
      </c>
      <c r="Y560" s="3">
        <v>8776.52</v>
      </c>
      <c r="Z560" s="3">
        <f t="shared" si="37"/>
        <v>4271.619999999999</v>
      </c>
      <c r="AA560" s="37">
        <f t="shared" si="38"/>
        <v>0.21139967247952005</v>
      </c>
      <c r="AB560" s="3">
        <v>-2712.14</v>
      </c>
      <c r="AC560" s="3">
        <v>404.13</v>
      </c>
      <c r="AD560" s="3">
        <v>990.11</v>
      </c>
      <c r="AE560" s="3">
        <v>20792.36</v>
      </c>
      <c r="AF560" t="str">
        <f>IF(tbl_FinancialData[[#This Row],[City]]="","Unknown",PROPER(TRIM(tbl_FinancialData[[#This Row],[City]])))</f>
        <v>Lucknow</v>
      </c>
      <c r="AG560" t="str">
        <f>_xlfn.LET(_xlpm.city,LOWER(TRIM(tbl_FinancialData[[#This Row],[City]])),_xlpm.st,PROPER(TRIM(tbl_FinancialData[[#This Row],[State]])),IF(_xlpm.city="pune","Maharashtra",IF(_xlpm.city="jamshedpur","Jharkhand",IF(_xlpm.city="bhilai","Chhattisgarh",IF(_xlpm.city="mumbai","Maharashtra",_xlpm.st)))))</f>
        <v>Uttar Pradesh</v>
      </c>
      <c r="AH560" t="str">
        <f>_xlfn.LET(_xlpm.d,PROPER(TRIM(tbl_FinancialData[[#This Row],[Department]])),IF(_xlpm.d="It","IT",_xlpm.d))</f>
        <v>Marketing</v>
      </c>
      <c r="AI560" t="str">
        <f>_xlfn.LET(_xlpm.pid,tbl_FinancialData[[#This Row],[Product ID]],_xlpm.n,PROPER(TRIM(tbl_FinancialData[[#This Row],[Product Name]])),IF(_xlpm.pid="P020","Document Scanner",IF(_xlpm.pid="P015","Network Router",SUBSTITUTE(SUBSTITUTE(_xlpm.n,"Crm","CRM"),"Ups","UPS"))))</f>
        <v>UPS System</v>
      </c>
      <c r="AJ560" s="3" t="str">
        <f>UPPER(TRIM(tbl_FinancialData[[#This Row],[Cost Center]]))</f>
        <v>CC-1003</v>
      </c>
    </row>
    <row r="561" spans="1:36" x14ac:dyDescent="0.25">
      <c r="A561" s="3" t="s">
        <v>763</v>
      </c>
      <c r="B561" s="2">
        <v>45927</v>
      </c>
      <c r="C561" t="s">
        <v>46</v>
      </c>
      <c r="D561" s="3" t="str">
        <f t="shared" si="35"/>
        <v>Q2</v>
      </c>
      <c r="E561" s="3" t="str">
        <f t="shared" si="36"/>
        <v>FY2026</v>
      </c>
      <c r="F561" s="8" t="s">
        <v>59</v>
      </c>
      <c r="G561" s="3" t="s">
        <v>35</v>
      </c>
      <c r="H561" t="s">
        <v>254</v>
      </c>
      <c r="I561" t="s">
        <v>314</v>
      </c>
      <c r="J561" s="3" t="s">
        <v>100</v>
      </c>
      <c r="K561" t="s">
        <v>71</v>
      </c>
      <c r="L561" s="3" t="s">
        <v>72</v>
      </c>
      <c r="M561" s="3" t="s">
        <v>88</v>
      </c>
      <c r="N561" t="s">
        <v>89</v>
      </c>
      <c r="O561" t="s">
        <v>43</v>
      </c>
      <c r="P561" t="s">
        <v>90</v>
      </c>
      <c r="Q561" s="3">
        <v>40513.72</v>
      </c>
      <c r="R561" s="3">
        <v>38887</v>
      </c>
      <c r="S561" s="3">
        <v>21538.27</v>
      </c>
      <c r="T561" s="3">
        <v>4700.82</v>
      </c>
      <c r="U561" s="3">
        <v>3612.22</v>
      </c>
      <c r="V561" s="3">
        <v>3425.45</v>
      </c>
      <c r="W561" s="3">
        <v>799.4</v>
      </c>
      <c r="X561" s="3">
        <v>34076.160000000003</v>
      </c>
      <c r="Y561" s="3">
        <v>18975.45</v>
      </c>
      <c r="Z561" s="3">
        <f t="shared" si="37"/>
        <v>6437.5599999999977</v>
      </c>
      <c r="AA561" s="37">
        <f t="shared" si="38"/>
        <v>0.15889826952449682</v>
      </c>
      <c r="AB561" s="3">
        <v>1626.73</v>
      </c>
      <c r="AC561" s="3">
        <v>1215.4100000000001</v>
      </c>
      <c r="AD561" s="3">
        <v>1964.92</v>
      </c>
      <c r="AE561" s="3">
        <v>41263.230000000003</v>
      </c>
      <c r="AF561" t="str">
        <f>IF(tbl_FinancialData[[#This Row],[City]]="","Unknown",PROPER(TRIM(tbl_FinancialData[[#This Row],[City]])))</f>
        <v>New Delhi</v>
      </c>
      <c r="AG561" t="str">
        <f>_xlfn.LET(_xlpm.city,LOWER(TRIM(tbl_FinancialData[[#This Row],[City]])),_xlpm.st,PROPER(TRIM(tbl_FinancialData[[#This Row],[State]])),IF(_xlpm.city="pune","Maharashtra",IF(_xlpm.city="jamshedpur","Jharkhand",IF(_xlpm.city="bhilai","Chhattisgarh",IF(_xlpm.city="mumbai","Maharashtra",_xlpm.st)))))</f>
        <v>Delhi</v>
      </c>
      <c r="AH561" t="str">
        <f>_xlfn.LET(_xlpm.d,PROPER(TRIM(tbl_FinancialData[[#This Row],[Department]])),IF(_xlpm.d="It","IT",_xlpm.d))</f>
        <v>Marketing</v>
      </c>
      <c r="AI561" t="str">
        <f>_xlfn.LET(_xlpm.pid,tbl_FinancialData[[#This Row],[Product ID]],_xlpm.n,PROPER(TRIM(tbl_FinancialData[[#This Row],[Product Name]])),IF(_xlpm.pid="P020","Document Scanner",IF(_xlpm.pid="P015","Network Router",SUBSTITUTE(SUBSTITUTE(_xlpm.n,"Crm","CRM"),"Ups","UPS"))))</f>
        <v>Printer</v>
      </c>
      <c r="AJ561" s="3" t="str">
        <f>UPPER(TRIM(tbl_FinancialData[[#This Row],[Cost Center]]))</f>
        <v>CC-1004</v>
      </c>
    </row>
    <row r="562" spans="1:36" x14ac:dyDescent="0.25">
      <c r="A562" s="3" t="s">
        <v>764</v>
      </c>
      <c r="B562" s="2">
        <v>46101</v>
      </c>
      <c r="C562" t="s">
        <v>125</v>
      </c>
      <c r="D562" s="3" t="str">
        <f t="shared" si="35"/>
        <v>Q4</v>
      </c>
      <c r="E562" s="3" t="str">
        <f t="shared" si="36"/>
        <v>FY2026</v>
      </c>
      <c r="F562" s="8" t="s">
        <v>67</v>
      </c>
      <c r="G562" s="3" t="s">
        <v>35</v>
      </c>
      <c r="H562" t="s">
        <v>168</v>
      </c>
      <c r="I562" t="s">
        <v>169</v>
      </c>
      <c r="J562" s="3" t="s">
        <v>38</v>
      </c>
      <c r="K562" t="s">
        <v>50</v>
      </c>
      <c r="L562" s="3" t="s">
        <v>81</v>
      </c>
      <c r="M562" s="3" t="s">
        <v>120</v>
      </c>
      <c r="N562" t="s">
        <v>121</v>
      </c>
      <c r="O562" t="s">
        <v>43</v>
      </c>
      <c r="P562" t="s">
        <v>122</v>
      </c>
      <c r="Q562" s="3">
        <v>41539.35</v>
      </c>
      <c r="R562" s="3">
        <v>38947.71</v>
      </c>
      <c r="S562" s="3">
        <v>26302.799999999999</v>
      </c>
      <c r="T562" s="3">
        <v>4252.1899999999996</v>
      </c>
      <c r="U562" s="3">
        <v>3614.59</v>
      </c>
      <c r="V562" s="3">
        <v>4237.55</v>
      </c>
      <c r="W562" s="3">
        <v>1583.78</v>
      </c>
      <c r="X562" s="3">
        <v>39990.910000000003</v>
      </c>
      <c r="Y562" s="3">
        <v>15236.55</v>
      </c>
      <c r="Z562" s="3">
        <f t="shared" si="37"/>
        <v>1548.4399999999951</v>
      </c>
      <c r="AA562" s="37">
        <f t="shared" si="38"/>
        <v>3.7276461957156171E-2</v>
      </c>
      <c r="AB562" s="3">
        <v>2591.64</v>
      </c>
      <c r="AC562" s="3">
        <v>2076.9699999999998</v>
      </c>
      <c r="AD562" s="3">
        <v>1973.12</v>
      </c>
      <c r="AE562" s="3">
        <v>41435.5</v>
      </c>
      <c r="AF562" t="str">
        <f>IF(tbl_FinancialData[[#This Row],[City]]="","Unknown",PROPER(TRIM(tbl_FinancialData[[#This Row],[City]])))</f>
        <v>Kolkata</v>
      </c>
      <c r="AG562" t="str">
        <f>_xlfn.LET(_xlpm.city,LOWER(TRIM(tbl_FinancialData[[#This Row],[City]])),_xlpm.st,PROPER(TRIM(tbl_FinancialData[[#This Row],[State]])),IF(_xlpm.city="pune","Maharashtra",IF(_xlpm.city="jamshedpur","Jharkhand",IF(_xlpm.city="bhilai","Chhattisgarh",IF(_xlpm.city="mumbai","Maharashtra",_xlpm.st)))))</f>
        <v>West Bengal</v>
      </c>
      <c r="AH562" t="str">
        <f>_xlfn.LET(_xlpm.d,PROPER(TRIM(tbl_FinancialData[[#This Row],[Department]])),IF(_xlpm.d="It","IT",_xlpm.d))</f>
        <v>Sales</v>
      </c>
      <c r="AI562" t="str">
        <f>_xlfn.LET(_xlpm.pid,tbl_FinancialData[[#This Row],[Product ID]],_xlpm.n,PROPER(TRIM(tbl_FinancialData[[#This Row],[Product Name]])),IF(_xlpm.pid="P020","Document Scanner",IF(_xlpm.pid="P015","Network Router",SUBSTITUTE(SUBSTITUTE(_xlpm.n,"Crm","CRM"),"Ups","UPS"))))</f>
        <v>Projector</v>
      </c>
      <c r="AJ562" s="3" t="str">
        <f>UPPER(TRIM(tbl_FinancialData[[#This Row],[Cost Center]]))</f>
        <v>CC-1005</v>
      </c>
    </row>
    <row r="563" spans="1:36" x14ac:dyDescent="0.25">
      <c r="A563" s="3" t="s">
        <v>765</v>
      </c>
      <c r="B563" s="2">
        <v>45897</v>
      </c>
      <c r="C563" t="s">
        <v>117</v>
      </c>
      <c r="D563" s="3" t="str">
        <f t="shared" si="35"/>
        <v>Q2</v>
      </c>
      <c r="E563" s="3" t="str">
        <f t="shared" si="36"/>
        <v>FY2026</v>
      </c>
      <c r="F563" s="8" t="s">
        <v>59</v>
      </c>
      <c r="G563" s="3" t="s">
        <v>35</v>
      </c>
      <c r="H563" t="s">
        <v>254</v>
      </c>
      <c r="I563" t="s">
        <v>314</v>
      </c>
      <c r="J563" s="3" t="s">
        <v>70</v>
      </c>
      <c r="K563" t="s">
        <v>50</v>
      </c>
      <c r="L563" s="3" t="s">
        <v>81</v>
      </c>
      <c r="M563" s="3" t="s">
        <v>95</v>
      </c>
      <c r="N563" t="s">
        <v>96</v>
      </c>
      <c r="O563" t="s">
        <v>43</v>
      </c>
      <c r="P563" t="s">
        <v>90</v>
      </c>
      <c r="Q563" s="3">
        <v>30215.35</v>
      </c>
      <c r="R563" s="3">
        <v>32439.79</v>
      </c>
      <c r="S563" s="3">
        <v>19487.97</v>
      </c>
      <c r="T563" s="3">
        <v>2411.25</v>
      </c>
      <c r="U563" s="3">
        <v>1270.75</v>
      </c>
      <c r="V563" s="3">
        <v>3045.03</v>
      </c>
      <c r="W563" s="3">
        <v>1120.31</v>
      </c>
      <c r="X563" s="3">
        <v>27335.32</v>
      </c>
      <c r="Y563" s="3">
        <v>10727.37</v>
      </c>
      <c r="Z563" s="3">
        <f t="shared" si="37"/>
        <v>2880.0299999999988</v>
      </c>
      <c r="AA563" s="37">
        <f t="shared" si="38"/>
        <v>9.5316784349676539E-2</v>
      </c>
      <c r="AB563" s="3">
        <v>-2224.44</v>
      </c>
      <c r="AC563" s="3">
        <v>906.46</v>
      </c>
      <c r="AD563" s="3">
        <v>5275.6</v>
      </c>
      <c r="AE563" s="3">
        <v>34584.49</v>
      </c>
      <c r="AF563" t="str">
        <f>IF(tbl_FinancialData[[#This Row],[City]]="","Unknown",PROPER(TRIM(tbl_FinancialData[[#This Row],[City]])))</f>
        <v>New Delhi</v>
      </c>
      <c r="AG563" t="str">
        <f>_xlfn.LET(_xlpm.city,LOWER(TRIM(tbl_FinancialData[[#This Row],[City]])),_xlpm.st,PROPER(TRIM(tbl_FinancialData[[#This Row],[State]])),IF(_xlpm.city="pune","Maharashtra",IF(_xlpm.city="jamshedpur","Jharkhand",IF(_xlpm.city="bhilai","Chhattisgarh",IF(_xlpm.city="mumbai","Maharashtra",_xlpm.st)))))</f>
        <v>Delhi</v>
      </c>
      <c r="AH563" t="str">
        <f>_xlfn.LET(_xlpm.d,PROPER(TRIM(tbl_FinancialData[[#This Row],[Department]])),IF(_xlpm.d="It","IT",_xlpm.d))</f>
        <v>Sales</v>
      </c>
      <c r="AI563" t="str">
        <f>_xlfn.LET(_xlpm.pid,tbl_FinancialData[[#This Row],[Product ID]],_xlpm.n,PROPER(TRIM(tbl_FinancialData[[#This Row],[Product Name]])),IF(_xlpm.pid="P020","Document Scanner",IF(_xlpm.pid="P015","Network Router",SUBSTITUTE(SUBSTITUTE(_xlpm.n,"Crm","CRM"),"Ups","UPS"))))</f>
        <v>Document Scanner</v>
      </c>
      <c r="AJ563" s="3" t="str">
        <f>UPPER(TRIM(tbl_FinancialData[[#This Row],[Cost Center]]))</f>
        <v>CC-1005</v>
      </c>
    </row>
    <row r="564" spans="1:36" x14ac:dyDescent="0.25">
      <c r="A564" s="3" t="s">
        <v>766</v>
      </c>
      <c r="B564" s="2">
        <v>45759</v>
      </c>
      <c r="C564" t="s">
        <v>128</v>
      </c>
      <c r="D564" s="3" t="str">
        <f t="shared" si="35"/>
        <v>Q1</v>
      </c>
      <c r="E564" s="3" t="str">
        <f t="shared" si="36"/>
        <v>FY2026</v>
      </c>
      <c r="F564" s="8" t="s">
        <v>34</v>
      </c>
      <c r="G564" s="3" t="s">
        <v>35</v>
      </c>
      <c r="H564" t="s">
        <v>157</v>
      </c>
      <c r="I564" t="s">
        <v>166</v>
      </c>
      <c r="J564" s="3" t="s">
        <v>38</v>
      </c>
      <c r="K564" t="s">
        <v>39</v>
      </c>
      <c r="L564" s="3" t="s">
        <v>81</v>
      </c>
      <c r="M564" s="3" t="s">
        <v>130</v>
      </c>
      <c r="N564" t="s">
        <v>131</v>
      </c>
      <c r="O564" t="s">
        <v>43</v>
      </c>
      <c r="P564" t="s">
        <v>132</v>
      </c>
      <c r="Q564" s="3">
        <v>44912.61</v>
      </c>
      <c r="R564" s="3">
        <v>48682.720000000001</v>
      </c>
      <c r="S564" s="3">
        <v>27580.61</v>
      </c>
      <c r="T564" s="3">
        <v>4491.05</v>
      </c>
      <c r="U564" s="3">
        <v>1404.79</v>
      </c>
      <c r="V564" s="3">
        <v>5216.21</v>
      </c>
      <c r="W564" s="3">
        <v>1692.17</v>
      </c>
      <c r="X564" s="3">
        <v>40384.83</v>
      </c>
      <c r="Y564" s="3">
        <v>17332</v>
      </c>
      <c r="Z564" s="3">
        <f t="shared" si="37"/>
        <v>4527.7799999999988</v>
      </c>
      <c r="AA564" s="37">
        <f t="shared" si="38"/>
        <v>0.10081311239760947</v>
      </c>
      <c r="AB564" s="3">
        <v>-3770.11</v>
      </c>
      <c r="AC564" s="3">
        <v>1347.38</v>
      </c>
      <c r="AD564" s="3">
        <v>5227.83</v>
      </c>
      <c r="AE564" s="3">
        <v>48793.06</v>
      </c>
      <c r="AF564" t="str">
        <f>IF(tbl_FinancialData[[#This Row],[City]]="","Unknown",PROPER(TRIM(tbl_FinancialData[[#This Row],[City]])))</f>
        <v>Vadodara</v>
      </c>
      <c r="AG564" t="str">
        <f>_xlfn.LET(_xlpm.city,LOWER(TRIM(tbl_FinancialData[[#This Row],[City]])),_xlpm.st,PROPER(TRIM(tbl_FinancialData[[#This Row],[State]])),IF(_xlpm.city="pune","Maharashtra",IF(_xlpm.city="jamshedpur","Jharkhand",IF(_xlpm.city="bhilai","Chhattisgarh",IF(_xlpm.city="mumbai","Maharashtra",_xlpm.st)))))</f>
        <v>Gujarat</v>
      </c>
      <c r="AH564" t="str">
        <f>_xlfn.LET(_xlpm.d,PROPER(TRIM(tbl_FinancialData[[#This Row],[Department]])),IF(_xlpm.d="It","IT",_xlpm.d))</f>
        <v>Operations</v>
      </c>
      <c r="AI564" t="str">
        <f>_xlfn.LET(_xlpm.pid,tbl_FinancialData[[#This Row],[Product ID]],_xlpm.n,PROPER(TRIM(tbl_FinancialData[[#This Row],[Product Name]])),IF(_xlpm.pid="P020","Document Scanner",IF(_xlpm.pid="P015","Network Router",SUBSTITUTE(SUBSTITUTE(_xlpm.n,"Crm","CRM"),"Ups","UPS"))))</f>
        <v>UPS System</v>
      </c>
      <c r="AJ564" s="3" t="str">
        <f>UPPER(TRIM(tbl_FinancialData[[#This Row],[Cost Center]]))</f>
        <v>CC-1005</v>
      </c>
    </row>
    <row r="565" spans="1:36" x14ac:dyDescent="0.25">
      <c r="A565" s="3" t="s">
        <v>767</v>
      </c>
      <c r="B565" s="2">
        <v>45826</v>
      </c>
      <c r="C565" t="s">
        <v>156</v>
      </c>
      <c r="D565" s="3" t="str">
        <f t="shared" si="35"/>
        <v>Q1</v>
      </c>
      <c r="E565" s="3" t="str">
        <f t="shared" si="36"/>
        <v>FY2026</v>
      </c>
      <c r="F565" s="8" t="s">
        <v>47</v>
      </c>
      <c r="G565" s="3" t="s">
        <v>35</v>
      </c>
      <c r="H565" t="s">
        <v>214</v>
      </c>
      <c r="I565" t="s">
        <v>321</v>
      </c>
      <c r="J565" s="3" t="s">
        <v>70</v>
      </c>
      <c r="K565" t="s">
        <v>39</v>
      </c>
      <c r="L565" s="3" t="s">
        <v>94</v>
      </c>
      <c r="M565" s="3" t="s">
        <v>171</v>
      </c>
      <c r="N565" t="s">
        <v>172</v>
      </c>
      <c r="O565" t="s">
        <v>173</v>
      </c>
      <c r="P565" t="s">
        <v>174</v>
      </c>
      <c r="Q565" s="3">
        <v>16928.439999999999</v>
      </c>
      <c r="R565" s="3">
        <v>17426.8</v>
      </c>
      <c r="S565" s="3">
        <v>10480.209999999999</v>
      </c>
      <c r="T565" s="3">
        <v>1234.6400000000001</v>
      </c>
      <c r="U565" s="3">
        <v>826.99</v>
      </c>
      <c r="V565" s="3">
        <v>790.76</v>
      </c>
      <c r="W565" s="3">
        <v>200.26</v>
      </c>
      <c r="X565" s="3">
        <v>13532.86</v>
      </c>
      <c r="Y565" s="3">
        <v>6448.23</v>
      </c>
      <c r="Z565" s="3">
        <f t="shared" si="37"/>
        <v>3395.5799999999981</v>
      </c>
      <c r="AA565" s="37">
        <f t="shared" si="38"/>
        <v>0.20058434208940684</v>
      </c>
      <c r="AB565" s="3">
        <v>-498.35</v>
      </c>
      <c r="AC565" s="3">
        <v>338.57</v>
      </c>
      <c r="AD565" s="3">
        <v>829.49</v>
      </c>
      <c r="AE565" s="3">
        <v>17419.37</v>
      </c>
      <c r="AF565" t="str">
        <f>IF(tbl_FinancialData[[#This Row],[City]]="","Unknown",PROPER(TRIM(tbl_FinancialData[[#This Row],[City]])))</f>
        <v>Bengaluru</v>
      </c>
      <c r="AG565" t="str">
        <f>_xlfn.LET(_xlpm.city,LOWER(TRIM(tbl_FinancialData[[#This Row],[City]])),_xlpm.st,PROPER(TRIM(tbl_FinancialData[[#This Row],[State]])),IF(_xlpm.city="pune","Maharashtra",IF(_xlpm.city="jamshedpur","Jharkhand",IF(_xlpm.city="bhilai","Chhattisgarh",IF(_xlpm.city="mumbai","Maharashtra",_xlpm.st)))))</f>
        <v>Karnataka</v>
      </c>
      <c r="AH565" t="str">
        <f>_xlfn.LET(_xlpm.d,PROPER(TRIM(tbl_FinancialData[[#This Row],[Department]])),IF(_xlpm.d="It","IT",_xlpm.d))</f>
        <v>Operations</v>
      </c>
      <c r="AI565" t="str">
        <f>_xlfn.LET(_xlpm.pid,tbl_FinancialData[[#This Row],[Product ID]],_xlpm.n,PROPER(TRIM(tbl_FinancialData[[#This Row],[Product Name]])),IF(_xlpm.pid="P020","Document Scanner",IF(_xlpm.pid="P015","Network Router",SUBSTITUTE(SUBSTITUTE(_xlpm.n,"Crm","CRM"),"Ups","UPS"))))</f>
        <v>Network Switch</v>
      </c>
      <c r="AJ565" s="3" t="str">
        <f>UPPER(TRIM(tbl_FinancialData[[#This Row],[Cost Center]]))</f>
        <v>CC-1001</v>
      </c>
    </row>
    <row r="566" spans="1:36" x14ac:dyDescent="0.25">
      <c r="A566" s="3" t="s">
        <v>768</v>
      </c>
      <c r="B566" s="2">
        <v>45934</v>
      </c>
      <c r="C566" t="s">
        <v>92</v>
      </c>
      <c r="D566" s="3" t="str">
        <f t="shared" si="35"/>
        <v>Q3</v>
      </c>
      <c r="E566" s="3" t="str">
        <f t="shared" si="36"/>
        <v>FY2026</v>
      </c>
      <c r="F566" s="8" t="s">
        <v>34</v>
      </c>
      <c r="G566" s="3" t="s">
        <v>35</v>
      </c>
      <c r="H566" t="s">
        <v>157</v>
      </c>
      <c r="I566" t="s">
        <v>194</v>
      </c>
      <c r="J566" s="3" t="s">
        <v>70</v>
      </c>
      <c r="K566" t="s">
        <v>39</v>
      </c>
      <c r="L566" s="3" t="s">
        <v>51</v>
      </c>
      <c r="M566" s="3" t="s">
        <v>41</v>
      </c>
      <c r="N566" t="s">
        <v>42</v>
      </c>
      <c r="O566" t="s">
        <v>43</v>
      </c>
      <c r="P566" t="s">
        <v>44</v>
      </c>
      <c r="Q566" s="3">
        <v>61379.839999999997</v>
      </c>
      <c r="R566" s="3">
        <v>59641.13</v>
      </c>
      <c r="S566" s="3">
        <v>37087.75</v>
      </c>
      <c r="T566" s="3">
        <v>4944.55</v>
      </c>
      <c r="U566" s="3">
        <v>3785.88</v>
      </c>
      <c r="V566" s="3">
        <v>3017.59</v>
      </c>
      <c r="W566" s="3">
        <v>2755.63</v>
      </c>
      <c r="X566" s="3">
        <v>51591.41</v>
      </c>
      <c r="Y566" s="3">
        <v>24292.1</v>
      </c>
      <c r="Z566" s="3">
        <f t="shared" si="37"/>
        <v>9788.429999999993</v>
      </c>
      <c r="AA566" s="37">
        <f t="shared" si="38"/>
        <v>0.15947304522136249</v>
      </c>
      <c r="AB566" s="3">
        <v>1738.71</v>
      </c>
      <c r="AC566" s="3">
        <v>1841.4</v>
      </c>
      <c r="AD566" s="3">
        <v>7144.61</v>
      </c>
      <c r="AE566" s="3">
        <v>66683.06</v>
      </c>
      <c r="AF566" t="str">
        <f>IF(tbl_FinancialData[[#This Row],[City]]="","Unknown",PROPER(TRIM(tbl_FinancialData[[#This Row],[City]])))</f>
        <v>Surat</v>
      </c>
      <c r="AG566" t="str">
        <f>_xlfn.LET(_xlpm.city,LOWER(TRIM(tbl_FinancialData[[#This Row],[City]])),_xlpm.st,PROPER(TRIM(tbl_FinancialData[[#This Row],[State]])),IF(_xlpm.city="pune","Maharashtra",IF(_xlpm.city="jamshedpur","Jharkhand",IF(_xlpm.city="bhilai","Chhattisgarh",IF(_xlpm.city="mumbai","Maharashtra",_xlpm.st)))))</f>
        <v>Gujarat</v>
      </c>
      <c r="AH566" t="str">
        <f>_xlfn.LET(_xlpm.d,PROPER(TRIM(tbl_FinancialData[[#This Row],[Department]])),IF(_xlpm.d="It","IT",_xlpm.d))</f>
        <v>Operations</v>
      </c>
      <c r="AI566" t="str">
        <f>_xlfn.LET(_xlpm.pid,tbl_FinancialData[[#This Row],[Product ID]],_xlpm.n,PROPER(TRIM(tbl_FinancialData[[#This Row],[Product Name]])),IF(_xlpm.pid="P020","Document Scanner",IF(_xlpm.pid="P015","Network Router",SUBSTITUTE(SUBSTITUTE(_xlpm.n,"Crm","CRM"),"Ups","UPS"))))</f>
        <v>Conference Camera</v>
      </c>
      <c r="AJ566" s="3" t="str">
        <f>UPPER(TRIM(tbl_FinancialData[[#This Row],[Cost Center]]))</f>
        <v>CC-1003</v>
      </c>
    </row>
    <row r="567" spans="1:36" x14ac:dyDescent="0.25">
      <c r="A567" s="3" t="s">
        <v>769</v>
      </c>
      <c r="B567" s="2">
        <v>45773</v>
      </c>
      <c r="C567" t="s">
        <v>128</v>
      </c>
      <c r="D567" s="3" t="str">
        <f t="shared" si="35"/>
        <v>Q1</v>
      </c>
      <c r="E567" s="3" t="str">
        <f t="shared" si="36"/>
        <v>FY2026</v>
      </c>
      <c r="F567" s="8" t="s">
        <v>47</v>
      </c>
      <c r="G567" s="3" t="s">
        <v>35</v>
      </c>
      <c r="H567" t="s">
        <v>206</v>
      </c>
      <c r="I567" t="s">
        <v>344</v>
      </c>
      <c r="J567" s="3" t="s">
        <v>80</v>
      </c>
      <c r="K567" t="s">
        <v>101</v>
      </c>
      <c r="L567" s="3" t="s">
        <v>81</v>
      </c>
      <c r="M567" s="3" t="s">
        <v>120</v>
      </c>
      <c r="N567" t="s">
        <v>121</v>
      </c>
      <c r="O567" t="s">
        <v>43</v>
      </c>
      <c r="P567" t="s">
        <v>122</v>
      </c>
      <c r="Q567" s="3">
        <v>28989.71</v>
      </c>
      <c r="R567" s="3">
        <v>31909.42</v>
      </c>
      <c r="S567" s="3">
        <v>15388.09</v>
      </c>
      <c r="T567" s="3">
        <v>1786.43</v>
      </c>
      <c r="U567" s="3">
        <v>1320.74</v>
      </c>
      <c r="V567" s="3">
        <v>3423.27</v>
      </c>
      <c r="W567" s="3">
        <v>550.49</v>
      </c>
      <c r="X567" s="3">
        <v>22469.01</v>
      </c>
      <c r="Y567" s="3">
        <v>13601.62</v>
      </c>
      <c r="Z567" s="3">
        <f t="shared" si="37"/>
        <v>6520.7000000000007</v>
      </c>
      <c r="AA567" s="37">
        <f t="shared" si="38"/>
        <v>0.22493153605193017</v>
      </c>
      <c r="AB567" s="3">
        <v>-2919.71</v>
      </c>
      <c r="AC567" s="3">
        <v>869.69</v>
      </c>
      <c r="AD567" s="3">
        <v>1406</v>
      </c>
      <c r="AE567" s="3">
        <v>29526.02</v>
      </c>
      <c r="AF567" t="str">
        <f>IF(tbl_FinancialData[[#This Row],[City]]="","Unknown",PROPER(TRIM(tbl_FinancialData[[#This Row],[City]])))</f>
        <v>Hyderabad</v>
      </c>
      <c r="AG567" t="str">
        <f>_xlfn.LET(_xlpm.city,LOWER(TRIM(tbl_FinancialData[[#This Row],[City]])),_xlpm.st,PROPER(TRIM(tbl_FinancialData[[#This Row],[State]])),IF(_xlpm.city="pune","Maharashtra",IF(_xlpm.city="jamshedpur","Jharkhand",IF(_xlpm.city="bhilai","Chhattisgarh",IF(_xlpm.city="mumbai","Maharashtra",_xlpm.st)))))</f>
        <v>Telangana</v>
      </c>
      <c r="AH567" t="str">
        <f>_xlfn.LET(_xlpm.d,PROPER(TRIM(tbl_FinancialData[[#This Row],[Department]])),IF(_xlpm.d="It","IT",_xlpm.d))</f>
        <v>Finance</v>
      </c>
      <c r="AI567" t="str">
        <f>_xlfn.LET(_xlpm.pid,tbl_FinancialData[[#This Row],[Product ID]],_xlpm.n,PROPER(TRIM(tbl_FinancialData[[#This Row],[Product Name]])),IF(_xlpm.pid="P020","Document Scanner",IF(_xlpm.pid="P015","Network Router",SUBSTITUTE(SUBSTITUTE(_xlpm.n,"Crm","CRM"),"Ups","UPS"))))</f>
        <v>Projector</v>
      </c>
      <c r="AJ567" s="3" t="str">
        <f>UPPER(TRIM(tbl_FinancialData[[#This Row],[Cost Center]]))</f>
        <v>CC-1005</v>
      </c>
    </row>
    <row r="568" spans="1:36" x14ac:dyDescent="0.25">
      <c r="A568" s="3" t="s">
        <v>770</v>
      </c>
      <c r="B568" s="2">
        <v>45773</v>
      </c>
      <c r="C568" t="s">
        <v>128</v>
      </c>
      <c r="D568" s="3" t="str">
        <f t="shared" si="35"/>
        <v>Q1</v>
      </c>
      <c r="E568" s="3" t="str">
        <f t="shared" si="36"/>
        <v>FY2026</v>
      </c>
      <c r="F568" s="8" t="s">
        <v>67</v>
      </c>
      <c r="G568" s="3" t="s">
        <v>35</v>
      </c>
      <c r="H568" t="s">
        <v>118</v>
      </c>
      <c r="I568" t="s">
        <v>209</v>
      </c>
      <c r="J568" s="3" t="s">
        <v>100</v>
      </c>
      <c r="K568" t="s">
        <v>160</v>
      </c>
      <c r="L568" s="3" t="s">
        <v>51</v>
      </c>
      <c r="M568" s="3" t="s">
        <v>120</v>
      </c>
      <c r="N568" t="s">
        <v>121</v>
      </c>
      <c r="O568" t="s">
        <v>43</v>
      </c>
      <c r="P568" t="s">
        <v>122</v>
      </c>
      <c r="Q568" s="3">
        <v>77485.5</v>
      </c>
      <c r="R568" s="3">
        <v>74989.119999999995</v>
      </c>
      <c r="S568" s="3">
        <v>43846.59</v>
      </c>
      <c r="T568" s="3">
        <v>9711.31</v>
      </c>
      <c r="U568" s="3">
        <v>5518.78</v>
      </c>
      <c r="V568" s="3">
        <v>4932.03</v>
      </c>
      <c r="W568" s="3">
        <v>2350.65</v>
      </c>
      <c r="X568" s="3">
        <v>66359.37</v>
      </c>
      <c r="Y568" s="3">
        <v>33638.9</v>
      </c>
      <c r="Z568" s="3">
        <f t="shared" si="37"/>
        <v>11126.130000000005</v>
      </c>
      <c r="AA568" s="37">
        <f t="shared" si="38"/>
        <v>0.14358983293648495</v>
      </c>
      <c r="AB568" s="3">
        <v>2496.38</v>
      </c>
      <c r="AC568" s="3">
        <v>7748.55</v>
      </c>
      <c r="AD568" s="3">
        <v>12552.65</v>
      </c>
      <c r="AE568" s="3">
        <v>82289.600000000006</v>
      </c>
      <c r="AF568" t="str">
        <f>IF(tbl_FinancialData[[#This Row],[City]]="","Unknown",PROPER(TRIM(tbl_FinancialData[[#This Row],[City]])))</f>
        <v>Jamshedpur</v>
      </c>
      <c r="AG568" t="str">
        <f>_xlfn.LET(_xlpm.city,LOWER(TRIM(tbl_FinancialData[[#This Row],[City]])),_xlpm.st,PROPER(TRIM(tbl_FinancialData[[#This Row],[State]])),IF(_xlpm.city="pune","Maharashtra",IF(_xlpm.city="jamshedpur","Jharkhand",IF(_xlpm.city="bhilai","Chhattisgarh",IF(_xlpm.city="mumbai","Maharashtra",_xlpm.st)))))</f>
        <v>Jharkhand</v>
      </c>
      <c r="AH568" t="str">
        <f>_xlfn.LET(_xlpm.d,PROPER(TRIM(tbl_FinancialData[[#This Row],[Department]])),IF(_xlpm.d="It","IT",_xlpm.d))</f>
        <v>IT</v>
      </c>
      <c r="AI568" t="str">
        <f>_xlfn.LET(_xlpm.pid,tbl_FinancialData[[#This Row],[Product ID]],_xlpm.n,PROPER(TRIM(tbl_FinancialData[[#This Row],[Product Name]])),IF(_xlpm.pid="P020","Document Scanner",IF(_xlpm.pid="P015","Network Router",SUBSTITUTE(SUBSTITUTE(_xlpm.n,"Crm","CRM"),"Ups","UPS"))))</f>
        <v>Projector</v>
      </c>
      <c r="AJ568" s="3" t="str">
        <f>UPPER(TRIM(tbl_FinancialData[[#This Row],[Cost Center]]))</f>
        <v>CC-1003</v>
      </c>
    </row>
    <row r="569" spans="1:36" x14ac:dyDescent="0.25">
      <c r="A569" s="3" t="s">
        <v>771</v>
      </c>
      <c r="B569" s="2">
        <v>45827</v>
      </c>
      <c r="C569" t="s">
        <v>156</v>
      </c>
      <c r="D569" s="3" t="str">
        <f t="shared" si="35"/>
        <v>Q1</v>
      </c>
      <c r="E569" s="3" t="str">
        <f t="shared" si="36"/>
        <v>FY2026</v>
      </c>
      <c r="F569" s="8" t="s">
        <v>67</v>
      </c>
      <c r="G569" s="3" t="s">
        <v>35</v>
      </c>
      <c r="H569" t="s">
        <v>217</v>
      </c>
      <c r="I569" t="s">
        <v>218</v>
      </c>
      <c r="J569" s="3" t="s">
        <v>100</v>
      </c>
      <c r="K569" t="s">
        <v>50</v>
      </c>
      <c r="L569" s="3" t="s">
        <v>72</v>
      </c>
      <c r="M569" s="3" t="s">
        <v>186</v>
      </c>
      <c r="N569" t="s">
        <v>187</v>
      </c>
      <c r="O569" t="s">
        <v>173</v>
      </c>
      <c r="P569" t="s">
        <v>174</v>
      </c>
      <c r="Q569" s="3">
        <v>21763.599999999999</v>
      </c>
      <c r="R569" s="3">
        <v>20890.23</v>
      </c>
      <c r="S569" s="3">
        <v>13134.04</v>
      </c>
      <c r="T569" s="3">
        <v>1274.28</v>
      </c>
      <c r="U569" s="3">
        <v>1477.92</v>
      </c>
      <c r="V569" s="3">
        <v>2326.23</v>
      </c>
      <c r="W569" s="3">
        <v>764.9</v>
      </c>
      <c r="X569" s="3">
        <v>18977.36</v>
      </c>
      <c r="Y569" s="3">
        <v>8629.56</v>
      </c>
      <c r="Z569" s="3">
        <f t="shared" si="37"/>
        <v>2786.239999999998</v>
      </c>
      <c r="AA569" s="37">
        <f t="shared" si="38"/>
        <v>0.12802293738168311</v>
      </c>
      <c r="AB569" s="3">
        <v>873.37</v>
      </c>
      <c r="AC569" s="3">
        <v>652.91</v>
      </c>
      <c r="AD569" s="3">
        <v>1055.53</v>
      </c>
      <c r="AE569" s="3">
        <v>22166.23</v>
      </c>
      <c r="AF569" t="str">
        <f>IF(tbl_FinancialData[[#This Row],[City]]="","Unknown",PROPER(TRIM(tbl_FinancialData[[#This Row],[City]])))</f>
        <v>Gaya</v>
      </c>
      <c r="AG569" t="str">
        <f>_xlfn.LET(_xlpm.city,LOWER(TRIM(tbl_FinancialData[[#This Row],[City]])),_xlpm.st,PROPER(TRIM(tbl_FinancialData[[#This Row],[State]])),IF(_xlpm.city="pune","Maharashtra",IF(_xlpm.city="jamshedpur","Jharkhand",IF(_xlpm.city="bhilai","Chhattisgarh",IF(_xlpm.city="mumbai","Maharashtra",_xlpm.st)))))</f>
        <v>Bihar</v>
      </c>
      <c r="AH569" t="str">
        <f>_xlfn.LET(_xlpm.d,PROPER(TRIM(tbl_FinancialData[[#This Row],[Department]])),IF(_xlpm.d="It","IT",_xlpm.d))</f>
        <v>Sales</v>
      </c>
      <c r="AI569" t="str">
        <f>_xlfn.LET(_xlpm.pid,tbl_FinancialData[[#This Row],[Product ID]],_xlpm.n,PROPER(TRIM(tbl_FinancialData[[#This Row],[Product Name]])),IF(_xlpm.pid="P020","Document Scanner",IF(_xlpm.pid="P015","Network Router",SUBSTITUTE(SUBSTITUTE(_xlpm.n,"Crm","CRM"),"Ups","UPS"))))</f>
        <v>Network Router</v>
      </c>
      <c r="AJ569" s="3" t="str">
        <f>UPPER(TRIM(tbl_FinancialData[[#This Row],[Cost Center]]))</f>
        <v>CC-1004</v>
      </c>
    </row>
    <row r="570" spans="1:36" x14ac:dyDescent="0.25">
      <c r="A570" s="3" t="s">
        <v>772</v>
      </c>
      <c r="B570" s="2">
        <v>46100</v>
      </c>
      <c r="C570" t="s">
        <v>125</v>
      </c>
      <c r="D570" s="3" t="str">
        <f t="shared" si="35"/>
        <v>Q4</v>
      </c>
      <c r="E570" s="3" t="str">
        <f t="shared" si="36"/>
        <v>FY2026</v>
      </c>
      <c r="F570" s="8" t="s">
        <v>47</v>
      </c>
      <c r="G570" s="3" t="s">
        <v>35</v>
      </c>
      <c r="H570" t="s">
        <v>206</v>
      </c>
      <c r="I570" t="s">
        <v>296</v>
      </c>
      <c r="J570" s="3" t="s">
        <v>38</v>
      </c>
      <c r="K570" t="s">
        <v>71</v>
      </c>
      <c r="L570" s="3" t="s">
        <v>51</v>
      </c>
      <c r="M570" s="3" t="s">
        <v>82</v>
      </c>
      <c r="N570" t="s">
        <v>83</v>
      </c>
      <c r="O570" t="s">
        <v>43</v>
      </c>
      <c r="P570" t="s">
        <v>75</v>
      </c>
      <c r="Q570" s="3">
        <v>46098.33</v>
      </c>
      <c r="R570" s="3">
        <v>49210.34</v>
      </c>
      <c r="S570" s="3">
        <v>31575.69</v>
      </c>
      <c r="T570" s="3">
        <v>5264.28</v>
      </c>
      <c r="U570" s="3">
        <v>1276.43</v>
      </c>
      <c r="V570" s="3">
        <v>3241.22</v>
      </c>
      <c r="W570" s="3">
        <v>517</v>
      </c>
      <c r="X570" s="3">
        <v>41874.620000000003</v>
      </c>
      <c r="Y570" s="3">
        <v>14522.64</v>
      </c>
      <c r="Z570" s="3">
        <f t="shared" si="37"/>
        <v>4223.7099999999991</v>
      </c>
      <c r="AA570" s="37">
        <f t="shared" si="38"/>
        <v>9.162392650666519E-2</v>
      </c>
      <c r="AB570" s="3">
        <v>-3112.01</v>
      </c>
      <c r="AC570" s="3">
        <v>0</v>
      </c>
      <c r="AD570" s="3">
        <v>8297.7000000000007</v>
      </c>
      <c r="AE570" s="3">
        <v>54396.03</v>
      </c>
      <c r="AF570" t="str">
        <f>IF(tbl_FinancialData[[#This Row],[City]]="","Unknown",PROPER(TRIM(tbl_FinancialData[[#This Row],[City]])))</f>
        <v>Warangal</v>
      </c>
      <c r="AG570" t="str">
        <f>_xlfn.LET(_xlpm.city,LOWER(TRIM(tbl_FinancialData[[#This Row],[City]])),_xlpm.st,PROPER(TRIM(tbl_FinancialData[[#This Row],[State]])),IF(_xlpm.city="pune","Maharashtra",IF(_xlpm.city="jamshedpur","Jharkhand",IF(_xlpm.city="bhilai","Chhattisgarh",IF(_xlpm.city="mumbai","Maharashtra",_xlpm.st)))))</f>
        <v>Telangana</v>
      </c>
      <c r="AH570" t="str">
        <f>_xlfn.LET(_xlpm.d,PROPER(TRIM(tbl_FinancialData[[#This Row],[Department]])),IF(_xlpm.d="It","IT",_xlpm.d))</f>
        <v>Marketing</v>
      </c>
      <c r="AI570" t="str">
        <f>_xlfn.LET(_xlpm.pid,tbl_FinancialData[[#This Row],[Product ID]],_xlpm.n,PROPER(TRIM(tbl_FinancialData[[#This Row],[Product Name]])),IF(_xlpm.pid="P020","Document Scanner",IF(_xlpm.pid="P015","Network Router",SUBSTITUTE(SUBSTITUTE(_xlpm.n,"Crm","CRM"),"Ups","UPS"))))</f>
        <v>Business Laptop</v>
      </c>
      <c r="AJ570" s="3" t="str">
        <f>UPPER(TRIM(tbl_FinancialData[[#This Row],[Cost Center]]))</f>
        <v>CC-1003</v>
      </c>
    </row>
    <row r="571" spans="1:36" x14ac:dyDescent="0.25">
      <c r="A571" s="3" t="s">
        <v>773</v>
      </c>
      <c r="B571" s="2">
        <v>46107</v>
      </c>
      <c r="C571" t="s">
        <v>125</v>
      </c>
      <c r="D571" s="3" t="str">
        <f t="shared" si="35"/>
        <v>Q4</v>
      </c>
      <c r="E571" s="3" t="str">
        <f t="shared" si="36"/>
        <v>FY2026</v>
      </c>
      <c r="F571" s="8" t="s">
        <v>67</v>
      </c>
      <c r="G571" s="3" t="s">
        <v>35</v>
      </c>
      <c r="H571" t="s">
        <v>168</v>
      </c>
      <c r="I571" t="s">
        <v>169</v>
      </c>
      <c r="J571" s="3" t="s">
        <v>70</v>
      </c>
      <c r="K571" t="s">
        <v>71</v>
      </c>
      <c r="L571" s="3" t="s">
        <v>72</v>
      </c>
      <c r="M571" s="3" t="s">
        <v>73</v>
      </c>
      <c r="N571" t="s">
        <v>74</v>
      </c>
      <c r="O571" t="s">
        <v>43</v>
      </c>
      <c r="P571" t="s">
        <v>75</v>
      </c>
      <c r="Q571" s="3">
        <v>55245.65</v>
      </c>
      <c r="R571" s="3">
        <v>53991.25</v>
      </c>
      <c r="S571" s="3">
        <v>36013.51</v>
      </c>
      <c r="T571" s="3">
        <v>3360.79</v>
      </c>
      <c r="U571" s="3">
        <v>2427.17</v>
      </c>
      <c r="V571" s="3">
        <v>2849.4</v>
      </c>
      <c r="W571" s="3">
        <v>2121.0500000000002</v>
      </c>
      <c r="X571" s="3">
        <v>46771.91</v>
      </c>
      <c r="Y571" s="3">
        <v>19232.14</v>
      </c>
      <c r="Z571" s="3">
        <f t="shared" si="37"/>
        <v>8473.739999999998</v>
      </c>
      <c r="AA571" s="37">
        <f t="shared" si="38"/>
        <v>0.15338293603206765</v>
      </c>
      <c r="AB571" s="3">
        <v>1254.4000000000001</v>
      </c>
      <c r="AC571" s="3">
        <v>1104.9100000000001</v>
      </c>
      <c r="AD571" s="3">
        <v>9745.33</v>
      </c>
      <c r="AE571" s="3">
        <v>63886.07</v>
      </c>
      <c r="AF571" t="str">
        <f>IF(tbl_FinancialData[[#This Row],[City]]="","Unknown",PROPER(TRIM(tbl_FinancialData[[#This Row],[City]])))</f>
        <v>Kolkata</v>
      </c>
      <c r="AG571" t="str">
        <f>_xlfn.LET(_xlpm.city,LOWER(TRIM(tbl_FinancialData[[#This Row],[City]])),_xlpm.st,PROPER(TRIM(tbl_FinancialData[[#This Row],[State]])),IF(_xlpm.city="pune","Maharashtra",IF(_xlpm.city="jamshedpur","Jharkhand",IF(_xlpm.city="bhilai","Chhattisgarh",IF(_xlpm.city="mumbai","Maharashtra",_xlpm.st)))))</f>
        <v>West Bengal</v>
      </c>
      <c r="AH571" t="str">
        <f>_xlfn.LET(_xlpm.d,PROPER(TRIM(tbl_FinancialData[[#This Row],[Department]])),IF(_xlpm.d="It","IT",_xlpm.d))</f>
        <v>Marketing</v>
      </c>
      <c r="AI571" t="str">
        <f>_xlfn.LET(_xlpm.pid,tbl_FinancialData[[#This Row],[Product ID]],_xlpm.n,PROPER(TRIM(tbl_FinancialData[[#This Row],[Product Name]])),IF(_xlpm.pid="P020","Document Scanner",IF(_xlpm.pid="P015","Network Router",SUBSTITUTE(SUBSTITUTE(_xlpm.n,"Crm","CRM"),"Ups","UPS"))))</f>
        <v>Monitor</v>
      </c>
      <c r="AJ571" s="3" t="str">
        <f>UPPER(TRIM(tbl_FinancialData[[#This Row],[Cost Center]]))</f>
        <v>CC-1004</v>
      </c>
    </row>
    <row r="572" spans="1:36" x14ac:dyDescent="0.25">
      <c r="A572" s="3" t="s">
        <v>774</v>
      </c>
      <c r="B572" s="2">
        <v>45994</v>
      </c>
      <c r="C572" t="s">
        <v>107</v>
      </c>
      <c r="D572" s="3" t="str">
        <f t="shared" si="35"/>
        <v>Q3</v>
      </c>
      <c r="E572" s="3" t="str">
        <f t="shared" si="36"/>
        <v>FY2026</v>
      </c>
      <c r="F572" s="8" t="s">
        <v>34</v>
      </c>
      <c r="G572" s="3" t="s">
        <v>35</v>
      </c>
      <c r="H572" t="s">
        <v>134</v>
      </c>
      <c r="I572" t="s">
        <v>154</v>
      </c>
      <c r="J572" s="3" t="s">
        <v>70</v>
      </c>
      <c r="K572" t="s">
        <v>101</v>
      </c>
      <c r="L572" s="3" t="s">
        <v>94</v>
      </c>
      <c r="M572" s="3" t="s">
        <v>171</v>
      </c>
      <c r="N572" t="s">
        <v>172</v>
      </c>
      <c r="O572" t="s">
        <v>173</v>
      </c>
      <c r="P572" t="s">
        <v>174</v>
      </c>
      <c r="Q572" s="3">
        <v>22551.93</v>
      </c>
      <c r="R572" s="3">
        <v>24202.01</v>
      </c>
      <c r="S572" s="3">
        <v>13805.1</v>
      </c>
      <c r="T572" s="3">
        <v>1579.68</v>
      </c>
      <c r="U572" s="3">
        <v>1146.82</v>
      </c>
      <c r="V572" s="3">
        <v>1674.46</v>
      </c>
      <c r="W572" s="3">
        <v>920.31</v>
      </c>
      <c r="X572" s="3">
        <v>19126.38</v>
      </c>
      <c r="Y572" s="3">
        <v>8746.83</v>
      </c>
      <c r="Z572" s="3">
        <f t="shared" si="37"/>
        <v>3425.5499999999993</v>
      </c>
      <c r="AA572" s="37">
        <f t="shared" si="38"/>
        <v>0.15189609048981614</v>
      </c>
      <c r="AB572" s="3">
        <v>-1650.08</v>
      </c>
      <c r="AC572" s="3">
        <v>2255.19</v>
      </c>
      <c r="AD572" s="3">
        <v>3653.41</v>
      </c>
      <c r="AE572" s="3">
        <v>23950.15</v>
      </c>
      <c r="AF572" t="str">
        <f>IF(tbl_FinancialData[[#This Row],[City]]="","Unknown",PROPER(TRIM(tbl_FinancialData[[#This Row],[City]])))</f>
        <v>Udaipur</v>
      </c>
      <c r="AG572" t="str">
        <f>_xlfn.LET(_xlpm.city,LOWER(TRIM(tbl_FinancialData[[#This Row],[City]])),_xlpm.st,PROPER(TRIM(tbl_FinancialData[[#This Row],[State]])),IF(_xlpm.city="pune","Maharashtra",IF(_xlpm.city="jamshedpur","Jharkhand",IF(_xlpm.city="bhilai","Chhattisgarh",IF(_xlpm.city="mumbai","Maharashtra",_xlpm.st)))))</f>
        <v>Rajasthan</v>
      </c>
      <c r="AH572" t="str">
        <f>_xlfn.LET(_xlpm.d,PROPER(TRIM(tbl_FinancialData[[#This Row],[Department]])),IF(_xlpm.d="It","IT",_xlpm.d))</f>
        <v>Finance</v>
      </c>
      <c r="AI572" t="str">
        <f>_xlfn.LET(_xlpm.pid,tbl_FinancialData[[#This Row],[Product ID]],_xlpm.n,PROPER(TRIM(tbl_FinancialData[[#This Row],[Product Name]])),IF(_xlpm.pid="P020","Document Scanner",IF(_xlpm.pid="P015","Network Router",SUBSTITUTE(SUBSTITUTE(_xlpm.n,"Crm","CRM"),"Ups","UPS"))))</f>
        <v>Network Switch</v>
      </c>
      <c r="AJ572" s="3" t="str">
        <f>UPPER(TRIM(tbl_FinancialData[[#This Row],[Cost Center]]))</f>
        <v>CC-1001</v>
      </c>
    </row>
    <row r="573" spans="1:36" x14ac:dyDescent="0.25">
      <c r="A573" s="3" t="s">
        <v>775</v>
      </c>
      <c r="B573" s="2">
        <v>46014</v>
      </c>
      <c r="C573" t="s">
        <v>107</v>
      </c>
      <c r="D573" s="3" t="str">
        <f t="shared" si="35"/>
        <v>Q3</v>
      </c>
      <c r="E573" s="3" t="str">
        <f t="shared" si="36"/>
        <v>FY2026</v>
      </c>
      <c r="F573" s="8" t="s">
        <v>67</v>
      </c>
      <c r="G573" s="3" t="s">
        <v>35</v>
      </c>
      <c r="H573" t="s">
        <v>217</v>
      </c>
      <c r="I573" t="s">
        <v>218</v>
      </c>
      <c r="J573" s="3" t="s">
        <v>38</v>
      </c>
      <c r="K573" t="s">
        <v>160</v>
      </c>
      <c r="L573" s="3" t="s">
        <v>94</v>
      </c>
      <c r="M573" s="3" t="s">
        <v>130</v>
      </c>
      <c r="N573" t="s">
        <v>131</v>
      </c>
      <c r="O573" t="s">
        <v>43</v>
      </c>
      <c r="P573" t="s">
        <v>132</v>
      </c>
      <c r="Q573" s="3">
        <v>50217.22</v>
      </c>
      <c r="R573" s="3">
        <v>54424.13</v>
      </c>
      <c r="S573" s="3">
        <v>27144.77</v>
      </c>
      <c r="T573" s="3">
        <v>4867.9799999999996</v>
      </c>
      <c r="U573" s="3">
        <v>3853.39</v>
      </c>
      <c r="V573" s="3">
        <v>3917.26</v>
      </c>
      <c r="W573" s="3">
        <v>1896.48</v>
      </c>
      <c r="X573" s="3">
        <v>41679.870000000003</v>
      </c>
      <c r="Y573" s="3">
        <v>23072.46</v>
      </c>
      <c r="Z573" s="3">
        <f t="shared" si="37"/>
        <v>8537.3499999999985</v>
      </c>
      <c r="AA573" s="37">
        <f t="shared" si="38"/>
        <v>0.17000841543996259</v>
      </c>
      <c r="AB573" s="3">
        <v>-4206.8999999999996</v>
      </c>
      <c r="AC573" s="3">
        <v>1506.52</v>
      </c>
      <c r="AD573" s="3">
        <v>8767.93</v>
      </c>
      <c r="AE573" s="3">
        <v>57478.63</v>
      </c>
      <c r="AF573" t="str">
        <f>IF(tbl_FinancialData[[#This Row],[City]]="","Unknown",PROPER(TRIM(tbl_FinancialData[[#This Row],[City]])))</f>
        <v>Gaya</v>
      </c>
      <c r="AG573" t="str">
        <f>_xlfn.LET(_xlpm.city,LOWER(TRIM(tbl_FinancialData[[#This Row],[City]])),_xlpm.st,PROPER(TRIM(tbl_FinancialData[[#This Row],[State]])),IF(_xlpm.city="pune","Maharashtra",IF(_xlpm.city="jamshedpur","Jharkhand",IF(_xlpm.city="bhilai","Chhattisgarh",IF(_xlpm.city="mumbai","Maharashtra",_xlpm.st)))))</f>
        <v>Bihar</v>
      </c>
      <c r="AH573" t="str">
        <f>_xlfn.LET(_xlpm.d,PROPER(TRIM(tbl_FinancialData[[#This Row],[Department]])),IF(_xlpm.d="It","IT",_xlpm.d))</f>
        <v>IT</v>
      </c>
      <c r="AI573" t="str">
        <f>_xlfn.LET(_xlpm.pid,tbl_FinancialData[[#This Row],[Product ID]],_xlpm.n,PROPER(TRIM(tbl_FinancialData[[#This Row],[Product Name]])),IF(_xlpm.pid="P020","Document Scanner",IF(_xlpm.pid="P015","Network Router",SUBSTITUTE(SUBSTITUTE(_xlpm.n,"Crm","CRM"),"Ups","UPS"))))</f>
        <v>UPS System</v>
      </c>
      <c r="AJ573" s="3" t="str">
        <f>UPPER(TRIM(tbl_FinancialData[[#This Row],[Cost Center]]))</f>
        <v>CC-1001</v>
      </c>
    </row>
    <row r="574" spans="1:36" x14ac:dyDescent="0.25">
      <c r="A574" s="3" t="s">
        <v>776</v>
      </c>
      <c r="B574" s="2">
        <v>45949</v>
      </c>
      <c r="C574" t="s">
        <v>92</v>
      </c>
      <c r="D574" s="3" t="str">
        <f t="shared" si="35"/>
        <v>Q3</v>
      </c>
      <c r="E574" s="3" t="str">
        <f t="shared" si="36"/>
        <v>FY2026</v>
      </c>
      <c r="F574" s="8" t="s">
        <v>59</v>
      </c>
      <c r="G574" s="3" t="s">
        <v>35</v>
      </c>
      <c r="H574" t="s">
        <v>254</v>
      </c>
      <c r="I574" t="s">
        <v>200</v>
      </c>
      <c r="J574" s="3" t="s">
        <v>100</v>
      </c>
      <c r="K574" t="s">
        <v>50</v>
      </c>
      <c r="L574" s="3" t="s">
        <v>51</v>
      </c>
      <c r="M574" s="3" t="s">
        <v>141</v>
      </c>
      <c r="N574" t="s">
        <v>142</v>
      </c>
      <c r="O574" t="s">
        <v>54</v>
      </c>
      <c r="P574" t="s">
        <v>143</v>
      </c>
      <c r="Q574" s="3">
        <v>3947.39</v>
      </c>
      <c r="R574" s="3">
        <v>3958.28</v>
      </c>
      <c r="S574" s="3">
        <v>2410.29</v>
      </c>
      <c r="T574" s="3">
        <v>368.99</v>
      </c>
      <c r="U574" s="3">
        <v>226.24</v>
      </c>
      <c r="V574" s="3">
        <v>200.46</v>
      </c>
      <c r="W574" s="3">
        <v>108.01</v>
      </c>
      <c r="X574" s="3">
        <v>3314</v>
      </c>
      <c r="Y574" s="3">
        <v>1537.1</v>
      </c>
      <c r="Z574" s="3">
        <f t="shared" si="37"/>
        <v>633.38999999999987</v>
      </c>
      <c r="AA574" s="37">
        <f t="shared" si="38"/>
        <v>0.16045792283002183</v>
      </c>
      <c r="AB574" s="3">
        <v>-10.89</v>
      </c>
      <c r="AC574" s="3">
        <v>0</v>
      </c>
      <c r="AD574" s="3">
        <v>197.37</v>
      </c>
      <c r="AE574" s="3">
        <v>4144.76</v>
      </c>
      <c r="AF574" t="str">
        <f>IF(tbl_FinancialData[[#This Row],[City]]="","Unknown",PROPER(TRIM(tbl_FinancialData[[#This Row],[City]])))</f>
        <v>Gurugram</v>
      </c>
      <c r="AG574" t="str">
        <f>_xlfn.LET(_xlpm.city,LOWER(TRIM(tbl_FinancialData[[#This Row],[City]])),_xlpm.st,PROPER(TRIM(tbl_FinancialData[[#This Row],[State]])),IF(_xlpm.city="pune","Maharashtra",IF(_xlpm.city="jamshedpur","Jharkhand",IF(_xlpm.city="bhilai","Chhattisgarh",IF(_xlpm.city="mumbai","Maharashtra",_xlpm.st)))))</f>
        <v>Delhi</v>
      </c>
      <c r="AH574" t="str">
        <f>_xlfn.LET(_xlpm.d,PROPER(TRIM(tbl_FinancialData[[#This Row],[Department]])),IF(_xlpm.d="It","IT",_xlpm.d))</f>
        <v>Sales</v>
      </c>
      <c r="AI574" t="str">
        <f>_xlfn.LET(_xlpm.pid,tbl_FinancialData[[#This Row],[Product ID]],_xlpm.n,PROPER(TRIM(tbl_FinancialData[[#This Row],[Product Name]])),IF(_xlpm.pid="P020","Document Scanner",IF(_xlpm.pid="P015","Network Router",SUBSTITUTE(SUBSTITUTE(_xlpm.n,"Crm","CRM"),"Ups","UPS"))))</f>
        <v>Headset</v>
      </c>
      <c r="AJ574" s="3" t="str">
        <f>UPPER(TRIM(tbl_FinancialData[[#This Row],[Cost Center]]))</f>
        <v>CC-1003</v>
      </c>
    </row>
    <row r="575" spans="1:36" x14ac:dyDescent="0.25">
      <c r="A575" s="3" t="s">
        <v>777</v>
      </c>
      <c r="B575" s="2">
        <v>45917</v>
      </c>
      <c r="C575" t="s">
        <v>46</v>
      </c>
      <c r="D575" s="3" t="str">
        <f t="shared" si="35"/>
        <v>Q2</v>
      </c>
      <c r="E575" s="3" t="str">
        <f t="shared" si="36"/>
        <v>FY2026</v>
      </c>
      <c r="F575" s="8" t="s">
        <v>47</v>
      </c>
      <c r="G575" s="3" t="s">
        <v>35</v>
      </c>
      <c r="H575" t="s">
        <v>214</v>
      </c>
      <c r="I575" t="s">
        <v>321</v>
      </c>
      <c r="J575" s="3" t="s">
        <v>38</v>
      </c>
      <c r="K575" t="s">
        <v>101</v>
      </c>
      <c r="L575" s="3" t="s">
        <v>94</v>
      </c>
      <c r="M575" s="3" t="s">
        <v>197</v>
      </c>
      <c r="N575" t="s">
        <v>198</v>
      </c>
      <c r="O575" t="s">
        <v>43</v>
      </c>
      <c r="P575" t="s">
        <v>163</v>
      </c>
      <c r="Q575" s="3">
        <v>58131.17</v>
      </c>
      <c r="R575" s="3">
        <v>57582.92</v>
      </c>
      <c r="S575" s="3">
        <v>41296.550000000003</v>
      </c>
      <c r="T575" s="3">
        <v>6722.11</v>
      </c>
      <c r="U575" s="3">
        <v>4679.95</v>
      </c>
      <c r="V575" s="3">
        <v>3126.04</v>
      </c>
      <c r="W575" s="3">
        <v>1132.6099999999999</v>
      </c>
      <c r="X575" s="3">
        <v>56957.25</v>
      </c>
      <c r="Y575" s="3">
        <v>16834.62</v>
      </c>
      <c r="Z575" s="3">
        <f t="shared" si="37"/>
        <v>1173.9199999999983</v>
      </c>
      <c r="AA575" s="37">
        <f t="shared" si="38"/>
        <v>2.0194329479348141E-2</v>
      </c>
      <c r="AB575" s="3">
        <v>548.25</v>
      </c>
      <c r="AC575" s="3">
        <v>1162.6199999999999</v>
      </c>
      <c r="AD575" s="3">
        <v>6836.23</v>
      </c>
      <c r="AE575" s="3">
        <v>63804.78</v>
      </c>
      <c r="AF575" t="str">
        <f>IF(tbl_FinancialData[[#This Row],[City]]="","Unknown",PROPER(TRIM(tbl_FinancialData[[#This Row],[City]])))</f>
        <v>Bengaluru</v>
      </c>
      <c r="AG575" t="str">
        <f>_xlfn.LET(_xlpm.city,LOWER(TRIM(tbl_FinancialData[[#This Row],[City]])),_xlpm.st,PROPER(TRIM(tbl_FinancialData[[#This Row],[State]])),IF(_xlpm.city="pune","Maharashtra",IF(_xlpm.city="jamshedpur","Jharkhand",IF(_xlpm.city="bhilai","Chhattisgarh",IF(_xlpm.city="mumbai","Maharashtra",_xlpm.st)))))</f>
        <v>Karnataka</v>
      </c>
      <c r="AH575" t="str">
        <f>_xlfn.LET(_xlpm.d,PROPER(TRIM(tbl_FinancialData[[#This Row],[Department]])),IF(_xlpm.d="It","IT",_xlpm.d))</f>
        <v>Finance</v>
      </c>
      <c r="AI575" t="str">
        <f>_xlfn.LET(_xlpm.pid,tbl_FinancialData[[#This Row],[Product ID]],_xlpm.n,PROPER(TRIM(tbl_FinancialData[[#This Row],[Product Name]])),IF(_xlpm.pid="P020","Document Scanner",IF(_xlpm.pid="P015","Network Router",SUBSTITUTE(SUBSTITUTE(_xlpm.n,"Crm","CRM"),"Ups","UPS"))))</f>
        <v>Smartphone</v>
      </c>
      <c r="AJ575" s="3" t="str">
        <f>UPPER(TRIM(tbl_FinancialData[[#This Row],[Cost Center]]))</f>
        <v>CC-1001</v>
      </c>
    </row>
    <row r="576" spans="1:36" x14ac:dyDescent="0.25">
      <c r="A576" s="3" t="s">
        <v>778</v>
      </c>
      <c r="B576" s="2">
        <v>45771</v>
      </c>
      <c r="C576" t="s">
        <v>128</v>
      </c>
      <c r="D576" s="3" t="str">
        <f t="shared" si="35"/>
        <v>Q1</v>
      </c>
      <c r="E576" s="3" t="str">
        <f t="shared" si="36"/>
        <v>FY2026</v>
      </c>
      <c r="F576" s="8" t="s">
        <v>59</v>
      </c>
      <c r="G576" s="3" t="s">
        <v>35</v>
      </c>
      <c r="H576" t="s">
        <v>139</v>
      </c>
      <c r="I576" t="s">
        <v>200</v>
      </c>
      <c r="J576" s="3" t="s">
        <v>80</v>
      </c>
      <c r="K576" t="s">
        <v>39</v>
      </c>
      <c r="L576" s="3" t="s">
        <v>81</v>
      </c>
      <c r="M576" s="3" t="s">
        <v>186</v>
      </c>
      <c r="N576" t="s">
        <v>187</v>
      </c>
      <c r="O576" t="s">
        <v>173</v>
      </c>
      <c r="P576" t="s">
        <v>174</v>
      </c>
      <c r="Q576" s="3">
        <v>31920.9</v>
      </c>
      <c r="R576" s="3">
        <v>28145.65</v>
      </c>
      <c r="S576" s="3">
        <v>18611.080000000002</v>
      </c>
      <c r="T576" s="3">
        <v>2637.65</v>
      </c>
      <c r="U576" s="3">
        <v>1034.44</v>
      </c>
      <c r="V576" s="3">
        <v>3003.48</v>
      </c>
      <c r="W576" s="3">
        <v>1103.6099999999999</v>
      </c>
      <c r="X576" s="3">
        <v>26390.27</v>
      </c>
      <c r="Y576" s="3">
        <v>13309.82</v>
      </c>
      <c r="Z576" s="3">
        <f t="shared" si="37"/>
        <v>5530.630000000001</v>
      </c>
      <c r="AA576" s="37">
        <f t="shared" si="38"/>
        <v>0.17326046571368603</v>
      </c>
      <c r="AB576" s="3">
        <v>3775.25</v>
      </c>
      <c r="AC576" s="3">
        <v>1596.05</v>
      </c>
      <c r="AD576" s="3">
        <v>5458.47</v>
      </c>
      <c r="AE576" s="3">
        <v>35783.33</v>
      </c>
      <c r="AF576" t="str">
        <f>IF(tbl_FinancialData[[#This Row],[City]]="","Unknown",PROPER(TRIM(tbl_FinancialData[[#This Row],[City]])))</f>
        <v>Gurugram</v>
      </c>
      <c r="AG576" t="str">
        <f>_xlfn.LET(_xlpm.city,LOWER(TRIM(tbl_FinancialData[[#This Row],[City]])),_xlpm.st,PROPER(TRIM(tbl_FinancialData[[#This Row],[State]])),IF(_xlpm.city="pune","Maharashtra",IF(_xlpm.city="jamshedpur","Jharkhand",IF(_xlpm.city="bhilai","Chhattisgarh",IF(_xlpm.city="mumbai","Maharashtra",_xlpm.st)))))</f>
        <v>Haryana</v>
      </c>
      <c r="AH576" t="str">
        <f>_xlfn.LET(_xlpm.d,PROPER(TRIM(tbl_FinancialData[[#This Row],[Department]])),IF(_xlpm.d="It","IT",_xlpm.d))</f>
        <v>Operations</v>
      </c>
      <c r="AI576" t="str">
        <f>_xlfn.LET(_xlpm.pid,tbl_FinancialData[[#This Row],[Product ID]],_xlpm.n,PROPER(TRIM(tbl_FinancialData[[#This Row],[Product Name]])),IF(_xlpm.pid="P020","Document Scanner",IF(_xlpm.pid="P015","Network Router",SUBSTITUTE(SUBSTITUTE(_xlpm.n,"Crm","CRM"),"Ups","UPS"))))</f>
        <v>Network Router</v>
      </c>
      <c r="AJ576" s="3" t="str">
        <f>UPPER(TRIM(tbl_FinancialData[[#This Row],[Cost Center]]))</f>
        <v>CC-1005</v>
      </c>
    </row>
    <row r="577" spans="1:36" x14ac:dyDescent="0.25">
      <c r="A577" s="3" t="s">
        <v>779</v>
      </c>
      <c r="B577" s="2">
        <v>45816</v>
      </c>
      <c r="C577" t="s">
        <v>156</v>
      </c>
      <c r="D577" s="3" t="str">
        <f t="shared" si="35"/>
        <v>Q1</v>
      </c>
      <c r="E577" s="3" t="str">
        <f t="shared" si="36"/>
        <v>FY2026</v>
      </c>
      <c r="F577" s="8" t="s">
        <v>47</v>
      </c>
      <c r="G577" s="3" t="s">
        <v>35</v>
      </c>
      <c r="H577" t="s">
        <v>214</v>
      </c>
      <c r="I577" t="s">
        <v>321</v>
      </c>
      <c r="J577" s="3" t="s">
        <v>38</v>
      </c>
      <c r="K577" t="s">
        <v>160</v>
      </c>
      <c r="L577" s="3" t="s">
        <v>72</v>
      </c>
      <c r="M577" s="3" t="s">
        <v>95</v>
      </c>
      <c r="N577" t="s">
        <v>96</v>
      </c>
      <c r="O577" t="s">
        <v>43</v>
      </c>
      <c r="P577" t="s">
        <v>90</v>
      </c>
      <c r="Q577" s="3">
        <v>59853.17</v>
      </c>
      <c r="R577" s="3">
        <v>56370.14</v>
      </c>
      <c r="S577" s="3">
        <v>40629.93</v>
      </c>
      <c r="T577" s="3">
        <v>5567.65</v>
      </c>
      <c r="U577" s="3">
        <v>2091.73</v>
      </c>
      <c r="V577" s="3">
        <v>4815</v>
      </c>
      <c r="W577" s="3">
        <v>1464.14</v>
      </c>
      <c r="X577" s="3">
        <v>54568.45</v>
      </c>
      <c r="Y577" s="3">
        <v>19223.240000000002</v>
      </c>
      <c r="Z577" s="3">
        <f t="shared" si="37"/>
        <v>5284.7200000000012</v>
      </c>
      <c r="AA577" s="37">
        <f t="shared" si="38"/>
        <v>8.8294738607829812E-2</v>
      </c>
      <c r="AB577" s="3">
        <v>3483.03</v>
      </c>
      <c r="AC577" s="3">
        <v>4788.25</v>
      </c>
      <c r="AD577" s="3">
        <v>2753.25</v>
      </c>
      <c r="AE577" s="3">
        <v>57818.16</v>
      </c>
      <c r="AF577" t="str">
        <f>IF(tbl_FinancialData[[#This Row],[City]]="","Unknown",PROPER(TRIM(tbl_FinancialData[[#This Row],[City]])))</f>
        <v>Bengaluru</v>
      </c>
      <c r="AG577" t="str">
        <f>_xlfn.LET(_xlpm.city,LOWER(TRIM(tbl_FinancialData[[#This Row],[City]])),_xlpm.st,PROPER(TRIM(tbl_FinancialData[[#This Row],[State]])),IF(_xlpm.city="pune","Maharashtra",IF(_xlpm.city="jamshedpur","Jharkhand",IF(_xlpm.city="bhilai","Chhattisgarh",IF(_xlpm.city="mumbai","Maharashtra",_xlpm.st)))))</f>
        <v>Karnataka</v>
      </c>
      <c r="AH577" t="str">
        <f>_xlfn.LET(_xlpm.d,PROPER(TRIM(tbl_FinancialData[[#This Row],[Department]])),IF(_xlpm.d="It","IT",_xlpm.d))</f>
        <v>IT</v>
      </c>
      <c r="AI577" t="str">
        <f>_xlfn.LET(_xlpm.pid,tbl_FinancialData[[#This Row],[Product ID]],_xlpm.n,PROPER(TRIM(tbl_FinancialData[[#This Row],[Product Name]])),IF(_xlpm.pid="P020","Document Scanner",IF(_xlpm.pid="P015","Network Router",SUBSTITUTE(SUBSTITUTE(_xlpm.n,"Crm","CRM"),"Ups","UPS"))))</f>
        <v>Document Scanner</v>
      </c>
      <c r="AJ577" s="3" t="str">
        <f>UPPER(TRIM(tbl_FinancialData[[#This Row],[Cost Center]]))</f>
        <v>CC-1004</v>
      </c>
    </row>
    <row r="578" spans="1:36" x14ac:dyDescent="0.25">
      <c r="A578" s="3" t="s">
        <v>780</v>
      </c>
      <c r="B578" s="2">
        <v>45859</v>
      </c>
      <c r="C578" t="s">
        <v>32</v>
      </c>
      <c r="D578" s="3" t="str">
        <f t="shared" ref="D578:D641" si="39">"Q"&amp;INT(MOD(MONTH(B578)-4,12)/3)+1</f>
        <v>Q2</v>
      </c>
      <c r="E578" s="3" t="str">
        <f t="shared" ref="E578:E641" si="40">"FY"&amp; (YEAR(B578)+(MONTH(B578)&gt;=4))</f>
        <v>FY2026</v>
      </c>
      <c r="F578" s="8" t="s">
        <v>67</v>
      </c>
      <c r="G578" s="3" t="s">
        <v>35</v>
      </c>
      <c r="H578" t="s">
        <v>168</v>
      </c>
      <c r="I578" t="s">
        <v>169</v>
      </c>
      <c r="J578" s="3" t="s">
        <v>100</v>
      </c>
      <c r="K578" t="s">
        <v>39</v>
      </c>
      <c r="L578" s="3" t="s">
        <v>51</v>
      </c>
      <c r="M578" s="3" t="s">
        <v>88</v>
      </c>
      <c r="N578" t="s">
        <v>89</v>
      </c>
      <c r="O578" t="s">
        <v>43</v>
      </c>
      <c r="P578" t="s">
        <v>90</v>
      </c>
      <c r="Q578" s="3">
        <v>58811.35</v>
      </c>
      <c r="R578" s="3">
        <v>68373.919999999998</v>
      </c>
      <c r="S578" s="3">
        <v>29137.3</v>
      </c>
      <c r="T578" s="3">
        <v>4833.68</v>
      </c>
      <c r="U578" s="3">
        <v>1559.96</v>
      </c>
      <c r="V578" s="3">
        <v>3902.33</v>
      </c>
      <c r="W578" s="3">
        <v>1693.2</v>
      </c>
      <c r="X578" s="3">
        <v>41126.47</v>
      </c>
      <c r="Y578" s="3">
        <v>29674.05</v>
      </c>
      <c r="Z578" s="3">
        <f t="shared" si="37"/>
        <v>17684.879999999997</v>
      </c>
      <c r="AA578" s="37">
        <f t="shared" si="38"/>
        <v>0.30070522101601133</v>
      </c>
      <c r="AB578" s="3">
        <v>-9562.57</v>
      </c>
      <c r="AC578" s="3">
        <v>4704.91</v>
      </c>
      <c r="AD578" s="3">
        <v>9739.16</v>
      </c>
      <c r="AE578" s="3">
        <v>63845.599999999999</v>
      </c>
      <c r="AF578" t="str">
        <f>IF(tbl_FinancialData[[#This Row],[City]]="","Unknown",PROPER(TRIM(tbl_FinancialData[[#This Row],[City]])))</f>
        <v>Kolkata</v>
      </c>
      <c r="AG578" t="str">
        <f>_xlfn.LET(_xlpm.city,LOWER(TRIM(tbl_FinancialData[[#This Row],[City]])),_xlpm.st,PROPER(TRIM(tbl_FinancialData[[#This Row],[State]])),IF(_xlpm.city="pune","Maharashtra",IF(_xlpm.city="jamshedpur","Jharkhand",IF(_xlpm.city="bhilai","Chhattisgarh",IF(_xlpm.city="mumbai","Maharashtra",_xlpm.st)))))</f>
        <v>West Bengal</v>
      </c>
      <c r="AH578" t="str">
        <f>_xlfn.LET(_xlpm.d,PROPER(TRIM(tbl_FinancialData[[#This Row],[Department]])),IF(_xlpm.d="It","IT",_xlpm.d))</f>
        <v>Operations</v>
      </c>
      <c r="AI578" t="str">
        <f>_xlfn.LET(_xlpm.pid,tbl_FinancialData[[#This Row],[Product ID]],_xlpm.n,PROPER(TRIM(tbl_FinancialData[[#This Row],[Product Name]])),IF(_xlpm.pid="P020","Document Scanner",IF(_xlpm.pid="P015","Network Router",SUBSTITUTE(SUBSTITUTE(_xlpm.n,"Crm","CRM"),"Ups","UPS"))))</f>
        <v>Printer</v>
      </c>
      <c r="AJ578" s="3" t="str">
        <f>UPPER(TRIM(tbl_FinancialData[[#This Row],[Cost Center]]))</f>
        <v>CC-1003</v>
      </c>
    </row>
    <row r="579" spans="1:36" x14ac:dyDescent="0.25">
      <c r="A579" s="3" t="s">
        <v>781</v>
      </c>
      <c r="B579" s="2">
        <v>45856</v>
      </c>
      <c r="C579" t="s">
        <v>32</v>
      </c>
      <c r="D579" s="3" t="str">
        <f t="shared" si="39"/>
        <v>Q2</v>
      </c>
      <c r="E579" s="3" t="str">
        <f t="shared" si="40"/>
        <v>FY2026</v>
      </c>
      <c r="F579" s="8" t="s">
        <v>34</v>
      </c>
      <c r="G579" s="3" t="s">
        <v>35</v>
      </c>
      <c r="H579" t="s">
        <v>157</v>
      </c>
      <c r="I579" t="s">
        <v>166</v>
      </c>
      <c r="J579" s="3" t="s">
        <v>38</v>
      </c>
      <c r="K579" t="s">
        <v>39</v>
      </c>
      <c r="L579" s="3" t="s">
        <v>72</v>
      </c>
      <c r="M579" s="3" t="s">
        <v>221</v>
      </c>
      <c r="N579" t="s">
        <v>222</v>
      </c>
      <c r="O579" t="s">
        <v>104</v>
      </c>
      <c r="P579" t="s">
        <v>223</v>
      </c>
      <c r="Q579" s="3">
        <v>26107.39</v>
      </c>
      <c r="R579" s="3">
        <v>29947.54</v>
      </c>
      <c r="S579" s="3">
        <v>14937.28</v>
      </c>
      <c r="T579" s="3">
        <v>2844.28</v>
      </c>
      <c r="U579" s="3">
        <v>1460.35</v>
      </c>
      <c r="V579" s="3">
        <v>1300.32</v>
      </c>
      <c r="W579" s="3">
        <v>1108.98</v>
      </c>
      <c r="X579" s="3">
        <v>21651.21</v>
      </c>
      <c r="Y579" s="3">
        <v>11170.1</v>
      </c>
      <c r="Z579" s="3">
        <f t="shared" ref="Z579:Z642" si="41">Q579-X579</f>
        <v>4456.18</v>
      </c>
      <c r="AA579" s="37">
        <f t="shared" ref="AA579:AA642" si="42">Z579/Q579</f>
        <v>0.1706865374133531</v>
      </c>
      <c r="AB579" s="3">
        <v>-3840.16</v>
      </c>
      <c r="AC579" s="3">
        <v>783.22</v>
      </c>
      <c r="AD579" s="3">
        <v>4558.3500000000004</v>
      </c>
      <c r="AE579" s="3">
        <v>29882.52</v>
      </c>
      <c r="AF579" t="str">
        <f>IF(tbl_FinancialData[[#This Row],[City]]="","Unknown",PROPER(TRIM(tbl_FinancialData[[#This Row],[City]])))</f>
        <v>Vadodara</v>
      </c>
      <c r="AG579" t="str">
        <f>_xlfn.LET(_xlpm.city,LOWER(TRIM(tbl_FinancialData[[#This Row],[City]])),_xlpm.st,PROPER(TRIM(tbl_FinancialData[[#This Row],[State]])),IF(_xlpm.city="pune","Maharashtra",IF(_xlpm.city="jamshedpur","Jharkhand",IF(_xlpm.city="bhilai","Chhattisgarh",IF(_xlpm.city="mumbai","Maharashtra",_xlpm.st)))))</f>
        <v>Gujarat</v>
      </c>
      <c r="AH579" t="str">
        <f>_xlfn.LET(_xlpm.d,PROPER(TRIM(tbl_FinancialData[[#This Row],[Department]])),IF(_xlpm.d="It","IT",_xlpm.d))</f>
        <v>Operations</v>
      </c>
      <c r="AI579" t="str">
        <f>_xlfn.LET(_xlpm.pid,tbl_FinancialData[[#This Row],[Product ID]],_xlpm.n,PROPER(TRIM(tbl_FinancialData[[#This Row],[Product Name]])),IF(_xlpm.pid="P020","Document Scanner",IF(_xlpm.pid="P015","Network Router",SUBSTITUTE(SUBSTITUTE(_xlpm.n,"Crm","CRM"),"Ups","UPS"))))</f>
        <v>Cloud Software</v>
      </c>
      <c r="AJ579" s="3" t="str">
        <f>UPPER(TRIM(tbl_FinancialData[[#This Row],[Cost Center]]))</f>
        <v>CC-1004</v>
      </c>
    </row>
    <row r="580" spans="1:36" x14ac:dyDescent="0.25">
      <c r="A580" s="3" t="s">
        <v>782</v>
      </c>
      <c r="B580" s="2">
        <v>45854</v>
      </c>
      <c r="C580" t="s">
        <v>32</v>
      </c>
      <c r="D580" s="3" t="str">
        <f t="shared" si="39"/>
        <v>Q2</v>
      </c>
      <c r="E580" s="3" t="str">
        <f t="shared" si="40"/>
        <v>FY2026</v>
      </c>
      <c r="F580" s="8" t="s">
        <v>59</v>
      </c>
      <c r="G580" s="3" t="s">
        <v>35</v>
      </c>
      <c r="H580" t="s">
        <v>60</v>
      </c>
      <c r="I580" t="s">
        <v>108</v>
      </c>
      <c r="J580" s="3" t="s">
        <v>38</v>
      </c>
      <c r="K580" t="s">
        <v>101</v>
      </c>
      <c r="L580" s="3" t="s">
        <v>81</v>
      </c>
      <c r="M580" s="3" t="s">
        <v>102</v>
      </c>
      <c r="N580" t="s">
        <v>103</v>
      </c>
      <c r="O580" t="s">
        <v>104</v>
      </c>
      <c r="P580" t="s">
        <v>105</v>
      </c>
      <c r="Q580" s="3">
        <v>14823.35</v>
      </c>
      <c r="R580" s="3">
        <v>16151.39</v>
      </c>
      <c r="S580" s="3">
        <v>9619.5300000000007</v>
      </c>
      <c r="T580" s="3">
        <v>1325.23</v>
      </c>
      <c r="U580" s="3">
        <v>1252.0899999999999</v>
      </c>
      <c r="V580" s="3">
        <v>1173.06</v>
      </c>
      <c r="W580" s="3">
        <v>381.84</v>
      </c>
      <c r="X580" s="3">
        <v>13751.76</v>
      </c>
      <c r="Y580" s="3">
        <v>5203.82</v>
      </c>
      <c r="Z580" s="3">
        <f t="shared" si="41"/>
        <v>1071.5900000000001</v>
      </c>
      <c r="AA580" s="37">
        <f t="shared" si="42"/>
        <v>7.2290676533981871E-2</v>
      </c>
      <c r="AB580" s="3">
        <v>-1328.03</v>
      </c>
      <c r="AC580" s="3">
        <v>296.47000000000003</v>
      </c>
      <c r="AD580" s="3">
        <v>1743.23</v>
      </c>
      <c r="AE580" s="3">
        <v>16270.11</v>
      </c>
      <c r="AF580" t="str">
        <f>IF(tbl_FinancialData[[#This Row],[City]]="","Unknown",PROPER(TRIM(tbl_FinancialData[[#This Row],[City]])))</f>
        <v>Agra</v>
      </c>
      <c r="AG580" t="str">
        <f>_xlfn.LET(_xlpm.city,LOWER(TRIM(tbl_FinancialData[[#This Row],[City]])),_xlpm.st,PROPER(TRIM(tbl_FinancialData[[#This Row],[State]])),IF(_xlpm.city="pune","Maharashtra",IF(_xlpm.city="jamshedpur","Jharkhand",IF(_xlpm.city="bhilai","Chhattisgarh",IF(_xlpm.city="mumbai","Maharashtra",_xlpm.st)))))</f>
        <v>Uttar Pradesh</v>
      </c>
      <c r="AH580" t="str">
        <f>_xlfn.LET(_xlpm.d,PROPER(TRIM(tbl_FinancialData[[#This Row],[Department]])),IF(_xlpm.d="It","IT",_xlpm.d))</f>
        <v>Finance</v>
      </c>
      <c r="AI580" t="str">
        <f>_xlfn.LET(_xlpm.pid,tbl_FinancialData[[#This Row],[Product ID]],_xlpm.n,PROPER(TRIM(tbl_FinancialData[[#This Row],[Product Name]])),IF(_xlpm.pid="P020","Document Scanner",IF(_xlpm.pid="P015","Network Router",SUBSTITUTE(SUBSTITUTE(_xlpm.n,"Crm","CRM"),"Ups","UPS"))))</f>
        <v>Accounting Software</v>
      </c>
      <c r="AJ580" s="3" t="str">
        <f>UPPER(TRIM(tbl_FinancialData[[#This Row],[Cost Center]]))</f>
        <v>CC-1005</v>
      </c>
    </row>
    <row r="581" spans="1:36" x14ac:dyDescent="0.25">
      <c r="A581" s="3" t="s">
        <v>783</v>
      </c>
      <c r="B581" s="2">
        <v>45979</v>
      </c>
      <c r="C581" t="s">
        <v>147</v>
      </c>
      <c r="D581" s="3" t="str">
        <f t="shared" si="39"/>
        <v>Q3</v>
      </c>
      <c r="E581" s="3" t="str">
        <f t="shared" si="40"/>
        <v>FY2026</v>
      </c>
      <c r="F581" s="8" t="s">
        <v>67</v>
      </c>
      <c r="G581" s="3" t="s">
        <v>35</v>
      </c>
      <c r="H581" t="s">
        <v>217</v>
      </c>
      <c r="I581" t="s">
        <v>241</v>
      </c>
      <c r="J581" s="3" t="s">
        <v>70</v>
      </c>
      <c r="K581" t="s">
        <v>50</v>
      </c>
      <c r="L581" s="3" t="s">
        <v>51</v>
      </c>
      <c r="M581" s="3" t="s">
        <v>95</v>
      </c>
      <c r="N581" t="s">
        <v>96</v>
      </c>
      <c r="O581" t="s">
        <v>43</v>
      </c>
      <c r="P581" t="s">
        <v>90</v>
      </c>
      <c r="Q581" s="3">
        <v>46729</v>
      </c>
      <c r="R581" s="3">
        <v>44802.44</v>
      </c>
      <c r="S581" s="3">
        <v>25287.53</v>
      </c>
      <c r="T581" s="3">
        <v>5223.3999999999996</v>
      </c>
      <c r="U581" s="3">
        <v>2488.4499999999998</v>
      </c>
      <c r="V581" s="3">
        <v>3105.78</v>
      </c>
      <c r="W581" s="3">
        <v>759.5</v>
      </c>
      <c r="X581" s="3">
        <v>36864.65</v>
      </c>
      <c r="Y581" s="3">
        <v>21441.47</v>
      </c>
      <c r="Z581" s="3">
        <f t="shared" si="41"/>
        <v>9864.3499999999985</v>
      </c>
      <c r="AA581" s="37">
        <f t="shared" si="42"/>
        <v>0.21109696334182196</v>
      </c>
      <c r="AB581" s="3">
        <v>1926.56</v>
      </c>
      <c r="AC581" s="3">
        <v>2336.4499999999998</v>
      </c>
      <c r="AD581" s="3">
        <v>7990.66</v>
      </c>
      <c r="AE581" s="3">
        <v>52383.21</v>
      </c>
      <c r="AF581" t="str">
        <f>IF(tbl_FinancialData[[#This Row],[City]]="","Unknown",PROPER(TRIM(tbl_FinancialData[[#This Row],[City]])))</f>
        <v>Muzaffarpur</v>
      </c>
      <c r="AG581" t="str">
        <f>_xlfn.LET(_xlpm.city,LOWER(TRIM(tbl_FinancialData[[#This Row],[City]])),_xlpm.st,PROPER(TRIM(tbl_FinancialData[[#This Row],[State]])),IF(_xlpm.city="pune","Maharashtra",IF(_xlpm.city="jamshedpur","Jharkhand",IF(_xlpm.city="bhilai","Chhattisgarh",IF(_xlpm.city="mumbai","Maharashtra",_xlpm.st)))))</f>
        <v>Bihar</v>
      </c>
      <c r="AH581" t="str">
        <f>_xlfn.LET(_xlpm.d,PROPER(TRIM(tbl_FinancialData[[#This Row],[Department]])),IF(_xlpm.d="It","IT",_xlpm.d))</f>
        <v>Sales</v>
      </c>
      <c r="AI581" t="str">
        <f>_xlfn.LET(_xlpm.pid,tbl_FinancialData[[#This Row],[Product ID]],_xlpm.n,PROPER(TRIM(tbl_FinancialData[[#This Row],[Product Name]])),IF(_xlpm.pid="P020","Document Scanner",IF(_xlpm.pid="P015","Network Router",SUBSTITUTE(SUBSTITUTE(_xlpm.n,"Crm","CRM"),"Ups","UPS"))))</f>
        <v>Document Scanner</v>
      </c>
      <c r="AJ581" s="3" t="str">
        <f>UPPER(TRIM(tbl_FinancialData[[#This Row],[Cost Center]]))</f>
        <v>CC-1003</v>
      </c>
    </row>
    <row r="582" spans="1:36" x14ac:dyDescent="0.25">
      <c r="A582" s="3" t="s">
        <v>784</v>
      </c>
      <c r="B582" s="2">
        <v>45923</v>
      </c>
      <c r="C582" t="s">
        <v>46</v>
      </c>
      <c r="D582" s="3" t="str">
        <f t="shared" si="39"/>
        <v>Q2</v>
      </c>
      <c r="E582" s="3" t="str">
        <f t="shared" si="40"/>
        <v>FY2026</v>
      </c>
      <c r="F582" s="8" t="s">
        <v>47</v>
      </c>
      <c r="G582" s="3" t="s">
        <v>35</v>
      </c>
      <c r="H582" t="s">
        <v>78</v>
      </c>
      <c r="I582" t="s">
        <v>115</v>
      </c>
      <c r="J582" s="3" t="s">
        <v>100</v>
      </c>
      <c r="K582" t="s">
        <v>50</v>
      </c>
      <c r="L582" s="3" t="s">
        <v>81</v>
      </c>
      <c r="M582" s="3" t="s">
        <v>161</v>
      </c>
      <c r="N582" t="s">
        <v>162</v>
      </c>
      <c r="O582" t="s">
        <v>43</v>
      </c>
      <c r="P582" t="s">
        <v>163</v>
      </c>
      <c r="Q582" s="3">
        <v>48144.32</v>
      </c>
      <c r="R582" s="3">
        <v>52758.53</v>
      </c>
      <c r="S582" s="3">
        <v>26993.54</v>
      </c>
      <c r="T582" s="3">
        <v>3525.26</v>
      </c>
      <c r="U582" s="3">
        <v>2897.19</v>
      </c>
      <c r="V582" s="3">
        <v>2017.12</v>
      </c>
      <c r="W582" s="3">
        <v>615.89</v>
      </c>
      <c r="X582" s="3">
        <v>36049</v>
      </c>
      <c r="Y582" s="3">
        <v>21150.78</v>
      </c>
      <c r="Z582" s="3">
        <f t="shared" si="41"/>
        <v>12095.32</v>
      </c>
      <c r="AA582" s="37">
        <f t="shared" si="42"/>
        <v>0.25123046706236579</v>
      </c>
      <c r="AB582" s="3">
        <v>-4614.2</v>
      </c>
      <c r="AC582" s="3">
        <v>1444.33</v>
      </c>
      <c r="AD582" s="3">
        <v>8406</v>
      </c>
      <c r="AE582" s="3">
        <v>55105.99</v>
      </c>
      <c r="AF582" t="str">
        <f>IF(tbl_FinancialData[[#This Row],[City]]="","Unknown",PROPER(TRIM(tbl_FinancialData[[#This Row],[City]])))</f>
        <v>Thiruvananthapuram</v>
      </c>
      <c r="AG582" t="str">
        <f>_xlfn.LET(_xlpm.city,LOWER(TRIM(tbl_FinancialData[[#This Row],[City]])),_xlpm.st,PROPER(TRIM(tbl_FinancialData[[#This Row],[State]])),IF(_xlpm.city="pune","Maharashtra",IF(_xlpm.city="jamshedpur","Jharkhand",IF(_xlpm.city="bhilai","Chhattisgarh",IF(_xlpm.city="mumbai","Maharashtra",_xlpm.st)))))</f>
        <v>Kerala</v>
      </c>
      <c r="AH582" t="str">
        <f>_xlfn.LET(_xlpm.d,PROPER(TRIM(tbl_FinancialData[[#This Row],[Department]])),IF(_xlpm.d="It","IT",_xlpm.d))</f>
        <v>Sales</v>
      </c>
      <c r="AI582" t="str">
        <f>_xlfn.LET(_xlpm.pid,tbl_FinancialData[[#This Row],[Product ID]],_xlpm.n,PROPER(TRIM(tbl_FinancialData[[#This Row],[Product Name]])),IF(_xlpm.pid="P020","Document Scanner",IF(_xlpm.pid="P015","Network Router",SUBSTITUTE(SUBSTITUTE(_xlpm.n,"Crm","CRM"),"Ups","UPS"))))</f>
        <v>Tablet</v>
      </c>
      <c r="AJ582" s="3" t="str">
        <f>UPPER(TRIM(tbl_FinancialData[[#This Row],[Cost Center]]))</f>
        <v>CC-1005</v>
      </c>
    </row>
    <row r="583" spans="1:36" x14ac:dyDescent="0.25">
      <c r="A583" s="3" t="s">
        <v>785</v>
      </c>
      <c r="B583" s="2">
        <v>45987</v>
      </c>
      <c r="C583" t="s">
        <v>147</v>
      </c>
      <c r="D583" s="3" t="str">
        <f t="shared" si="39"/>
        <v>Q3</v>
      </c>
      <c r="E583" s="3" t="str">
        <f t="shared" si="40"/>
        <v>FY2026</v>
      </c>
      <c r="F583" s="8" t="s">
        <v>34</v>
      </c>
      <c r="G583" s="3" t="s">
        <v>35</v>
      </c>
      <c r="H583" t="s">
        <v>134</v>
      </c>
      <c r="I583" t="s">
        <v>135</v>
      </c>
      <c r="J583" s="3" t="s">
        <v>80</v>
      </c>
      <c r="K583" t="s">
        <v>71</v>
      </c>
      <c r="L583" s="3" t="s">
        <v>72</v>
      </c>
      <c r="M583" s="3" t="s">
        <v>102</v>
      </c>
      <c r="N583" t="s">
        <v>103</v>
      </c>
      <c r="O583" t="s">
        <v>104</v>
      </c>
      <c r="P583" t="s">
        <v>105</v>
      </c>
      <c r="Q583" s="3">
        <v>17731.91</v>
      </c>
      <c r="R583" s="3">
        <v>19834.29</v>
      </c>
      <c r="S583" s="3">
        <v>12635.21</v>
      </c>
      <c r="T583" s="3">
        <v>1549.47</v>
      </c>
      <c r="U583" s="3">
        <v>1104.48</v>
      </c>
      <c r="V583" s="3">
        <v>1340.26</v>
      </c>
      <c r="W583" s="3">
        <v>592.19000000000005</v>
      </c>
      <c r="X583" s="3">
        <v>17221.599999999999</v>
      </c>
      <c r="Y583" s="3">
        <v>5096.7</v>
      </c>
      <c r="Z583" s="3">
        <f t="shared" si="41"/>
        <v>510.31000000000131</v>
      </c>
      <c r="AA583" s="37">
        <f t="shared" si="42"/>
        <v>2.8779189607887775E-2</v>
      </c>
      <c r="AB583" s="3">
        <v>-2102.38</v>
      </c>
      <c r="AC583" s="3">
        <v>886.6</v>
      </c>
      <c r="AD583" s="3">
        <v>842.27</v>
      </c>
      <c r="AE583" s="3">
        <v>17687.580000000002</v>
      </c>
      <c r="AF583" t="str">
        <f>IF(tbl_FinancialData[[#This Row],[City]]="","Unknown",PROPER(TRIM(tbl_FinancialData[[#This Row],[City]])))</f>
        <v>Jodhpur</v>
      </c>
      <c r="AG583" t="str">
        <f>_xlfn.LET(_xlpm.city,LOWER(TRIM(tbl_FinancialData[[#This Row],[City]])),_xlpm.st,PROPER(TRIM(tbl_FinancialData[[#This Row],[State]])),IF(_xlpm.city="pune","Maharashtra",IF(_xlpm.city="jamshedpur","Jharkhand",IF(_xlpm.city="bhilai","Chhattisgarh",IF(_xlpm.city="mumbai","Maharashtra",_xlpm.st)))))</f>
        <v>Rajasthan</v>
      </c>
      <c r="AH583" t="str">
        <f>_xlfn.LET(_xlpm.d,PROPER(TRIM(tbl_FinancialData[[#This Row],[Department]])),IF(_xlpm.d="It","IT",_xlpm.d))</f>
        <v>Marketing</v>
      </c>
      <c r="AI583" t="str">
        <f>_xlfn.LET(_xlpm.pid,tbl_FinancialData[[#This Row],[Product ID]],_xlpm.n,PROPER(TRIM(tbl_FinancialData[[#This Row],[Product Name]])),IF(_xlpm.pid="P020","Document Scanner",IF(_xlpm.pid="P015","Network Router",SUBSTITUTE(SUBSTITUTE(_xlpm.n,"Crm","CRM"),"Ups","UPS"))))</f>
        <v>Accounting Software</v>
      </c>
      <c r="AJ583" s="3" t="str">
        <f>UPPER(TRIM(tbl_FinancialData[[#This Row],[Cost Center]]))</f>
        <v>CC-1004</v>
      </c>
    </row>
    <row r="584" spans="1:36" x14ac:dyDescent="0.25">
      <c r="A584" s="3" t="s">
        <v>786</v>
      </c>
      <c r="B584" s="2">
        <v>45814</v>
      </c>
      <c r="C584" t="s">
        <v>156</v>
      </c>
      <c r="D584" s="3" t="str">
        <f t="shared" si="39"/>
        <v>Q1</v>
      </c>
      <c r="E584" s="3" t="str">
        <f t="shared" si="40"/>
        <v>FY2026</v>
      </c>
      <c r="F584" s="8" t="s">
        <v>85</v>
      </c>
      <c r="G584" s="3" t="s">
        <v>35</v>
      </c>
      <c r="H584" t="s">
        <v>86</v>
      </c>
      <c r="I584" t="s">
        <v>181</v>
      </c>
      <c r="J584" s="3" t="s">
        <v>70</v>
      </c>
      <c r="K584" t="s">
        <v>50</v>
      </c>
      <c r="L584" s="3" t="s">
        <v>51</v>
      </c>
      <c r="M584" s="3" t="s">
        <v>141</v>
      </c>
      <c r="N584" t="s">
        <v>142</v>
      </c>
      <c r="O584" t="s">
        <v>54</v>
      </c>
      <c r="P584" t="s">
        <v>143</v>
      </c>
      <c r="Q584" s="3">
        <v>1457.97</v>
      </c>
      <c r="R584" s="3">
        <v>1617.88</v>
      </c>
      <c r="S584" s="3">
        <v>872.52</v>
      </c>
      <c r="T584" s="3">
        <v>175.62</v>
      </c>
      <c r="U584" s="3">
        <v>74.099999999999994</v>
      </c>
      <c r="V584" s="3">
        <v>89.66</v>
      </c>
      <c r="W584" s="3">
        <v>32.32</v>
      </c>
      <c r="X584" s="3">
        <v>1244.21</v>
      </c>
      <c r="Y584" s="3">
        <v>585.45000000000005</v>
      </c>
      <c r="Z584" s="3">
        <f t="shared" si="41"/>
        <v>213.76</v>
      </c>
      <c r="AA584" s="37">
        <f t="shared" si="42"/>
        <v>0.14661481374788232</v>
      </c>
      <c r="AB584" s="3">
        <v>-159.91</v>
      </c>
      <c r="AC584" s="3">
        <v>72.900000000000006</v>
      </c>
      <c r="AD584" s="3">
        <v>166.21</v>
      </c>
      <c r="AE584" s="3">
        <v>1551.28</v>
      </c>
      <c r="AF584" t="str">
        <f>IF(tbl_FinancialData[[#This Row],[City]]="","Unknown",PROPER(TRIM(tbl_FinancialData[[#This Row],[City]])))</f>
        <v>Bhopal</v>
      </c>
      <c r="AG584" t="str">
        <f>_xlfn.LET(_xlpm.city,LOWER(TRIM(tbl_FinancialData[[#This Row],[City]])),_xlpm.st,PROPER(TRIM(tbl_FinancialData[[#This Row],[State]])),IF(_xlpm.city="pune","Maharashtra",IF(_xlpm.city="jamshedpur","Jharkhand",IF(_xlpm.city="bhilai","Chhattisgarh",IF(_xlpm.city="mumbai","Maharashtra",_xlpm.st)))))</f>
        <v>Madhya Pradesh</v>
      </c>
      <c r="AH584" t="str">
        <f>_xlfn.LET(_xlpm.d,PROPER(TRIM(tbl_FinancialData[[#This Row],[Department]])),IF(_xlpm.d="It","IT",_xlpm.d))</f>
        <v>Sales</v>
      </c>
      <c r="AI584" t="str">
        <f>_xlfn.LET(_xlpm.pid,tbl_FinancialData[[#This Row],[Product ID]],_xlpm.n,PROPER(TRIM(tbl_FinancialData[[#This Row],[Product Name]])),IF(_xlpm.pid="P020","Document Scanner",IF(_xlpm.pid="P015","Network Router",SUBSTITUTE(SUBSTITUTE(_xlpm.n,"Crm","CRM"),"Ups","UPS"))))</f>
        <v>Headset</v>
      </c>
      <c r="AJ584" s="3" t="str">
        <f>UPPER(TRIM(tbl_FinancialData[[#This Row],[Cost Center]]))</f>
        <v>CC-1003</v>
      </c>
    </row>
    <row r="585" spans="1:36" x14ac:dyDescent="0.25">
      <c r="A585" s="3" t="s">
        <v>787</v>
      </c>
      <c r="B585" s="2">
        <v>46045</v>
      </c>
      <c r="C585" t="s">
        <v>77</v>
      </c>
      <c r="D585" s="3" t="str">
        <f t="shared" si="39"/>
        <v>Q4</v>
      </c>
      <c r="E585" s="3" t="str">
        <f t="shared" si="40"/>
        <v>FY2026</v>
      </c>
      <c r="F585" s="8" t="s">
        <v>67</v>
      </c>
      <c r="G585" s="3" t="s">
        <v>35</v>
      </c>
      <c r="H585" t="s">
        <v>168</v>
      </c>
      <c r="I585" t="s">
        <v>278</v>
      </c>
      <c r="J585" s="3" t="s">
        <v>38</v>
      </c>
      <c r="K585" t="s">
        <v>71</v>
      </c>
      <c r="L585" s="3" t="s">
        <v>51</v>
      </c>
      <c r="M585" s="3" t="s">
        <v>189</v>
      </c>
      <c r="N585" t="s">
        <v>190</v>
      </c>
      <c r="O585" t="s">
        <v>104</v>
      </c>
      <c r="P585" t="s">
        <v>105</v>
      </c>
      <c r="Q585" s="3">
        <v>18990.740000000002</v>
      </c>
      <c r="R585" s="3">
        <v>21752.04</v>
      </c>
      <c r="S585" s="3">
        <v>11924.17</v>
      </c>
      <c r="T585" s="3">
        <v>1600.88</v>
      </c>
      <c r="U585" s="3">
        <v>699.84</v>
      </c>
      <c r="V585" s="3">
        <v>2191.23</v>
      </c>
      <c r="W585" s="3">
        <v>691.78</v>
      </c>
      <c r="X585" s="3">
        <v>17107.900000000001</v>
      </c>
      <c r="Y585" s="3">
        <v>7066.57</v>
      </c>
      <c r="Z585" s="3">
        <f t="shared" si="41"/>
        <v>1882.8400000000001</v>
      </c>
      <c r="AA585" s="37">
        <f t="shared" si="42"/>
        <v>9.9145162326481226E-2</v>
      </c>
      <c r="AB585" s="3">
        <v>-2761.3</v>
      </c>
      <c r="AC585" s="3">
        <v>379.81</v>
      </c>
      <c r="AD585" s="3">
        <v>2233.31</v>
      </c>
      <c r="AE585" s="3">
        <v>20844.23</v>
      </c>
      <c r="AF585" t="str">
        <f>IF(tbl_FinancialData[[#This Row],[City]]="","Unknown",PROPER(TRIM(tbl_FinancialData[[#This Row],[City]])))</f>
        <v>Siliguri</v>
      </c>
      <c r="AG585" t="str">
        <f>_xlfn.LET(_xlpm.city,LOWER(TRIM(tbl_FinancialData[[#This Row],[City]])),_xlpm.st,PROPER(TRIM(tbl_FinancialData[[#This Row],[State]])),IF(_xlpm.city="pune","Maharashtra",IF(_xlpm.city="jamshedpur","Jharkhand",IF(_xlpm.city="bhilai","Chhattisgarh",IF(_xlpm.city="mumbai","Maharashtra",_xlpm.st)))))</f>
        <v>West Bengal</v>
      </c>
      <c r="AH585" t="str">
        <f>_xlfn.LET(_xlpm.d,PROPER(TRIM(tbl_FinancialData[[#This Row],[Department]])),IF(_xlpm.d="It","IT",_xlpm.d))</f>
        <v>Marketing</v>
      </c>
      <c r="AI585" t="str">
        <f>_xlfn.LET(_xlpm.pid,tbl_FinancialData[[#This Row],[Product ID]],_xlpm.n,PROPER(TRIM(tbl_FinancialData[[#This Row],[Product Name]])),IF(_xlpm.pid="P020","Document Scanner",IF(_xlpm.pid="P015","Network Router",SUBSTITUTE(SUBSTITUTE(_xlpm.n,"Crm","CRM"),"Ups","UPS"))))</f>
        <v>CRM Software</v>
      </c>
      <c r="AJ585" s="3" t="str">
        <f>UPPER(TRIM(tbl_FinancialData[[#This Row],[Cost Center]]))</f>
        <v>CC-1003</v>
      </c>
    </row>
    <row r="586" spans="1:36" x14ac:dyDescent="0.25">
      <c r="A586" s="3" t="s">
        <v>788</v>
      </c>
      <c r="B586" s="2">
        <v>45954</v>
      </c>
      <c r="C586" t="s">
        <v>92</v>
      </c>
      <c r="D586" s="3" t="str">
        <f t="shared" si="39"/>
        <v>Q3</v>
      </c>
      <c r="E586" s="3" t="str">
        <f t="shared" si="40"/>
        <v>FY2026</v>
      </c>
      <c r="F586" s="8" t="s">
        <v>34</v>
      </c>
      <c r="G586" s="3" t="s">
        <v>35</v>
      </c>
      <c r="H586" t="s">
        <v>134</v>
      </c>
      <c r="I586" t="s">
        <v>176</v>
      </c>
      <c r="J586" s="3" t="s">
        <v>70</v>
      </c>
      <c r="K586" t="s">
        <v>39</v>
      </c>
      <c r="L586" s="3" t="s">
        <v>94</v>
      </c>
      <c r="M586" s="3" t="s">
        <v>110</v>
      </c>
      <c r="N586" t="s">
        <v>111</v>
      </c>
      <c r="O586" t="s">
        <v>112</v>
      </c>
      <c r="P586" t="s">
        <v>113</v>
      </c>
      <c r="Q586" s="3">
        <v>14287.02</v>
      </c>
      <c r="R586" s="3">
        <v>16755.87</v>
      </c>
      <c r="S586" s="3">
        <v>7922.78</v>
      </c>
      <c r="T586" s="3">
        <v>1241.22</v>
      </c>
      <c r="U586" s="3">
        <v>983.09</v>
      </c>
      <c r="V586" s="3">
        <v>1190.4000000000001</v>
      </c>
      <c r="W586" s="3">
        <v>564.62</v>
      </c>
      <c r="X586" s="3">
        <v>11902.12</v>
      </c>
      <c r="Y586" s="3">
        <v>6364.23</v>
      </c>
      <c r="Z586" s="3">
        <f t="shared" si="41"/>
        <v>2384.8999999999996</v>
      </c>
      <c r="AA586" s="37">
        <f t="shared" si="42"/>
        <v>0.16692774280430767</v>
      </c>
      <c r="AB586" s="3">
        <v>-2468.86</v>
      </c>
      <c r="AC586" s="3">
        <v>714.35</v>
      </c>
      <c r="AD586" s="3">
        <v>678.63</v>
      </c>
      <c r="AE586" s="3">
        <v>14251.3</v>
      </c>
      <c r="AF586" t="str">
        <f>IF(tbl_FinancialData[[#This Row],[City]]="","Unknown",PROPER(TRIM(tbl_FinancialData[[#This Row],[City]])))</f>
        <v>Jaipur</v>
      </c>
      <c r="AG586" t="str">
        <f>_xlfn.LET(_xlpm.city,LOWER(TRIM(tbl_FinancialData[[#This Row],[City]])),_xlpm.st,PROPER(TRIM(tbl_FinancialData[[#This Row],[State]])),IF(_xlpm.city="pune","Maharashtra",IF(_xlpm.city="jamshedpur","Jharkhand",IF(_xlpm.city="bhilai","Chhattisgarh",IF(_xlpm.city="mumbai","Maharashtra",_xlpm.st)))))</f>
        <v>Rajasthan</v>
      </c>
      <c r="AH586" t="str">
        <f>_xlfn.LET(_xlpm.d,PROPER(TRIM(tbl_FinancialData[[#This Row],[Department]])),IF(_xlpm.d="It","IT",_xlpm.d))</f>
        <v>Operations</v>
      </c>
      <c r="AI586" t="str">
        <f>_xlfn.LET(_xlpm.pid,tbl_FinancialData[[#This Row],[Product ID]],_xlpm.n,PROPER(TRIM(tbl_FinancialData[[#This Row],[Product Name]])),IF(_xlpm.pid="P020","Document Scanner",IF(_xlpm.pid="P015","Network Router",SUBSTITUTE(SUBSTITUTE(_xlpm.n,"Crm","CRM"),"Ups","UPS"))))</f>
        <v>Office Desk</v>
      </c>
      <c r="AJ586" s="3" t="str">
        <f>UPPER(TRIM(tbl_FinancialData[[#This Row],[Cost Center]]))</f>
        <v>CC-1001</v>
      </c>
    </row>
    <row r="587" spans="1:36" x14ac:dyDescent="0.25">
      <c r="A587" s="3" t="s">
        <v>789</v>
      </c>
      <c r="B587" s="2">
        <v>45918</v>
      </c>
      <c r="C587" t="s">
        <v>46</v>
      </c>
      <c r="D587" s="3" t="str">
        <f t="shared" si="39"/>
        <v>Q2</v>
      </c>
      <c r="E587" s="3" t="str">
        <f t="shared" si="40"/>
        <v>FY2026</v>
      </c>
      <c r="F587" s="8" t="s">
        <v>34</v>
      </c>
      <c r="G587" s="3" t="s">
        <v>35</v>
      </c>
      <c r="H587" t="s">
        <v>134</v>
      </c>
      <c r="I587" t="s">
        <v>176</v>
      </c>
      <c r="J587" s="3" t="s">
        <v>80</v>
      </c>
      <c r="K587" t="s">
        <v>39</v>
      </c>
      <c r="L587" s="3" t="s">
        <v>51</v>
      </c>
      <c r="M587" s="3" t="s">
        <v>171</v>
      </c>
      <c r="N587" t="s">
        <v>172</v>
      </c>
      <c r="O587" t="s">
        <v>173</v>
      </c>
      <c r="P587" t="s">
        <v>174</v>
      </c>
      <c r="Q587" s="3">
        <v>20138.37</v>
      </c>
      <c r="R587" s="3">
        <v>22689.16</v>
      </c>
      <c r="S587" s="3">
        <v>11095.12</v>
      </c>
      <c r="T587" s="3">
        <v>2143.31</v>
      </c>
      <c r="U587" s="3">
        <v>1175.26</v>
      </c>
      <c r="V587" s="3">
        <v>1749.46</v>
      </c>
      <c r="W587" s="3">
        <v>327.98</v>
      </c>
      <c r="X587" s="3">
        <v>16491.12</v>
      </c>
      <c r="Y587" s="3">
        <v>9043.24</v>
      </c>
      <c r="Z587" s="3">
        <f t="shared" si="41"/>
        <v>3647.25</v>
      </c>
      <c r="AA587" s="37">
        <f t="shared" si="42"/>
        <v>0.18110949396599627</v>
      </c>
      <c r="AB587" s="3">
        <v>-2550.79</v>
      </c>
      <c r="AC587" s="3">
        <v>1006.92</v>
      </c>
      <c r="AD587" s="3">
        <v>956.57</v>
      </c>
      <c r="AE587" s="3">
        <v>20088.02</v>
      </c>
      <c r="AF587" t="str">
        <f>IF(tbl_FinancialData[[#This Row],[City]]="","Unknown",PROPER(TRIM(tbl_FinancialData[[#This Row],[City]])))</f>
        <v>Jaipur</v>
      </c>
      <c r="AG587" t="str">
        <f>_xlfn.LET(_xlpm.city,LOWER(TRIM(tbl_FinancialData[[#This Row],[City]])),_xlpm.st,PROPER(TRIM(tbl_FinancialData[[#This Row],[State]])),IF(_xlpm.city="pune","Maharashtra",IF(_xlpm.city="jamshedpur","Jharkhand",IF(_xlpm.city="bhilai","Chhattisgarh",IF(_xlpm.city="mumbai","Maharashtra",_xlpm.st)))))</f>
        <v>Rajasthan</v>
      </c>
      <c r="AH587" t="str">
        <f>_xlfn.LET(_xlpm.d,PROPER(TRIM(tbl_FinancialData[[#This Row],[Department]])),IF(_xlpm.d="It","IT",_xlpm.d))</f>
        <v>Operations</v>
      </c>
      <c r="AI587" t="str">
        <f>_xlfn.LET(_xlpm.pid,tbl_FinancialData[[#This Row],[Product ID]],_xlpm.n,PROPER(TRIM(tbl_FinancialData[[#This Row],[Product Name]])),IF(_xlpm.pid="P020","Document Scanner",IF(_xlpm.pid="P015","Network Router",SUBSTITUTE(SUBSTITUTE(_xlpm.n,"Crm","CRM"),"Ups","UPS"))))</f>
        <v>Network Switch</v>
      </c>
      <c r="AJ587" s="3" t="str">
        <f>UPPER(TRIM(tbl_FinancialData[[#This Row],[Cost Center]]))</f>
        <v>CC-1003</v>
      </c>
    </row>
    <row r="588" spans="1:36" x14ac:dyDescent="0.25">
      <c r="A588" s="3" t="s">
        <v>790</v>
      </c>
      <c r="B588" s="2">
        <v>45958</v>
      </c>
      <c r="C588" t="s">
        <v>92</v>
      </c>
      <c r="D588" s="3" t="str">
        <f t="shared" si="39"/>
        <v>Q3</v>
      </c>
      <c r="E588" s="3" t="str">
        <f t="shared" si="40"/>
        <v>FY2026</v>
      </c>
      <c r="F588" s="8" t="s">
        <v>67</v>
      </c>
      <c r="G588" s="3" t="s">
        <v>35</v>
      </c>
      <c r="H588" t="s">
        <v>168</v>
      </c>
      <c r="I588" t="s">
        <v>278</v>
      </c>
      <c r="J588" s="3" t="s">
        <v>100</v>
      </c>
      <c r="K588" t="s">
        <v>39</v>
      </c>
      <c r="L588" s="3" t="s">
        <v>81</v>
      </c>
      <c r="M588" s="3" t="s">
        <v>52</v>
      </c>
      <c r="N588" t="s">
        <v>53</v>
      </c>
      <c r="O588" t="s">
        <v>54</v>
      </c>
      <c r="P588" t="s">
        <v>55</v>
      </c>
      <c r="Q588" s="3">
        <v>6987.52</v>
      </c>
      <c r="R588" s="3">
        <v>6551.02</v>
      </c>
      <c r="S588" s="3">
        <v>3437.97</v>
      </c>
      <c r="T588" s="3">
        <v>837.74</v>
      </c>
      <c r="U588" s="3">
        <v>209</v>
      </c>
      <c r="V588" s="3">
        <v>417.4</v>
      </c>
      <c r="W588" s="3">
        <v>239.92</v>
      </c>
      <c r="X588" s="3">
        <v>5142.03</v>
      </c>
      <c r="Y588" s="3">
        <v>3549.55</v>
      </c>
      <c r="Z588" s="3">
        <f t="shared" si="41"/>
        <v>1845.4900000000007</v>
      </c>
      <c r="AA588" s="37">
        <f t="shared" si="42"/>
        <v>0.26411230307748679</v>
      </c>
      <c r="AB588" s="3">
        <v>436.5</v>
      </c>
      <c r="AC588" s="3">
        <v>209.63</v>
      </c>
      <c r="AD588" s="3">
        <v>1220.02</v>
      </c>
      <c r="AE588" s="3">
        <v>7997.91</v>
      </c>
      <c r="AF588" t="str">
        <f>IF(tbl_FinancialData[[#This Row],[City]]="","Unknown",PROPER(TRIM(tbl_FinancialData[[#This Row],[City]])))</f>
        <v>Siliguri</v>
      </c>
      <c r="AG588" t="str">
        <f>_xlfn.LET(_xlpm.city,LOWER(TRIM(tbl_FinancialData[[#This Row],[City]])),_xlpm.st,PROPER(TRIM(tbl_FinancialData[[#This Row],[State]])),IF(_xlpm.city="pune","Maharashtra",IF(_xlpm.city="jamshedpur","Jharkhand",IF(_xlpm.city="bhilai","Chhattisgarh",IF(_xlpm.city="mumbai","Maharashtra",_xlpm.st)))))</f>
        <v>West Bengal</v>
      </c>
      <c r="AH588" t="str">
        <f>_xlfn.LET(_xlpm.d,PROPER(TRIM(tbl_FinancialData[[#This Row],[Department]])),IF(_xlpm.d="It","IT",_xlpm.d))</f>
        <v>Operations</v>
      </c>
      <c r="AI588" t="str">
        <f>_xlfn.LET(_xlpm.pid,tbl_FinancialData[[#This Row],[Product ID]],_xlpm.n,PROPER(TRIM(tbl_FinancialData[[#This Row],[Product Name]])),IF(_xlpm.pid="P020","Document Scanner",IF(_xlpm.pid="P015","Network Router",SUBSTITUTE(SUBSTITUTE(_xlpm.n,"Crm","CRM"),"Ups","UPS"))))</f>
        <v>Mouse</v>
      </c>
      <c r="AJ588" s="3" t="str">
        <f>UPPER(TRIM(tbl_FinancialData[[#This Row],[Cost Center]]))</f>
        <v>CC-1005</v>
      </c>
    </row>
    <row r="589" spans="1:36" x14ac:dyDescent="0.25">
      <c r="A589" s="3" t="s">
        <v>791</v>
      </c>
      <c r="B589" s="2">
        <v>46103</v>
      </c>
      <c r="C589" t="s">
        <v>125</v>
      </c>
      <c r="D589" s="3" t="str">
        <f t="shared" si="39"/>
        <v>Q4</v>
      </c>
      <c r="E589" s="3" t="str">
        <f t="shared" si="40"/>
        <v>FY2026</v>
      </c>
      <c r="F589" s="8" t="s">
        <v>59</v>
      </c>
      <c r="G589" s="3" t="s">
        <v>35</v>
      </c>
      <c r="H589" t="s">
        <v>139</v>
      </c>
      <c r="I589" t="s">
        <v>152</v>
      </c>
      <c r="J589" s="3" t="s">
        <v>80</v>
      </c>
      <c r="K589" t="s">
        <v>39</v>
      </c>
      <c r="L589" s="3" t="s">
        <v>94</v>
      </c>
      <c r="M589" s="3" t="s">
        <v>161</v>
      </c>
      <c r="N589" t="s">
        <v>162</v>
      </c>
      <c r="O589" t="s">
        <v>43</v>
      </c>
      <c r="P589" t="s">
        <v>163</v>
      </c>
      <c r="Q589" s="3">
        <v>55043.61</v>
      </c>
      <c r="R589" s="3">
        <v>63506.32</v>
      </c>
      <c r="S589" s="3">
        <v>29934.58</v>
      </c>
      <c r="T589" s="3">
        <v>4787.21</v>
      </c>
      <c r="U589" s="3">
        <v>3340.84</v>
      </c>
      <c r="V589" s="3">
        <v>6381.15</v>
      </c>
      <c r="W589" s="3">
        <v>2474.3000000000002</v>
      </c>
      <c r="X589" s="3">
        <v>46918.080000000002</v>
      </c>
      <c r="Y589" s="3">
        <v>25109.040000000001</v>
      </c>
      <c r="Z589" s="3">
        <f t="shared" si="41"/>
        <v>8125.5299999999988</v>
      </c>
      <c r="AA589" s="37">
        <f t="shared" si="42"/>
        <v>0.14761985996194651</v>
      </c>
      <c r="AB589" s="3">
        <v>-8462.7099999999991</v>
      </c>
      <c r="AC589" s="3">
        <v>1100.8699999999999</v>
      </c>
      <c r="AD589" s="3">
        <v>9709.69</v>
      </c>
      <c r="AE589" s="3">
        <v>63652.44</v>
      </c>
      <c r="AF589" t="str">
        <f>IF(tbl_FinancialData[[#This Row],[City]]="","Unknown",PROPER(TRIM(tbl_FinancialData[[#This Row],[City]])))</f>
        <v>Panipat</v>
      </c>
      <c r="AG589" t="str">
        <f>_xlfn.LET(_xlpm.city,LOWER(TRIM(tbl_FinancialData[[#This Row],[City]])),_xlpm.st,PROPER(TRIM(tbl_FinancialData[[#This Row],[State]])),IF(_xlpm.city="pune","Maharashtra",IF(_xlpm.city="jamshedpur","Jharkhand",IF(_xlpm.city="bhilai","Chhattisgarh",IF(_xlpm.city="mumbai","Maharashtra",_xlpm.st)))))</f>
        <v>Haryana</v>
      </c>
      <c r="AH589" t="str">
        <f>_xlfn.LET(_xlpm.d,PROPER(TRIM(tbl_FinancialData[[#This Row],[Department]])),IF(_xlpm.d="It","IT",_xlpm.d))</f>
        <v>Operations</v>
      </c>
      <c r="AI589" t="str">
        <f>_xlfn.LET(_xlpm.pid,tbl_FinancialData[[#This Row],[Product ID]],_xlpm.n,PROPER(TRIM(tbl_FinancialData[[#This Row],[Product Name]])),IF(_xlpm.pid="P020","Document Scanner",IF(_xlpm.pid="P015","Network Router",SUBSTITUTE(SUBSTITUTE(_xlpm.n,"Crm","CRM"),"Ups","UPS"))))</f>
        <v>Tablet</v>
      </c>
      <c r="AJ589" s="3" t="str">
        <f>UPPER(TRIM(tbl_FinancialData[[#This Row],[Cost Center]]))</f>
        <v>CC-1001</v>
      </c>
    </row>
    <row r="590" spans="1:36" x14ac:dyDescent="0.25">
      <c r="A590" s="3" t="s">
        <v>792</v>
      </c>
      <c r="B590" s="2">
        <v>45961</v>
      </c>
      <c r="C590" t="s">
        <v>92</v>
      </c>
      <c r="D590" s="3" t="str">
        <f t="shared" si="39"/>
        <v>Q3</v>
      </c>
      <c r="E590" s="3" t="str">
        <f t="shared" si="40"/>
        <v>FY2026</v>
      </c>
      <c r="F590" s="8" t="s">
        <v>47</v>
      </c>
      <c r="G590" s="3" t="s">
        <v>35</v>
      </c>
      <c r="H590" t="s">
        <v>48</v>
      </c>
      <c r="I590" t="s">
        <v>265</v>
      </c>
      <c r="J590" s="3" t="s">
        <v>100</v>
      </c>
      <c r="K590" t="s">
        <v>101</v>
      </c>
      <c r="L590" s="3" t="s">
        <v>51</v>
      </c>
      <c r="M590" s="3" t="s">
        <v>52</v>
      </c>
      <c r="N590" t="s">
        <v>53</v>
      </c>
      <c r="O590" t="s">
        <v>54</v>
      </c>
      <c r="P590" t="s">
        <v>55</v>
      </c>
      <c r="Q590" s="3">
        <v>3271.27</v>
      </c>
      <c r="R590" s="3">
        <v>2889.54</v>
      </c>
      <c r="S590" s="3">
        <v>1815.26</v>
      </c>
      <c r="T590" s="3">
        <v>166.86</v>
      </c>
      <c r="U590" s="3">
        <v>102.2</v>
      </c>
      <c r="V590" s="3">
        <v>208.6</v>
      </c>
      <c r="W590" s="3">
        <v>38.93</v>
      </c>
      <c r="X590" s="3">
        <v>2331.85</v>
      </c>
      <c r="Y590" s="3">
        <v>1456.01</v>
      </c>
      <c r="Z590" s="3">
        <f t="shared" si="41"/>
        <v>939.42000000000007</v>
      </c>
      <c r="AA590" s="37">
        <f t="shared" si="42"/>
        <v>0.28717287169814781</v>
      </c>
      <c r="AB590" s="3">
        <v>381.73</v>
      </c>
      <c r="AC590" s="3">
        <v>163.56</v>
      </c>
      <c r="AD590" s="3">
        <v>155.38999999999999</v>
      </c>
      <c r="AE590" s="3">
        <v>3263.09</v>
      </c>
      <c r="AF590" t="str">
        <f>IF(tbl_FinancialData[[#This Row],[City]]="","Unknown",PROPER(TRIM(tbl_FinancialData[[#This Row],[City]])))</f>
        <v>Madurai</v>
      </c>
      <c r="AG590" t="str">
        <f>_xlfn.LET(_xlpm.city,LOWER(TRIM(tbl_FinancialData[[#This Row],[City]])),_xlpm.st,PROPER(TRIM(tbl_FinancialData[[#This Row],[State]])),IF(_xlpm.city="pune","Maharashtra",IF(_xlpm.city="jamshedpur","Jharkhand",IF(_xlpm.city="bhilai","Chhattisgarh",IF(_xlpm.city="mumbai","Maharashtra",_xlpm.st)))))</f>
        <v>Tamil Nadu</v>
      </c>
      <c r="AH590" t="str">
        <f>_xlfn.LET(_xlpm.d,PROPER(TRIM(tbl_FinancialData[[#This Row],[Department]])),IF(_xlpm.d="It","IT",_xlpm.d))</f>
        <v>Finance</v>
      </c>
      <c r="AI590" t="str">
        <f>_xlfn.LET(_xlpm.pid,tbl_FinancialData[[#This Row],[Product ID]],_xlpm.n,PROPER(TRIM(tbl_FinancialData[[#This Row],[Product Name]])),IF(_xlpm.pid="P020","Document Scanner",IF(_xlpm.pid="P015","Network Router",SUBSTITUTE(SUBSTITUTE(_xlpm.n,"Crm","CRM"),"Ups","UPS"))))</f>
        <v>Mouse</v>
      </c>
      <c r="AJ590" s="3" t="str">
        <f>UPPER(TRIM(tbl_FinancialData[[#This Row],[Cost Center]]))</f>
        <v>CC-1003</v>
      </c>
    </row>
    <row r="591" spans="1:36" x14ac:dyDescent="0.25">
      <c r="A591" s="3" t="s">
        <v>793</v>
      </c>
      <c r="B591" s="2">
        <v>46057</v>
      </c>
      <c r="C591" t="s">
        <v>57</v>
      </c>
      <c r="D591" s="3" t="str">
        <f t="shared" si="39"/>
        <v>Q4</v>
      </c>
      <c r="E591" s="3" t="str">
        <f t="shared" si="40"/>
        <v>FY2026</v>
      </c>
      <c r="F591" s="8" t="s">
        <v>34</v>
      </c>
      <c r="G591" s="3" t="s">
        <v>35</v>
      </c>
      <c r="H591" t="s">
        <v>98</v>
      </c>
      <c r="I591" t="s">
        <v>99</v>
      </c>
      <c r="J591" s="3" t="s">
        <v>100</v>
      </c>
      <c r="K591" t="s">
        <v>50</v>
      </c>
      <c r="L591" s="3" t="s">
        <v>81</v>
      </c>
      <c r="M591" s="3" t="s">
        <v>189</v>
      </c>
      <c r="N591" t="s">
        <v>190</v>
      </c>
      <c r="O591" t="s">
        <v>104</v>
      </c>
      <c r="P591" t="s">
        <v>105</v>
      </c>
      <c r="Q591" s="3">
        <v>17044.5</v>
      </c>
      <c r="R591" s="3">
        <v>17697.080000000002</v>
      </c>
      <c r="S591" s="3">
        <v>10298.120000000001</v>
      </c>
      <c r="T591" s="3">
        <v>2112.64</v>
      </c>
      <c r="U591" s="3">
        <v>1034.44</v>
      </c>
      <c r="V591" s="3">
        <v>1476.73</v>
      </c>
      <c r="W591" s="3">
        <v>410.05</v>
      </c>
      <c r="X591" s="3">
        <v>15331.99</v>
      </c>
      <c r="Y591" s="3">
        <v>6746.37</v>
      </c>
      <c r="Z591" s="3">
        <f t="shared" si="41"/>
        <v>1712.5100000000002</v>
      </c>
      <c r="AA591" s="37">
        <f t="shared" si="42"/>
        <v>0.10047287981460297</v>
      </c>
      <c r="AB591" s="3">
        <v>-652.59</v>
      </c>
      <c r="AC591" s="3">
        <v>1704.45</v>
      </c>
      <c r="AD591" s="3">
        <v>2761.21</v>
      </c>
      <c r="AE591" s="3">
        <v>18101.25</v>
      </c>
      <c r="AF591" t="str">
        <f>IF(tbl_FinancialData[[#This Row],[City]]="","Unknown",PROPER(TRIM(tbl_FinancialData[[#This Row],[City]])))</f>
        <v>Mumbai</v>
      </c>
      <c r="AG591" t="str">
        <f>_xlfn.LET(_xlpm.city,LOWER(TRIM(tbl_FinancialData[[#This Row],[City]])),_xlpm.st,PROPER(TRIM(tbl_FinancialData[[#This Row],[State]])),IF(_xlpm.city="pune","Maharashtra",IF(_xlpm.city="jamshedpur","Jharkhand",IF(_xlpm.city="bhilai","Chhattisgarh",IF(_xlpm.city="mumbai","Maharashtra",_xlpm.st)))))</f>
        <v>Maharashtra</v>
      </c>
      <c r="AH591" t="str">
        <f>_xlfn.LET(_xlpm.d,PROPER(TRIM(tbl_FinancialData[[#This Row],[Department]])),IF(_xlpm.d="It","IT",_xlpm.d))</f>
        <v>Sales</v>
      </c>
      <c r="AI591" t="str">
        <f>_xlfn.LET(_xlpm.pid,tbl_FinancialData[[#This Row],[Product ID]],_xlpm.n,PROPER(TRIM(tbl_FinancialData[[#This Row],[Product Name]])),IF(_xlpm.pid="P020","Document Scanner",IF(_xlpm.pid="P015","Network Router",SUBSTITUTE(SUBSTITUTE(_xlpm.n,"Crm","CRM"),"Ups","UPS"))))</f>
        <v>CRM Software</v>
      </c>
      <c r="AJ591" s="3" t="str">
        <f>UPPER(TRIM(tbl_FinancialData[[#This Row],[Cost Center]]))</f>
        <v>CC-1005</v>
      </c>
    </row>
    <row r="592" spans="1:36" x14ac:dyDescent="0.25">
      <c r="A592" s="3" t="s">
        <v>794</v>
      </c>
      <c r="B592" s="2">
        <v>45806</v>
      </c>
      <c r="C592" t="s">
        <v>65</v>
      </c>
      <c r="D592" s="3" t="str">
        <f t="shared" si="39"/>
        <v>Q1</v>
      </c>
      <c r="E592" s="3" t="str">
        <f t="shared" si="40"/>
        <v>FY2026</v>
      </c>
      <c r="F592" s="8" t="s">
        <v>34</v>
      </c>
      <c r="G592" s="3" t="s">
        <v>35</v>
      </c>
      <c r="H592" t="s">
        <v>134</v>
      </c>
      <c r="I592" t="s">
        <v>135</v>
      </c>
      <c r="J592" s="3" t="s">
        <v>38</v>
      </c>
      <c r="K592" t="s">
        <v>71</v>
      </c>
      <c r="L592" s="3" t="s">
        <v>40</v>
      </c>
      <c r="M592" s="3" t="s">
        <v>161</v>
      </c>
      <c r="N592" t="s">
        <v>162</v>
      </c>
      <c r="O592" t="s">
        <v>43</v>
      </c>
      <c r="P592" t="s">
        <v>163</v>
      </c>
      <c r="Q592" s="3">
        <v>39742.769999999997</v>
      </c>
      <c r="R592" s="3">
        <v>46890.46</v>
      </c>
      <c r="S592" s="3">
        <v>21585.759999999998</v>
      </c>
      <c r="T592" s="3">
        <v>3818.74</v>
      </c>
      <c r="U592" s="3">
        <v>2792.66</v>
      </c>
      <c r="V592" s="3">
        <v>2113.13</v>
      </c>
      <c r="W592" s="3">
        <v>604.23</v>
      </c>
      <c r="X592" s="3">
        <v>30914.52</v>
      </c>
      <c r="Y592" s="3">
        <v>18157.009999999998</v>
      </c>
      <c r="Z592" s="3">
        <f t="shared" si="41"/>
        <v>8828.2499999999964</v>
      </c>
      <c r="AA592" s="37">
        <f t="shared" si="42"/>
        <v>0.22213474299853778</v>
      </c>
      <c r="AB592" s="3">
        <v>-7147.69</v>
      </c>
      <c r="AC592" s="3">
        <v>1192.28</v>
      </c>
      <c r="AD592" s="3">
        <v>4626.0600000000004</v>
      </c>
      <c r="AE592" s="3">
        <v>43176.54</v>
      </c>
      <c r="AF592" t="str">
        <f>IF(tbl_FinancialData[[#This Row],[City]]="","Unknown",PROPER(TRIM(tbl_FinancialData[[#This Row],[City]])))</f>
        <v>Jodhpur</v>
      </c>
      <c r="AG592" t="str">
        <f>_xlfn.LET(_xlpm.city,LOWER(TRIM(tbl_FinancialData[[#This Row],[City]])),_xlpm.st,PROPER(TRIM(tbl_FinancialData[[#This Row],[State]])),IF(_xlpm.city="pune","Maharashtra",IF(_xlpm.city="jamshedpur","Jharkhand",IF(_xlpm.city="bhilai","Chhattisgarh",IF(_xlpm.city="mumbai","Maharashtra",_xlpm.st)))))</f>
        <v>Rajasthan</v>
      </c>
      <c r="AH592" t="str">
        <f>_xlfn.LET(_xlpm.d,PROPER(TRIM(tbl_FinancialData[[#This Row],[Department]])),IF(_xlpm.d="It","IT",_xlpm.d))</f>
        <v>Marketing</v>
      </c>
      <c r="AI592" t="str">
        <f>_xlfn.LET(_xlpm.pid,tbl_FinancialData[[#This Row],[Product ID]],_xlpm.n,PROPER(TRIM(tbl_FinancialData[[#This Row],[Product Name]])),IF(_xlpm.pid="P020","Document Scanner",IF(_xlpm.pid="P015","Network Router",SUBSTITUTE(SUBSTITUTE(_xlpm.n,"Crm","CRM"),"Ups","UPS"))))</f>
        <v>Tablet</v>
      </c>
      <c r="AJ592" s="3" t="str">
        <f>UPPER(TRIM(tbl_FinancialData[[#This Row],[Cost Center]]))</f>
        <v>CC-1002</v>
      </c>
    </row>
    <row r="593" spans="1:36" x14ac:dyDescent="0.25">
      <c r="A593" s="3" t="s">
        <v>795</v>
      </c>
      <c r="B593" s="2">
        <v>45938</v>
      </c>
      <c r="C593" t="s">
        <v>92</v>
      </c>
      <c r="D593" s="3" t="str">
        <f t="shared" si="39"/>
        <v>Q3</v>
      </c>
      <c r="E593" s="3" t="str">
        <f t="shared" si="40"/>
        <v>FY2026</v>
      </c>
      <c r="F593" s="8" t="s">
        <v>47</v>
      </c>
      <c r="G593" s="3" t="s">
        <v>35</v>
      </c>
      <c r="H593" t="s">
        <v>206</v>
      </c>
      <c r="I593" t="s">
        <v>296</v>
      </c>
      <c r="J593" s="3" t="s">
        <v>38</v>
      </c>
      <c r="K593" t="s">
        <v>50</v>
      </c>
      <c r="L593" s="3" t="s">
        <v>72</v>
      </c>
      <c r="M593" s="3" t="s">
        <v>62</v>
      </c>
      <c r="N593" t="s">
        <v>63</v>
      </c>
      <c r="O593" t="s">
        <v>54</v>
      </c>
      <c r="P593" t="s">
        <v>55</v>
      </c>
      <c r="Q593" s="3">
        <v>4643.12</v>
      </c>
      <c r="R593" s="3">
        <v>4296.16</v>
      </c>
      <c r="S593" s="3">
        <v>3112.02</v>
      </c>
      <c r="T593" s="3">
        <v>561.84</v>
      </c>
      <c r="U593" s="3">
        <v>201.49</v>
      </c>
      <c r="V593" s="3">
        <v>348.41</v>
      </c>
      <c r="W593" s="3">
        <v>104.12</v>
      </c>
      <c r="X593" s="3">
        <v>4327.88</v>
      </c>
      <c r="Y593" s="3">
        <v>1531.1</v>
      </c>
      <c r="Z593" s="3">
        <f t="shared" si="41"/>
        <v>315.23999999999978</v>
      </c>
      <c r="AA593" s="37">
        <f t="shared" si="42"/>
        <v>6.789400230879232E-2</v>
      </c>
      <c r="AB593" s="3">
        <v>346.96</v>
      </c>
      <c r="AC593" s="3">
        <v>0</v>
      </c>
      <c r="AD593" s="3">
        <v>835.76</v>
      </c>
      <c r="AE593" s="3">
        <v>5478.88</v>
      </c>
      <c r="AF593" t="str">
        <f>IF(tbl_FinancialData[[#This Row],[City]]="","Unknown",PROPER(TRIM(tbl_FinancialData[[#This Row],[City]])))</f>
        <v>Warangal</v>
      </c>
      <c r="AG593" t="str">
        <f>_xlfn.LET(_xlpm.city,LOWER(TRIM(tbl_FinancialData[[#This Row],[City]])),_xlpm.st,PROPER(TRIM(tbl_FinancialData[[#This Row],[State]])),IF(_xlpm.city="pune","Maharashtra",IF(_xlpm.city="jamshedpur","Jharkhand",IF(_xlpm.city="bhilai","Chhattisgarh",IF(_xlpm.city="mumbai","Maharashtra",_xlpm.st)))))</f>
        <v>Telangana</v>
      </c>
      <c r="AH593" t="str">
        <f>_xlfn.LET(_xlpm.d,PROPER(TRIM(tbl_FinancialData[[#This Row],[Department]])),IF(_xlpm.d="It","IT",_xlpm.d))</f>
        <v>Sales</v>
      </c>
      <c r="AI593" t="str">
        <f>_xlfn.LET(_xlpm.pid,tbl_FinancialData[[#This Row],[Product ID]],_xlpm.n,PROPER(TRIM(tbl_FinancialData[[#This Row],[Product Name]])),IF(_xlpm.pid="P020","Document Scanner",IF(_xlpm.pid="P015","Network Router",SUBSTITUTE(SUBSTITUTE(_xlpm.n,"Crm","CRM"),"Ups","UPS"))))</f>
        <v>Keyboard</v>
      </c>
      <c r="AJ593" s="3" t="str">
        <f>UPPER(TRIM(tbl_FinancialData[[#This Row],[Cost Center]]))</f>
        <v>CC-1004</v>
      </c>
    </row>
    <row r="594" spans="1:36" x14ac:dyDescent="0.25">
      <c r="A594" s="3" t="s">
        <v>796</v>
      </c>
      <c r="B594" s="2">
        <v>45778</v>
      </c>
      <c r="C594" t="s">
        <v>65</v>
      </c>
      <c r="D594" s="3" t="str">
        <f t="shared" si="39"/>
        <v>Q1</v>
      </c>
      <c r="E594" s="3" t="str">
        <f t="shared" si="40"/>
        <v>FY2026</v>
      </c>
      <c r="F594" s="8" t="s">
        <v>85</v>
      </c>
      <c r="G594" s="3" t="s">
        <v>35</v>
      </c>
      <c r="H594" t="s">
        <v>86</v>
      </c>
      <c r="I594" t="s">
        <v>181</v>
      </c>
      <c r="J594" s="3" t="s">
        <v>70</v>
      </c>
      <c r="K594" t="s">
        <v>50</v>
      </c>
      <c r="L594" s="3" t="s">
        <v>40</v>
      </c>
      <c r="M594" s="3" t="s">
        <v>211</v>
      </c>
      <c r="N594" t="s">
        <v>212</v>
      </c>
      <c r="O594" t="s">
        <v>112</v>
      </c>
      <c r="P594" t="s">
        <v>113</v>
      </c>
      <c r="Q594" s="3">
        <v>25204.94</v>
      </c>
      <c r="R594" s="3">
        <v>28329.21</v>
      </c>
      <c r="S594" s="3">
        <v>17873.150000000001</v>
      </c>
      <c r="T594" s="3">
        <v>3127</v>
      </c>
      <c r="U594" s="3">
        <v>2119.79</v>
      </c>
      <c r="V594" s="3">
        <v>2040.93</v>
      </c>
      <c r="W594" s="3">
        <v>569.76</v>
      </c>
      <c r="X594" s="3">
        <v>25730.639999999999</v>
      </c>
      <c r="Y594" s="3">
        <v>7331.79</v>
      </c>
      <c r="Z594" s="3">
        <f t="shared" si="41"/>
        <v>-525.70000000000073</v>
      </c>
      <c r="AA594" s="37">
        <f t="shared" si="42"/>
        <v>-2.0857022472578819E-2</v>
      </c>
      <c r="AB594" s="3">
        <v>-3124.27</v>
      </c>
      <c r="AC594" s="3">
        <v>756.15</v>
      </c>
      <c r="AD594" s="3">
        <v>4400.78</v>
      </c>
      <c r="AE594" s="3">
        <v>28849.58</v>
      </c>
      <c r="AF594" t="str">
        <f>IF(tbl_FinancialData[[#This Row],[City]]="","Unknown",PROPER(TRIM(tbl_FinancialData[[#This Row],[City]])))</f>
        <v>Bhopal</v>
      </c>
      <c r="AG594" t="str">
        <f>_xlfn.LET(_xlpm.city,LOWER(TRIM(tbl_FinancialData[[#This Row],[City]])),_xlpm.st,PROPER(TRIM(tbl_FinancialData[[#This Row],[State]])),IF(_xlpm.city="pune","Maharashtra",IF(_xlpm.city="jamshedpur","Jharkhand",IF(_xlpm.city="bhilai","Chhattisgarh",IF(_xlpm.city="mumbai","Maharashtra",_xlpm.st)))))</f>
        <v>Madhya Pradesh</v>
      </c>
      <c r="AH594" t="str">
        <f>_xlfn.LET(_xlpm.d,PROPER(TRIM(tbl_FinancialData[[#This Row],[Department]])),IF(_xlpm.d="It","IT",_xlpm.d))</f>
        <v>Sales</v>
      </c>
      <c r="AI594" t="str">
        <f>_xlfn.LET(_xlpm.pid,tbl_FinancialData[[#This Row],[Product ID]],_xlpm.n,PROPER(TRIM(tbl_FinancialData[[#This Row],[Product Name]])),IF(_xlpm.pid="P020","Document Scanner",IF(_xlpm.pid="P015","Network Router",SUBSTITUTE(SUBSTITUTE(_xlpm.n,"Crm","CRM"),"Ups","UPS"))))</f>
        <v>Office Chair</v>
      </c>
      <c r="AJ594" s="3" t="str">
        <f>UPPER(TRIM(tbl_FinancialData[[#This Row],[Cost Center]]))</f>
        <v>CC-1002</v>
      </c>
    </row>
    <row r="595" spans="1:36" x14ac:dyDescent="0.25">
      <c r="A595" s="3" t="s">
        <v>797</v>
      </c>
      <c r="B595" s="2">
        <v>45977</v>
      </c>
      <c r="C595" t="s">
        <v>147</v>
      </c>
      <c r="D595" s="3" t="str">
        <f t="shared" si="39"/>
        <v>Q3</v>
      </c>
      <c r="E595" s="3" t="str">
        <f t="shared" si="40"/>
        <v>FY2026</v>
      </c>
      <c r="F595" s="8" t="s">
        <v>34</v>
      </c>
      <c r="G595" s="3" t="s">
        <v>35</v>
      </c>
      <c r="H595" t="s">
        <v>98</v>
      </c>
      <c r="I595" t="s">
        <v>149</v>
      </c>
      <c r="J595" s="3" t="s">
        <v>70</v>
      </c>
      <c r="K595" t="s">
        <v>50</v>
      </c>
      <c r="L595" s="3" t="s">
        <v>40</v>
      </c>
      <c r="M595" s="3" t="s">
        <v>189</v>
      </c>
      <c r="N595" t="s">
        <v>190</v>
      </c>
      <c r="O595" t="s">
        <v>104</v>
      </c>
      <c r="P595" t="s">
        <v>105</v>
      </c>
      <c r="Q595" s="3">
        <v>24022.03</v>
      </c>
      <c r="R595" s="3">
        <v>22293.86</v>
      </c>
      <c r="S595" s="3">
        <v>11575.45</v>
      </c>
      <c r="T595" s="3">
        <v>2648.15</v>
      </c>
      <c r="U595" s="3">
        <v>766.64</v>
      </c>
      <c r="V595" s="3">
        <v>1119.1400000000001</v>
      </c>
      <c r="W595" s="3">
        <v>242.49</v>
      </c>
      <c r="X595" s="3">
        <v>16351.87</v>
      </c>
      <c r="Y595" s="3">
        <v>12446.58</v>
      </c>
      <c r="Z595" s="3">
        <f t="shared" si="41"/>
        <v>7670.159999999998</v>
      </c>
      <c r="AA595" s="37">
        <f t="shared" si="42"/>
        <v>0.31929691204282062</v>
      </c>
      <c r="AB595" s="3">
        <v>1728.17</v>
      </c>
      <c r="AC595" s="3">
        <v>720.66</v>
      </c>
      <c r="AD595" s="3">
        <v>2796.16</v>
      </c>
      <c r="AE595" s="3">
        <v>26097.54</v>
      </c>
      <c r="AF595" t="str">
        <f>IF(tbl_FinancialData[[#This Row],[City]]="","Unknown",PROPER(TRIM(tbl_FinancialData[[#This Row],[City]])))</f>
        <v>Nagpur</v>
      </c>
      <c r="AG595" t="str">
        <f>_xlfn.LET(_xlpm.city,LOWER(TRIM(tbl_FinancialData[[#This Row],[City]])),_xlpm.st,PROPER(TRIM(tbl_FinancialData[[#This Row],[State]])),IF(_xlpm.city="pune","Maharashtra",IF(_xlpm.city="jamshedpur","Jharkhand",IF(_xlpm.city="bhilai","Chhattisgarh",IF(_xlpm.city="mumbai","Maharashtra",_xlpm.st)))))</f>
        <v>Maharashtra</v>
      </c>
      <c r="AH595" t="str">
        <f>_xlfn.LET(_xlpm.d,PROPER(TRIM(tbl_FinancialData[[#This Row],[Department]])),IF(_xlpm.d="It","IT",_xlpm.d))</f>
        <v>Sales</v>
      </c>
      <c r="AI595" t="str">
        <f>_xlfn.LET(_xlpm.pid,tbl_FinancialData[[#This Row],[Product ID]],_xlpm.n,PROPER(TRIM(tbl_FinancialData[[#This Row],[Product Name]])),IF(_xlpm.pid="P020","Document Scanner",IF(_xlpm.pid="P015","Network Router",SUBSTITUTE(SUBSTITUTE(_xlpm.n,"Crm","CRM"),"Ups","UPS"))))</f>
        <v>CRM Software</v>
      </c>
      <c r="AJ595" s="3" t="str">
        <f>UPPER(TRIM(tbl_FinancialData[[#This Row],[Cost Center]]))</f>
        <v>CC-1002</v>
      </c>
    </row>
    <row r="596" spans="1:36" x14ac:dyDescent="0.25">
      <c r="A596" s="3" t="s">
        <v>798</v>
      </c>
      <c r="B596" s="2">
        <v>46103</v>
      </c>
      <c r="C596" t="s">
        <v>125</v>
      </c>
      <c r="D596" s="3" t="str">
        <f t="shared" si="39"/>
        <v>Q4</v>
      </c>
      <c r="E596" s="3" t="str">
        <f t="shared" si="40"/>
        <v>FY2026</v>
      </c>
      <c r="F596" s="8" t="s">
        <v>67</v>
      </c>
      <c r="G596" s="3" t="s">
        <v>35</v>
      </c>
      <c r="H596" t="s">
        <v>118</v>
      </c>
      <c r="I596" t="s">
        <v>227</v>
      </c>
      <c r="J596" s="3" t="s">
        <v>80</v>
      </c>
      <c r="K596" t="s">
        <v>50</v>
      </c>
      <c r="L596" s="3" t="s">
        <v>72</v>
      </c>
      <c r="M596" s="3" t="s">
        <v>110</v>
      </c>
      <c r="N596" t="s">
        <v>111</v>
      </c>
      <c r="O596" t="s">
        <v>112</v>
      </c>
      <c r="P596" t="s">
        <v>113</v>
      </c>
      <c r="Q596" s="3">
        <v>18257.919999999998</v>
      </c>
      <c r="R596" s="3">
        <v>16472.89</v>
      </c>
      <c r="S596" s="3">
        <v>10800.18</v>
      </c>
      <c r="T596" s="3">
        <v>1812.08</v>
      </c>
      <c r="U596" s="3">
        <v>569.25</v>
      </c>
      <c r="V596" s="3">
        <v>2118.6999999999998</v>
      </c>
      <c r="W596" s="3">
        <v>809.09</v>
      </c>
      <c r="X596" s="3">
        <v>16109.29</v>
      </c>
      <c r="Y596" s="3">
        <v>7457.74</v>
      </c>
      <c r="Z596" s="3">
        <f t="shared" si="41"/>
        <v>2148.6299999999974</v>
      </c>
      <c r="AA596" s="37">
        <f t="shared" si="42"/>
        <v>0.11768207988642723</v>
      </c>
      <c r="AB596" s="3">
        <v>1785.03</v>
      </c>
      <c r="AC596" s="3">
        <v>912.9</v>
      </c>
      <c r="AD596" s="3">
        <v>3122.1</v>
      </c>
      <c r="AE596" s="3">
        <v>20467.12</v>
      </c>
      <c r="AF596" t="str">
        <f>IF(tbl_FinancialData[[#This Row],[City]]="","Unknown",PROPER(TRIM(tbl_FinancialData[[#This Row],[City]])))</f>
        <v>Dhanbad</v>
      </c>
      <c r="AG596" t="str">
        <f>_xlfn.LET(_xlpm.city,LOWER(TRIM(tbl_FinancialData[[#This Row],[City]])),_xlpm.st,PROPER(TRIM(tbl_FinancialData[[#This Row],[State]])),IF(_xlpm.city="pune","Maharashtra",IF(_xlpm.city="jamshedpur","Jharkhand",IF(_xlpm.city="bhilai","Chhattisgarh",IF(_xlpm.city="mumbai","Maharashtra",_xlpm.st)))))</f>
        <v>Jharkhand</v>
      </c>
      <c r="AH596" t="str">
        <f>_xlfn.LET(_xlpm.d,PROPER(TRIM(tbl_FinancialData[[#This Row],[Department]])),IF(_xlpm.d="It","IT",_xlpm.d))</f>
        <v>Sales</v>
      </c>
      <c r="AI596" t="str">
        <f>_xlfn.LET(_xlpm.pid,tbl_FinancialData[[#This Row],[Product ID]],_xlpm.n,PROPER(TRIM(tbl_FinancialData[[#This Row],[Product Name]])),IF(_xlpm.pid="P020","Document Scanner",IF(_xlpm.pid="P015","Network Router",SUBSTITUTE(SUBSTITUTE(_xlpm.n,"Crm","CRM"),"Ups","UPS"))))</f>
        <v>Office Desk</v>
      </c>
      <c r="AJ596" s="3" t="str">
        <f>UPPER(TRIM(tbl_FinancialData[[#This Row],[Cost Center]]))</f>
        <v>CC-1004</v>
      </c>
    </row>
    <row r="597" spans="1:36" x14ac:dyDescent="0.25">
      <c r="A597" s="3" t="s">
        <v>799</v>
      </c>
      <c r="B597" s="2">
        <v>45754</v>
      </c>
      <c r="C597" t="s">
        <v>128</v>
      </c>
      <c r="D597" s="3" t="str">
        <f t="shared" si="39"/>
        <v>Q1</v>
      </c>
      <c r="E597" s="3" t="str">
        <f t="shared" si="40"/>
        <v>FY2026</v>
      </c>
      <c r="F597" s="8" t="s">
        <v>59</v>
      </c>
      <c r="G597" s="3" t="s">
        <v>35</v>
      </c>
      <c r="H597" t="s">
        <v>254</v>
      </c>
      <c r="I597" t="s">
        <v>200</v>
      </c>
      <c r="J597" s="3" t="s">
        <v>70</v>
      </c>
      <c r="K597" t="s">
        <v>50</v>
      </c>
      <c r="L597" s="3" t="s">
        <v>51</v>
      </c>
      <c r="M597" s="3" t="s">
        <v>189</v>
      </c>
      <c r="N597" t="s">
        <v>190</v>
      </c>
      <c r="O597" t="s">
        <v>104</v>
      </c>
      <c r="P597" t="s">
        <v>105</v>
      </c>
      <c r="Q597" s="3">
        <v>7709.37</v>
      </c>
      <c r="R597" s="3">
        <v>8686.57</v>
      </c>
      <c r="S597" s="3">
        <v>4105.22</v>
      </c>
      <c r="T597" s="3">
        <v>535.32000000000005</v>
      </c>
      <c r="U597" s="3">
        <v>514.6</v>
      </c>
      <c r="V597" s="3">
        <v>478.65</v>
      </c>
      <c r="W597" s="3">
        <v>135.77000000000001</v>
      </c>
      <c r="X597" s="3">
        <v>5769.56</v>
      </c>
      <c r="Y597" s="3">
        <v>3604.15</v>
      </c>
      <c r="Z597" s="3">
        <f t="shared" si="41"/>
        <v>1939.8099999999995</v>
      </c>
      <c r="AA597" s="37">
        <f t="shared" si="42"/>
        <v>0.2516171879154846</v>
      </c>
      <c r="AB597" s="3">
        <v>-977.2</v>
      </c>
      <c r="AC597" s="3">
        <v>154.19</v>
      </c>
      <c r="AD597" s="3">
        <v>906.62</v>
      </c>
      <c r="AE597" s="3">
        <v>8461.7999999999993</v>
      </c>
      <c r="AF597" t="str">
        <f>IF(tbl_FinancialData[[#This Row],[City]]="","Unknown",PROPER(TRIM(tbl_FinancialData[[#This Row],[City]])))</f>
        <v>Gurugram</v>
      </c>
      <c r="AG597" t="str">
        <f>_xlfn.LET(_xlpm.city,LOWER(TRIM(tbl_FinancialData[[#This Row],[City]])),_xlpm.st,PROPER(TRIM(tbl_FinancialData[[#This Row],[State]])),IF(_xlpm.city="pune","Maharashtra",IF(_xlpm.city="jamshedpur","Jharkhand",IF(_xlpm.city="bhilai","Chhattisgarh",IF(_xlpm.city="mumbai","Maharashtra",_xlpm.st)))))</f>
        <v>Delhi</v>
      </c>
      <c r="AH597" t="str">
        <f>_xlfn.LET(_xlpm.d,PROPER(TRIM(tbl_FinancialData[[#This Row],[Department]])),IF(_xlpm.d="It","IT",_xlpm.d))</f>
        <v>Sales</v>
      </c>
      <c r="AI597" t="str">
        <f>_xlfn.LET(_xlpm.pid,tbl_FinancialData[[#This Row],[Product ID]],_xlpm.n,PROPER(TRIM(tbl_FinancialData[[#This Row],[Product Name]])),IF(_xlpm.pid="P020","Document Scanner",IF(_xlpm.pid="P015","Network Router",SUBSTITUTE(SUBSTITUTE(_xlpm.n,"Crm","CRM"),"Ups","UPS"))))</f>
        <v>CRM Software</v>
      </c>
      <c r="AJ597" s="3" t="str">
        <f>UPPER(TRIM(tbl_FinancialData[[#This Row],[Cost Center]]))</f>
        <v>CC-1003</v>
      </c>
    </row>
    <row r="598" spans="1:36" x14ac:dyDescent="0.25">
      <c r="A598" s="3" t="s">
        <v>800</v>
      </c>
      <c r="B598" s="2">
        <v>45794</v>
      </c>
      <c r="C598" t="s">
        <v>65</v>
      </c>
      <c r="D598" s="3" t="str">
        <f t="shared" si="39"/>
        <v>Q1</v>
      </c>
      <c r="E598" s="3" t="str">
        <f t="shared" si="40"/>
        <v>FY2026</v>
      </c>
      <c r="F598" s="8" t="s">
        <v>85</v>
      </c>
      <c r="G598" s="3" t="s">
        <v>35</v>
      </c>
      <c r="H598" t="s">
        <v>60</v>
      </c>
      <c r="I598" t="s">
        <v>185</v>
      </c>
      <c r="J598" s="3" t="s">
        <v>80</v>
      </c>
      <c r="K598" t="s">
        <v>50</v>
      </c>
      <c r="L598" s="3" t="s">
        <v>81</v>
      </c>
      <c r="M598" s="3" t="s">
        <v>102</v>
      </c>
      <c r="N598" t="s">
        <v>103</v>
      </c>
      <c r="O598" t="s">
        <v>104</v>
      </c>
      <c r="P598" t="s">
        <v>105</v>
      </c>
      <c r="Q598" s="3">
        <v>23482.57</v>
      </c>
      <c r="R598" s="3">
        <v>23183.05</v>
      </c>
      <c r="S598" s="3">
        <v>15382.55</v>
      </c>
      <c r="T598" s="3">
        <v>2985</v>
      </c>
      <c r="U598" s="3">
        <v>824.68</v>
      </c>
      <c r="V598" s="3">
        <v>1366.46</v>
      </c>
      <c r="W598" s="3">
        <v>420.32</v>
      </c>
      <c r="X598" s="3">
        <v>20979.01</v>
      </c>
      <c r="Y598" s="3">
        <v>8100.02</v>
      </c>
      <c r="Z598" s="3">
        <f t="shared" si="41"/>
        <v>2503.5600000000013</v>
      </c>
      <c r="AA598" s="37">
        <f t="shared" si="42"/>
        <v>0.10661354357721499</v>
      </c>
      <c r="AB598" s="3">
        <v>299.52</v>
      </c>
      <c r="AC598" s="3">
        <v>0</v>
      </c>
      <c r="AD598" s="3">
        <v>4226.8599999999997</v>
      </c>
      <c r="AE598" s="3">
        <v>27709.43</v>
      </c>
      <c r="AF598" t="str">
        <f>IF(tbl_FinancialData[[#This Row],[City]]="","Unknown",PROPER(TRIM(tbl_FinancialData[[#This Row],[City]])))</f>
        <v>Kanpur</v>
      </c>
      <c r="AG598" t="str">
        <f>_xlfn.LET(_xlpm.city,LOWER(TRIM(tbl_FinancialData[[#This Row],[City]])),_xlpm.st,PROPER(TRIM(tbl_FinancialData[[#This Row],[State]])),IF(_xlpm.city="pune","Maharashtra",IF(_xlpm.city="jamshedpur","Jharkhand",IF(_xlpm.city="bhilai","Chhattisgarh",IF(_xlpm.city="mumbai","Maharashtra",_xlpm.st)))))</f>
        <v>Uttar Pradesh</v>
      </c>
      <c r="AH598" t="str">
        <f>_xlfn.LET(_xlpm.d,PROPER(TRIM(tbl_FinancialData[[#This Row],[Department]])),IF(_xlpm.d="It","IT",_xlpm.d))</f>
        <v>Sales</v>
      </c>
      <c r="AI598" t="str">
        <f>_xlfn.LET(_xlpm.pid,tbl_FinancialData[[#This Row],[Product ID]],_xlpm.n,PROPER(TRIM(tbl_FinancialData[[#This Row],[Product Name]])),IF(_xlpm.pid="P020","Document Scanner",IF(_xlpm.pid="P015","Network Router",SUBSTITUTE(SUBSTITUTE(_xlpm.n,"Crm","CRM"),"Ups","UPS"))))</f>
        <v>Accounting Software</v>
      </c>
      <c r="AJ598" s="3" t="str">
        <f>UPPER(TRIM(tbl_FinancialData[[#This Row],[Cost Center]]))</f>
        <v>CC-1005</v>
      </c>
    </row>
    <row r="599" spans="1:36" x14ac:dyDescent="0.25">
      <c r="A599" s="3" t="s">
        <v>801</v>
      </c>
      <c r="B599" s="2">
        <v>45825</v>
      </c>
      <c r="C599" t="s">
        <v>156</v>
      </c>
      <c r="D599" s="3" t="str">
        <f t="shared" si="39"/>
        <v>Q1</v>
      </c>
      <c r="E599" s="3" t="str">
        <f t="shared" si="40"/>
        <v>FY2026</v>
      </c>
      <c r="F599" s="8" t="s">
        <v>34</v>
      </c>
      <c r="G599" s="3" t="s">
        <v>35</v>
      </c>
      <c r="H599" t="s">
        <v>36</v>
      </c>
      <c r="I599" t="s">
        <v>37</v>
      </c>
      <c r="J599" s="3" t="s">
        <v>80</v>
      </c>
      <c r="K599" t="s">
        <v>50</v>
      </c>
      <c r="L599" s="3" t="s">
        <v>72</v>
      </c>
      <c r="M599" s="3" t="s">
        <v>102</v>
      </c>
      <c r="N599" t="s">
        <v>103</v>
      </c>
      <c r="O599" t="s">
        <v>104</v>
      </c>
      <c r="P599" t="s">
        <v>105</v>
      </c>
      <c r="Q599" s="3">
        <v>6728.74</v>
      </c>
      <c r="R599" s="3">
        <v>6716.61</v>
      </c>
      <c r="S599" s="3">
        <v>3902.23</v>
      </c>
      <c r="T599" s="3">
        <v>579.16</v>
      </c>
      <c r="U599" s="3">
        <v>529.88</v>
      </c>
      <c r="V599" s="3">
        <v>321.91000000000003</v>
      </c>
      <c r="W599" s="3">
        <v>233.07</v>
      </c>
      <c r="X599" s="3">
        <v>5566.24</v>
      </c>
      <c r="Y599" s="3">
        <v>2826.52</v>
      </c>
      <c r="Z599" s="3">
        <f t="shared" si="41"/>
        <v>1162.5</v>
      </c>
      <c r="AA599" s="37">
        <f t="shared" si="42"/>
        <v>0.17276637230744538</v>
      </c>
      <c r="AB599" s="3">
        <v>12.14</v>
      </c>
      <c r="AC599" s="3">
        <v>201.86</v>
      </c>
      <c r="AD599" s="3">
        <v>783.23</v>
      </c>
      <c r="AE599" s="3">
        <v>7310.11</v>
      </c>
      <c r="AF599" t="str">
        <f>IF(tbl_FinancialData[[#This Row],[City]]="","Unknown",PROPER(TRIM(tbl_FinancialData[[#This Row],[City]])))</f>
        <v>Vasco Da Gama</v>
      </c>
      <c r="AG599" t="str">
        <f>_xlfn.LET(_xlpm.city,LOWER(TRIM(tbl_FinancialData[[#This Row],[City]])),_xlpm.st,PROPER(TRIM(tbl_FinancialData[[#This Row],[State]])),IF(_xlpm.city="pune","Maharashtra",IF(_xlpm.city="jamshedpur","Jharkhand",IF(_xlpm.city="bhilai","Chhattisgarh",IF(_xlpm.city="mumbai","Maharashtra",_xlpm.st)))))</f>
        <v>Goa</v>
      </c>
      <c r="AH599" t="str">
        <f>_xlfn.LET(_xlpm.d,PROPER(TRIM(tbl_FinancialData[[#This Row],[Department]])),IF(_xlpm.d="It","IT",_xlpm.d))</f>
        <v>Sales</v>
      </c>
      <c r="AI599" t="str">
        <f>_xlfn.LET(_xlpm.pid,tbl_FinancialData[[#This Row],[Product ID]],_xlpm.n,PROPER(TRIM(tbl_FinancialData[[#This Row],[Product Name]])),IF(_xlpm.pid="P020","Document Scanner",IF(_xlpm.pid="P015","Network Router",SUBSTITUTE(SUBSTITUTE(_xlpm.n,"Crm","CRM"),"Ups","UPS"))))</f>
        <v>Accounting Software</v>
      </c>
      <c r="AJ599" s="3" t="str">
        <f>UPPER(TRIM(tbl_FinancialData[[#This Row],[Cost Center]]))</f>
        <v>CC-1004</v>
      </c>
    </row>
    <row r="600" spans="1:36" x14ac:dyDescent="0.25">
      <c r="A600" s="3" t="s">
        <v>802</v>
      </c>
      <c r="B600" s="2">
        <v>45813</v>
      </c>
      <c r="C600" t="s">
        <v>156</v>
      </c>
      <c r="D600" s="3" t="str">
        <f t="shared" si="39"/>
        <v>Q1</v>
      </c>
      <c r="E600" s="3" t="str">
        <f t="shared" si="40"/>
        <v>FY2026</v>
      </c>
      <c r="F600" s="8" t="s">
        <v>47</v>
      </c>
      <c r="G600" s="3" t="s">
        <v>35</v>
      </c>
      <c r="H600" t="s">
        <v>214</v>
      </c>
      <c r="I600" t="s">
        <v>220</v>
      </c>
      <c r="J600" s="3" t="s">
        <v>38</v>
      </c>
      <c r="K600" t="s">
        <v>39</v>
      </c>
      <c r="L600" s="3" t="s">
        <v>81</v>
      </c>
      <c r="M600" s="3" t="s">
        <v>120</v>
      </c>
      <c r="N600" t="s">
        <v>121</v>
      </c>
      <c r="O600" t="s">
        <v>43</v>
      </c>
      <c r="P600" t="s">
        <v>122</v>
      </c>
      <c r="Q600" s="3">
        <v>56960.54</v>
      </c>
      <c r="R600" s="3">
        <v>51360.27</v>
      </c>
      <c r="S600" s="3">
        <v>36783.31</v>
      </c>
      <c r="T600" s="3">
        <v>5281.51</v>
      </c>
      <c r="U600" s="3">
        <v>2827.83</v>
      </c>
      <c r="V600" s="3">
        <v>3829</v>
      </c>
      <c r="W600" s="3">
        <v>1807.31</v>
      </c>
      <c r="X600" s="3">
        <v>50528.959999999999</v>
      </c>
      <c r="Y600" s="3">
        <v>20177.23</v>
      </c>
      <c r="Z600" s="3">
        <f t="shared" si="41"/>
        <v>6431.5800000000017</v>
      </c>
      <c r="AA600" s="37">
        <f t="shared" si="42"/>
        <v>0.11291290426670818</v>
      </c>
      <c r="AB600" s="3">
        <v>5600.27</v>
      </c>
      <c r="AC600" s="3">
        <v>4556.84</v>
      </c>
      <c r="AD600" s="3">
        <v>6288.44</v>
      </c>
      <c r="AE600" s="3">
        <v>58692.14</v>
      </c>
      <c r="AF600" t="str">
        <f>IF(tbl_FinancialData[[#This Row],[City]]="","Unknown",PROPER(TRIM(tbl_FinancialData[[#This Row],[City]])))</f>
        <v>Mysuru</v>
      </c>
      <c r="AG600" t="str">
        <f>_xlfn.LET(_xlpm.city,LOWER(TRIM(tbl_FinancialData[[#This Row],[City]])),_xlpm.st,PROPER(TRIM(tbl_FinancialData[[#This Row],[State]])),IF(_xlpm.city="pune","Maharashtra",IF(_xlpm.city="jamshedpur","Jharkhand",IF(_xlpm.city="bhilai","Chhattisgarh",IF(_xlpm.city="mumbai","Maharashtra",_xlpm.st)))))</f>
        <v>Karnataka</v>
      </c>
      <c r="AH600" t="str">
        <f>_xlfn.LET(_xlpm.d,PROPER(TRIM(tbl_FinancialData[[#This Row],[Department]])),IF(_xlpm.d="It","IT",_xlpm.d))</f>
        <v>Operations</v>
      </c>
      <c r="AI600" t="str">
        <f>_xlfn.LET(_xlpm.pid,tbl_FinancialData[[#This Row],[Product ID]],_xlpm.n,PROPER(TRIM(tbl_FinancialData[[#This Row],[Product Name]])),IF(_xlpm.pid="P020","Document Scanner",IF(_xlpm.pid="P015","Network Router",SUBSTITUTE(SUBSTITUTE(_xlpm.n,"Crm","CRM"),"Ups","UPS"))))</f>
        <v>Projector</v>
      </c>
      <c r="AJ600" s="3" t="str">
        <f>UPPER(TRIM(tbl_FinancialData[[#This Row],[Cost Center]]))</f>
        <v>CC-1005</v>
      </c>
    </row>
    <row r="601" spans="1:36" x14ac:dyDescent="0.25">
      <c r="A601" s="3" t="s">
        <v>803</v>
      </c>
      <c r="B601" s="2">
        <v>45934</v>
      </c>
      <c r="C601" t="s">
        <v>92</v>
      </c>
      <c r="D601" s="3" t="str">
        <f t="shared" si="39"/>
        <v>Q3</v>
      </c>
      <c r="E601" s="3" t="str">
        <f t="shared" si="40"/>
        <v>FY2026</v>
      </c>
      <c r="F601" s="8" t="s">
        <v>47</v>
      </c>
      <c r="G601" s="3" t="s">
        <v>35</v>
      </c>
      <c r="H601" t="s">
        <v>214</v>
      </c>
      <c r="I601" t="s">
        <v>215</v>
      </c>
      <c r="J601" s="3" t="s">
        <v>70</v>
      </c>
      <c r="K601" t="s">
        <v>50</v>
      </c>
      <c r="L601" s="3" t="s">
        <v>72</v>
      </c>
      <c r="M601" s="3" t="s">
        <v>171</v>
      </c>
      <c r="N601" t="s">
        <v>172</v>
      </c>
      <c r="O601" t="s">
        <v>173</v>
      </c>
      <c r="P601" t="s">
        <v>174</v>
      </c>
      <c r="Q601" s="3">
        <v>19867.54</v>
      </c>
      <c r="R601" s="3">
        <v>18423.39</v>
      </c>
      <c r="S601" s="3">
        <v>10739.29</v>
      </c>
      <c r="T601" s="3">
        <v>1242.3499999999999</v>
      </c>
      <c r="U601" s="3">
        <v>1727.27</v>
      </c>
      <c r="V601" s="3">
        <v>1439.05</v>
      </c>
      <c r="W601" s="3">
        <v>433.17</v>
      </c>
      <c r="X601" s="3">
        <v>15581.13</v>
      </c>
      <c r="Y601" s="3">
        <v>9128.25</v>
      </c>
      <c r="Z601" s="3">
        <f t="shared" si="41"/>
        <v>4286.4100000000017</v>
      </c>
      <c r="AA601" s="37">
        <f t="shared" si="42"/>
        <v>0.21574940833137879</v>
      </c>
      <c r="AB601" s="3">
        <v>1444.15</v>
      </c>
      <c r="AC601" s="3">
        <v>0</v>
      </c>
      <c r="AD601" s="3">
        <v>993.38</v>
      </c>
      <c r="AE601" s="3">
        <v>20860.919999999998</v>
      </c>
      <c r="AF601" t="str">
        <f>IF(tbl_FinancialData[[#This Row],[City]]="","Unknown",PROPER(TRIM(tbl_FinancialData[[#This Row],[City]])))</f>
        <v>Mangaluru</v>
      </c>
      <c r="AG601" t="str">
        <f>_xlfn.LET(_xlpm.city,LOWER(TRIM(tbl_FinancialData[[#This Row],[City]])),_xlpm.st,PROPER(TRIM(tbl_FinancialData[[#This Row],[State]])),IF(_xlpm.city="pune","Maharashtra",IF(_xlpm.city="jamshedpur","Jharkhand",IF(_xlpm.city="bhilai","Chhattisgarh",IF(_xlpm.city="mumbai","Maharashtra",_xlpm.st)))))</f>
        <v>Karnataka</v>
      </c>
      <c r="AH601" t="str">
        <f>_xlfn.LET(_xlpm.d,PROPER(TRIM(tbl_FinancialData[[#This Row],[Department]])),IF(_xlpm.d="It","IT",_xlpm.d))</f>
        <v>Sales</v>
      </c>
      <c r="AI601" t="str">
        <f>_xlfn.LET(_xlpm.pid,tbl_FinancialData[[#This Row],[Product ID]],_xlpm.n,PROPER(TRIM(tbl_FinancialData[[#This Row],[Product Name]])),IF(_xlpm.pid="P020","Document Scanner",IF(_xlpm.pid="P015","Network Router",SUBSTITUTE(SUBSTITUTE(_xlpm.n,"Crm","CRM"),"Ups","UPS"))))</f>
        <v>Network Switch</v>
      </c>
      <c r="AJ601" s="3" t="str">
        <f>UPPER(TRIM(tbl_FinancialData[[#This Row],[Cost Center]]))</f>
        <v>CC-1004</v>
      </c>
    </row>
    <row r="602" spans="1:36" x14ac:dyDescent="0.25">
      <c r="A602" s="3" t="s">
        <v>804</v>
      </c>
      <c r="B602" s="2">
        <v>46061</v>
      </c>
      <c r="C602" t="s">
        <v>57</v>
      </c>
      <c r="D602" s="3" t="str">
        <f t="shared" si="39"/>
        <v>Q4</v>
      </c>
      <c r="E602" s="3" t="str">
        <f t="shared" si="40"/>
        <v>FY2026</v>
      </c>
      <c r="F602" s="8" t="s">
        <v>34</v>
      </c>
      <c r="G602" s="3" t="s">
        <v>35</v>
      </c>
      <c r="H602" t="s">
        <v>134</v>
      </c>
      <c r="I602" t="s">
        <v>154</v>
      </c>
      <c r="J602" s="3" t="s">
        <v>100</v>
      </c>
      <c r="K602" t="s">
        <v>101</v>
      </c>
      <c r="L602" s="3" t="s">
        <v>81</v>
      </c>
      <c r="M602" s="3" t="s">
        <v>52</v>
      </c>
      <c r="N602" t="s">
        <v>53</v>
      </c>
      <c r="O602" t="s">
        <v>54</v>
      </c>
      <c r="P602" t="s">
        <v>55</v>
      </c>
      <c r="Q602" s="3">
        <v>4139.42</v>
      </c>
      <c r="R602" s="3">
        <v>4545.33</v>
      </c>
      <c r="S602" s="3">
        <v>2690.16</v>
      </c>
      <c r="T602" s="3">
        <v>257.74</v>
      </c>
      <c r="U602" s="3">
        <v>349.61</v>
      </c>
      <c r="V602" s="3">
        <v>186.9</v>
      </c>
      <c r="W602" s="3">
        <v>49.37</v>
      </c>
      <c r="X602" s="3">
        <v>3533.78</v>
      </c>
      <c r="Y602" s="3">
        <v>1449.27</v>
      </c>
      <c r="Z602" s="3">
        <f t="shared" si="41"/>
        <v>605.63999999999987</v>
      </c>
      <c r="AA602" s="37">
        <f t="shared" si="42"/>
        <v>0.14631035265810183</v>
      </c>
      <c r="AB602" s="3">
        <v>-405.91</v>
      </c>
      <c r="AC602" s="3">
        <v>82.79</v>
      </c>
      <c r="AD602" s="3">
        <v>730.19</v>
      </c>
      <c r="AE602" s="3">
        <v>4786.83</v>
      </c>
      <c r="AF602" t="str">
        <f>IF(tbl_FinancialData[[#This Row],[City]]="","Unknown",PROPER(TRIM(tbl_FinancialData[[#This Row],[City]])))</f>
        <v>Udaipur</v>
      </c>
      <c r="AG602" t="str">
        <f>_xlfn.LET(_xlpm.city,LOWER(TRIM(tbl_FinancialData[[#This Row],[City]])),_xlpm.st,PROPER(TRIM(tbl_FinancialData[[#This Row],[State]])),IF(_xlpm.city="pune","Maharashtra",IF(_xlpm.city="jamshedpur","Jharkhand",IF(_xlpm.city="bhilai","Chhattisgarh",IF(_xlpm.city="mumbai","Maharashtra",_xlpm.st)))))</f>
        <v>Rajasthan</v>
      </c>
      <c r="AH602" t="str">
        <f>_xlfn.LET(_xlpm.d,PROPER(TRIM(tbl_FinancialData[[#This Row],[Department]])),IF(_xlpm.d="It","IT",_xlpm.d))</f>
        <v>Finance</v>
      </c>
      <c r="AI602" t="str">
        <f>_xlfn.LET(_xlpm.pid,tbl_FinancialData[[#This Row],[Product ID]],_xlpm.n,PROPER(TRIM(tbl_FinancialData[[#This Row],[Product Name]])),IF(_xlpm.pid="P020","Document Scanner",IF(_xlpm.pid="P015","Network Router",SUBSTITUTE(SUBSTITUTE(_xlpm.n,"Crm","CRM"),"Ups","UPS"))))</f>
        <v>Mouse</v>
      </c>
      <c r="AJ602" s="3" t="str">
        <f>UPPER(TRIM(tbl_FinancialData[[#This Row],[Cost Center]]))</f>
        <v>CC-1005</v>
      </c>
    </row>
    <row r="603" spans="1:36" x14ac:dyDescent="0.25">
      <c r="A603" s="3" t="s">
        <v>805</v>
      </c>
      <c r="B603" s="2">
        <v>45943</v>
      </c>
      <c r="C603" t="s">
        <v>92</v>
      </c>
      <c r="D603" s="3" t="str">
        <f t="shared" si="39"/>
        <v>Q3</v>
      </c>
      <c r="E603" s="3" t="str">
        <f t="shared" si="40"/>
        <v>FY2026</v>
      </c>
      <c r="F603" s="8" t="s">
        <v>34</v>
      </c>
      <c r="G603" s="3" t="s">
        <v>35</v>
      </c>
      <c r="H603" t="s">
        <v>98</v>
      </c>
      <c r="I603" t="s">
        <v>304</v>
      </c>
      <c r="J603" s="3" t="s">
        <v>100</v>
      </c>
      <c r="K603" t="s">
        <v>101</v>
      </c>
      <c r="L603" s="3" t="s">
        <v>94</v>
      </c>
      <c r="M603" s="3" t="s">
        <v>110</v>
      </c>
      <c r="N603" t="s">
        <v>111</v>
      </c>
      <c r="O603" t="s">
        <v>112</v>
      </c>
      <c r="P603" t="s">
        <v>113</v>
      </c>
      <c r="Q603" s="3">
        <v>20014.68</v>
      </c>
      <c r="R603" s="3">
        <v>19077.05</v>
      </c>
      <c r="S603" s="3">
        <v>10339.94</v>
      </c>
      <c r="T603" s="3">
        <v>2376.4499999999998</v>
      </c>
      <c r="U603" s="3">
        <v>1108.6199999999999</v>
      </c>
      <c r="V603" s="3">
        <v>1447.81</v>
      </c>
      <c r="W603" s="3">
        <v>515.02</v>
      </c>
      <c r="X603" s="3">
        <v>15787.84</v>
      </c>
      <c r="Y603" s="3">
        <v>9674.74</v>
      </c>
      <c r="Z603" s="3">
        <f t="shared" si="41"/>
        <v>4226.84</v>
      </c>
      <c r="AA603" s="37">
        <f t="shared" si="42"/>
        <v>0.21118698875025732</v>
      </c>
      <c r="AB603" s="3">
        <v>937.63</v>
      </c>
      <c r="AC603" s="3">
        <v>2001.47</v>
      </c>
      <c r="AD603" s="3">
        <v>3242.38</v>
      </c>
      <c r="AE603" s="3">
        <v>21255.59</v>
      </c>
      <c r="AF603" t="str">
        <f>IF(tbl_FinancialData[[#This Row],[City]]="","Unknown",PROPER(TRIM(tbl_FinancialData[[#This Row],[City]])))</f>
        <v>Pune</v>
      </c>
      <c r="AG603" t="str">
        <f>_xlfn.LET(_xlpm.city,LOWER(TRIM(tbl_FinancialData[[#This Row],[City]])),_xlpm.st,PROPER(TRIM(tbl_FinancialData[[#This Row],[State]])),IF(_xlpm.city="pune","Maharashtra",IF(_xlpm.city="jamshedpur","Jharkhand",IF(_xlpm.city="bhilai","Chhattisgarh",IF(_xlpm.city="mumbai","Maharashtra",_xlpm.st)))))</f>
        <v>Maharashtra</v>
      </c>
      <c r="AH603" t="str">
        <f>_xlfn.LET(_xlpm.d,PROPER(TRIM(tbl_FinancialData[[#This Row],[Department]])),IF(_xlpm.d="It","IT",_xlpm.d))</f>
        <v>Finance</v>
      </c>
      <c r="AI603" t="str">
        <f>_xlfn.LET(_xlpm.pid,tbl_FinancialData[[#This Row],[Product ID]],_xlpm.n,PROPER(TRIM(tbl_FinancialData[[#This Row],[Product Name]])),IF(_xlpm.pid="P020","Document Scanner",IF(_xlpm.pid="P015","Network Router",SUBSTITUTE(SUBSTITUTE(_xlpm.n,"Crm","CRM"),"Ups","UPS"))))</f>
        <v>Office Desk</v>
      </c>
      <c r="AJ603" s="3" t="str">
        <f>UPPER(TRIM(tbl_FinancialData[[#This Row],[Cost Center]]))</f>
        <v>CC-1001</v>
      </c>
    </row>
    <row r="604" spans="1:36" x14ac:dyDescent="0.25">
      <c r="A604" s="3" t="s">
        <v>806</v>
      </c>
      <c r="B604" s="2">
        <v>46104</v>
      </c>
      <c r="C604" t="s">
        <v>125</v>
      </c>
      <c r="D604" s="3" t="str">
        <f t="shared" si="39"/>
        <v>Q4</v>
      </c>
      <c r="E604" s="3" t="str">
        <f t="shared" si="40"/>
        <v>FY2026</v>
      </c>
      <c r="F604" s="8" t="s">
        <v>34</v>
      </c>
      <c r="G604" s="3" t="s">
        <v>35</v>
      </c>
      <c r="H604" t="s">
        <v>157</v>
      </c>
      <c r="I604" t="s">
        <v>194</v>
      </c>
      <c r="J604" s="3" t="s">
        <v>80</v>
      </c>
      <c r="K604" t="s">
        <v>160</v>
      </c>
      <c r="L604" s="3" t="s">
        <v>72</v>
      </c>
      <c r="M604" s="3" t="s">
        <v>186</v>
      </c>
      <c r="N604" t="s">
        <v>187</v>
      </c>
      <c r="O604" t="s">
        <v>173</v>
      </c>
      <c r="P604" t="s">
        <v>174</v>
      </c>
      <c r="Q604" s="3">
        <v>26255.82</v>
      </c>
      <c r="R604" s="3">
        <v>26153.95</v>
      </c>
      <c r="S604" s="3">
        <v>16148.22</v>
      </c>
      <c r="T604" s="3">
        <v>2999.39</v>
      </c>
      <c r="U604" s="3">
        <v>1385.35</v>
      </c>
      <c r="V604" s="3">
        <v>1540.78</v>
      </c>
      <c r="W604" s="3">
        <v>1176.48</v>
      </c>
      <c r="X604" s="3">
        <v>23250.22</v>
      </c>
      <c r="Y604" s="3">
        <v>10107.6</v>
      </c>
      <c r="Z604" s="3">
        <f t="shared" si="41"/>
        <v>3005.5999999999985</v>
      </c>
      <c r="AA604" s="37">
        <f t="shared" si="42"/>
        <v>0.11447366717169749</v>
      </c>
      <c r="AB604" s="3">
        <v>101.87</v>
      </c>
      <c r="AC604" s="3">
        <v>2625.58</v>
      </c>
      <c r="AD604" s="3">
        <v>4253.4399999999996</v>
      </c>
      <c r="AE604" s="3">
        <v>27883.68</v>
      </c>
      <c r="AF604" t="str">
        <f>IF(tbl_FinancialData[[#This Row],[City]]="","Unknown",PROPER(TRIM(tbl_FinancialData[[#This Row],[City]])))</f>
        <v>Surat</v>
      </c>
      <c r="AG604" t="str">
        <f>_xlfn.LET(_xlpm.city,LOWER(TRIM(tbl_FinancialData[[#This Row],[City]])),_xlpm.st,PROPER(TRIM(tbl_FinancialData[[#This Row],[State]])),IF(_xlpm.city="pune","Maharashtra",IF(_xlpm.city="jamshedpur","Jharkhand",IF(_xlpm.city="bhilai","Chhattisgarh",IF(_xlpm.city="mumbai","Maharashtra",_xlpm.st)))))</f>
        <v>Gujarat</v>
      </c>
      <c r="AH604" t="str">
        <f>_xlfn.LET(_xlpm.d,PROPER(TRIM(tbl_FinancialData[[#This Row],[Department]])),IF(_xlpm.d="It","IT",_xlpm.d))</f>
        <v>IT</v>
      </c>
      <c r="AI604" t="str">
        <f>_xlfn.LET(_xlpm.pid,tbl_FinancialData[[#This Row],[Product ID]],_xlpm.n,PROPER(TRIM(tbl_FinancialData[[#This Row],[Product Name]])),IF(_xlpm.pid="P020","Document Scanner",IF(_xlpm.pid="P015","Network Router",SUBSTITUTE(SUBSTITUTE(_xlpm.n,"Crm","CRM"),"Ups","UPS"))))</f>
        <v>Network Router</v>
      </c>
      <c r="AJ604" s="3" t="str">
        <f>UPPER(TRIM(tbl_FinancialData[[#This Row],[Cost Center]]))</f>
        <v>CC-1004</v>
      </c>
    </row>
    <row r="605" spans="1:36" x14ac:dyDescent="0.25">
      <c r="A605" s="3" t="s">
        <v>807</v>
      </c>
      <c r="B605" s="2">
        <v>46069</v>
      </c>
      <c r="C605" t="s">
        <v>57</v>
      </c>
      <c r="D605" s="3" t="str">
        <f t="shared" si="39"/>
        <v>Q4</v>
      </c>
      <c r="E605" s="3" t="str">
        <f t="shared" si="40"/>
        <v>FY2026</v>
      </c>
      <c r="F605" s="8" t="s">
        <v>59</v>
      </c>
      <c r="G605" s="3" t="s">
        <v>35</v>
      </c>
      <c r="H605" t="s">
        <v>139</v>
      </c>
      <c r="I605" t="s">
        <v>200</v>
      </c>
      <c r="J605" s="3" t="s">
        <v>70</v>
      </c>
      <c r="K605" t="s">
        <v>50</v>
      </c>
      <c r="L605" s="3" t="s">
        <v>81</v>
      </c>
      <c r="M605" s="3" t="s">
        <v>88</v>
      </c>
      <c r="N605" t="s">
        <v>89</v>
      </c>
      <c r="O605" t="s">
        <v>43</v>
      </c>
      <c r="P605" t="s">
        <v>90</v>
      </c>
      <c r="Q605" s="3">
        <v>67995.75</v>
      </c>
      <c r="R605" s="3">
        <v>76217.59</v>
      </c>
      <c r="S605" s="3">
        <v>45557.62</v>
      </c>
      <c r="T605" s="3">
        <v>4450.5</v>
      </c>
      <c r="U605" s="3">
        <v>4651.9399999999996</v>
      </c>
      <c r="V605" s="3">
        <v>3228.26</v>
      </c>
      <c r="W605" s="3">
        <v>1888.57</v>
      </c>
      <c r="X605" s="3">
        <v>59776.88</v>
      </c>
      <c r="Y605" s="3">
        <v>22438.13</v>
      </c>
      <c r="Z605" s="3">
        <f t="shared" si="41"/>
        <v>8218.8700000000026</v>
      </c>
      <c r="AA605" s="37">
        <f t="shared" si="42"/>
        <v>0.12087328987473486</v>
      </c>
      <c r="AB605" s="3">
        <v>-8221.83</v>
      </c>
      <c r="AC605" s="3">
        <v>0</v>
      </c>
      <c r="AD605" s="3">
        <v>8159.49</v>
      </c>
      <c r="AE605" s="3">
        <v>76155.240000000005</v>
      </c>
      <c r="AF605" t="str">
        <f>IF(tbl_FinancialData[[#This Row],[City]]="","Unknown",PROPER(TRIM(tbl_FinancialData[[#This Row],[City]])))</f>
        <v>Gurugram</v>
      </c>
      <c r="AG605" t="str">
        <f>_xlfn.LET(_xlpm.city,LOWER(TRIM(tbl_FinancialData[[#This Row],[City]])),_xlpm.st,PROPER(TRIM(tbl_FinancialData[[#This Row],[State]])),IF(_xlpm.city="pune","Maharashtra",IF(_xlpm.city="jamshedpur","Jharkhand",IF(_xlpm.city="bhilai","Chhattisgarh",IF(_xlpm.city="mumbai","Maharashtra",_xlpm.st)))))</f>
        <v>Haryana</v>
      </c>
      <c r="AH605" t="str">
        <f>_xlfn.LET(_xlpm.d,PROPER(TRIM(tbl_FinancialData[[#This Row],[Department]])),IF(_xlpm.d="It","IT",_xlpm.d))</f>
        <v>Sales</v>
      </c>
      <c r="AI605" t="str">
        <f>_xlfn.LET(_xlpm.pid,tbl_FinancialData[[#This Row],[Product ID]],_xlpm.n,PROPER(TRIM(tbl_FinancialData[[#This Row],[Product Name]])),IF(_xlpm.pid="P020","Document Scanner",IF(_xlpm.pid="P015","Network Router",SUBSTITUTE(SUBSTITUTE(_xlpm.n,"Crm","CRM"),"Ups","UPS"))))</f>
        <v>Printer</v>
      </c>
      <c r="AJ605" s="3" t="str">
        <f>UPPER(TRIM(tbl_FinancialData[[#This Row],[Cost Center]]))</f>
        <v>CC-1005</v>
      </c>
    </row>
    <row r="606" spans="1:36" x14ac:dyDescent="0.25">
      <c r="A606" s="3" t="s">
        <v>808</v>
      </c>
      <c r="B606" s="2">
        <v>45782</v>
      </c>
      <c r="C606" t="s">
        <v>65</v>
      </c>
      <c r="D606" s="3" t="str">
        <f t="shared" si="39"/>
        <v>Q1</v>
      </c>
      <c r="E606" s="3" t="str">
        <f t="shared" si="40"/>
        <v>FY2026</v>
      </c>
      <c r="F606" s="8" t="s">
        <v>67</v>
      </c>
      <c r="G606" s="3" t="s">
        <v>35</v>
      </c>
      <c r="H606" t="s">
        <v>217</v>
      </c>
      <c r="I606" t="s">
        <v>284</v>
      </c>
      <c r="J606" s="3" t="s">
        <v>80</v>
      </c>
      <c r="K606" t="s">
        <v>39</v>
      </c>
      <c r="L606" s="3" t="s">
        <v>94</v>
      </c>
      <c r="M606" s="3" t="s">
        <v>141</v>
      </c>
      <c r="N606" t="s">
        <v>142</v>
      </c>
      <c r="O606" t="s">
        <v>54</v>
      </c>
      <c r="P606" t="s">
        <v>143</v>
      </c>
      <c r="Q606" s="3">
        <v>8965.4699999999993</v>
      </c>
      <c r="R606" s="3">
        <v>9769.9599999999991</v>
      </c>
      <c r="S606" s="3">
        <v>6286.85</v>
      </c>
      <c r="T606" s="3">
        <v>716.07</v>
      </c>
      <c r="U606" s="3">
        <v>749.85</v>
      </c>
      <c r="V606" s="3">
        <v>1016.65</v>
      </c>
      <c r="W606" s="3">
        <v>381.69</v>
      </c>
      <c r="X606" s="3">
        <v>9151.1200000000008</v>
      </c>
      <c r="Y606" s="3">
        <v>2678.62</v>
      </c>
      <c r="Z606" s="3">
        <f t="shared" si="41"/>
        <v>-185.65000000000146</v>
      </c>
      <c r="AA606" s="37">
        <f t="shared" si="42"/>
        <v>-2.0707224495760006E-2</v>
      </c>
      <c r="AB606" s="3">
        <v>-804.49</v>
      </c>
      <c r="AC606" s="3">
        <v>179.31</v>
      </c>
      <c r="AD606" s="3">
        <v>1054.3399999999999</v>
      </c>
      <c r="AE606" s="3">
        <v>9840.5</v>
      </c>
      <c r="AF606" t="str">
        <f>IF(tbl_FinancialData[[#This Row],[City]]="","Unknown",PROPER(TRIM(tbl_FinancialData[[#This Row],[City]])))</f>
        <v>Patna</v>
      </c>
      <c r="AG606" t="str">
        <f>_xlfn.LET(_xlpm.city,LOWER(TRIM(tbl_FinancialData[[#This Row],[City]])),_xlpm.st,PROPER(TRIM(tbl_FinancialData[[#This Row],[State]])),IF(_xlpm.city="pune","Maharashtra",IF(_xlpm.city="jamshedpur","Jharkhand",IF(_xlpm.city="bhilai","Chhattisgarh",IF(_xlpm.city="mumbai","Maharashtra",_xlpm.st)))))</f>
        <v>Bihar</v>
      </c>
      <c r="AH606" t="str">
        <f>_xlfn.LET(_xlpm.d,PROPER(TRIM(tbl_FinancialData[[#This Row],[Department]])),IF(_xlpm.d="It","IT",_xlpm.d))</f>
        <v>Operations</v>
      </c>
      <c r="AI606" t="str">
        <f>_xlfn.LET(_xlpm.pid,tbl_FinancialData[[#This Row],[Product ID]],_xlpm.n,PROPER(TRIM(tbl_FinancialData[[#This Row],[Product Name]])),IF(_xlpm.pid="P020","Document Scanner",IF(_xlpm.pid="P015","Network Router",SUBSTITUTE(SUBSTITUTE(_xlpm.n,"Crm","CRM"),"Ups","UPS"))))</f>
        <v>Headset</v>
      </c>
      <c r="AJ606" s="3" t="str">
        <f>UPPER(TRIM(tbl_FinancialData[[#This Row],[Cost Center]]))</f>
        <v>CC-1001</v>
      </c>
    </row>
    <row r="607" spans="1:36" x14ac:dyDescent="0.25">
      <c r="A607" s="3" t="s">
        <v>809</v>
      </c>
      <c r="B607" s="2">
        <v>45783</v>
      </c>
      <c r="C607" t="s">
        <v>65</v>
      </c>
      <c r="D607" s="3" t="str">
        <f t="shared" si="39"/>
        <v>Q1</v>
      </c>
      <c r="E607" s="3" t="str">
        <f t="shared" si="40"/>
        <v>FY2026</v>
      </c>
      <c r="F607" s="8" t="s">
        <v>47</v>
      </c>
      <c r="G607" s="3" t="s">
        <v>35</v>
      </c>
      <c r="H607" t="s">
        <v>214</v>
      </c>
      <c r="I607" t="s">
        <v>220</v>
      </c>
      <c r="J607" s="3" t="s">
        <v>80</v>
      </c>
      <c r="K607" t="s">
        <v>71</v>
      </c>
      <c r="L607" s="3" t="s">
        <v>81</v>
      </c>
      <c r="M607" s="3" t="s">
        <v>102</v>
      </c>
      <c r="N607" t="s">
        <v>103</v>
      </c>
      <c r="O607" t="s">
        <v>104</v>
      </c>
      <c r="P607" t="s">
        <v>105</v>
      </c>
      <c r="Q607" s="3">
        <v>11788.79</v>
      </c>
      <c r="R607" s="3">
        <v>13142.1</v>
      </c>
      <c r="S607" s="3">
        <v>6946.86</v>
      </c>
      <c r="T607" s="3">
        <v>1247.8</v>
      </c>
      <c r="U607" s="3">
        <v>592</v>
      </c>
      <c r="V607" s="3">
        <v>622.37</v>
      </c>
      <c r="W607" s="3">
        <v>282.17</v>
      </c>
      <c r="X607" s="3">
        <v>9691.19</v>
      </c>
      <c r="Y607" s="3">
        <v>4841.9399999999996</v>
      </c>
      <c r="Z607" s="3">
        <f t="shared" si="41"/>
        <v>2097.6000000000004</v>
      </c>
      <c r="AA607" s="37">
        <f t="shared" si="42"/>
        <v>0.17793174702407968</v>
      </c>
      <c r="AB607" s="3">
        <v>-1353.3</v>
      </c>
      <c r="AC607" s="3">
        <v>589.44000000000005</v>
      </c>
      <c r="AD607" s="3">
        <v>2015.88</v>
      </c>
      <c r="AE607" s="3">
        <v>13215.24</v>
      </c>
      <c r="AF607" t="str">
        <f>IF(tbl_FinancialData[[#This Row],[City]]="","Unknown",PROPER(TRIM(tbl_FinancialData[[#This Row],[City]])))</f>
        <v>Mysuru</v>
      </c>
      <c r="AG607" t="str">
        <f>_xlfn.LET(_xlpm.city,LOWER(TRIM(tbl_FinancialData[[#This Row],[City]])),_xlpm.st,PROPER(TRIM(tbl_FinancialData[[#This Row],[State]])),IF(_xlpm.city="pune","Maharashtra",IF(_xlpm.city="jamshedpur","Jharkhand",IF(_xlpm.city="bhilai","Chhattisgarh",IF(_xlpm.city="mumbai","Maharashtra",_xlpm.st)))))</f>
        <v>Karnataka</v>
      </c>
      <c r="AH607" t="str">
        <f>_xlfn.LET(_xlpm.d,PROPER(TRIM(tbl_FinancialData[[#This Row],[Department]])),IF(_xlpm.d="It","IT",_xlpm.d))</f>
        <v>Marketing</v>
      </c>
      <c r="AI607" t="str">
        <f>_xlfn.LET(_xlpm.pid,tbl_FinancialData[[#This Row],[Product ID]],_xlpm.n,PROPER(TRIM(tbl_FinancialData[[#This Row],[Product Name]])),IF(_xlpm.pid="P020","Document Scanner",IF(_xlpm.pid="P015","Network Router",SUBSTITUTE(SUBSTITUTE(_xlpm.n,"Crm","CRM"),"Ups","UPS"))))</f>
        <v>Accounting Software</v>
      </c>
      <c r="AJ607" s="3" t="str">
        <f>UPPER(TRIM(tbl_FinancialData[[#This Row],[Cost Center]]))</f>
        <v>CC-1005</v>
      </c>
    </row>
    <row r="608" spans="1:36" x14ac:dyDescent="0.25">
      <c r="A608" s="3" t="s">
        <v>810</v>
      </c>
      <c r="B608" s="2">
        <v>46030</v>
      </c>
      <c r="C608" t="s">
        <v>77</v>
      </c>
      <c r="D608" s="3" t="str">
        <f t="shared" si="39"/>
        <v>Q4</v>
      </c>
      <c r="E608" s="3" t="str">
        <f t="shared" si="40"/>
        <v>FY2026</v>
      </c>
      <c r="F608" s="8" t="s">
        <v>67</v>
      </c>
      <c r="G608" s="3" t="s">
        <v>35</v>
      </c>
      <c r="H608" t="s">
        <v>68</v>
      </c>
      <c r="I608" t="s">
        <v>260</v>
      </c>
      <c r="J608" s="3" t="s">
        <v>70</v>
      </c>
      <c r="K608" t="s">
        <v>71</v>
      </c>
      <c r="L608" s="3" t="s">
        <v>72</v>
      </c>
      <c r="M608" s="3" t="s">
        <v>235</v>
      </c>
      <c r="N608" t="s">
        <v>236</v>
      </c>
      <c r="O608" t="s">
        <v>104</v>
      </c>
      <c r="P608" t="s">
        <v>237</v>
      </c>
      <c r="Q608" s="3">
        <v>25821.95</v>
      </c>
      <c r="R608" s="3">
        <v>26213.79</v>
      </c>
      <c r="S608" s="3">
        <v>14164.01</v>
      </c>
      <c r="T608" s="3">
        <v>1906.78</v>
      </c>
      <c r="U608" s="3">
        <v>1288.56</v>
      </c>
      <c r="V608" s="3">
        <v>2758.96</v>
      </c>
      <c r="W608" s="3">
        <v>1132.3599999999999</v>
      </c>
      <c r="X608" s="3">
        <v>21250.67</v>
      </c>
      <c r="Y608" s="3">
        <v>11657.94</v>
      </c>
      <c r="Z608" s="3">
        <f t="shared" si="41"/>
        <v>4571.2800000000025</v>
      </c>
      <c r="AA608" s="37">
        <f t="shared" si="42"/>
        <v>0.17703078195101463</v>
      </c>
      <c r="AB608" s="3">
        <v>-391.84</v>
      </c>
      <c r="AC608" s="3">
        <v>774.66</v>
      </c>
      <c r="AD608" s="3">
        <v>3005.67</v>
      </c>
      <c r="AE608" s="3">
        <v>28052.959999999999</v>
      </c>
      <c r="AF608" t="str">
        <f>IF(tbl_FinancialData[[#This Row],[City]]="","Unknown",PROPER(TRIM(tbl_FinancialData[[#This Row],[City]])))</f>
        <v>Rourkela</v>
      </c>
      <c r="AG608" t="str">
        <f>_xlfn.LET(_xlpm.city,LOWER(TRIM(tbl_FinancialData[[#This Row],[City]])),_xlpm.st,PROPER(TRIM(tbl_FinancialData[[#This Row],[State]])),IF(_xlpm.city="pune","Maharashtra",IF(_xlpm.city="jamshedpur","Jharkhand",IF(_xlpm.city="bhilai","Chhattisgarh",IF(_xlpm.city="mumbai","Maharashtra",_xlpm.st)))))</f>
        <v>Odisha</v>
      </c>
      <c r="AH608" t="str">
        <f>_xlfn.LET(_xlpm.d,PROPER(TRIM(tbl_FinancialData[[#This Row],[Department]])),IF(_xlpm.d="It","IT",_xlpm.d))</f>
        <v>Marketing</v>
      </c>
      <c r="AI608" t="str">
        <f>_xlfn.LET(_xlpm.pid,tbl_FinancialData[[#This Row],[Product ID]],_xlpm.n,PROPER(TRIM(tbl_FinancialData[[#This Row],[Product Name]])),IF(_xlpm.pid="P020","Document Scanner",IF(_xlpm.pid="P015","Network Router",SUBSTITUTE(SUBSTITUTE(_xlpm.n,"Crm","CRM"),"Ups","UPS"))))</f>
        <v>Data Storage</v>
      </c>
      <c r="AJ608" s="3" t="str">
        <f>UPPER(TRIM(tbl_FinancialData[[#This Row],[Cost Center]]))</f>
        <v>CC-1004</v>
      </c>
    </row>
    <row r="609" spans="1:36" x14ac:dyDescent="0.25">
      <c r="A609" s="3" t="s">
        <v>811</v>
      </c>
      <c r="B609" s="2">
        <v>46053</v>
      </c>
      <c r="C609" t="s">
        <v>77</v>
      </c>
      <c r="D609" s="3" t="str">
        <f t="shared" si="39"/>
        <v>Q4</v>
      </c>
      <c r="E609" s="3" t="str">
        <f t="shared" si="40"/>
        <v>FY2026</v>
      </c>
      <c r="F609" s="8" t="s">
        <v>34</v>
      </c>
      <c r="G609" s="3" t="s">
        <v>35</v>
      </c>
      <c r="H609" t="s">
        <v>157</v>
      </c>
      <c r="I609" t="s">
        <v>166</v>
      </c>
      <c r="J609" s="3" t="s">
        <v>70</v>
      </c>
      <c r="K609" t="s">
        <v>50</v>
      </c>
      <c r="L609" s="3" t="s">
        <v>72</v>
      </c>
      <c r="M609" s="3" t="s">
        <v>41</v>
      </c>
      <c r="N609" t="s">
        <v>42</v>
      </c>
      <c r="O609" t="s">
        <v>43</v>
      </c>
      <c r="P609" t="s">
        <v>44</v>
      </c>
      <c r="Q609" s="3">
        <v>53127.35</v>
      </c>
      <c r="R609" s="3">
        <v>59195.55</v>
      </c>
      <c r="S609" s="3">
        <v>28242.560000000001</v>
      </c>
      <c r="T609" s="3">
        <v>5697.95</v>
      </c>
      <c r="U609" s="3">
        <v>4090.99</v>
      </c>
      <c r="V609" s="3">
        <v>3596.12</v>
      </c>
      <c r="W609" s="3">
        <v>852.23</v>
      </c>
      <c r="X609" s="3">
        <v>42479.86</v>
      </c>
      <c r="Y609" s="3">
        <v>24884.79</v>
      </c>
      <c r="Z609" s="3">
        <f t="shared" si="41"/>
        <v>10647.489999999998</v>
      </c>
      <c r="AA609" s="37">
        <f t="shared" si="42"/>
        <v>0.20041447578318886</v>
      </c>
      <c r="AB609" s="3">
        <v>-6068.2</v>
      </c>
      <c r="AC609" s="3">
        <v>0</v>
      </c>
      <c r="AD609" s="3">
        <v>6375.28</v>
      </c>
      <c r="AE609" s="3">
        <v>59502.64</v>
      </c>
      <c r="AF609" t="str">
        <f>IF(tbl_FinancialData[[#This Row],[City]]="","Unknown",PROPER(TRIM(tbl_FinancialData[[#This Row],[City]])))</f>
        <v>Vadodara</v>
      </c>
      <c r="AG609" t="str">
        <f>_xlfn.LET(_xlpm.city,LOWER(TRIM(tbl_FinancialData[[#This Row],[City]])),_xlpm.st,PROPER(TRIM(tbl_FinancialData[[#This Row],[State]])),IF(_xlpm.city="pune","Maharashtra",IF(_xlpm.city="jamshedpur","Jharkhand",IF(_xlpm.city="bhilai","Chhattisgarh",IF(_xlpm.city="mumbai","Maharashtra",_xlpm.st)))))</f>
        <v>Gujarat</v>
      </c>
      <c r="AH609" t="str">
        <f>_xlfn.LET(_xlpm.d,PROPER(TRIM(tbl_FinancialData[[#This Row],[Department]])),IF(_xlpm.d="It","IT",_xlpm.d))</f>
        <v>Sales</v>
      </c>
      <c r="AI609" t="str">
        <f>_xlfn.LET(_xlpm.pid,tbl_FinancialData[[#This Row],[Product ID]],_xlpm.n,PROPER(TRIM(tbl_FinancialData[[#This Row],[Product Name]])),IF(_xlpm.pid="P020","Document Scanner",IF(_xlpm.pid="P015","Network Router",SUBSTITUTE(SUBSTITUTE(_xlpm.n,"Crm","CRM"),"Ups","UPS"))))</f>
        <v>Conference Camera</v>
      </c>
      <c r="AJ609" s="3" t="str">
        <f>UPPER(TRIM(tbl_FinancialData[[#This Row],[Cost Center]]))</f>
        <v>CC-1004</v>
      </c>
    </row>
    <row r="610" spans="1:36" x14ac:dyDescent="0.25">
      <c r="A610" s="3" t="s">
        <v>812</v>
      </c>
      <c r="B610" s="2">
        <v>45757</v>
      </c>
      <c r="C610" t="s">
        <v>128</v>
      </c>
      <c r="D610" s="3" t="str">
        <f t="shared" si="39"/>
        <v>Q1</v>
      </c>
      <c r="E610" s="3" t="str">
        <f t="shared" si="40"/>
        <v>FY2026</v>
      </c>
      <c r="F610" s="8" t="s">
        <v>67</v>
      </c>
      <c r="G610" s="3" t="s">
        <v>35</v>
      </c>
      <c r="H610" t="s">
        <v>68</v>
      </c>
      <c r="I610" t="s">
        <v>204</v>
      </c>
      <c r="J610" s="3" t="s">
        <v>100</v>
      </c>
      <c r="K610" t="s">
        <v>71</v>
      </c>
      <c r="L610" s="3" t="s">
        <v>40</v>
      </c>
      <c r="M610" s="3" t="s">
        <v>189</v>
      </c>
      <c r="N610" t="s">
        <v>190</v>
      </c>
      <c r="O610" t="s">
        <v>104</v>
      </c>
      <c r="P610" t="s">
        <v>105</v>
      </c>
      <c r="Q610" s="3">
        <v>12180.15</v>
      </c>
      <c r="R610" s="3">
        <v>13400.22</v>
      </c>
      <c r="S610" s="3">
        <v>6061.57</v>
      </c>
      <c r="T610" s="3">
        <v>1222.02</v>
      </c>
      <c r="U610" s="3">
        <v>932.34</v>
      </c>
      <c r="V610" s="3">
        <v>616.46</v>
      </c>
      <c r="W610" s="3">
        <v>342.9</v>
      </c>
      <c r="X610" s="3">
        <v>9175.2900000000009</v>
      </c>
      <c r="Y610" s="3">
        <v>6118.58</v>
      </c>
      <c r="Z610" s="3">
        <f t="shared" si="41"/>
        <v>3004.8599999999988</v>
      </c>
      <c r="AA610" s="37">
        <f t="shared" si="42"/>
        <v>0.24670139530301341</v>
      </c>
      <c r="AB610" s="3">
        <v>-1220.07</v>
      </c>
      <c r="AC610" s="3">
        <v>609.01</v>
      </c>
      <c r="AD610" s="3">
        <v>1388.54</v>
      </c>
      <c r="AE610" s="3">
        <v>12959.68</v>
      </c>
      <c r="AF610" t="str">
        <f>IF(tbl_FinancialData[[#This Row],[City]]="","Unknown",PROPER(TRIM(tbl_FinancialData[[#This Row],[City]])))</f>
        <v>Cuttack</v>
      </c>
      <c r="AG610" t="str">
        <f>_xlfn.LET(_xlpm.city,LOWER(TRIM(tbl_FinancialData[[#This Row],[City]])),_xlpm.st,PROPER(TRIM(tbl_FinancialData[[#This Row],[State]])),IF(_xlpm.city="pune","Maharashtra",IF(_xlpm.city="jamshedpur","Jharkhand",IF(_xlpm.city="bhilai","Chhattisgarh",IF(_xlpm.city="mumbai","Maharashtra",_xlpm.st)))))</f>
        <v>Odisha</v>
      </c>
      <c r="AH610" t="str">
        <f>_xlfn.LET(_xlpm.d,PROPER(TRIM(tbl_FinancialData[[#This Row],[Department]])),IF(_xlpm.d="It","IT",_xlpm.d))</f>
        <v>Marketing</v>
      </c>
      <c r="AI610" t="str">
        <f>_xlfn.LET(_xlpm.pid,tbl_FinancialData[[#This Row],[Product ID]],_xlpm.n,PROPER(TRIM(tbl_FinancialData[[#This Row],[Product Name]])),IF(_xlpm.pid="P020","Document Scanner",IF(_xlpm.pid="P015","Network Router",SUBSTITUTE(SUBSTITUTE(_xlpm.n,"Crm","CRM"),"Ups","UPS"))))</f>
        <v>CRM Software</v>
      </c>
      <c r="AJ610" s="3" t="str">
        <f>UPPER(TRIM(tbl_FinancialData[[#This Row],[Cost Center]]))</f>
        <v>CC-1002</v>
      </c>
    </row>
    <row r="611" spans="1:36" x14ac:dyDescent="0.25">
      <c r="A611" s="3" t="s">
        <v>813</v>
      </c>
      <c r="B611" s="2">
        <v>45944</v>
      </c>
      <c r="C611" t="s">
        <v>92</v>
      </c>
      <c r="D611" s="3" t="str">
        <f t="shared" si="39"/>
        <v>Q3</v>
      </c>
      <c r="E611" s="3" t="str">
        <f t="shared" si="40"/>
        <v>FY2026</v>
      </c>
      <c r="F611" s="8" t="s">
        <v>85</v>
      </c>
      <c r="G611" s="3" t="s">
        <v>35</v>
      </c>
      <c r="H611" t="s">
        <v>86</v>
      </c>
      <c r="I611" t="s">
        <v>87</v>
      </c>
      <c r="J611" s="3" t="s">
        <v>100</v>
      </c>
      <c r="K611" t="s">
        <v>50</v>
      </c>
      <c r="L611" s="3" t="s">
        <v>72</v>
      </c>
      <c r="M611" s="3" t="s">
        <v>102</v>
      </c>
      <c r="N611" t="s">
        <v>103</v>
      </c>
      <c r="O611" t="s">
        <v>104</v>
      </c>
      <c r="P611" t="s">
        <v>105</v>
      </c>
      <c r="Q611" s="3">
        <v>14021.36</v>
      </c>
      <c r="R611" s="3">
        <v>13657.82</v>
      </c>
      <c r="S611" s="3">
        <v>9552.6</v>
      </c>
      <c r="T611" s="3">
        <v>1181.79</v>
      </c>
      <c r="U611" s="3">
        <v>1012.74</v>
      </c>
      <c r="V611" s="3">
        <v>1132.99</v>
      </c>
      <c r="W611" s="3">
        <v>445.44</v>
      </c>
      <c r="X611" s="3">
        <v>13325.56</v>
      </c>
      <c r="Y611" s="3">
        <v>4468.76</v>
      </c>
      <c r="Z611" s="3">
        <f t="shared" si="41"/>
        <v>695.80000000000109</v>
      </c>
      <c r="AA611" s="37">
        <f t="shared" si="42"/>
        <v>4.9624287515619106E-2</v>
      </c>
      <c r="AB611" s="3">
        <v>363.54</v>
      </c>
      <c r="AC611" s="3">
        <v>420.64</v>
      </c>
      <c r="AD611" s="3">
        <v>2448.13</v>
      </c>
      <c r="AE611" s="3">
        <v>16048.85</v>
      </c>
      <c r="AF611" t="str">
        <f>IF(tbl_FinancialData[[#This Row],[City]]="","Unknown",PROPER(TRIM(tbl_FinancialData[[#This Row],[City]])))</f>
        <v>Indore</v>
      </c>
      <c r="AG611" t="str">
        <f>_xlfn.LET(_xlpm.city,LOWER(TRIM(tbl_FinancialData[[#This Row],[City]])),_xlpm.st,PROPER(TRIM(tbl_FinancialData[[#This Row],[State]])),IF(_xlpm.city="pune","Maharashtra",IF(_xlpm.city="jamshedpur","Jharkhand",IF(_xlpm.city="bhilai","Chhattisgarh",IF(_xlpm.city="mumbai","Maharashtra",_xlpm.st)))))</f>
        <v>Madhya Pradesh</v>
      </c>
      <c r="AH611" t="str">
        <f>_xlfn.LET(_xlpm.d,PROPER(TRIM(tbl_FinancialData[[#This Row],[Department]])),IF(_xlpm.d="It","IT",_xlpm.d))</f>
        <v>Sales</v>
      </c>
      <c r="AI611" t="str">
        <f>_xlfn.LET(_xlpm.pid,tbl_FinancialData[[#This Row],[Product ID]],_xlpm.n,PROPER(TRIM(tbl_FinancialData[[#This Row],[Product Name]])),IF(_xlpm.pid="P020","Document Scanner",IF(_xlpm.pid="P015","Network Router",SUBSTITUTE(SUBSTITUTE(_xlpm.n,"Crm","CRM"),"Ups","UPS"))))</f>
        <v>Accounting Software</v>
      </c>
      <c r="AJ611" s="3" t="str">
        <f>UPPER(TRIM(tbl_FinancialData[[#This Row],[Cost Center]]))</f>
        <v>CC-1004</v>
      </c>
    </row>
    <row r="612" spans="1:36" x14ac:dyDescent="0.25">
      <c r="A612" s="3" t="s">
        <v>814</v>
      </c>
      <c r="B612" s="2">
        <v>45785</v>
      </c>
      <c r="C612" t="s">
        <v>65</v>
      </c>
      <c r="D612" s="3" t="str">
        <f t="shared" si="39"/>
        <v>Q1</v>
      </c>
      <c r="E612" s="3" t="str">
        <f t="shared" si="40"/>
        <v>FY2026</v>
      </c>
      <c r="F612" s="8" t="s">
        <v>59</v>
      </c>
      <c r="G612" s="3" t="s">
        <v>35</v>
      </c>
      <c r="H612" t="s">
        <v>60</v>
      </c>
      <c r="I612" t="s">
        <v>108</v>
      </c>
      <c r="J612" s="3" t="s">
        <v>80</v>
      </c>
      <c r="K612" t="s">
        <v>71</v>
      </c>
      <c r="L612" s="3" t="s">
        <v>40</v>
      </c>
      <c r="M612" s="3" t="s">
        <v>235</v>
      </c>
      <c r="N612" t="s">
        <v>236</v>
      </c>
      <c r="O612" t="s">
        <v>104</v>
      </c>
      <c r="P612" t="s">
        <v>237</v>
      </c>
      <c r="Q612" s="3">
        <v>9302.89</v>
      </c>
      <c r="R612" s="3">
        <v>10789.8</v>
      </c>
      <c r="S612" s="3">
        <v>5236.07</v>
      </c>
      <c r="T612" s="3">
        <v>544.39</v>
      </c>
      <c r="U612" s="3">
        <v>529.99</v>
      </c>
      <c r="V612" s="3">
        <v>944.03</v>
      </c>
      <c r="W612" s="3">
        <v>165.2</v>
      </c>
      <c r="X612" s="3">
        <v>7419.68</v>
      </c>
      <c r="Y612" s="3">
        <v>4066.82</v>
      </c>
      <c r="Z612" s="3">
        <f t="shared" si="41"/>
        <v>1883.2099999999991</v>
      </c>
      <c r="AA612" s="37">
        <f t="shared" si="42"/>
        <v>0.20243279239032164</v>
      </c>
      <c r="AB612" s="3">
        <v>-1486.92</v>
      </c>
      <c r="AC612" s="3">
        <v>186.06</v>
      </c>
      <c r="AD612" s="3">
        <v>455.84</v>
      </c>
      <c r="AE612" s="3">
        <v>9572.67</v>
      </c>
      <c r="AF612" t="str">
        <f>IF(tbl_FinancialData[[#This Row],[City]]="","Unknown",PROPER(TRIM(tbl_FinancialData[[#This Row],[City]])))</f>
        <v>Agra</v>
      </c>
      <c r="AG612" t="str">
        <f>_xlfn.LET(_xlpm.city,LOWER(TRIM(tbl_FinancialData[[#This Row],[City]])),_xlpm.st,PROPER(TRIM(tbl_FinancialData[[#This Row],[State]])),IF(_xlpm.city="pune","Maharashtra",IF(_xlpm.city="jamshedpur","Jharkhand",IF(_xlpm.city="bhilai","Chhattisgarh",IF(_xlpm.city="mumbai","Maharashtra",_xlpm.st)))))</f>
        <v>Uttar Pradesh</v>
      </c>
      <c r="AH612" t="str">
        <f>_xlfn.LET(_xlpm.d,PROPER(TRIM(tbl_FinancialData[[#This Row],[Department]])),IF(_xlpm.d="It","IT",_xlpm.d))</f>
        <v>Marketing</v>
      </c>
      <c r="AI612" t="str">
        <f>_xlfn.LET(_xlpm.pid,tbl_FinancialData[[#This Row],[Product ID]],_xlpm.n,PROPER(TRIM(tbl_FinancialData[[#This Row],[Product Name]])),IF(_xlpm.pid="P020","Document Scanner",IF(_xlpm.pid="P015","Network Router",SUBSTITUTE(SUBSTITUTE(_xlpm.n,"Crm","CRM"),"Ups","UPS"))))</f>
        <v>Data Storage</v>
      </c>
      <c r="AJ612" s="3" t="str">
        <f>UPPER(TRIM(tbl_FinancialData[[#This Row],[Cost Center]]))</f>
        <v>CC-1002</v>
      </c>
    </row>
    <row r="613" spans="1:36" x14ac:dyDescent="0.25">
      <c r="A613" s="3" t="s">
        <v>815</v>
      </c>
      <c r="B613" s="2">
        <v>46004</v>
      </c>
      <c r="C613" t="s">
        <v>107</v>
      </c>
      <c r="D613" s="3" t="str">
        <f t="shared" si="39"/>
        <v>Q3</v>
      </c>
      <c r="E613" s="3" t="str">
        <f t="shared" si="40"/>
        <v>FY2026</v>
      </c>
      <c r="F613" s="8" t="s">
        <v>59</v>
      </c>
      <c r="G613" s="3" t="s">
        <v>35</v>
      </c>
      <c r="H613" t="s">
        <v>254</v>
      </c>
      <c r="I613" t="s">
        <v>314</v>
      </c>
      <c r="J613" s="3" t="s">
        <v>80</v>
      </c>
      <c r="K613" t="s">
        <v>160</v>
      </c>
      <c r="L613" s="3" t="s">
        <v>94</v>
      </c>
      <c r="M613" s="3" t="s">
        <v>102</v>
      </c>
      <c r="N613" t="s">
        <v>103</v>
      </c>
      <c r="O613" t="s">
        <v>104</v>
      </c>
      <c r="P613" t="s">
        <v>105</v>
      </c>
      <c r="Q613" s="3">
        <v>23921.45</v>
      </c>
      <c r="R613" s="3">
        <v>23601.42</v>
      </c>
      <c r="S613" s="3">
        <v>16192.89</v>
      </c>
      <c r="T613" s="3">
        <v>1281.6300000000001</v>
      </c>
      <c r="U613" s="3">
        <v>1772.65</v>
      </c>
      <c r="V613" s="3">
        <v>1467.96</v>
      </c>
      <c r="W613" s="3">
        <v>638.45000000000005</v>
      </c>
      <c r="X613" s="3">
        <v>21353.58</v>
      </c>
      <c r="Y613" s="3">
        <v>7728.56</v>
      </c>
      <c r="Z613" s="3">
        <f t="shared" si="41"/>
        <v>2567.869999999999</v>
      </c>
      <c r="AA613" s="37">
        <f t="shared" si="42"/>
        <v>0.10734591757606662</v>
      </c>
      <c r="AB613" s="3">
        <v>320.02999999999997</v>
      </c>
      <c r="AC613" s="3">
        <v>1913.72</v>
      </c>
      <c r="AD613" s="3">
        <v>2640.93</v>
      </c>
      <c r="AE613" s="3">
        <v>24648.67</v>
      </c>
      <c r="AF613" t="str">
        <f>IF(tbl_FinancialData[[#This Row],[City]]="","Unknown",PROPER(TRIM(tbl_FinancialData[[#This Row],[City]])))</f>
        <v>New Delhi</v>
      </c>
      <c r="AG613" t="str">
        <f>_xlfn.LET(_xlpm.city,LOWER(TRIM(tbl_FinancialData[[#This Row],[City]])),_xlpm.st,PROPER(TRIM(tbl_FinancialData[[#This Row],[State]])),IF(_xlpm.city="pune","Maharashtra",IF(_xlpm.city="jamshedpur","Jharkhand",IF(_xlpm.city="bhilai","Chhattisgarh",IF(_xlpm.city="mumbai","Maharashtra",_xlpm.st)))))</f>
        <v>Delhi</v>
      </c>
      <c r="AH613" t="str">
        <f>_xlfn.LET(_xlpm.d,PROPER(TRIM(tbl_FinancialData[[#This Row],[Department]])),IF(_xlpm.d="It","IT",_xlpm.d))</f>
        <v>IT</v>
      </c>
      <c r="AI613" t="str">
        <f>_xlfn.LET(_xlpm.pid,tbl_FinancialData[[#This Row],[Product ID]],_xlpm.n,PROPER(TRIM(tbl_FinancialData[[#This Row],[Product Name]])),IF(_xlpm.pid="P020","Document Scanner",IF(_xlpm.pid="P015","Network Router",SUBSTITUTE(SUBSTITUTE(_xlpm.n,"Crm","CRM"),"Ups","UPS"))))</f>
        <v>Accounting Software</v>
      </c>
      <c r="AJ613" s="3" t="str">
        <f>UPPER(TRIM(tbl_FinancialData[[#This Row],[Cost Center]]))</f>
        <v>CC-1001</v>
      </c>
    </row>
    <row r="614" spans="1:36" x14ac:dyDescent="0.25">
      <c r="A614" s="3" t="s">
        <v>816</v>
      </c>
      <c r="B614" s="2">
        <v>45864</v>
      </c>
      <c r="C614" t="s">
        <v>32</v>
      </c>
      <c r="D614" s="3" t="str">
        <f t="shared" si="39"/>
        <v>Q2</v>
      </c>
      <c r="E614" s="3" t="str">
        <f t="shared" si="40"/>
        <v>FY2026</v>
      </c>
      <c r="F614" s="8" t="s">
        <v>67</v>
      </c>
      <c r="G614" s="3" t="s">
        <v>35</v>
      </c>
      <c r="H614" t="s">
        <v>217</v>
      </c>
      <c r="I614" t="s">
        <v>241</v>
      </c>
      <c r="J614" s="3" t="s">
        <v>70</v>
      </c>
      <c r="K614" t="s">
        <v>39</v>
      </c>
      <c r="L614" s="3" t="s">
        <v>72</v>
      </c>
      <c r="M614" s="3" t="s">
        <v>211</v>
      </c>
      <c r="N614" t="s">
        <v>212</v>
      </c>
      <c r="O614" t="s">
        <v>112</v>
      </c>
      <c r="P614" t="s">
        <v>113</v>
      </c>
      <c r="Q614" s="3">
        <v>15805.61</v>
      </c>
      <c r="R614" s="3">
        <v>17207.439999999999</v>
      </c>
      <c r="S614" s="3">
        <v>11144.42</v>
      </c>
      <c r="T614" s="3">
        <v>1476.07</v>
      </c>
      <c r="U614" s="3">
        <v>1184.57</v>
      </c>
      <c r="V614" s="3">
        <v>745.02</v>
      </c>
      <c r="W614" s="3">
        <v>274.87</v>
      </c>
      <c r="X614" s="3">
        <v>14824.94</v>
      </c>
      <c r="Y614" s="3">
        <v>4661.1899999999996</v>
      </c>
      <c r="Z614" s="3">
        <f t="shared" si="41"/>
        <v>980.67000000000007</v>
      </c>
      <c r="AA614" s="37">
        <f t="shared" si="42"/>
        <v>6.2045691371607932E-2</v>
      </c>
      <c r="AB614" s="3">
        <v>-1401.83</v>
      </c>
      <c r="AC614" s="3">
        <v>474.17</v>
      </c>
      <c r="AD614" s="3">
        <v>766.57</v>
      </c>
      <c r="AE614" s="3">
        <v>16098.01</v>
      </c>
      <c r="AF614" t="str">
        <f>IF(tbl_FinancialData[[#This Row],[City]]="","Unknown",PROPER(TRIM(tbl_FinancialData[[#This Row],[City]])))</f>
        <v>Muzaffarpur</v>
      </c>
      <c r="AG614" t="str">
        <f>_xlfn.LET(_xlpm.city,LOWER(TRIM(tbl_FinancialData[[#This Row],[City]])),_xlpm.st,PROPER(TRIM(tbl_FinancialData[[#This Row],[State]])),IF(_xlpm.city="pune","Maharashtra",IF(_xlpm.city="jamshedpur","Jharkhand",IF(_xlpm.city="bhilai","Chhattisgarh",IF(_xlpm.city="mumbai","Maharashtra",_xlpm.st)))))</f>
        <v>Bihar</v>
      </c>
      <c r="AH614" t="str">
        <f>_xlfn.LET(_xlpm.d,PROPER(TRIM(tbl_FinancialData[[#This Row],[Department]])),IF(_xlpm.d="It","IT",_xlpm.d))</f>
        <v>Operations</v>
      </c>
      <c r="AI614" t="str">
        <f>_xlfn.LET(_xlpm.pid,tbl_FinancialData[[#This Row],[Product ID]],_xlpm.n,PROPER(TRIM(tbl_FinancialData[[#This Row],[Product Name]])),IF(_xlpm.pid="P020","Document Scanner",IF(_xlpm.pid="P015","Network Router",SUBSTITUTE(SUBSTITUTE(_xlpm.n,"Crm","CRM"),"Ups","UPS"))))</f>
        <v>Office Chair</v>
      </c>
      <c r="AJ614" s="3" t="str">
        <f>UPPER(TRIM(tbl_FinancialData[[#This Row],[Cost Center]]))</f>
        <v>CC-1004</v>
      </c>
    </row>
    <row r="615" spans="1:36" x14ac:dyDescent="0.25">
      <c r="A615" s="3" t="s">
        <v>817</v>
      </c>
      <c r="B615" s="2">
        <v>45884</v>
      </c>
      <c r="C615" t="s">
        <v>117</v>
      </c>
      <c r="D615" s="3" t="str">
        <f t="shared" si="39"/>
        <v>Q2</v>
      </c>
      <c r="E615" s="3" t="str">
        <f t="shared" si="40"/>
        <v>FY2026</v>
      </c>
      <c r="F615" s="8" t="s">
        <v>34</v>
      </c>
      <c r="G615" s="3" t="s">
        <v>35</v>
      </c>
      <c r="H615" t="s">
        <v>134</v>
      </c>
      <c r="I615" t="s">
        <v>135</v>
      </c>
      <c r="J615" s="3" t="s">
        <v>38</v>
      </c>
      <c r="K615" t="s">
        <v>50</v>
      </c>
      <c r="L615" s="3" t="s">
        <v>72</v>
      </c>
      <c r="M615" s="3" t="s">
        <v>197</v>
      </c>
      <c r="N615" t="s">
        <v>198</v>
      </c>
      <c r="O615" t="s">
        <v>43</v>
      </c>
      <c r="P615" t="s">
        <v>163</v>
      </c>
      <c r="Q615" s="3">
        <v>77106.16</v>
      </c>
      <c r="R615" s="3">
        <v>75427.73</v>
      </c>
      <c r="S615" s="3">
        <v>39524.6</v>
      </c>
      <c r="T615" s="3">
        <v>5316.78</v>
      </c>
      <c r="U615" s="3">
        <v>5817.75</v>
      </c>
      <c r="V615" s="3">
        <v>9076.84</v>
      </c>
      <c r="W615" s="3">
        <v>2029.73</v>
      </c>
      <c r="X615" s="3">
        <v>61765.7</v>
      </c>
      <c r="Y615" s="3">
        <v>37581.56</v>
      </c>
      <c r="Z615" s="3">
        <f t="shared" si="41"/>
        <v>15340.460000000006</v>
      </c>
      <c r="AA615" s="37">
        <f t="shared" si="42"/>
        <v>0.1989524572355828</v>
      </c>
      <c r="AB615" s="3">
        <v>1678.43</v>
      </c>
      <c r="AC615" s="3">
        <v>1542.12</v>
      </c>
      <c r="AD615" s="3">
        <v>9067.68</v>
      </c>
      <c r="AE615" s="3">
        <v>84631.72</v>
      </c>
      <c r="AF615" t="str">
        <f>IF(tbl_FinancialData[[#This Row],[City]]="","Unknown",PROPER(TRIM(tbl_FinancialData[[#This Row],[City]])))</f>
        <v>Jodhpur</v>
      </c>
      <c r="AG615" t="str">
        <f>_xlfn.LET(_xlpm.city,LOWER(TRIM(tbl_FinancialData[[#This Row],[City]])),_xlpm.st,PROPER(TRIM(tbl_FinancialData[[#This Row],[State]])),IF(_xlpm.city="pune","Maharashtra",IF(_xlpm.city="jamshedpur","Jharkhand",IF(_xlpm.city="bhilai","Chhattisgarh",IF(_xlpm.city="mumbai","Maharashtra",_xlpm.st)))))</f>
        <v>Rajasthan</v>
      </c>
      <c r="AH615" t="str">
        <f>_xlfn.LET(_xlpm.d,PROPER(TRIM(tbl_FinancialData[[#This Row],[Department]])),IF(_xlpm.d="It","IT",_xlpm.d))</f>
        <v>Sales</v>
      </c>
      <c r="AI615" t="str">
        <f>_xlfn.LET(_xlpm.pid,tbl_FinancialData[[#This Row],[Product ID]],_xlpm.n,PROPER(TRIM(tbl_FinancialData[[#This Row],[Product Name]])),IF(_xlpm.pid="P020","Document Scanner",IF(_xlpm.pid="P015","Network Router",SUBSTITUTE(SUBSTITUTE(_xlpm.n,"Crm","CRM"),"Ups","UPS"))))</f>
        <v>Smartphone</v>
      </c>
      <c r="AJ615" s="3" t="str">
        <f>UPPER(TRIM(tbl_FinancialData[[#This Row],[Cost Center]]))</f>
        <v>CC-1004</v>
      </c>
    </row>
    <row r="616" spans="1:36" x14ac:dyDescent="0.25">
      <c r="A616" s="3" t="s">
        <v>818</v>
      </c>
      <c r="B616" s="2">
        <v>45882</v>
      </c>
      <c r="C616" t="s">
        <v>117</v>
      </c>
      <c r="D616" s="3" t="str">
        <f t="shared" si="39"/>
        <v>Q2</v>
      </c>
      <c r="E616" s="3" t="str">
        <f t="shared" si="40"/>
        <v>FY2026</v>
      </c>
      <c r="F616" s="8" t="s">
        <v>34</v>
      </c>
      <c r="G616" s="3" t="s">
        <v>35</v>
      </c>
      <c r="H616" t="s">
        <v>134</v>
      </c>
      <c r="I616" t="s">
        <v>135</v>
      </c>
      <c r="J616" s="3" t="s">
        <v>70</v>
      </c>
      <c r="K616" t="s">
        <v>50</v>
      </c>
      <c r="L616" s="3" t="s">
        <v>40</v>
      </c>
      <c r="M616" s="3" t="s">
        <v>141</v>
      </c>
      <c r="N616" t="s">
        <v>142</v>
      </c>
      <c r="O616" t="s">
        <v>54</v>
      </c>
      <c r="P616" t="s">
        <v>143</v>
      </c>
      <c r="Q616" s="3">
        <v>1712.22</v>
      </c>
      <c r="R616" s="3">
        <v>1957.65</v>
      </c>
      <c r="S616" s="3">
        <v>1136.18</v>
      </c>
      <c r="T616" s="3">
        <v>88.65</v>
      </c>
      <c r="U616" s="3">
        <v>98.64</v>
      </c>
      <c r="V616" s="3">
        <v>106.11</v>
      </c>
      <c r="W616" s="3">
        <v>55.99</v>
      </c>
      <c r="X616" s="3">
        <v>1485.58</v>
      </c>
      <c r="Y616" s="3">
        <v>576.04</v>
      </c>
      <c r="Z616" s="3">
        <f t="shared" si="41"/>
        <v>226.6400000000001</v>
      </c>
      <c r="AA616" s="37">
        <f t="shared" si="42"/>
        <v>0.132366167898985</v>
      </c>
      <c r="AB616" s="3">
        <v>-245.43</v>
      </c>
      <c r="AC616" s="3">
        <v>85.61</v>
      </c>
      <c r="AD616" s="3">
        <v>292.79000000000002</v>
      </c>
      <c r="AE616" s="3">
        <v>1919.4</v>
      </c>
      <c r="AF616" t="str">
        <f>IF(tbl_FinancialData[[#This Row],[City]]="","Unknown",PROPER(TRIM(tbl_FinancialData[[#This Row],[City]])))</f>
        <v>Jodhpur</v>
      </c>
      <c r="AG616" t="str">
        <f>_xlfn.LET(_xlpm.city,LOWER(TRIM(tbl_FinancialData[[#This Row],[City]])),_xlpm.st,PROPER(TRIM(tbl_FinancialData[[#This Row],[State]])),IF(_xlpm.city="pune","Maharashtra",IF(_xlpm.city="jamshedpur","Jharkhand",IF(_xlpm.city="bhilai","Chhattisgarh",IF(_xlpm.city="mumbai","Maharashtra",_xlpm.st)))))</f>
        <v>Rajasthan</v>
      </c>
      <c r="AH616" t="str">
        <f>_xlfn.LET(_xlpm.d,PROPER(TRIM(tbl_FinancialData[[#This Row],[Department]])),IF(_xlpm.d="It","IT",_xlpm.d))</f>
        <v>Sales</v>
      </c>
      <c r="AI616" t="str">
        <f>_xlfn.LET(_xlpm.pid,tbl_FinancialData[[#This Row],[Product ID]],_xlpm.n,PROPER(TRIM(tbl_FinancialData[[#This Row],[Product Name]])),IF(_xlpm.pid="P020","Document Scanner",IF(_xlpm.pid="P015","Network Router",SUBSTITUTE(SUBSTITUTE(_xlpm.n,"Crm","CRM"),"Ups","UPS"))))</f>
        <v>Headset</v>
      </c>
      <c r="AJ616" s="3" t="str">
        <f>UPPER(TRIM(tbl_FinancialData[[#This Row],[Cost Center]]))</f>
        <v>CC-1002</v>
      </c>
    </row>
    <row r="617" spans="1:36" x14ac:dyDescent="0.25">
      <c r="A617" s="3" t="s">
        <v>819</v>
      </c>
      <c r="B617" s="2">
        <v>45993</v>
      </c>
      <c r="C617" t="s">
        <v>107</v>
      </c>
      <c r="D617" s="3" t="str">
        <f t="shared" si="39"/>
        <v>Q3</v>
      </c>
      <c r="E617" s="3" t="str">
        <f t="shared" si="40"/>
        <v>FY2026</v>
      </c>
      <c r="F617" s="8" t="s">
        <v>59</v>
      </c>
      <c r="G617" s="3" t="s">
        <v>35</v>
      </c>
      <c r="H617" t="s">
        <v>139</v>
      </c>
      <c r="I617" t="s">
        <v>200</v>
      </c>
      <c r="J617" s="3" t="s">
        <v>38</v>
      </c>
      <c r="K617" t="s">
        <v>160</v>
      </c>
      <c r="L617" s="3" t="s">
        <v>40</v>
      </c>
      <c r="M617" s="3" t="s">
        <v>102</v>
      </c>
      <c r="N617" t="s">
        <v>103</v>
      </c>
      <c r="O617" t="s">
        <v>104</v>
      </c>
      <c r="P617" t="s">
        <v>105</v>
      </c>
      <c r="Q617" s="3">
        <v>13710.16</v>
      </c>
      <c r="R617" s="3">
        <v>12114.81</v>
      </c>
      <c r="S617" s="3">
        <v>7400.77</v>
      </c>
      <c r="T617" s="3">
        <v>1473.91</v>
      </c>
      <c r="U617" s="3">
        <v>880.69</v>
      </c>
      <c r="V617" s="3">
        <v>1553.55</v>
      </c>
      <c r="W617" s="3">
        <v>161.11000000000001</v>
      </c>
      <c r="X617" s="3">
        <v>11470.02</v>
      </c>
      <c r="Y617" s="3">
        <v>6309.39</v>
      </c>
      <c r="Z617" s="3">
        <f t="shared" si="41"/>
        <v>2240.1399999999994</v>
      </c>
      <c r="AA617" s="37">
        <f t="shared" si="42"/>
        <v>0.16339269563593711</v>
      </c>
      <c r="AB617" s="3">
        <v>1595.35</v>
      </c>
      <c r="AC617" s="3">
        <v>0</v>
      </c>
      <c r="AD617" s="3">
        <v>2467.83</v>
      </c>
      <c r="AE617" s="3">
        <v>16177.99</v>
      </c>
      <c r="AF617" t="str">
        <f>IF(tbl_FinancialData[[#This Row],[City]]="","Unknown",PROPER(TRIM(tbl_FinancialData[[#This Row],[City]])))</f>
        <v>Gurugram</v>
      </c>
      <c r="AG617" t="str">
        <f>_xlfn.LET(_xlpm.city,LOWER(TRIM(tbl_FinancialData[[#This Row],[City]])),_xlpm.st,PROPER(TRIM(tbl_FinancialData[[#This Row],[State]])),IF(_xlpm.city="pune","Maharashtra",IF(_xlpm.city="jamshedpur","Jharkhand",IF(_xlpm.city="bhilai","Chhattisgarh",IF(_xlpm.city="mumbai","Maharashtra",_xlpm.st)))))</f>
        <v>Haryana</v>
      </c>
      <c r="AH617" t="str">
        <f>_xlfn.LET(_xlpm.d,PROPER(TRIM(tbl_FinancialData[[#This Row],[Department]])),IF(_xlpm.d="It","IT",_xlpm.d))</f>
        <v>IT</v>
      </c>
      <c r="AI617" t="str">
        <f>_xlfn.LET(_xlpm.pid,tbl_FinancialData[[#This Row],[Product ID]],_xlpm.n,PROPER(TRIM(tbl_FinancialData[[#This Row],[Product Name]])),IF(_xlpm.pid="P020","Document Scanner",IF(_xlpm.pid="P015","Network Router",SUBSTITUTE(SUBSTITUTE(_xlpm.n,"Crm","CRM"),"Ups","UPS"))))</f>
        <v>Accounting Software</v>
      </c>
      <c r="AJ617" s="3" t="str">
        <f>UPPER(TRIM(tbl_FinancialData[[#This Row],[Cost Center]]))</f>
        <v>CC-1002</v>
      </c>
    </row>
    <row r="618" spans="1:36" x14ac:dyDescent="0.25">
      <c r="A618" s="3" t="s">
        <v>820</v>
      </c>
      <c r="B618" s="2">
        <v>45833</v>
      </c>
      <c r="C618" t="s">
        <v>156</v>
      </c>
      <c r="D618" s="3" t="str">
        <f t="shared" si="39"/>
        <v>Q1</v>
      </c>
      <c r="E618" s="3" t="str">
        <f t="shared" si="40"/>
        <v>FY2026</v>
      </c>
      <c r="F618" s="8" t="s">
        <v>59</v>
      </c>
      <c r="G618" s="3" t="s">
        <v>35</v>
      </c>
      <c r="H618" t="s">
        <v>60</v>
      </c>
      <c r="I618" t="s">
        <v>108</v>
      </c>
      <c r="J618" s="3" t="s">
        <v>70</v>
      </c>
      <c r="K618" t="s">
        <v>160</v>
      </c>
      <c r="L618" s="3" t="s">
        <v>72</v>
      </c>
      <c r="M618" s="3" t="s">
        <v>52</v>
      </c>
      <c r="N618" t="s">
        <v>53</v>
      </c>
      <c r="O618" t="s">
        <v>54</v>
      </c>
      <c r="P618" t="s">
        <v>55</v>
      </c>
      <c r="Q618" s="3">
        <v>5521.59</v>
      </c>
      <c r="R618" s="3">
        <v>5532.87</v>
      </c>
      <c r="S618" s="3">
        <v>3774.08</v>
      </c>
      <c r="T618" s="3">
        <v>438.48</v>
      </c>
      <c r="U618" s="3">
        <v>350.19</v>
      </c>
      <c r="V618" s="3">
        <v>443.39</v>
      </c>
      <c r="W618" s="3">
        <v>180.05</v>
      </c>
      <c r="X618" s="3">
        <v>5186.2</v>
      </c>
      <c r="Y618" s="3">
        <v>1747.51</v>
      </c>
      <c r="Z618" s="3">
        <f t="shared" si="41"/>
        <v>335.39000000000033</v>
      </c>
      <c r="AA618" s="37">
        <f t="shared" si="42"/>
        <v>6.0741561760290122E-2</v>
      </c>
      <c r="AB618" s="3">
        <v>-11.28</v>
      </c>
      <c r="AC618" s="3">
        <v>552.16</v>
      </c>
      <c r="AD618" s="3">
        <v>248.47</v>
      </c>
      <c r="AE618" s="3">
        <v>5217.91</v>
      </c>
      <c r="AF618" t="str">
        <f>IF(tbl_FinancialData[[#This Row],[City]]="","Unknown",PROPER(TRIM(tbl_FinancialData[[#This Row],[City]])))</f>
        <v>Agra</v>
      </c>
      <c r="AG618" t="str">
        <f>_xlfn.LET(_xlpm.city,LOWER(TRIM(tbl_FinancialData[[#This Row],[City]])),_xlpm.st,PROPER(TRIM(tbl_FinancialData[[#This Row],[State]])),IF(_xlpm.city="pune","Maharashtra",IF(_xlpm.city="jamshedpur","Jharkhand",IF(_xlpm.city="bhilai","Chhattisgarh",IF(_xlpm.city="mumbai","Maharashtra",_xlpm.st)))))</f>
        <v>Uttar Pradesh</v>
      </c>
      <c r="AH618" t="str">
        <f>_xlfn.LET(_xlpm.d,PROPER(TRIM(tbl_FinancialData[[#This Row],[Department]])),IF(_xlpm.d="It","IT",_xlpm.d))</f>
        <v>IT</v>
      </c>
      <c r="AI618" t="str">
        <f>_xlfn.LET(_xlpm.pid,tbl_FinancialData[[#This Row],[Product ID]],_xlpm.n,PROPER(TRIM(tbl_FinancialData[[#This Row],[Product Name]])),IF(_xlpm.pid="P020","Document Scanner",IF(_xlpm.pid="P015","Network Router",SUBSTITUTE(SUBSTITUTE(_xlpm.n,"Crm","CRM"),"Ups","UPS"))))</f>
        <v>Mouse</v>
      </c>
      <c r="AJ618" s="3" t="str">
        <f>UPPER(TRIM(tbl_FinancialData[[#This Row],[Cost Center]]))</f>
        <v>CC-1004</v>
      </c>
    </row>
    <row r="619" spans="1:36" x14ac:dyDescent="0.25">
      <c r="A619" s="3" t="s">
        <v>821</v>
      </c>
      <c r="B619" s="2">
        <v>45818</v>
      </c>
      <c r="C619" t="s">
        <v>156</v>
      </c>
      <c r="D619" s="3" t="str">
        <f t="shared" si="39"/>
        <v>Q1</v>
      </c>
      <c r="E619" s="3" t="str">
        <f t="shared" si="40"/>
        <v>FY2026</v>
      </c>
      <c r="F619" s="8" t="s">
        <v>34</v>
      </c>
      <c r="G619" s="3" t="s">
        <v>35</v>
      </c>
      <c r="H619" t="s">
        <v>36</v>
      </c>
      <c r="I619" t="s">
        <v>245</v>
      </c>
      <c r="J619" s="3" t="s">
        <v>80</v>
      </c>
      <c r="K619" t="s">
        <v>50</v>
      </c>
      <c r="L619" s="3" t="s">
        <v>81</v>
      </c>
      <c r="M619" s="3" t="s">
        <v>197</v>
      </c>
      <c r="N619" t="s">
        <v>198</v>
      </c>
      <c r="O619" t="s">
        <v>43</v>
      </c>
      <c r="P619" t="s">
        <v>163</v>
      </c>
      <c r="Q619" s="3">
        <v>35706.83</v>
      </c>
      <c r="R619" s="3">
        <v>37416.21</v>
      </c>
      <c r="S619" s="3">
        <v>22842.46</v>
      </c>
      <c r="T619" s="3">
        <v>4579.97</v>
      </c>
      <c r="U619" s="3">
        <v>2583.21</v>
      </c>
      <c r="V619" s="3">
        <v>3267.17</v>
      </c>
      <c r="W619" s="3">
        <v>775.85</v>
      </c>
      <c r="X619" s="3">
        <v>34048.660000000003</v>
      </c>
      <c r="Y619" s="3">
        <v>12864.38</v>
      </c>
      <c r="Z619" s="3">
        <f t="shared" si="41"/>
        <v>1658.1699999999983</v>
      </c>
      <c r="AA619" s="37">
        <f t="shared" si="42"/>
        <v>4.6438454491759651E-2</v>
      </c>
      <c r="AB619" s="3">
        <v>-1709.37</v>
      </c>
      <c r="AC619" s="3">
        <v>0</v>
      </c>
      <c r="AD619" s="3">
        <v>4284.82</v>
      </c>
      <c r="AE619" s="3">
        <v>39991.65</v>
      </c>
      <c r="AF619" t="str">
        <f>IF(tbl_FinancialData[[#This Row],[City]]="","Unknown",PROPER(TRIM(tbl_FinancialData[[#This Row],[City]])))</f>
        <v>Margao</v>
      </c>
      <c r="AG619" t="str">
        <f>_xlfn.LET(_xlpm.city,LOWER(TRIM(tbl_FinancialData[[#This Row],[City]])),_xlpm.st,PROPER(TRIM(tbl_FinancialData[[#This Row],[State]])),IF(_xlpm.city="pune","Maharashtra",IF(_xlpm.city="jamshedpur","Jharkhand",IF(_xlpm.city="bhilai","Chhattisgarh",IF(_xlpm.city="mumbai","Maharashtra",_xlpm.st)))))</f>
        <v>Goa</v>
      </c>
      <c r="AH619" t="str">
        <f>_xlfn.LET(_xlpm.d,PROPER(TRIM(tbl_FinancialData[[#This Row],[Department]])),IF(_xlpm.d="It","IT",_xlpm.d))</f>
        <v>Sales</v>
      </c>
      <c r="AI619" t="str">
        <f>_xlfn.LET(_xlpm.pid,tbl_FinancialData[[#This Row],[Product ID]],_xlpm.n,PROPER(TRIM(tbl_FinancialData[[#This Row],[Product Name]])),IF(_xlpm.pid="P020","Document Scanner",IF(_xlpm.pid="P015","Network Router",SUBSTITUTE(SUBSTITUTE(_xlpm.n,"Crm","CRM"),"Ups","UPS"))))</f>
        <v>Smartphone</v>
      </c>
      <c r="AJ619" s="3" t="str">
        <f>UPPER(TRIM(tbl_FinancialData[[#This Row],[Cost Center]]))</f>
        <v>CC-1005</v>
      </c>
    </row>
    <row r="620" spans="1:36" x14ac:dyDescent="0.25">
      <c r="A620" s="3" t="s">
        <v>822</v>
      </c>
      <c r="B620" s="2">
        <v>45854</v>
      </c>
      <c r="C620" t="s">
        <v>32</v>
      </c>
      <c r="D620" s="3" t="str">
        <f t="shared" si="39"/>
        <v>Q2</v>
      </c>
      <c r="E620" s="3" t="str">
        <f t="shared" si="40"/>
        <v>FY2026</v>
      </c>
      <c r="F620" s="8" t="s">
        <v>47</v>
      </c>
      <c r="G620" s="3" t="s">
        <v>35</v>
      </c>
      <c r="H620" t="s">
        <v>48</v>
      </c>
      <c r="I620" t="s">
        <v>49</v>
      </c>
      <c r="J620" s="3" t="s">
        <v>70</v>
      </c>
      <c r="K620" t="s">
        <v>39</v>
      </c>
      <c r="L620" s="3" t="s">
        <v>40</v>
      </c>
      <c r="M620" s="3" t="s">
        <v>189</v>
      </c>
      <c r="N620" t="s">
        <v>190</v>
      </c>
      <c r="O620" t="s">
        <v>104</v>
      </c>
      <c r="P620" t="s">
        <v>105</v>
      </c>
      <c r="Q620" s="3">
        <v>16431.810000000001</v>
      </c>
      <c r="R620" s="3">
        <v>18297.95</v>
      </c>
      <c r="S620" s="3">
        <v>10783.49</v>
      </c>
      <c r="T620" s="3">
        <v>1576.89</v>
      </c>
      <c r="U620" s="3">
        <v>1289.04</v>
      </c>
      <c r="V620" s="3">
        <v>1396.93</v>
      </c>
      <c r="W620" s="3">
        <v>718.95</v>
      </c>
      <c r="X620" s="3">
        <v>15765.3</v>
      </c>
      <c r="Y620" s="3">
        <v>5648.32</v>
      </c>
      <c r="Z620" s="3">
        <f t="shared" si="41"/>
        <v>666.51000000000204</v>
      </c>
      <c r="AA620" s="37">
        <f t="shared" si="42"/>
        <v>4.0562177873283707E-2</v>
      </c>
      <c r="AB620" s="3">
        <v>-1866.15</v>
      </c>
      <c r="AC620" s="3">
        <v>328.64</v>
      </c>
      <c r="AD620" s="3">
        <v>2898.57</v>
      </c>
      <c r="AE620" s="3">
        <v>19001.740000000002</v>
      </c>
      <c r="AF620" t="str">
        <f>IF(tbl_FinancialData[[#This Row],[City]]="","Unknown",PROPER(TRIM(tbl_FinancialData[[#This Row],[City]])))</f>
        <v>Chennai</v>
      </c>
      <c r="AG620" t="str">
        <f>_xlfn.LET(_xlpm.city,LOWER(TRIM(tbl_FinancialData[[#This Row],[City]])),_xlpm.st,PROPER(TRIM(tbl_FinancialData[[#This Row],[State]])),IF(_xlpm.city="pune","Maharashtra",IF(_xlpm.city="jamshedpur","Jharkhand",IF(_xlpm.city="bhilai","Chhattisgarh",IF(_xlpm.city="mumbai","Maharashtra",_xlpm.st)))))</f>
        <v>Tamil Nadu</v>
      </c>
      <c r="AH620" t="str">
        <f>_xlfn.LET(_xlpm.d,PROPER(TRIM(tbl_FinancialData[[#This Row],[Department]])),IF(_xlpm.d="It","IT",_xlpm.d))</f>
        <v>Operations</v>
      </c>
      <c r="AI620" t="str">
        <f>_xlfn.LET(_xlpm.pid,tbl_FinancialData[[#This Row],[Product ID]],_xlpm.n,PROPER(TRIM(tbl_FinancialData[[#This Row],[Product Name]])),IF(_xlpm.pid="P020","Document Scanner",IF(_xlpm.pid="P015","Network Router",SUBSTITUTE(SUBSTITUTE(_xlpm.n,"Crm","CRM"),"Ups","UPS"))))</f>
        <v>CRM Software</v>
      </c>
      <c r="AJ620" s="3" t="str">
        <f>UPPER(TRIM(tbl_FinancialData[[#This Row],[Cost Center]]))</f>
        <v>CC-1002</v>
      </c>
    </row>
    <row r="621" spans="1:36" x14ac:dyDescent="0.25">
      <c r="A621" s="3" t="s">
        <v>823</v>
      </c>
      <c r="B621" s="2">
        <v>45888</v>
      </c>
      <c r="C621" t="s">
        <v>117</v>
      </c>
      <c r="D621" s="3" t="str">
        <f t="shared" si="39"/>
        <v>Q2</v>
      </c>
      <c r="E621" s="3" t="str">
        <f t="shared" si="40"/>
        <v>FY2026</v>
      </c>
      <c r="F621" s="8" t="s">
        <v>85</v>
      </c>
      <c r="G621" s="3" t="s">
        <v>35</v>
      </c>
      <c r="H621" t="s">
        <v>60</v>
      </c>
      <c r="I621" t="s">
        <v>108</v>
      </c>
      <c r="J621" s="3" t="s">
        <v>38</v>
      </c>
      <c r="K621" t="s">
        <v>50</v>
      </c>
      <c r="L621" s="3" t="s">
        <v>81</v>
      </c>
      <c r="M621" s="3" t="s">
        <v>102</v>
      </c>
      <c r="N621" t="s">
        <v>103</v>
      </c>
      <c r="O621" t="s">
        <v>104</v>
      </c>
      <c r="P621" t="s">
        <v>105</v>
      </c>
      <c r="Q621" s="3">
        <v>8583.39</v>
      </c>
      <c r="R621" s="3">
        <v>9404.58</v>
      </c>
      <c r="S621" s="3">
        <v>5623.03</v>
      </c>
      <c r="T621" s="3">
        <v>498</v>
      </c>
      <c r="U621" s="3">
        <v>615.04</v>
      </c>
      <c r="V621" s="3">
        <v>810.15</v>
      </c>
      <c r="W621" s="3">
        <v>335.46</v>
      </c>
      <c r="X621" s="3">
        <v>7881.68</v>
      </c>
      <c r="Y621" s="3">
        <v>2960.36</v>
      </c>
      <c r="Z621" s="3">
        <f t="shared" si="41"/>
        <v>701.70999999999913</v>
      </c>
      <c r="AA621" s="37">
        <f t="shared" si="42"/>
        <v>8.1752081636742496E-2</v>
      </c>
      <c r="AB621" s="3">
        <v>-821.19</v>
      </c>
      <c r="AC621" s="3">
        <v>0</v>
      </c>
      <c r="AD621" s="3">
        <v>429.17</v>
      </c>
      <c r="AE621" s="3">
        <v>9012.56</v>
      </c>
      <c r="AF621" t="str">
        <f>IF(tbl_FinancialData[[#This Row],[City]]="","Unknown",PROPER(TRIM(tbl_FinancialData[[#This Row],[City]])))</f>
        <v>Agra</v>
      </c>
      <c r="AG621" t="str">
        <f>_xlfn.LET(_xlpm.city,LOWER(TRIM(tbl_FinancialData[[#This Row],[City]])),_xlpm.st,PROPER(TRIM(tbl_FinancialData[[#This Row],[State]])),IF(_xlpm.city="pune","Maharashtra",IF(_xlpm.city="jamshedpur","Jharkhand",IF(_xlpm.city="bhilai","Chhattisgarh",IF(_xlpm.city="mumbai","Maharashtra",_xlpm.st)))))</f>
        <v>Uttar Pradesh</v>
      </c>
      <c r="AH621" t="str">
        <f>_xlfn.LET(_xlpm.d,PROPER(TRIM(tbl_FinancialData[[#This Row],[Department]])),IF(_xlpm.d="It","IT",_xlpm.d))</f>
        <v>Sales</v>
      </c>
      <c r="AI621" t="str">
        <f>_xlfn.LET(_xlpm.pid,tbl_FinancialData[[#This Row],[Product ID]],_xlpm.n,PROPER(TRIM(tbl_FinancialData[[#This Row],[Product Name]])),IF(_xlpm.pid="P020","Document Scanner",IF(_xlpm.pid="P015","Network Router",SUBSTITUTE(SUBSTITUTE(_xlpm.n,"Crm","CRM"),"Ups","UPS"))))</f>
        <v>Accounting Software</v>
      </c>
      <c r="AJ621" s="3" t="str">
        <f>UPPER(TRIM(tbl_FinancialData[[#This Row],[Cost Center]]))</f>
        <v>CC-1005</v>
      </c>
    </row>
    <row r="622" spans="1:36" x14ac:dyDescent="0.25">
      <c r="A622" s="3" t="s">
        <v>824</v>
      </c>
      <c r="B622" s="2">
        <v>45922</v>
      </c>
      <c r="C622" t="s">
        <v>46</v>
      </c>
      <c r="D622" s="3" t="str">
        <f t="shared" si="39"/>
        <v>Q2</v>
      </c>
      <c r="E622" s="3" t="str">
        <f t="shared" si="40"/>
        <v>FY2026</v>
      </c>
      <c r="F622" s="8" t="s">
        <v>67</v>
      </c>
      <c r="G622" s="3" t="s">
        <v>35</v>
      </c>
      <c r="H622" t="s">
        <v>118</v>
      </c>
      <c r="I622" t="s">
        <v>119</v>
      </c>
      <c r="J622" s="3" t="s">
        <v>100</v>
      </c>
      <c r="K622" t="s">
        <v>160</v>
      </c>
      <c r="L622" s="3" t="s">
        <v>51</v>
      </c>
      <c r="M622" s="3" t="s">
        <v>95</v>
      </c>
      <c r="N622" t="s">
        <v>96</v>
      </c>
      <c r="O622" t="s">
        <v>43</v>
      </c>
      <c r="P622" t="s">
        <v>90</v>
      </c>
      <c r="Q622" s="3">
        <v>19913.29</v>
      </c>
      <c r="R622" s="3">
        <v>19484.04</v>
      </c>
      <c r="S622" s="3">
        <v>13898.79</v>
      </c>
      <c r="T622" s="3">
        <v>1150.1199999999999</v>
      </c>
      <c r="U622" s="3">
        <v>1282.75</v>
      </c>
      <c r="V622" s="3">
        <v>1515.79</v>
      </c>
      <c r="W622" s="3">
        <v>853.21</v>
      </c>
      <c r="X622" s="3">
        <v>18700.66</v>
      </c>
      <c r="Y622" s="3">
        <v>6014.5</v>
      </c>
      <c r="Z622" s="3">
        <f t="shared" si="41"/>
        <v>1212.630000000001</v>
      </c>
      <c r="AA622" s="37">
        <f t="shared" si="42"/>
        <v>6.0895512494419601E-2</v>
      </c>
      <c r="AB622" s="3">
        <v>429.25</v>
      </c>
      <c r="AC622" s="3">
        <v>0</v>
      </c>
      <c r="AD622" s="3">
        <v>995.66</v>
      </c>
      <c r="AE622" s="3">
        <v>20908.96</v>
      </c>
      <c r="AF622" t="str">
        <f>IF(tbl_FinancialData[[#This Row],[City]]="","Unknown",PROPER(TRIM(tbl_FinancialData[[#This Row],[City]])))</f>
        <v>Ranchi</v>
      </c>
      <c r="AG622" t="str">
        <f>_xlfn.LET(_xlpm.city,LOWER(TRIM(tbl_FinancialData[[#This Row],[City]])),_xlpm.st,PROPER(TRIM(tbl_FinancialData[[#This Row],[State]])),IF(_xlpm.city="pune","Maharashtra",IF(_xlpm.city="jamshedpur","Jharkhand",IF(_xlpm.city="bhilai","Chhattisgarh",IF(_xlpm.city="mumbai","Maharashtra",_xlpm.st)))))</f>
        <v>Jharkhand</v>
      </c>
      <c r="AH622" t="str">
        <f>_xlfn.LET(_xlpm.d,PROPER(TRIM(tbl_FinancialData[[#This Row],[Department]])),IF(_xlpm.d="It","IT",_xlpm.d))</f>
        <v>IT</v>
      </c>
      <c r="AI622" t="str">
        <f>_xlfn.LET(_xlpm.pid,tbl_FinancialData[[#This Row],[Product ID]],_xlpm.n,PROPER(TRIM(tbl_FinancialData[[#This Row],[Product Name]])),IF(_xlpm.pid="P020","Document Scanner",IF(_xlpm.pid="P015","Network Router",SUBSTITUTE(SUBSTITUTE(_xlpm.n,"Crm","CRM"),"Ups","UPS"))))</f>
        <v>Document Scanner</v>
      </c>
      <c r="AJ622" s="3" t="str">
        <f>UPPER(TRIM(tbl_FinancialData[[#This Row],[Cost Center]]))</f>
        <v>CC-1003</v>
      </c>
    </row>
    <row r="623" spans="1:36" x14ac:dyDescent="0.25">
      <c r="A623" s="3" t="s">
        <v>825</v>
      </c>
      <c r="B623" s="2">
        <v>45762</v>
      </c>
      <c r="C623" t="s">
        <v>128</v>
      </c>
      <c r="D623" s="3" t="str">
        <f t="shared" si="39"/>
        <v>Q1</v>
      </c>
      <c r="E623" s="3" t="str">
        <f t="shared" si="40"/>
        <v>FY2026</v>
      </c>
      <c r="F623" s="8" t="s">
        <v>67</v>
      </c>
      <c r="G623" s="3" t="s">
        <v>35</v>
      </c>
      <c r="H623" t="s">
        <v>118</v>
      </c>
      <c r="I623" t="s">
        <v>119</v>
      </c>
      <c r="J623" s="3" t="s">
        <v>80</v>
      </c>
      <c r="K623" t="s">
        <v>50</v>
      </c>
      <c r="L623" s="3" t="s">
        <v>94</v>
      </c>
      <c r="M623" s="3" t="s">
        <v>88</v>
      </c>
      <c r="N623" t="s">
        <v>89</v>
      </c>
      <c r="O623" t="s">
        <v>43</v>
      </c>
      <c r="P623" t="s">
        <v>90</v>
      </c>
      <c r="Q623" s="3">
        <v>51462.63</v>
      </c>
      <c r="R623" s="3">
        <v>55891.8</v>
      </c>
      <c r="S623" s="3">
        <v>34291.440000000002</v>
      </c>
      <c r="T623" s="3">
        <v>3854.92</v>
      </c>
      <c r="U623" s="3">
        <v>3185.82</v>
      </c>
      <c r="V623" s="3">
        <v>6099.68</v>
      </c>
      <c r="W623" s="3">
        <v>2132.36</v>
      </c>
      <c r="X623" s="3">
        <v>49564.21</v>
      </c>
      <c r="Y623" s="3">
        <v>17171.18</v>
      </c>
      <c r="Z623" s="3">
        <f t="shared" si="41"/>
        <v>1898.4199999999983</v>
      </c>
      <c r="AA623" s="37">
        <f t="shared" si="42"/>
        <v>3.6889292288404193E-2</v>
      </c>
      <c r="AB623" s="3">
        <v>-4429.17</v>
      </c>
      <c r="AC623" s="3">
        <v>5146.26</v>
      </c>
      <c r="AD623" s="3">
        <v>5557.96</v>
      </c>
      <c r="AE623" s="3">
        <v>51874.33</v>
      </c>
      <c r="AF623" t="str">
        <f>IF(tbl_FinancialData[[#This Row],[City]]="","Unknown",PROPER(TRIM(tbl_FinancialData[[#This Row],[City]])))</f>
        <v>Ranchi</v>
      </c>
      <c r="AG623" t="str">
        <f>_xlfn.LET(_xlpm.city,LOWER(TRIM(tbl_FinancialData[[#This Row],[City]])),_xlpm.st,PROPER(TRIM(tbl_FinancialData[[#This Row],[State]])),IF(_xlpm.city="pune","Maharashtra",IF(_xlpm.city="jamshedpur","Jharkhand",IF(_xlpm.city="bhilai","Chhattisgarh",IF(_xlpm.city="mumbai","Maharashtra",_xlpm.st)))))</f>
        <v>Jharkhand</v>
      </c>
      <c r="AH623" t="str">
        <f>_xlfn.LET(_xlpm.d,PROPER(TRIM(tbl_FinancialData[[#This Row],[Department]])),IF(_xlpm.d="It","IT",_xlpm.d))</f>
        <v>Sales</v>
      </c>
      <c r="AI623" t="str">
        <f>_xlfn.LET(_xlpm.pid,tbl_FinancialData[[#This Row],[Product ID]],_xlpm.n,PROPER(TRIM(tbl_FinancialData[[#This Row],[Product Name]])),IF(_xlpm.pid="P020","Document Scanner",IF(_xlpm.pid="P015","Network Router",SUBSTITUTE(SUBSTITUTE(_xlpm.n,"Crm","CRM"),"Ups","UPS"))))</f>
        <v>Printer</v>
      </c>
      <c r="AJ623" s="3" t="str">
        <f>UPPER(TRIM(tbl_FinancialData[[#This Row],[Cost Center]]))</f>
        <v>CC-1001</v>
      </c>
    </row>
    <row r="624" spans="1:36" x14ac:dyDescent="0.25">
      <c r="A624" s="3" t="s">
        <v>826</v>
      </c>
      <c r="B624" s="2">
        <v>45965</v>
      </c>
      <c r="C624" t="s">
        <v>147</v>
      </c>
      <c r="D624" s="3" t="str">
        <f t="shared" si="39"/>
        <v>Q3</v>
      </c>
      <c r="E624" s="3" t="str">
        <f t="shared" si="40"/>
        <v>FY2026</v>
      </c>
      <c r="F624" s="8" t="s">
        <v>67</v>
      </c>
      <c r="G624" s="3" t="s">
        <v>35</v>
      </c>
      <c r="H624" t="s">
        <v>168</v>
      </c>
      <c r="I624" t="s">
        <v>278</v>
      </c>
      <c r="J624" s="3" t="s">
        <v>38</v>
      </c>
      <c r="K624" t="s">
        <v>71</v>
      </c>
      <c r="L624" s="3" t="s">
        <v>94</v>
      </c>
      <c r="M624" s="3" t="s">
        <v>102</v>
      </c>
      <c r="N624" t="s">
        <v>103</v>
      </c>
      <c r="O624" t="s">
        <v>104</v>
      </c>
      <c r="P624" t="s">
        <v>105</v>
      </c>
      <c r="Q624" s="3">
        <v>4725.34</v>
      </c>
      <c r="R624" s="3">
        <v>5095.82</v>
      </c>
      <c r="S624" s="3">
        <v>2596.31</v>
      </c>
      <c r="T624" s="3">
        <v>332.1</v>
      </c>
      <c r="U624" s="3">
        <v>219.76</v>
      </c>
      <c r="V624" s="3">
        <v>291</v>
      </c>
      <c r="W624" s="3">
        <v>131.84</v>
      </c>
      <c r="X624" s="3">
        <v>3571.02</v>
      </c>
      <c r="Y624" s="3">
        <v>2129.0300000000002</v>
      </c>
      <c r="Z624" s="3">
        <f t="shared" si="41"/>
        <v>1154.3200000000002</v>
      </c>
      <c r="AA624" s="37">
        <f t="shared" si="42"/>
        <v>0.24428295106807132</v>
      </c>
      <c r="AB624" s="3">
        <v>-370.47</v>
      </c>
      <c r="AC624" s="3">
        <v>141.76</v>
      </c>
      <c r="AD624" s="3">
        <v>550.03</v>
      </c>
      <c r="AE624" s="3">
        <v>5133.6099999999997</v>
      </c>
      <c r="AF624" t="str">
        <f>IF(tbl_FinancialData[[#This Row],[City]]="","Unknown",PROPER(TRIM(tbl_FinancialData[[#This Row],[City]])))</f>
        <v>Siliguri</v>
      </c>
      <c r="AG624" t="str">
        <f>_xlfn.LET(_xlpm.city,LOWER(TRIM(tbl_FinancialData[[#This Row],[City]])),_xlpm.st,PROPER(TRIM(tbl_FinancialData[[#This Row],[State]])),IF(_xlpm.city="pune","Maharashtra",IF(_xlpm.city="jamshedpur","Jharkhand",IF(_xlpm.city="bhilai","Chhattisgarh",IF(_xlpm.city="mumbai","Maharashtra",_xlpm.st)))))</f>
        <v>West Bengal</v>
      </c>
      <c r="AH624" t="str">
        <f>_xlfn.LET(_xlpm.d,PROPER(TRIM(tbl_FinancialData[[#This Row],[Department]])),IF(_xlpm.d="It","IT",_xlpm.d))</f>
        <v>Marketing</v>
      </c>
      <c r="AI624" t="str">
        <f>_xlfn.LET(_xlpm.pid,tbl_FinancialData[[#This Row],[Product ID]],_xlpm.n,PROPER(TRIM(tbl_FinancialData[[#This Row],[Product Name]])),IF(_xlpm.pid="P020","Document Scanner",IF(_xlpm.pid="P015","Network Router",SUBSTITUTE(SUBSTITUTE(_xlpm.n,"Crm","CRM"),"Ups","UPS"))))</f>
        <v>Accounting Software</v>
      </c>
      <c r="AJ624" s="3" t="str">
        <f>UPPER(TRIM(tbl_FinancialData[[#This Row],[Cost Center]]))</f>
        <v>CC-1001</v>
      </c>
    </row>
    <row r="625" spans="1:36" x14ac:dyDescent="0.25">
      <c r="A625" s="3" t="s">
        <v>827</v>
      </c>
      <c r="B625" s="2">
        <v>45926</v>
      </c>
      <c r="C625" t="s">
        <v>46</v>
      </c>
      <c r="D625" s="3" t="str">
        <f t="shared" si="39"/>
        <v>Q2</v>
      </c>
      <c r="E625" s="3" t="str">
        <f t="shared" si="40"/>
        <v>FY2026</v>
      </c>
      <c r="F625" s="8" t="s">
        <v>47</v>
      </c>
      <c r="G625" s="3" t="s">
        <v>35</v>
      </c>
      <c r="H625" t="s">
        <v>78</v>
      </c>
      <c r="I625" t="s">
        <v>115</v>
      </c>
      <c r="J625" s="3" t="s">
        <v>38</v>
      </c>
      <c r="K625" t="s">
        <v>101</v>
      </c>
      <c r="L625" s="3" t="s">
        <v>51</v>
      </c>
      <c r="M625" s="3" t="s">
        <v>52</v>
      </c>
      <c r="N625" t="s">
        <v>53</v>
      </c>
      <c r="O625" t="s">
        <v>54</v>
      </c>
      <c r="P625" t="s">
        <v>55</v>
      </c>
      <c r="Q625" s="3">
        <v>8168.66</v>
      </c>
      <c r="R625" s="3">
        <v>7761.93</v>
      </c>
      <c r="S625" s="3">
        <v>5073.8900000000003</v>
      </c>
      <c r="T625" s="3">
        <v>781.37</v>
      </c>
      <c r="U625" s="3">
        <v>461.34</v>
      </c>
      <c r="V625" s="3">
        <v>686.15</v>
      </c>
      <c r="W625" s="3">
        <v>222.29</v>
      </c>
      <c r="X625" s="3">
        <v>7225.05</v>
      </c>
      <c r="Y625" s="3">
        <v>3094.77</v>
      </c>
      <c r="Z625" s="3">
        <f t="shared" si="41"/>
        <v>943.60999999999967</v>
      </c>
      <c r="AA625" s="37">
        <f t="shared" si="42"/>
        <v>0.11551588632652109</v>
      </c>
      <c r="AB625" s="3">
        <v>406.73</v>
      </c>
      <c r="AC625" s="3">
        <v>408.43</v>
      </c>
      <c r="AD625" s="3">
        <v>1396.84</v>
      </c>
      <c r="AE625" s="3">
        <v>9157.07</v>
      </c>
      <c r="AF625" t="str">
        <f>IF(tbl_FinancialData[[#This Row],[City]]="","Unknown",PROPER(TRIM(tbl_FinancialData[[#This Row],[City]])))</f>
        <v>Thiruvananthapuram</v>
      </c>
      <c r="AG625" t="str">
        <f>_xlfn.LET(_xlpm.city,LOWER(TRIM(tbl_FinancialData[[#This Row],[City]])),_xlpm.st,PROPER(TRIM(tbl_FinancialData[[#This Row],[State]])),IF(_xlpm.city="pune","Maharashtra",IF(_xlpm.city="jamshedpur","Jharkhand",IF(_xlpm.city="bhilai","Chhattisgarh",IF(_xlpm.city="mumbai","Maharashtra",_xlpm.st)))))</f>
        <v>Kerala</v>
      </c>
      <c r="AH625" t="str">
        <f>_xlfn.LET(_xlpm.d,PROPER(TRIM(tbl_FinancialData[[#This Row],[Department]])),IF(_xlpm.d="It","IT",_xlpm.d))</f>
        <v>Finance</v>
      </c>
      <c r="AI625" t="str">
        <f>_xlfn.LET(_xlpm.pid,tbl_FinancialData[[#This Row],[Product ID]],_xlpm.n,PROPER(TRIM(tbl_FinancialData[[#This Row],[Product Name]])),IF(_xlpm.pid="P020","Document Scanner",IF(_xlpm.pid="P015","Network Router",SUBSTITUTE(SUBSTITUTE(_xlpm.n,"Crm","CRM"),"Ups","UPS"))))</f>
        <v>Mouse</v>
      </c>
      <c r="AJ625" s="3" t="str">
        <f>UPPER(TRIM(tbl_FinancialData[[#This Row],[Cost Center]]))</f>
        <v>CC-1003</v>
      </c>
    </row>
    <row r="626" spans="1:36" x14ac:dyDescent="0.25">
      <c r="A626" s="3" t="s">
        <v>828</v>
      </c>
      <c r="B626" s="2">
        <v>46064</v>
      </c>
      <c r="C626" t="s">
        <v>57</v>
      </c>
      <c r="D626" s="3" t="str">
        <f t="shared" si="39"/>
        <v>Q4</v>
      </c>
      <c r="E626" s="3" t="str">
        <f t="shared" si="40"/>
        <v>FY2026</v>
      </c>
      <c r="F626" s="8" t="s">
        <v>47</v>
      </c>
      <c r="G626" s="3" t="s">
        <v>35</v>
      </c>
      <c r="H626" t="s">
        <v>48</v>
      </c>
      <c r="I626" t="s">
        <v>265</v>
      </c>
      <c r="J626" s="3" t="s">
        <v>100</v>
      </c>
      <c r="K626" t="s">
        <v>160</v>
      </c>
      <c r="L626" s="3" t="s">
        <v>40</v>
      </c>
      <c r="M626" s="3" t="s">
        <v>186</v>
      </c>
      <c r="N626" t="s">
        <v>187</v>
      </c>
      <c r="O626" t="s">
        <v>173</v>
      </c>
      <c r="P626" t="s">
        <v>174</v>
      </c>
      <c r="Q626" s="3">
        <v>8830.8799999999992</v>
      </c>
      <c r="R626" s="3">
        <v>8264.59</v>
      </c>
      <c r="S626" s="3">
        <v>5267.47</v>
      </c>
      <c r="T626" s="3">
        <v>1028.04</v>
      </c>
      <c r="U626" s="3">
        <v>766.43</v>
      </c>
      <c r="V626" s="3">
        <v>801.32</v>
      </c>
      <c r="W626" s="3">
        <v>197.69</v>
      </c>
      <c r="X626" s="3">
        <v>8060.95</v>
      </c>
      <c r="Y626" s="3">
        <v>3563.41</v>
      </c>
      <c r="Z626" s="3">
        <f t="shared" si="41"/>
        <v>769.92999999999938</v>
      </c>
      <c r="AA626" s="37">
        <f t="shared" si="42"/>
        <v>8.7186101498378354E-2</v>
      </c>
      <c r="AB626" s="3">
        <v>566.29</v>
      </c>
      <c r="AC626" s="3">
        <v>441.54</v>
      </c>
      <c r="AD626" s="3">
        <v>1006.72</v>
      </c>
      <c r="AE626" s="3">
        <v>9396.06</v>
      </c>
      <c r="AF626" t="str">
        <f>IF(tbl_FinancialData[[#This Row],[City]]="","Unknown",PROPER(TRIM(tbl_FinancialData[[#This Row],[City]])))</f>
        <v>Madurai</v>
      </c>
      <c r="AG626" t="str">
        <f>_xlfn.LET(_xlpm.city,LOWER(TRIM(tbl_FinancialData[[#This Row],[City]])),_xlpm.st,PROPER(TRIM(tbl_FinancialData[[#This Row],[State]])),IF(_xlpm.city="pune","Maharashtra",IF(_xlpm.city="jamshedpur","Jharkhand",IF(_xlpm.city="bhilai","Chhattisgarh",IF(_xlpm.city="mumbai","Maharashtra",_xlpm.st)))))</f>
        <v>Tamil Nadu</v>
      </c>
      <c r="AH626" t="str">
        <f>_xlfn.LET(_xlpm.d,PROPER(TRIM(tbl_FinancialData[[#This Row],[Department]])),IF(_xlpm.d="It","IT",_xlpm.d))</f>
        <v>IT</v>
      </c>
      <c r="AI626" t="str">
        <f>_xlfn.LET(_xlpm.pid,tbl_FinancialData[[#This Row],[Product ID]],_xlpm.n,PROPER(TRIM(tbl_FinancialData[[#This Row],[Product Name]])),IF(_xlpm.pid="P020","Document Scanner",IF(_xlpm.pid="P015","Network Router",SUBSTITUTE(SUBSTITUTE(_xlpm.n,"Crm","CRM"),"Ups","UPS"))))</f>
        <v>Network Router</v>
      </c>
      <c r="AJ626" s="3" t="str">
        <f>UPPER(TRIM(tbl_FinancialData[[#This Row],[Cost Center]]))</f>
        <v>CC-1002</v>
      </c>
    </row>
    <row r="627" spans="1:36" x14ac:dyDescent="0.25">
      <c r="A627" s="3" t="s">
        <v>829</v>
      </c>
      <c r="B627" s="2">
        <v>45894</v>
      </c>
      <c r="C627" t="s">
        <v>117</v>
      </c>
      <c r="D627" s="3" t="str">
        <f t="shared" si="39"/>
        <v>Q2</v>
      </c>
      <c r="E627" s="3" t="str">
        <f t="shared" si="40"/>
        <v>FY2026</v>
      </c>
      <c r="F627" s="8" t="s">
        <v>34</v>
      </c>
      <c r="G627" s="3" t="s">
        <v>35</v>
      </c>
      <c r="H627" t="s">
        <v>36</v>
      </c>
      <c r="I627" t="s">
        <v>37</v>
      </c>
      <c r="J627" s="3" t="s">
        <v>100</v>
      </c>
      <c r="K627" t="s">
        <v>39</v>
      </c>
      <c r="L627" s="3" t="s">
        <v>94</v>
      </c>
      <c r="M627" s="3" t="s">
        <v>88</v>
      </c>
      <c r="N627" t="s">
        <v>89</v>
      </c>
      <c r="O627" t="s">
        <v>43</v>
      </c>
      <c r="P627" t="s">
        <v>90</v>
      </c>
      <c r="Q627" s="3">
        <v>34368.42</v>
      </c>
      <c r="R627" s="3">
        <v>38685.83</v>
      </c>
      <c r="S627" s="3">
        <v>17524.71</v>
      </c>
      <c r="T627" s="3">
        <v>4076.52</v>
      </c>
      <c r="U627" s="3">
        <v>2864.2</v>
      </c>
      <c r="V627" s="3">
        <v>3977.69</v>
      </c>
      <c r="W627" s="3">
        <v>821.82</v>
      </c>
      <c r="X627" s="3">
        <v>29264.94</v>
      </c>
      <c r="Y627" s="3">
        <v>16843.71</v>
      </c>
      <c r="Z627" s="3">
        <f t="shared" si="41"/>
        <v>5103.4799999999996</v>
      </c>
      <c r="AA627" s="37">
        <f t="shared" si="42"/>
        <v>0.14849329704420511</v>
      </c>
      <c r="AB627" s="3">
        <v>-4317.41</v>
      </c>
      <c r="AC627" s="3">
        <v>687.37</v>
      </c>
      <c r="AD627" s="3">
        <v>4041.73</v>
      </c>
      <c r="AE627" s="3">
        <v>37722.78</v>
      </c>
      <c r="AF627" t="str">
        <f>IF(tbl_FinancialData[[#This Row],[City]]="","Unknown",PROPER(TRIM(tbl_FinancialData[[#This Row],[City]])))</f>
        <v>Vasco Da Gama</v>
      </c>
      <c r="AG627" t="str">
        <f>_xlfn.LET(_xlpm.city,LOWER(TRIM(tbl_FinancialData[[#This Row],[City]])),_xlpm.st,PROPER(TRIM(tbl_FinancialData[[#This Row],[State]])),IF(_xlpm.city="pune","Maharashtra",IF(_xlpm.city="jamshedpur","Jharkhand",IF(_xlpm.city="bhilai","Chhattisgarh",IF(_xlpm.city="mumbai","Maharashtra",_xlpm.st)))))</f>
        <v>Goa</v>
      </c>
      <c r="AH627" t="str">
        <f>_xlfn.LET(_xlpm.d,PROPER(TRIM(tbl_FinancialData[[#This Row],[Department]])),IF(_xlpm.d="It","IT",_xlpm.d))</f>
        <v>Operations</v>
      </c>
      <c r="AI627" t="str">
        <f>_xlfn.LET(_xlpm.pid,tbl_FinancialData[[#This Row],[Product ID]],_xlpm.n,PROPER(TRIM(tbl_FinancialData[[#This Row],[Product Name]])),IF(_xlpm.pid="P020","Document Scanner",IF(_xlpm.pid="P015","Network Router",SUBSTITUTE(SUBSTITUTE(_xlpm.n,"Crm","CRM"),"Ups","UPS"))))</f>
        <v>Printer</v>
      </c>
      <c r="AJ627" s="3" t="str">
        <f>UPPER(TRIM(tbl_FinancialData[[#This Row],[Cost Center]]))</f>
        <v>CC-1001</v>
      </c>
    </row>
    <row r="628" spans="1:36" x14ac:dyDescent="0.25">
      <c r="A628" s="3" t="s">
        <v>830</v>
      </c>
      <c r="B628" s="2">
        <v>45783</v>
      </c>
      <c r="C628" t="s">
        <v>65</v>
      </c>
      <c r="D628" s="3" t="str">
        <f t="shared" si="39"/>
        <v>Q1</v>
      </c>
      <c r="E628" s="3" t="str">
        <f t="shared" si="40"/>
        <v>FY2026</v>
      </c>
      <c r="F628" s="8" t="s">
        <v>59</v>
      </c>
      <c r="G628" s="3" t="s">
        <v>35</v>
      </c>
      <c r="H628" t="s">
        <v>60</v>
      </c>
      <c r="I628" t="s">
        <v>185</v>
      </c>
      <c r="J628" s="3" t="s">
        <v>70</v>
      </c>
      <c r="K628" t="s">
        <v>101</v>
      </c>
      <c r="L628" s="3" t="s">
        <v>94</v>
      </c>
      <c r="M628" s="3" t="s">
        <v>197</v>
      </c>
      <c r="N628" t="s">
        <v>198</v>
      </c>
      <c r="O628" t="s">
        <v>43</v>
      </c>
      <c r="P628" t="s">
        <v>163</v>
      </c>
      <c r="Q628" s="3">
        <v>58289.11</v>
      </c>
      <c r="R628" s="3">
        <v>64575.360000000001</v>
      </c>
      <c r="S628" s="3">
        <v>40374.410000000003</v>
      </c>
      <c r="T628" s="3">
        <v>6314.03</v>
      </c>
      <c r="U628" s="3">
        <v>4972.51</v>
      </c>
      <c r="V628" s="3">
        <v>3882.79</v>
      </c>
      <c r="W628" s="3">
        <v>1609.5</v>
      </c>
      <c r="X628" s="3">
        <v>57153.23</v>
      </c>
      <c r="Y628" s="3">
        <v>17914.71</v>
      </c>
      <c r="Z628" s="3">
        <f t="shared" si="41"/>
        <v>1135.8799999999974</v>
      </c>
      <c r="AA628" s="37">
        <f t="shared" si="42"/>
        <v>1.9487001945989523E-2</v>
      </c>
      <c r="AB628" s="3">
        <v>-6286.25</v>
      </c>
      <c r="AC628" s="3">
        <v>0</v>
      </c>
      <c r="AD628" s="3">
        <v>2914.46</v>
      </c>
      <c r="AE628" s="3">
        <v>61203.57</v>
      </c>
      <c r="AF628" t="str">
        <f>IF(tbl_FinancialData[[#This Row],[City]]="","Unknown",PROPER(TRIM(tbl_FinancialData[[#This Row],[City]])))</f>
        <v>Kanpur</v>
      </c>
      <c r="AG628" t="str">
        <f>_xlfn.LET(_xlpm.city,LOWER(TRIM(tbl_FinancialData[[#This Row],[City]])),_xlpm.st,PROPER(TRIM(tbl_FinancialData[[#This Row],[State]])),IF(_xlpm.city="pune","Maharashtra",IF(_xlpm.city="jamshedpur","Jharkhand",IF(_xlpm.city="bhilai","Chhattisgarh",IF(_xlpm.city="mumbai","Maharashtra",_xlpm.st)))))</f>
        <v>Uttar Pradesh</v>
      </c>
      <c r="AH628" t="str">
        <f>_xlfn.LET(_xlpm.d,PROPER(TRIM(tbl_FinancialData[[#This Row],[Department]])),IF(_xlpm.d="It","IT",_xlpm.d))</f>
        <v>Finance</v>
      </c>
      <c r="AI628" t="str">
        <f>_xlfn.LET(_xlpm.pid,tbl_FinancialData[[#This Row],[Product ID]],_xlpm.n,PROPER(TRIM(tbl_FinancialData[[#This Row],[Product Name]])),IF(_xlpm.pid="P020","Document Scanner",IF(_xlpm.pid="P015","Network Router",SUBSTITUTE(SUBSTITUTE(_xlpm.n,"Crm","CRM"),"Ups","UPS"))))</f>
        <v>Smartphone</v>
      </c>
      <c r="AJ628" s="3" t="str">
        <f>UPPER(TRIM(tbl_FinancialData[[#This Row],[Cost Center]]))</f>
        <v>CC-1001</v>
      </c>
    </row>
    <row r="629" spans="1:36" x14ac:dyDescent="0.25">
      <c r="A629" s="3" t="s">
        <v>831</v>
      </c>
      <c r="B629" s="2">
        <v>45785</v>
      </c>
      <c r="C629" t="s">
        <v>65</v>
      </c>
      <c r="D629" s="3" t="str">
        <f t="shared" si="39"/>
        <v>Q1</v>
      </c>
      <c r="E629" s="3" t="str">
        <f t="shared" si="40"/>
        <v>FY2026</v>
      </c>
      <c r="F629" s="8" t="s">
        <v>67</v>
      </c>
      <c r="G629" s="3" t="s">
        <v>35</v>
      </c>
      <c r="H629" t="s">
        <v>68</v>
      </c>
      <c r="I629" t="s">
        <v>204</v>
      </c>
      <c r="J629" s="3" t="s">
        <v>100</v>
      </c>
      <c r="K629" t="s">
        <v>50</v>
      </c>
      <c r="L629" s="3" t="s">
        <v>72</v>
      </c>
      <c r="M629" s="3" t="s">
        <v>141</v>
      </c>
      <c r="N629" t="s">
        <v>142</v>
      </c>
      <c r="O629" t="s">
        <v>54</v>
      </c>
      <c r="P629" t="s">
        <v>143</v>
      </c>
      <c r="Q629" s="3">
        <v>997.19</v>
      </c>
      <c r="R629" s="3">
        <v>1087.6400000000001</v>
      </c>
      <c r="S629" s="3">
        <v>545.44000000000005</v>
      </c>
      <c r="T629" s="3">
        <v>96.08</v>
      </c>
      <c r="U629" s="3">
        <v>38.04</v>
      </c>
      <c r="V629" s="3">
        <v>61.45</v>
      </c>
      <c r="W629" s="3">
        <v>27.58</v>
      </c>
      <c r="X629" s="3">
        <v>768.6</v>
      </c>
      <c r="Y629" s="3">
        <v>451.75</v>
      </c>
      <c r="Z629" s="3">
        <f t="shared" si="41"/>
        <v>228.59000000000003</v>
      </c>
      <c r="AA629" s="37">
        <f t="shared" si="42"/>
        <v>0.2292341479557557</v>
      </c>
      <c r="AB629" s="3">
        <v>-90.45</v>
      </c>
      <c r="AC629" s="3">
        <v>99.72</v>
      </c>
      <c r="AD629" s="3">
        <v>161.55000000000001</v>
      </c>
      <c r="AE629" s="3">
        <v>1059.02</v>
      </c>
      <c r="AF629" t="str">
        <f>IF(tbl_FinancialData[[#This Row],[City]]="","Unknown",PROPER(TRIM(tbl_FinancialData[[#This Row],[City]])))</f>
        <v>Cuttack</v>
      </c>
      <c r="AG629" t="str">
        <f>_xlfn.LET(_xlpm.city,LOWER(TRIM(tbl_FinancialData[[#This Row],[City]])),_xlpm.st,PROPER(TRIM(tbl_FinancialData[[#This Row],[State]])),IF(_xlpm.city="pune","Maharashtra",IF(_xlpm.city="jamshedpur","Jharkhand",IF(_xlpm.city="bhilai","Chhattisgarh",IF(_xlpm.city="mumbai","Maharashtra",_xlpm.st)))))</f>
        <v>Odisha</v>
      </c>
      <c r="AH629" t="str">
        <f>_xlfn.LET(_xlpm.d,PROPER(TRIM(tbl_FinancialData[[#This Row],[Department]])),IF(_xlpm.d="It","IT",_xlpm.d))</f>
        <v>Sales</v>
      </c>
      <c r="AI629" t="str">
        <f>_xlfn.LET(_xlpm.pid,tbl_FinancialData[[#This Row],[Product ID]],_xlpm.n,PROPER(TRIM(tbl_FinancialData[[#This Row],[Product Name]])),IF(_xlpm.pid="P020","Document Scanner",IF(_xlpm.pid="P015","Network Router",SUBSTITUTE(SUBSTITUTE(_xlpm.n,"Crm","CRM"),"Ups","UPS"))))</f>
        <v>Headset</v>
      </c>
      <c r="AJ629" s="3" t="str">
        <f>UPPER(TRIM(tbl_FinancialData[[#This Row],[Cost Center]]))</f>
        <v>CC-1004</v>
      </c>
    </row>
    <row r="630" spans="1:36" x14ac:dyDescent="0.25">
      <c r="A630" s="3" t="s">
        <v>832</v>
      </c>
      <c r="B630" s="2">
        <v>46003</v>
      </c>
      <c r="C630" t="s">
        <v>107</v>
      </c>
      <c r="D630" s="3" t="str">
        <f t="shared" si="39"/>
        <v>Q3</v>
      </c>
      <c r="E630" s="3" t="str">
        <f t="shared" si="40"/>
        <v>FY2026</v>
      </c>
      <c r="F630" s="8" t="s">
        <v>34</v>
      </c>
      <c r="G630" s="3" t="s">
        <v>35</v>
      </c>
      <c r="H630" t="s">
        <v>134</v>
      </c>
      <c r="I630" t="s">
        <v>154</v>
      </c>
      <c r="J630" s="3" t="s">
        <v>70</v>
      </c>
      <c r="K630" t="s">
        <v>50</v>
      </c>
      <c r="L630" s="3" t="s">
        <v>72</v>
      </c>
      <c r="M630" s="3" t="s">
        <v>189</v>
      </c>
      <c r="N630" t="s">
        <v>190</v>
      </c>
      <c r="O630" t="s">
        <v>104</v>
      </c>
      <c r="P630" t="s">
        <v>105</v>
      </c>
      <c r="Q630" s="3">
        <v>9505.1</v>
      </c>
      <c r="R630" s="3">
        <v>8765.9</v>
      </c>
      <c r="S630" s="3">
        <v>5075.49</v>
      </c>
      <c r="T630" s="3">
        <v>899.66</v>
      </c>
      <c r="U630" s="3">
        <v>709.71</v>
      </c>
      <c r="V630" s="3">
        <v>851.16</v>
      </c>
      <c r="W630" s="3">
        <v>172.28</v>
      </c>
      <c r="X630" s="3">
        <v>7708.3</v>
      </c>
      <c r="Y630" s="3">
        <v>4429.6099999999997</v>
      </c>
      <c r="Z630" s="3">
        <f t="shared" si="41"/>
        <v>1796.8000000000002</v>
      </c>
      <c r="AA630" s="37">
        <f t="shared" si="42"/>
        <v>0.18903535996465057</v>
      </c>
      <c r="AB630" s="3">
        <v>739.2</v>
      </c>
      <c r="AC630" s="3">
        <v>0</v>
      </c>
      <c r="AD630" s="3">
        <v>1710.92</v>
      </c>
      <c r="AE630" s="3">
        <v>11216.02</v>
      </c>
      <c r="AF630" t="str">
        <f>IF(tbl_FinancialData[[#This Row],[City]]="","Unknown",PROPER(TRIM(tbl_FinancialData[[#This Row],[City]])))</f>
        <v>Udaipur</v>
      </c>
      <c r="AG630" t="str">
        <f>_xlfn.LET(_xlpm.city,LOWER(TRIM(tbl_FinancialData[[#This Row],[City]])),_xlpm.st,PROPER(TRIM(tbl_FinancialData[[#This Row],[State]])),IF(_xlpm.city="pune","Maharashtra",IF(_xlpm.city="jamshedpur","Jharkhand",IF(_xlpm.city="bhilai","Chhattisgarh",IF(_xlpm.city="mumbai","Maharashtra",_xlpm.st)))))</f>
        <v>Rajasthan</v>
      </c>
      <c r="AH630" t="str">
        <f>_xlfn.LET(_xlpm.d,PROPER(TRIM(tbl_FinancialData[[#This Row],[Department]])),IF(_xlpm.d="It","IT",_xlpm.d))</f>
        <v>Sales</v>
      </c>
      <c r="AI630" t="str">
        <f>_xlfn.LET(_xlpm.pid,tbl_FinancialData[[#This Row],[Product ID]],_xlpm.n,PROPER(TRIM(tbl_FinancialData[[#This Row],[Product Name]])),IF(_xlpm.pid="P020","Document Scanner",IF(_xlpm.pid="P015","Network Router",SUBSTITUTE(SUBSTITUTE(_xlpm.n,"Crm","CRM"),"Ups","UPS"))))</f>
        <v>CRM Software</v>
      </c>
      <c r="AJ630" s="3" t="str">
        <f>UPPER(TRIM(tbl_FinancialData[[#This Row],[Cost Center]]))</f>
        <v>CC-1004</v>
      </c>
    </row>
    <row r="631" spans="1:36" x14ac:dyDescent="0.25">
      <c r="A631" s="3" t="s">
        <v>833</v>
      </c>
      <c r="B631" s="2">
        <v>45751</v>
      </c>
      <c r="C631" t="s">
        <v>128</v>
      </c>
      <c r="D631" s="3" t="str">
        <f t="shared" si="39"/>
        <v>Q1</v>
      </c>
      <c r="E631" s="3" t="str">
        <f t="shared" si="40"/>
        <v>FY2026</v>
      </c>
      <c r="F631" s="8" t="s">
        <v>85</v>
      </c>
      <c r="G631" s="3" t="s">
        <v>35</v>
      </c>
      <c r="H631" t="s">
        <v>86</v>
      </c>
      <c r="I631" t="s">
        <v>262</v>
      </c>
      <c r="J631" s="3" t="s">
        <v>80</v>
      </c>
      <c r="K631" t="s">
        <v>101</v>
      </c>
      <c r="L631" s="3" t="s">
        <v>72</v>
      </c>
      <c r="M631" s="3" t="s">
        <v>211</v>
      </c>
      <c r="N631" t="s">
        <v>212</v>
      </c>
      <c r="O631" t="s">
        <v>112</v>
      </c>
      <c r="P631" t="s">
        <v>113</v>
      </c>
      <c r="Q631" s="3">
        <v>18840.419999999998</v>
      </c>
      <c r="R631" s="3">
        <v>20961.05</v>
      </c>
      <c r="S631" s="3">
        <v>11425.29</v>
      </c>
      <c r="T631" s="3">
        <v>1419.39</v>
      </c>
      <c r="U631" s="3">
        <v>787.16</v>
      </c>
      <c r="V631" s="3">
        <v>810.51</v>
      </c>
      <c r="W631" s="3">
        <v>572.97</v>
      </c>
      <c r="X631" s="3">
        <v>15015.32</v>
      </c>
      <c r="Y631" s="3">
        <v>7415.13</v>
      </c>
      <c r="Z631" s="3">
        <f t="shared" si="41"/>
        <v>3825.0999999999985</v>
      </c>
      <c r="AA631" s="37">
        <f t="shared" si="42"/>
        <v>0.20302625949952277</v>
      </c>
      <c r="AB631" s="3">
        <v>-2120.63</v>
      </c>
      <c r="AC631" s="3">
        <v>376.81</v>
      </c>
      <c r="AD631" s="3">
        <v>923.18</v>
      </c>
      <c r="AE631" s="3">
        <v>19386.79</v>
      </c>
      <c r="AF631" t="str">
        <f>IF(tbl_FinancialData[[#This Row],[City]]="","Unknown",PROPER(TRIM(tbl_FinancialData[[#This Row],[City]])))</f>
        <v>Gwalior</v>
      </c>
      <c r="AG631" t="str">
        <f>_xlfn.LET(_xlpm.city,LOWER(TRIM(tbl_FinancialData[[#This Row],[City]])),_xlpm.st,PROPER(TRIM(tbl_FinancialData[[#This Row],[State]])),IF(_xlpm.city="pune","Maharashtra",IF(_xlpm.city="jamshedpur","Jharkhand",IF(_xlpm.city="bhilai","Chhattisgarh",IF(_xlpm.city="mumbai","Maharashtra",_xlpm.st)))))</f>
        <v>Madhya Pradesh</v>
      </c>
      <c r="AH631" t="str">
        <f>_xlfn.LET(_xlpm.d,PROPER(TRIM(tbl_FinancialData[[#This Row],[Department]])),IF(_xlpm.d="It","IT",_xlpm.d))</f>
        <v>Finance</v>
      </c>
      <c r="AI631" t="str">
        <f>_xlfn.LET(_xlpm.pid,tbl_FinancialData[[#This Row],[Product ID]],_xlpm.n,PROPER(TRIM(tbl_FinancialData[[#This Row],[Product Name]])),IF(_xlpm.pid="P020","Document Scanner",IF(_xlpm.pid="P015","Network Router",SUBSTITUTE(SUBSTITUTE(_xlpm.n,"Crm","CRM"),"Ups","UPS"))))</f>
        <v>Office Chair</v>
      </c>
      <c r="AJ631" s="3" t="str">
        <f>UPPER(TRIM(tbl_FinancialData[[#This Row],[Cost Center]]))</f>
        <v>CC-1004</v>
      </c>
    </row>
    <row r="632" spans="1:36" x14ac:dyDescent="0.25">
      <c r="A632" s="3" t="s">
        <v>834</v>
      </c>
      <c r="B632" s="2">
        <v>45888</v>
      </c>
      <c r="C632" t="s">
        <v>117</v>
      </c>
      <c r="D632" s="3" t="str">
        <f t="shared" si="39"/>
        <v>Q2</v>
      </c>
      <c r="E632" s="3" t="str">
        <f t="shared" si="40"/>
        <v>FY2026</v>
      </c>
      <c r="F632" s="8" t="s">
        <v>47</v>
      </c>
      <c r="G632" s="3" t="s">
        <v>35</v>
      </c>
      <c r="H632" t="s">
        <v>78</v>
      </c>
      <c r="I632" t="s">
        <v>79</v>
      </c>
      <c r="J632" s="3" t="s">
        <v>38</v>
      </c>
      <c r="K632" t="s">
        <v>39</v>
      </c>
      <c r="L632" s="3" t="s">
        <v>51</v>
      </c>
      <c r="M632" s="3" t="s">
        <v>189</v>
      </c>
      <c r="N632" t="s">
        <v>190</v>
      </c>
      <c r="O632" t="s">
        <v>104</v>
      </c>
      <c r="P632" t="s">
        <v>105</v>
      </c>
      <c r="Q632" s="3">
        <v>26665.53</v>
      </c>
      <c r="R632" s="3">
        <v>25895.33</v>
      </c>
      <c r="S632" s="3">
        <v>19090.04</v>
      </c>
      <c r="T632" s="3">
        <v>1918.08</v>
      </c>
      <c r="U632" s="3">
        <v>1017.9</v>
      </c>
      <c r="V632" s="3">
        <v>2009.84</v>
      </c>
      <c r="W632" s="3">
        <v>319.7</v>
      </c>
      <c r="X632" s="3">
        <v>24355.55</v>
      </c>
      <c r="Y632" s="3">
        <v>7575.5</v>
      </c>
      <c r="Z632" s="3">
        <f t="shared" si="41"/>
        <v>2309.9799999999996</v>
      </c>
      <c r="AA632" s="37">
        <f t="shared" si="42"/>
        <v>8.662794251604973E-2</v>
      </c>
      <c r="AB632" s="3">
        <v>770.2</v>
      </c>
      <c r="AC632" s="3">
        <v>2666.55</v>
      </c>
      <c r="AD632" s="3">
        <v>2879.88</v>
      </c>
      <c r="AE632" s="3">
        <v>26878.86</v>
      </c>
      <c r="AF632" t="str">
        <f>IF(tbl_FinancialData[[#This Row],[City]]="","Unknown",PROPER(TRIM(tbl_FinancialData[[#This Row],[City]])))</f>
        <v>Kochi</v>
      </c>
      <c r="AG632" t="str">
        <f>_xlfn.LET(_xlpm.city,LOWER(TRIM(tbl_FinancialData[[#This Row],[City]])),_xlpm.st,PROPER(TRIM(tbl_FinancialData[[#This Row],[State]])),IF(_xlpm.city="pune","Maharashtra",IF(_xlpm.city="jamshedpur","Jharkhand",IF(_xlpm.city="bhilai","Chhattisgarh",IF(_xlpm.city="mumbai","Maharashtra",_xlpm.st)))))</f>
        <v>Kerala</v>
      </c>
      <c r="AH632" t="str">
        <f>_xlfn.LET(_xlpm.d,PROPER(TRIM(tbl_FinancialData[[#This Row],[Department]])),IF(_xlpm.d="It","IT",_xlpm.d))</f>
        <v>Operations</v>
      </c>
      <c r="AI632" t="str">
        <f>_xlfn.LET(_xlpm.pid,tbl_FinancialData[[#This Row],[Product ID]],_xlpm.n,PROPER(TRIM(tbl_FinancialData[[#This Row],[Product Name]])),IF(_xlpm.pid="P020","Document Scanner",IF(_xlpm.pid="P015","Network Router",SUBSTITUTE(SUBSTITUTE(_xlpm.n,"Crm","CRM"),"Ups","UPS"))))</f>
        <v>CRM Software</v>
      </c>
      <c r="AJ632" s="3" t="str">
        <f>UPPER(TRIM(tbl_FinancialData[[#This Row],[Cost Center]]))</f>
        <v>CC-1003</v>
      </c>
    </row>
    <row r="633" spans="1:36" x14ac:dyDescent="0.25">
      <c r="A633" s="3" t="s">
        <v>835</v>
      </c>
      <c r="B633" s="2">
        <v>46063</v>
      </c>
      <c r="C633" t="s">
        <v>57</v>
      </c>
      <c r="D633" s="3" t="str">
        <f t="shared" si="39"/>
        <v>Q4</v>
      </c>
      <c r="E633" s="3" t="str">
        <f t="shared" si="40"/>
        <v>FY2026</v>
      </c>
      <c r="F633" s="8" t="s">
        <v>34</v>
      </c>
      <c r="G633" s="3" t="s">
        <v>35</v>
      </c>
      <c r="H633" t="s">
        <v>36</v>
      </c>
      <c r="I633" t="s">
        <v>37</v>
      </c>
      <c r="J633" s="3" t="s">
        <v>100</v>
      </c>
      <c r="K633" t="s">
        <v>101</v>
      </c>
      <c r="L633" s="3" t="s">
        <v>94</v>
      </c>
      <c r="M633" s="3" t="s">
        <v>120</v>
      </c>
      <c r="N633" t="s">
        <v>121</v>
      </c>
      <c r="O633" t="s">
        <v>43</v>
      </c>
      <c r="P633" t="s">
        <v>122</v>
      </c>
      <c r="Q633" s="3">
        <v>17080.830000000002</v>
      </c>
      <c r="R633" s="3">
        <v>18363.18</v>
      </c>
      <c r="S633" s="3">
        <v>9479.82</v>
      </c>
      <c r="T633" s="3">
        <v>1329.61</v>
      </c>
      <c r="U633" s="3">
        <v>967.5</v>
      </c>
      <c r="V633" s="3">
        <v>2020.43</v>
      </c>
      <c r="W633" s="3">
        <v>747.98</v>
      </c>
      <c r="X633" s="3">
        <v>14545.34</v>
      </c>
      <c r="Y633" s="3">
        <v>7601.02</v>
      </c>
      <c r="Z633" s="3">
        <f t="shared" si="41"/>
        <v>2535.4900000000016</v>
      </c>
      <c r="AA633" s="37">
        <f t="shared" si="42"/>
        <v>0.14844067881947196</v>
      </c>
      <c r="AB633" s="3">
        <v>-1282.3499999999999</v>
      </c>
      <c r="AC633" s="3">
        <v>512.42999999999995</v>
      </c>
      <c r="AD633" s="3">
        <v>1988.21</v>
      </c>
      <c r="AE633" s="3">
        <v>18556.62</v>
      </c>
      <c r="AF633" t="str">
        <f>IF(tbl_FinancialData[[#This Row],[City]]="","Unknown",PROPER(TRIM(tbl_FinancialData[[#This Row],[City]])))</f>
        <v>Vasco Da Gama</v>
      </c>
      <c r="AG633" t="str">
        <f>_xlfn.LET(_xlpm.city,LOWER(TRIM(tbl_FinancialData[[#This Row],[City]])),_xlpm.st,PROPER(TRIM(tbl_FinancialData[[#This Row],[State]])),IF(_xlpm.city="pune","Maharashtra",IF(_xlpm.city="jamshedpur","Jharkhand",IF(_xlpm.city="bhilai","Chhattisgarh",IF(_xlpm.city="mumbai","Maharashtra",_xlpm.st)))))</f>
        <v>Goa</v>
      </c>
      <c r="AH633" t="str">
        <f>_xlfn.LET(_xlpm.d,PROPER(TRIM(tbl_FinancialData[[#This Row],[Department]])),IF(_xlpm.d="It","IT",_xlpm.d))</f>
        <v>Finance</v>
      </c>
      <c r="AI633" t="str">
        <f>_xlfn.LET(_xlpm.pid,tbl_FinancialData[[#This Row],[Product ID]],_xlpm.n,PROPER(TRIM(tbl_FinancialData[[#This Row],[Product Name]])),IF(_xlpm.pid="P020","Document Scanner",IF(_xlpm.pid="P015","Network Router",SUBSTITUTE(SUBSTITUTE(_xlpm.n,"Crm","CRM"),"Ups","UPS"))))</f>
        <v>Projector</v>
      </c>
      <c r="AJ633" s="3" t="str">
        <f>UPPER(TRIM(tbl_FinancialData[[#This Row],[Cost Center]]))</f>
        <v>CC-1001</v>
      </c>
    </row>
    <row r="634" spans="1:36" x14ac:dyDescent="0.25">
      <c r="A634" s="3" t="s">
        <v>836</v>
      </c>
      <c r="B634" s="2">
        <v>45796</v>
      </c>
      <c r="C634" t="s">
        <v>65</v>
      </c>
      <c r="D634" s="3" t="str">
        <f t="shared" si="39"/>
        <v>Q1</v>
      </c>
      <c r="E634" s="3" t="str">
        <f t="shared" si="40"/>
        <v>FY2026</v>
      </c>
      <c r="F634" s="8" t="s">
        <v>47</v>
      </c>
      <c r="G634" s="3" t="s">
        <v>35</v>
      </c>
      <c r="H634" t="s">
        <v>48</v>
      </c>
      <c r="I634" t="s">
        <v>265</v>
      </c>
      <c r="J634" s="3" t="s">
        <v>100</v>
      </c>
      <c r="K634" t="s">
        <v>101</v>
      </c>
      <c r="L634" s="3" t="s">
        <v>94</v>
      </c>
      <c r="M634" s="3" t="s">
        <v>95</v>
      </c>
      <c r="N634" t="s">
        <v>96</v>
      </c>
      <c r="O634" t="s">
        <v>43</v>
      </c>
      <c r="P634" t="s">
        <v>90</v>
      </c>
      <c r="Q634" s="3">
        <v>25807.4</v>
      </c>
      <c r="R634" s="3">
        <v>26673.77</v>
      </c>
      <c r="S634" s="3">
        <v>14367.2</v>
      </c>
      <c r="T634" s="3">
        <v>1636.44</v>
      </c>
      <c r="U634" s="3">
        <v>1086.1600000000001</v>
      </c>
      <c r="V634" s="3">
        <v>1106.0999999999999</v>
      </c>
      <c r="W634" s="3">
        <v>894.35</v>
      </c>
      <c r="X634" s="3">
        <v>19090.25</v>
      </c>
      <c r="Y634" s="3">
        <v>11440.21</v>
      </c>
      <c r="Z634" s="3">
        <f t="shared" si="41"/>
        <v>6717.1500000000015</v>
      </c>
      <c r="AA634" s="37">
        <f t="shared" si="42"/>
        <v>0.26027999721010259</v>
      </c>
      <c r="AB634" s="3">
        <v>-866.37</v>
      </c>
      <c r="AC634" s="3">
        <v>774.22</v>
      </c>
      <c r="AD634" s="3">
        <v>1251.6600000000001</v>
      </c>
      <c r="AE634" s="3">
        <v>26284.84</v>
      </c>
      <c r="AF634" t="str">
        <f>IF(tbl_FinancialData[[#This Row],[City]]="","Unknown",PROPER(TRIM(tbl_FinancialData[[#This Row],[City]])))</f>
        <v>Madurai</v>
      </c>
      <c r="AG634" t="str">
        <f>_xlfn.LET(_xlpm.city,LOWER(TRIM(tbl_FinancialData[[#This Row],[City]])),_xlpm.st,PROPER(TRIM(tbl_FinancialData[[#This Row],[State]])),IF(_xlpm.city="pune","Maharashtra",IF(_xlpm.city="jamshedpur","Jharkhand",IF(_xlpm.city="bhilai","Chhattisgarh",IF(_xlpm.city="mumbai","Maharashtra",_xlpm.st)))))</f>
        <v>Tamil Nadu</v>
      </c>
      <c r="AH634" t="str">
        <f>_xlfn.LET(_xlpm.d,PROPER(TRIM(tbl_FinancialData[[#This Row],[Department]])),IF(_xlpm.d="It","IT",_xlpm.d))</f>
        <v>Finance</v>
      </c>
      <c r="AI634" t="str">
        <f>_xlfn.LET(_xlpm.pid,tbl_FinancialData[[#This Row],[Product ID]],_xlpm.n,PROPER(TRIM(tbl_FinancialData[[#This Row],[Product Name]])),IF(_xlpm.pid="P020","Document Scanner",IF(_xlpm.pid="P015","Network Router",SUBSTITUTE(SUBSTITUTE(_xlpm.n,"Crm","CRM"),"Ups","UPS"))))</f>
        <v>Document Scanner</v>
      </c>
      <c r="AJ634" s="3" t="str">
        <f>UPPER(TRIM(tbl_FinancialData[[#This Row],[Cost Center]]))</f>
        <v>CC-1001</v>
      </c>
    </row>
    <row r="635" spans="1:36" x14ac:dyDescent="0.25">
      <c r="A635" s="3" t="s">
        <v>837</v>
      </c>
      <c r="B635" s="2">
        <v>46042</v>
      </c>
      <c r="C635" t="s">
        <v>77</v>
      </c>
      <c r="D635" s="3" t="str">
        <f t="shared" si="39"/>
        <v>Q4</v>
      </c>
      <c r="E635" s="3" t="str">
        <f t="shared" si="40"/>
        <v>FY2026</v>
      </c>
      <c r="F635" s="8" t="s">
        <v>34</v>
      </c>
      <c r="G635" s="3" t="s">
        <v>35</v>
      </c>
      <c r="H635" t="s">
        <v>134</v>
      </c>
      <c r="I635" t="s">
        <v>135</v>
      </c>
      <c r="J635" s="3" t="s">
        <v>70</v>
      </c>
      <c r="K635" t="s">
        <v>50</v>
      </c>
      <c r="L635" s="3" t="s">
        <v>72</v>
      </c>
      <c r="M635" s="3" t="s">
        <v>73</v>
      </c>
      <c r="N635" t="s">
        <v>74</v>
      </c>
      <c r="O635" t="s">
        <v>43</v>
      </c>
      <c r="P635" t="s">
        <v>75</v>
      </c>
      <c r="Q635" s="3">
        <v>38173.22</v>
      </c>
      <c r="R635" s="3">
        <v>41821.03</v>
      </c>
      <c r="S635" s="3">
        <v>18991.650000000001</v>
      </c>
      <c r="T635" s="3">
        <v>4416.26</v>
      </c>
      <c r="U635" s="3">
        <v>2177.6799999999998</v>
      </c>
      <c r="V635" s="3">
        <v>4112.88</v>
      </c>
      <c r="W635" s="3">
        <v>1184.3599999999999</v>
      </c>
      <c r="X635" s="3">
        <v>30882.83</v>
      </c>
      <c r="Y635" s="3">
        <v>19181.57</v>
      </c>
      <c r="Z635" s="3">
        <f t="shared" si="41"/>
        <v>7290.3899999999994</v>
      </c>
      <c r="AA635" s="37">
        <f t="shared" si="42"/>
        <v>0.19098179299519399</v>
      </c>
      <c r="AB635" s="3">
        <v>-3647.81</v>
      </c>
      <c r="AC635" s="3">
        <v>1908.66</v>
      </c>
      <c r="AD635" s="3">
        <v>6527.62</v>
      </c>
      <c r="AE635" s="3">
        <v>42792.18</v>
      </c>
      <c r="AF635" t="str">
        <f>IF(tbl_FinancialData[[#This Row],[City]]="","Unknown",PROPER(TRIM(tbl_FinancialData[[#This Row],[City]])))</f>
        <v>Jodhpur</v>
      </c>
      <c r="AG635" t="str">
        <f>_xlfn.LET(_xlpm.city,LOWER(TRIM(tbl_FinancialData[[#This Row],[City]])),_xlpm.st,PROPER(TRIM(tbl_FinancialData[[#This Row],[State]])),IF(_xlpm.city="pune","Maharashtra",IF(_xlpm.city="jamshedpur","Jharkhand",IF(_xlpm.city="bhilai","Chhattisgarh",IF(_xlpm.city="mumbai","Maharashtra",_xlpm.st)))))</f>
        <v>Rajasthan</v>
      </c>
      <c r="AH635" t="str">
        <f>_xlfn.LET(_xlpm.d,PROPER(TRIM(tbl_FinancialData[[#This Row],[Department]])),IF(_xlpm.d="It","IT",_xlpm.d))</f>
        <v>Sales</v>
      </c>
      <c r="AI635" t="str">
        <f>_xlfn.LET(_xlpm.pid,tbl_FinancialData[[#This Row],[Product ID]],_xlpm.n,PROPER(TRIM(tbl_FinancialData[[#This Row],[Product Name]])),IF(_xlpm.pid="P020","Document Scanner",IF(_xlpm.pid="P015","Network Router",SUBSTITUTE(SUBSTITUTE(_xlpm.n,"Crm","CRM"),"Ups","UPS"))))</f>
        <v>Monitor</v>
      </c>
      <c r="AJ635" s="3" t="str">
        <f>UPPER(TRIM(tbl_FinancialData[[#This Row],[Cost Center]]))</f>
        <v>CC-1004</v>
      </c>
    </row>
    <row r="636" spans="1:36" x14ac:dyDescent="0.25">
      <c r="A636" s="3" t="s">
        <v>838</v>
      </c>
      <c r="B636" s="2">
        <v>45931</v>
      </c>
      <c r="C636" t="s">
        <v>92</v>
      </c>
      <c r="D636" s="3" t="str">
        <f t="shared" si="39"/>
        <v>Q3</v>
      </c>
      <c r="E636" s="3" t="str">
        <f t="shared" si="40"/>
        <v>FY2026</v>
      </c>
      <c r="F636" s="8" t="s">
        <v>34</v>
      </c>
      <c r="G636" s="3" t="s">
        <v>35</v>
      </c>
      <c r="H636" t="s">
        <v>134</v>
      </c>
      <c r="I636" t="s">
        <v>176</v>
      </c>
      <c r="J636" s="3" t="s">
        <v>38</v>
      </c>
      <c r="K636" t="s">
        <v>101</v>
      </c>
      <c r="L636" s="3" t="s">
        <v>94</v>
      </c>
      <c r="M636" s="3" t="s">
        <v>95</v>
      </c>
      <c r="N636" t="s">
        <v>96</v>
      </c>
      <c r="O636" t="s">
        <v>43</v>
      </c>
      <c r="P636" t="s">
        <v>90</v>
      </c>
      <c r="Q636" s="3">
        <v>39374.339999999997</v>
      </c>
      <c r="R636" s="3">
        <v>38280.9</v>
      </c>
      <c r="S636" s="3">
        <v>21621.03</v>
      </c>
      <c r="T636" s="3">
        <v>4851.0200000000004</v>
      </c>
      <c r="U636" s="3">
        <v>3205.3</v>
      </c>
      <c r="V636" s="3">
        <v>2740.92</v>
      </c>
      <c r="W636" s="3">
        <v>491.8</v>
      </c>
      <c r="X636" s="3">
        <v>32910.080000000002</v>
      </c>
      <c r="Y636" s="3">
        <v>17753.3</v>
      </c>
      <c r="Z636" s="3">
        <f t="shared" si="41"/>
        <v>6464.2599999999948</v>
      </c>
      <c r="AA636" s="37">
        <f t="shared" si="42"/>
        <v>0.16417443441591645</v>
      </c>
      <c r="AB636" s="3">
        <v>1093.43</v>
      </c>
      <c r="AC636" s="3">
        <v>3149.95</v>
      </c>
      <c r="AD636" s="3">
        <v>6520.39</v>
      </c>
      <c r="AE636" s="3">
        <v>42744.78</v>
      </c>
      <c r="AF636" t="str">
        <f>IF(tbl_FinancialData[[#This Row],[City]]="","Unknown",PROPER(TRIM(tbl_FinancialData[[#This Row],[City]])))</f>
        <v>Jaipur</v>
      </c>
      <c r="AG636" t="str">
        <f>_xlfn.LET(_xlpm.city,LOWER(TRIM(tbl_FinancialData[[#This Row],[City]])),_xlpm.st,PROPER(TRIM(tbl_FinancialData[[#This Row],[State]])),IF(_xlpm.city="pune","Maharashtra",IF(_xlpm.city="jamshedpur","Jharkhand",IF(_xlpm.city="bhilai","Chhattisgarh",IF(_xlpm.city="mumbai","Maharashtra",_xlpm.st)))))</f>
        <v>Rajasthan</v>
      </c>
      <c r="AH636" t="str">
        <f>_xlfn.LET(_xlpm.d,PROPER(TRIM(tbl_FinancialData[[#This Row],[Department]])),IF(_xlpm.d="It","IT",_xlpm.d))</f>
        <v>Finance</v>
      </c>
      <c r="AI636" t="str">
        <f>_xlfn.LET(_xlpm.pid,tbl_FinancialData[[#This Row],[Product ID]],_xlpm.n,PROPER(TRIM(tbl_FinancialData[[#This Row],[Product Name]])),IF(_xlpm.pid="P020","Document Scanner",IF(_xlpm.pid="P015","Network Router",SUBSTITUTE(SUBSTITUTE(_xlpm.n,"Crm","CRM"),"Ups","UPS"))))</f>
        <v>Document Scanner</v>
      </c>
      <c r="AJ636" s="3" t="str">
        <f>UPPER(TRIM(tbl_FinancialData[[#This Row],[Cost Center]]))</f>
        <v>CC-1001</v>
      </c>
    </row>
    <row r="637" spans="1:36" x14ac:dyDescent="0.25">
      <c r="A637" s="3" t="s">
        <v>839</v>
      </c>
      <c r="B637" s="2">
        <v>45867</v>
      </c>
      <c r="C637" t="s">
        <v>32</v>
      </c>
      <c r="D637" s="3" t="str">
        <f t="shared" si="39"/>
        <v>Q2</v>
      </c>
      <c r="E637" s="3" t="str">
        <f t="shared" si="40"/>
        <v>FY2026</v>
      </c>
      <c r="F637" s="8" t="s">
        <v>85</v>
      </c>
      <c r="G637" s="3" t="s">
        <v>35</v>
      </c>
      <c r="H637" t="s">
        <v>86</v>
      </c>
      <c r="I637" t="s">
        <v>87</v>
      </c>
      <c r="J637" s="3" t="s">
        <v>70</v>
      </c>
      <c r="K637" t="s">
        <v>50</v>
      </c>
      <c r="L637" s="3" t="s">
        <v>72</v>
      </c>
      <c r="M637" s="3" t="s">
        <v>141</v>
      </c>
      <c r="N637" t="s">
        <v>142</v>
      </c>
      <c r="O637" t="s">
        <v>54</v>
      </c>
      <c r="P637" t="s">
        <v>143</v>
      </c>
      <c r="Q637" s="3">
        <v>4887</v>
      </c>
      <c r="R637" s="3">
        <v>4837.51</v>
      </c>
      <c r="S637" s="3">
        <v>2855.01</v>
      </c>
      <c r="T637" s="3">
        <v>295.61</v>
      </c>
      <c r="U637" s="3">
        <v>266.82</v>
      </c>
      <c r="V637" s="3">
        <v>512.34</v>
      </c>
      <c r="W637" s="3">
        <v>190.51</v>
      </c>
      <c r="X637" s="3">
        <v>4120.3</v>
      </c>
      <c r="Y637" s="3">
        <v>2031.99</v>
      </c>
      <c r="Z637" s="3">
        <f t="shared" si="41"/>
        <v>766.69999999999982</v>
      </c>
      <c r="AA637" s="37">
        <f t="shared" si="42"/>
        <v>0.15688561489666458</v>
      </c>
      <c r="AB637" s="3">
        <v>49.49</v>
      </c>
      <c r="AC637" s="3">
        <v>146.61000000000001</v>
      </c>
      <c r="AD637" s="3">
        <v>568.85</v>
      </c>
      <c r="AE637" s="3">
        <v>5309.24</v>
      </c>
      <c r="AF637" t="str">
        <f>IF(tbl_FinancialData[[#This Row],[City]]="","Unknown",PROPER(TRIM(tbl_FinancialData[[#This Row],[City]])))</f>
        <v>Indore</v>
      </c>
      <c r="AG637" t="str">
        <f>_xlfn.LET(_xlpm.city,LOWER(TRIM(tbl_FinancialData[[#This Row],[City]])),_xlpm.st,PROPER(TRIM(tbl_FinancialData[[#This Row],[State]])),IF(_xlpm.city="pune","Maharashtra",IF(_xlpm.city="jamshedpur","Jharkhand",IF(_xlpm.city="bhilai","Chhattisgarh",IF(_xlpm.city="mumbai","Maharashtra",_xlpm.st)))))</f>
        <v>Madhya Pradesh</v>
      </c>
      <c r="AH637" t="str">
        <f>_xlfn.LET(_xlpm.d,PROPER(TRIM(tbl_FinancialData[[#This Row],[Department]])),IF(_xlpm.d="It","IT",_xlpm.d))</f>
        <v>Sales</v>
      </c>
      <c r="AI637" t="str">
        <f>_xlfn.LET(_xlpm.pid,tbl_FinancialData[[#This Row],[Product ID]],_xlpm.n,PROPER(TRIM(tbl_FinancialData[[#This Row],[Product Name]])),IF(_xlpm.pid="P020","Document Scanner",IF(_xlpm.pid="P015","Network Router",SUBSTITUTE(SUBSTITUTE(_xlpm.n,"Crm","CRM"),"Ups","UPS"))))</f>
        <v>Headset</v>
      </c>
      <c r="AJ637" s="3" t="str">
        <f>UPPER(TRIM(tbl_FinancialData[[#This Row],[Cost Center]]))</f>
        <v>CC-1004</v>
      </c>
    </row>
    <row r="638" spans="1:36" x14ac:dyDescent="0.25">
      <c r="A638" s="3" t="s">
        <v>840</v>
      </c>
      <c r="B638" s="2">
        <v>45995</v>
      </c>
      <c r="C638" t="s">
        <v>107</v>
      </c>
      <c r="D638" s="3" t="str">
        <f t="shared" si="39"/>
        <v>Q3</v>
      </c>
      <c r="E638" s="3" t="str">
        <f t="shared" si="40"/>
        <v>FY2026</v>
      </c>
      <c r="F638" s="8" t="s">
        <v>59</v>
      </c>
      <c r="G638" s="3" t="s">
        <v>35</v>
      </c>
      <c r="H638" t="s">
        <v>60</v>
      </c>
      <c r="I638" t="s">
        <v>108</v>
      </c>
      <c r="J638" s="3" t="s">
        <v>80</v>
      </c>
      <c r="K638" t="s">
        <v>101</v>
      </c>
      <c r="L638" s="3" t="s">
        <v>94</v>
      </c>
      <c r="M638" s="3" t="s">
        <v>73</v>
      </c>
      <c r="N638" t="s">
        <v>74</v>
      </c>
      <c r="O638" t="s">
        <v>43</v>
      </c>
      <c r="P638" t="s">
        <v>75</v>
      </c>
      <c r="Q638" s="3">
        <v>16839.88</v>
      </c>
      <c r="R638" s="3">
        <v>17221.91</v>
      </c>
      <c r="S638" s="3">
        <v>9798.3700000000008</v>
      </c>
      <c r="T638" s="3">
        <v>2001.08</v>
      </c>
      <c r="U638" s="3">
        <v>1014.42</v>
      </c>
      <c r="V638" s="3">
        <v>1602.67</v>
      </c>
      <c r="W638" s="3">
        <v>445.02</v>
      </c>
      <c r="X638" s="3">
        <v>14861.55</v>
      </c>
      <c r="Y638" s="3">
        <v>7041.51</v>
      </c>
      <c r="Z638" s="3">
        <f t="shared" si="41"/>
        <v>1978.3300000000017</v>
      </c>
      <c r="AA638" s="37">
        <f t="shared" si="42"/>
        <v>0.11747886564512346</v>
      </c>
      <c r="AB638" s="3">
        <v>-382.03</v>
      </c>
      <c r="AC638" s="3">
        <v>505.2</v>
      </c>
      <c r="AD638" s="3">
        <v>1960.16</v>
      </c>
      <c r="AE638" s="3">
        <v>18294.849999999999</v>
      </c>
      <c r="AF638" t="str">
        <f>IF(tbl_FinancialData[[#This Row],[City]]="","Unknown",PROPER(TRIM(tbl_FinancialData[[#This Row],[City]])))</f>
        <v>Agra</v>
      </c>
      <c r="AG638" t="str">
        <f>_xlfn.LET(_xlpm.city,LOWER(TRIM(tbl_FinancialData[[#This Row],[City]])),_xlpm.st,PROPER(TRIM(tbl_FinancialData[[#This Row],[State]])),IF(_xlpm.city="pune","Maharashtra",IF(_xlpm.city="jamshedpur","Jharkhand",IF(_xlpm.city="bhilai","Chhattisgarh",IF(_xlpm.city="mumbai","Maharashtra",_xlpm.st)))))</f>
        <v>Uttar Pradesh</v>
      </c>
      <c r="AH638" t="str">
        <f>_xlfn.LET(_xlpm.d,PROPER(TRIM(tbl_FinancialData[[#This Row],[Department]])),IF(_xlpm.d="It","IT",_xlpm.d))</f>
        <v>Finance</v>
      </c>
      <c r="AI638" t="str">
        <f>_xlfn.LET(_xlpm.pid,tbl_FinancialData[[#This Row],[Product ID]],_xlpm.n,PROPER(TRIM(tbl_FinancialData[[#This Row],[Product Name]])),IF(_xlpm.pid="P020","Document Scanner",IF(_xlpm.pid="P015","Network Router",SUBSTITUTE(SUBSTITUTE(_xlpm.n,"Crm","CRM"),"Ups","UPS"))))</f>
        <v>Monitor</v>
      </c>
      <c r="AJ638" s="3" t="str">
        <f>UPPER(TRIM(tbl_FinancialData[[#This Row],[Cost Center]]))</f>
        <v>CC-1001</v>
      </c>
    </row>
    <row r="639" spans="1:36" x14ac:dyDescent="0.25">
      <c r="A639" s="3" t="s">
        <v>841</v>
      </c>
      <c r="B639" s="2">
        <v>45786</v>
      </c>
      <c r="C639" t="s">
        <v>65</v>
      </c>
      <c r="D639" s="3" t="str">
        <f t="shared" si="39"/>
        <v>Q1</v>
      </c>
      <c r="E639" s="3" t="str">
        <f t="shared" si="40"/>
        <v>FY2026</v>
      </c>
      <c r="F639" s="8" t="s">
        <v>67</v>
      </c>
      <c r="G639" s="3" t="s">
        <v>35</v>
      </c>
      <c r="H639" t="s">
        <v>168</v>
      </c>
      <c r="I639" t="s">
        <v>278</v>
      </c>
      <c r="J639" s="3" t="s">
        <v>100</v>
      </c>
      <c r="K639" t="s">
        <v>39</v>
      </c>
      <c r="L639" s="3" t="s">
        <v>72</v>
      </c>
      <c r="M639" s="3" t="s">
        <v>88</v>
      </c>
      <c r="N639" t="s">
        <v>89</v>
      </c>
      <c r="O639" t="s">
        <v>43</v>
      </c>
      <c r="P639" t="s">
        <v>90</v>
      </c>
      <c r="Q639" s="3">
        <v>73823.899999999994</v>
      </c>
      <c r="R639" s="3">
        <v>68742.460000000006</v>
      </c>
      <c r="S639" s="3">
        <v>37849.22</v>
      </c>
      <c r="T639" s="3">
        <v>7414.29</v>
      </c>
      <c r="U639" s="3">
        <v>3291.05</v>
      </c>
      <c r="V639" s="3">
        <v>3062.63</v>
      </c>
      <c r="W639" s="3">
        <v>3034.35</v>
      </c>
      <c r="X639" s="3">
        <v>54651.53</v>
      </c>
      <c r="Y639" s="3">
        <v>35974.67</v>
      </c>
      <c r="Z639" s="3">
        <f t="shared" si="41"/>
        <v>19172.369999999995</v>
      </c>
      <c r="AA639" s="37">
        <f t="shared" si="42"/>
        <v>0.25970410666464377</v>
      </c>
      <c r="AB639" s="3">
        <v>5081.4399999999996</v>
      </c>
      <c r="AC639" s="3">
        <v>1476.48</v>
      </c>
      <c r="AD639" s="3">
        <v>13022.54</v>
      </c>
      <c r="AE639" s="3">
        <v>85369.95</v>
      </c>
      <c r="AF639" t="str">
        <f>IF(tbl_FinancialData[[#This Row],[City]]="","Unknown",PROPER(TRIM(tbl_FinancialData[[#This Row],[City]])))</f>
        <v>Siliguri</v>
      </c>
      <c r="AG639" t="str">
        <f>_xlfn.LET(_xlpm.city,LOWER(TRIM(tbl_FinancialData[[#This Row],[City]])),_xlpm.st,PROPER(TRIM(tbl_FinancialData[[#This Row],[State]])),IF(_xlpm.city="pune","Maharashtra",IF(_xlpm.city="jamshedpur","Jharkhand",IF(_xlpm.city="bhilai","Chhattisgarh",IF(_xlpm.city="mumbai","Maharashtra",_xlpm.st)))))</f>
        <v>West Bengal</v>
      </c>
      <c r="AH639" t="str">
        <f>_xlfn.LET(_xlpm.d,PROPER(TRIM(tbl_FinancialData[[#This Row],[Department]])),IF(_xlpm.d="It","IT",_xlpm.d))</f>
        <v>Operations</v>
      </c>
      <c r="AI639" t="str">
        <f>_xlfn.LET(_xlpm.pid,tbl_FinancialData[[#This Row],[Product ID]],_xlpm.n,PROPER(TRIM(tbl_FinancialData[[#This Row],[Product Name]])),IF(_xlpm.pid="P020","Document Scanner",IF(_xlpm.pid="P015","Network Router",SUBSTITUTE(SUBSTITUTE(_xlpm.n,"Crm","CRM"),"Ups","UPS"))))</f>
        <v>Printer</v>
      </c>
      <c r="AJ639" s="3" t="str">
        <f>UPPER(TRIM(tbl_FinancialData[[#This Row],[Cost Center]]))</f>
        <v>CC-1004</v>
      </c>
    </row>
    <row r="640" spans="1:36" x14ac:dyDescent="0.25">
      <c r="A640" s="3" t="s">
        <v>842</v>
      </c>
      <c r="B640" s="2">
        <v>45928</v>
      </c>
      <c r="C640" t="s">
        <v>46</v>
      </c>
      <c r="D640" s="3" t="str">
        <f t="shared" si="39"/>
        <v>Q2</v>
      </c>
      <c r="E640" s="3" t="str">
        <f t="shared" si="40"/>
        <v>FY2026</v>
      </c>
      <c r="F640" s="8" t="s">
        <v>85</v>
      </c>
      <c r="G640" s="3" t="s">
        <v>35</v>
      </c>
      <c r="H640" t="s">
        <v>60</v>
      </c>
      <c r="I640" t="s">
        <v>108</v>
      </c>
      <c r="J640" s="3" t="s">
        <v>70</v>
      </c>
      <c r="K640" t="s">
        <v>50</v>
      </c>
      <c r="L640" s="3" t="s">
        <v>51</v>
      </c>
      <c r="M640" s="3" t="s">
        <v>221</v>
      </c>
      <c r="N640" t="s">
        <v>222</v>
      </c>
      <c r="O640" t="s">
        <v>104</v>
      </c>
      <c r="P640" t="s">
        <v>223</v>
      </c>
      <c r="Q640" s="3">
        <v>8360.41</v>
      </c>
      <c r="R640" s="3">
        <v>8163.43</v>
      </c>
      <c r="S640" s="3">
        <v>4333.29</v>
      </c>
      <c r="T640" s="3">
        <v>555.25</v>
      </c>
      <c r="U640" s="3">
        <v>637.53</v>
      </c>
      <c r="V640" s="3">
        <v>446.24</v>
      </c>
      <c r="W640" s="3">
        <v>91.93</v>
      </c>
      <c r="X640" s="3">
        <v>6064.25</v>
      </c>
      <c r="Y640" s="3">
        <v>4027.12</v>
      </c>
      <c r="Z640" s="3">
        <f t="shared" si="41"/>
        <v>2296.16</v>
      </c>
      <c r="AA640" s="37">
        <f t="shared" si="42"/>
        <v>0.27464681756038278</v>
      </c>
      <c r="AB640" s="3">
        <v>196.98</v>
      </c>
      <c r="AC640" s="3">
        <v>418.02</v>
      </c>
      <c r="AD640" s="3">
        <v>1429.63</v>
      </c>
      <c r="AE640" s="3">
        <v>9372.02</v>
      </c>
      <c r="AF640" t="str">
        <f>IF(tbl_FinancialData[[#This Row],[City]]="","Unknown",PROPER(TRIM(tbl_FinancialData[[#This Row],[City]])))</f>
        <v>Agra</v>
      </c>
      <c r="AG640" t="str">
        <f>_xlfn.LET(_xlpm.city,LOWER(TRIM(tbl_FinancialData[[#This Row],[City]])),_xlpm.st,PROPER(TRIM(tbl_FinancialData[[#This Row],[State]])),IF(_xlpm.city="pune","Maharashtra",IF(_xlpm.city="jamshedpur","Jharkhand",IF(_xlpm.city="bhilai","Chhattisgarh",IF(_xlpm.city="mumbai","Maharashtra",_xlpm.st)))))</f>
        <v>Uttar Pradesh</v>
      </c>
      <c r="AH640" t="str">
        <f>_xlfn.LET(_xlpm.d,PROPER(TRIM(tbl_FinancialData[[#This Row],[Department]])),IF(_xlpm.d="It","IT",_xlpm.d))</f>
        <v>Sales</v>
      </c>
      <c r="AI640" t="str">
        <f>_xlfn.LET(_xlpm.pid,tbl_FinancialData[[#This Row],[Product ID]],_xlpm.n,PROPER(TRIM(tbl_FinancialData[[#This Row],[Product Name]])),IF(_xlpm.pid="P020","Document Scanner",IF(_xlpm.pid="P015","Network Router",SUBSTITUTE(SUBSTITUTE(_xlpm.n,"Crm","CRM"),"Ups","UPS"))))</f>
        <v>Cloud Software</v>
      </c>
      <c r="AJ640" s="3" t="str">
        <f>UPPER(TRIM(tbl_FinancialData[[#This Row],[Cost Center]]))</f>
        <v>CC-1003</v>
      </c>
    </row>
    <row r="641" spans="1:36" x14ac:dyDescent="0.25">
      <c r="A641" s="3" t="s">
        <v>843</v>
      </c>
      <c r="B641" s="2">
        <v>46050</v>
      </c>
      <c r="C641" t="s">
        <v>77</v>
      </c>
      <c r="D641" s="3" t="str">
        <f t="shared" si="39"/>
        <v>Q4</v>
      </c>
      <c r="E641" s="3" t="str">
        <f t="shared" si="40"/>
        <v>FY2026</v>
      </c>
      <c r="F641" s="8" t="s">
        <v>59</v>
      </c>
      <c r="G641" s="3" t="s">
        <v>35</v>
      </c>
      <c r="H641" t="s">
        <v>230</v>
      </c>
      <c r="I641" t="s">
        <v>301</v>
      </c>
      <c r="J641" s="3" t="s">
        <v>80</v>
      </c>
      <c r="K641" t="s">
        <v>160</v>
      </c>
      <c r="L641" s="3" t="s">
        <v>81</v>
      </c>
      <c r="M641" s="3" t="s">
        <v>197</v>
      </c>
      <c r="N641" t="s">
        <v>198</v>
      </c>
      <c r="O641" t="s">
        <v>43</v>
      </c>
      <c r="P641" t="s">
        <v>163</v>
      </c>
      <c r="Q641" s="3">
        <v>35358.089999999997</v>
      </c>
      <c r="R641" s="3">
        <v>38597.39</v>
      </c>
      <c r="S641" s="3">
        <v>19446.2</v>
      </c>
      <c r="T641" s="3">
        <v>2568.2600000000002</v>
      </c>
      <c r="U641" s="3">
        <v>1431.6</v>
      </c>
      <c r="V641" s="3">
        <v>3889.74</v>
      </c>
      <c r="W641" s="3">
        <v>1427.72</v>
      </c>
      <c r="X641" s="3">
        <v>28763.51</v>
      </c>
      <c r="Y641" s="3">
        <v>15911.9</v>
      </c>
      <c r="Z641" s="3">
        <f t="shared" si="41"/>
        <v>6594.5799999999981</v>
      </c>
      <c r="AA641" s="37">
        <f t="shared" si="42"/>
        <v>0.18650837757356234</v>
      </c>
      <c r="AB641" s="3">
        <v>-3239.3</v>
      </c>
      <c r="AC641" s="3">
        <v>1767.9</v>
      </c>
      <c r="AD641" s="3">
        <v>4030.82</v>
      </c>
      <c r="AE641" s="3">
        <v>37621.01</v>
      </c>
      <c r="AF641" t="str">
        <f>IF(tbl_FinancialData[[#This Row],[City]]="","Unknown",PROPER(TRIM(tbl_FinancialData[[#This Row],[City]])))</f>
        <v>Amritsar</v>
      </c>
      <c r="AG641" t="str">
        <f>_xlfn.LET(_xlpm.city,LOWER(TRIM(tbl_FinancialData[[#This Row],[City]])),_xlpm.st,PROPER(TRIM(tbl_FinancialData[[#This Row],[State]])),IF(_xlpm.city="pune","Maharashtra",IF(_xlpm.city="jamshedpur","Jharkhand",IF(_xlpm.city="bhilai","Chhattisgarh",IF(_xlpm.city="mumbai","Maharashtra",_xlpm.st)))))</f>
        <v>Punjab</v>
      </c>
      <c r="AH641" t="str">
        <f>_xlfn.LET(_xlpm.d,PROPER(TRIM(tbl_FinancialData[[#This Row],[Department]])),IF(_xlpm.d="It","IT",_xlpm.d))</f>
        <v>IT</v>
      </c>
      <c r="AI641" t="str">
        <f>_xlfn.LET(_xlpm.pid,tbl_FinancialData[[#This Row],[Product ID]],_xlpm.n,PROPER(TRIM(tbl_FinancialData[[#This Row],[Product Name]])),IF(_xlpm.pid="P020","Document Scanner",IF(_xlpm.pid="P015","Network Router",SUBSTITUTE(SUBSTITUTE(_xlpm.n,"Crm","CRM"),"Ups","UPS"))))</f>
        <v>Smartphone</v>
      </c>
      <c r="AJ641" s="3" t="str">
        <f>UPPER(TRIM(tbl_FinancialData[[#This Row],[Cost Center]]))</f>
        <v>CC-1005</v>
      </c>
    </row>
    <row r="642" spans="1:36" x14ac:dyDescent="0.25">
      <c r="A642" s="3" t="s">
        <v>844</v>
      </c>
      <c r="B642" s="2">
        <v>45998</v>
      </c>
      <c r="C642" t="s">
        <v>107</v>
      </c>
      <c r="D642" s="3" t="str">
        <f t="shared" ref="D642:D705" si="43">"Q"&amp;INT(MOD(MONTH(B642)-4,12)/3)+1</f>
        <v>Q3</v>
      </c>
      <c r="E642" s="3" t="str">
        <f t="shared" ref="E642:E705" si="44">"FY"&amp; (YEAR(B642)+(MONTH(B642)&gt;=4))</f>
        <v>FY2026</v>
      </c>
      <c r="F642" s="8" t="s">
        <v>34</v>
      </c>
      <c r="G642" s="3" t="s">
        <v>35</v>
      </c>
      <c r="H642" t="s">
        <v>98</v>
      </c>
      <c r="I642" t="s">
        <v>99</v>
      </c>
      <c r="J642" s="3" t="s">
        <v>80</v>
      </c>
      <c r="K642" t="s">
        <v>39</v>
      </c>
      <c r="L642" s="3" t="s">
        <v>51</v>
      </c>
      <c r="M642" s="3" t="s">
        <v>88</v>
      </c>
      <c r="N642" t="s">
        <v>89</v>
      </c>
      <c r="O642" t="s">
        <v>43</v>
      </c>
      <c r="P642" t="s">
        <v>90</v>
      </c>
      <c r="Q642" s="3">
        <v>61047.72</v>
      </c>
      <c r="R642" s="3">
        <v>67880.61</v>
      </c>
      <c r="S642" s="3">
        <v>34177.050000000003</v>
      </c>
      <c r="T642" s="3">
        <v>7112.87</v>
      </c>
      <c r="U642" s="3">
        <v>2615.7199999999998</v>
      </c>
      <c r="V642" s="3">
        <v>5108.96</v>
      </c>
      <c r="W642" s="3">
        <v>1067.74</v>
      </c>
      <c r="X642" s="3">
        <v>50082.34</v>
      </c>
      <c r="Y642" s="3">
        <v>26870.67</v>
      </c>
      <c r="Z642" s="3">
        <f t="shared" si="41"/>
        <v>10965.380000000005</v>
      </c>
      <c r="AA642" s="37">
        <f t="shared" si="42"/>
        <v>0.17961981217316558</v>
      </c>
      <c r="AB642" s="3">
        <v>-6832.89</v>
      </c>
      <c r="AC642" s="3">
        <v>1831.43</v>
      </c>
      <c r="AD642" s="3">
        <v>7105.95</v>
      </c>
      <c r="AE642" s="3">
        <v>66322.25</v>
      </c>
      <c r="AF642" t="str">
        <f>IF(tbl_FinancialData[[#This Row],[City]]="","Unknown",PROPER(TRIM(tbl_FinancialData[[#This Row],[City]])))</f>
        <v>Mumbai</v>
      </c>
      <c r="AG642" t="str">
        <f>_xlfn.LET(_xlpm.city,LOWER(TRIM(tbl_FinancialData[[#This Row],[City]])),_xlpm.st,PROPER(TRIM(tbl_FinancialData[[#This Row],[State]])),IF(_xlpm.city="pune","Maharashtra",IF(_xlpm.city="jamshedpur","Jharkhand",IF(_xlpm.city="bhilai","Chhattisgarh",IF(_xlpm.city="mumbai","Maharashtra",_xlpm.st)))))</f>
        <v>Maharashtra</v>
      </c>
      <c r="AH642" t="str">
        <f>_xlfn.LET(_xlpm.d,PROPER(TRIM(tbl_FinancialData[[#This Row],[Department]])),IF(_xlpm.d="It","IT",_xlpm.d))</f>
        <v>Operations</v>
      </c>
      <c r="AI642" t="str">
        <f>_xlfn.LET(_xlpm.pid,tbl_FinancialData[[#This Row],[Product ID]],_xlpm.n,PROPER(TRIM(tbl_FinancialData[[#This Row],[Product Name]])),IF(_xlpm.pid="P020","Document Scanner",IF(_xlpm.pid="P015","Network Router",SUBSTITUTE(SUBSTITUTE(_xlpm.n,"Crm","CRM"),"Ups","UPS"))))</f>
        <v>Printer</v>
      </c>
      <c r="AJ642" s="3" t="str">
        <f>UPPER(TRIM(tbl_FinancialData[[#This Row],[Cost Center]]))</f>
        <v>CC-1003</v>
      </c>
    </row>
    <row r="643" spans="1:36" x14ac:dyDescent="0.25">
      <c r="A643" s="3" t="s">
        <v>845</v>
      </c>
      <c r="B643" s="2">
        <v>46009</v>
      </c>
      <c r="C643" t="s">
        <v>107</v>
      </c>
      <c r="D643" s="3" t="str">
        <f t="shared" si="43"/>
        <v>Q3</v>
      </c>
      <c r="E643" s="3" t="str">
        <f t="shared" si="44"/>
        <v>FY2026</v>
      </c>
      <c r="F643" s="8" t="s">
        <v>67</v>
      </c>
      <c r="G643" s="3" t="s">
        <v>35</v>
      </c>
      <c r="H643" t="s">
        <v>168</v>
      </c>
      <c r="I643" t="s">
        <v>251</v>
      </c>
      <c r="J643" s="3" t="s">
        <v>80</v>
      </c>
      <c r="K643" t="s">
        <v>50</v>
      </c>
      <c r="L643" s="3" t="s">
        <v>94</v>
      </c>
      <c r="M643" s="3" t="s">
        <v>73</v>
      </c>
      <c r="N643" t="s">
        <v>74</v>
      </c>
      <c r="O643" t="s">
        <v>43</v>
      </c>
      <c r="P643" t="s">
        <v>75</v>
      </c>
      <c r="Q643" s="3">
        <v>45857.71</v>
      </c>
      <c r="R643" s="3">
        <v>40911.79</v>
      </c>
      <c r="S643" s="3">
        <v>26445.84</v>
      </c>
      <c r="T643" s="3">
        <v>5723.84</v>
      </c>
      <c r="U643" s="3">
        <v>1181.51</v>
      </c>
      <c r="V643" s="3">
        <v>3991.04</v>
      </c>
      <c r="W643" s="3">
        <v>1263.33</v>
      </c>
      <c r="X643" s="3">
        <v>38605.56</v>
      </c>
      <c r="Y643" s="3">
        <v>19411.87</v>
      </c>
      <c r="Z643" s="3">
        <f t="shared" ref="Z643:Z706" si="45">Q643-X643</f>
        <v>7252.1500000000015</v>
      </c>
      <c r="AA643" s="37">
        <f t="shared" ref="AA643:AA706" si="46">Z643/Q643</f>
        <v>0.1581446173391563</v>
      </c>
      <c r="AB643" s="3">
        <v>4945.92</v>
      </c>
      <c r="AC643" s="3">
        <v>3668.62</v>
      </c>
      <c r="AD643" s="3">
        <v>2109.4499999999998</v>
      </c>
      <c r="AE643" s="3">
        <v>44298.54</v>
      </c>
      <c r="AF643" t="str">
        <f>IF(tbl_FinancialData[[#This Row],[City]]="","Unknown",PROPER(TRIM(tbl_FinancialData[[#This Row],[City]])))</f>
        <v>Durgapur</v>
      </c>
      <c r="AG643" t="str">
        <f>_xlfn.LET(_xlpm.city,LOWER(TRIM(tbl_FinancialData[[#This Row],[City]])),_xlpm.st,PROPER(TRIM(tbl_FinancialData[[#This Row],[State]])),IF(_xlpm.city="pune","Maharashtra",IF(_xlpm.city="jamshedpur","Jharkhand",IF(_xlpm.city="bhilai","Chhattisgarh",IF(_xlpm.city="mumbai","Maharashtra",_xlpm.st)))))</f>
        <v>West Bengal</v>
      </c>
      <c r="AH643" t="str">
        <f>_xlfn.LET(_xlpm.d,PROPER(TRIM(tbl_FinancialData[[#This Row],[Department]])),IF(_xlpm.d="It","IT",_xlpm.d))</f>
        <v>Sales</v>
      </c>
      <c r="AI643" t="str">
        <f>_xlfn.LET(_xlpm.pid,tbl_FinancialData[[#This Row],[Product ID]],_xlpm.n,PROPER(TRIM(tbl_FinancialData[[#This Row],[Product Name]])),IF(_xlpm.pid="P020","Document Scanner",IF(_xlpm.pid="P015","Network Router",SUBSTITUTE(SUBSTITUTE(_xlpm.n,"Crm","CRM"),"Ups","UPS"))))</f>
        <v>Monitor</v>
      </c>
      <c r="AJ643" s="3" t="str">
        <f>UPPER(TRIM(tbl_FinancialData[[#This Row],[Cost Center]]))</f>
        <v>CC-1001</v>
      </c>
    </row>
    <row r="644" spans="1:36" x14ac:dyDescent="0.25">
      <c r="A644" s="3" t="s">
        <v>846</v>
      </c>
      <c r="B644" s="2">
        <v>46103</v>
      </c>
      <c r="C644" t="s">
        <v>125</v>
      </c>
      <c r="D644" s="3" t="str">
        <f t="shared" si="43"/>
        <v>Q4</v>
      </c>
      <c r="E644" s="3" t="str">
        <f t="shared" si="44"/>
        <v>FY2026</v>
      </c>
      <c r="F644" s="8" t="s">
        <v>47</v>
      </c>
      <c r="G644" s="3" t="s">
        <v>35</v>
      </c>
      <c r="H644" t="s">
        <v>78</v>
      </c>
      <c r="I644" t="s">
        <v>79</v>
      </c>
      <c r="J644" s="3" t="s">
        <v>80</v>
      </c>
      <c r="K644" t="s">
        <v>160</v>
      </c>
      <c r="L644" s="3" t="s">
        <v>72</v>
      </c>
      <c r="M644" s="3" t="s">
        <v>88</v>
      </c>
      <c r="N644" t="s">
        <v>89</v>
      </c>
      <c r="O644" t="s">
        <v>43</v>
      </c>
      <c r="P644" t="s">
        <v>90</v>
      </c>
      <c r="Q644" s="3">
        <v>81887.570000000007</v>
      </c>
      <c r="R644" s="3">
        <v>73387.62</v>
      </c>
      <c r="S644" s="3">
        <v>46387.43</v>
      </c>
      <c r="T644" s="3">
        <v>9421.2900000000009</v>
      </c>
      <c r="U644" s="3">
        <v>5302.42</v>
      </c>
      <c r="V644" s="3">
        <v>8379.35</v>
      </c>
      <c r="W644" s="3">
        <v>2879.67</v>
      </c>
      <c r="X644" s="3">
        <v>72370.16</v>
      </c>
      <c r="Y644" s="3">
        <v>35500.14</v>
      </c>
      <c r="Z644" s="3">
        <f t="shared" si="45"/>
        <v>9517.4100000000035</v>
      </c>
      <c r="AA644" s="37">
        <f t="shared" si="46"/>
        <v>0.11622533187881876</v>
      </c>
      <c r="AB644" s="3">
        <v>8499.9500000000007</v>
      </c>
      <c r="AC644" s="3">
        <v>2456.63</v>
      </c>
      <c r="AD644" s="3">
        <v>3971.55</v>
      </c>
      <c r="AE644" s="3">
        <v>83402.490000000005</v>
      </c>
      <c r="AF644" t="str">
        <f>IF(tbl_FinancialData[[#This Row],[City]]="","Unknown",PROPER(TRIM(tbl_FinancialData[[#This Row],[City]])))</f>
        <v>Kochi</v>
      </c>
      <c r="AG644" t="str">
        <f>_xlfn.LET(_xlpm.city,LOWER(TRIM(tbl_FinancialData[[#This Row],[City]])),_xlpm.st,PROPER(TRIM(tbl_FinancialData[[#This Row],[State]])),IF(_xlpm.city="pune","Maharashtra",IF(_xlpm.city="jamshedpur","Jharkhand",IF(_xlpm.city="bhilai","Chhattisgarh",IF(_xlpm.city="mumbai","Maharashtra",_xlpm.st)))))</f>
        <v>Kerala</v>
      </c>
      <c r="AH644" t="str">
        <f>_xlfn.LET(_xlpm.d,PROPER(TRIM(tbl_FinancialData[[#This Row],[Department]])),IF(_xlpm.d="It","IT",_xlpm.d))</f>
        <v>IT</v>
      </c>
      <c r="AI644" t="str">
        <f>_xlfn.LET(_xlpm.pid,tbl_FinancialData[[#This Row],[Product ID]],_xlpm.n,PROPER(TRIM(tbl_FinancialData[[#This Row],[Product Name]])),IF(_xlpm.pid="P020","Document Scanner",IF(_xlpm.pid="P015","Network Router",SUBSTITUTE(SUBSTITUTE(_xlpm.n,"Crm","CRM"),"Ups","UPS"))))</f>
        <v>Printer</v>
      </c>
      <c r="AJ644" s="3" t="str">
        <f>UPPER(TRIM(tbl_FinancialData[[#This Row],[Cost Center]]))</f>
        <v>CC-1004</v>
      </c>
    </row>
    <row r="645" spans="1:36" x14ac:dyDescent="0.25">
      <c r="A645" s="3" t="s">
        <v>847</v>
      </c>
      <c r="B645" s="2">
        <v>45863</v>
      </c>
      <c r="C645" t="s">
        <v>32</v>
      </c>
      <c r="D645" s="3" t="str">
        <f t="shared" si="43"/>
        <v>Q2</v>
      </c>
      <c r="E645" s="3" t="str">
        <f t="shared" si="44"/>
        <v>FY2026</v>
      </c>
      <c r="F645" s="8" t="s">
        <v>59</v>
      </c>
      <c r="G645" s="3" t="s">
        <v>35</v>
      </c>
      <c r="H645" t="s">
        <v>254</v>
      </c>
      <c r="I645" t="s">
        <v>314</v>
      </c>
      <c r="J645" s="3" t="s">
        <v>100</v>
      </c>
      <c r="K645" t="s">
        <v>101</v>
      </c>
      <c r="L645" s="3" t="s">
        <v>40</v>
      </c>
      <c r="M645" s="3" t="s">
        <v>186</v>
      </c>
      <c r="N645" t="s">
        <v>187</v>
      </c>
      <c r="O645" t="s">
        <v>173</v>
      </c>
      <c r="P645" t="s">
        <v>174</v>
      </c>
      <c r="Q645" s="3">
        <v>23703.21</v>
      </c>
      <c r="R645" s="3">
        <v>25603.35</v>
      </c>
      <c r="S645" s="3">
        <v>17017.57</v>
      </c>
      <c r="T645" s="3">
        <v>2537.61</v>
      </c>
      <c r="U645" s="3">
        <v>845.3</v>
      </c>
      <c r="V645" s="3">
        <v>2760.04</v>
      </c>
      <c r="W645" s="3">
        <v>791.03</v>
      </c>
      <c r="X645" s="3">
        <v>23951.54</v>
      </c>
      <c r="Y645" s="3">
        <v>6685.64</v>
      </c>
      <c r="Z645" s="3">
        <f t="shared" si="45"/>
        <v>-248.33000000000175</v>
      </c>
      <c r="AA645" s="37">
        <f t="shared" si="46"/>
        <v>-1.0476640083769318E-2</v>
      </c>
      <c r="AB645" s="3">
        <v>-1900.14</v>
      </c>
      <c r="AC645" s="3">
        <v>0</v>
      </c>
      <c r="AD645" s="3">
        <v>4266.58</v>
      </c>
      <c r="AE645" s="3">
        <v>27969.79</v>
      </c>
      <c r="AF645" t="str">
        <f>IF(tbl_FinancialData[[#This Row],[City]]="","Unknown",PROPER(TRIM(tbl_FinancialData[[#This Row],[City]])))</f>
        <v>New Delhi</v>
      </c>
      <c r="AG645" t="str">
        <f>_xlfn.LET(_xlpm.city,LOWER(TRIM(tbl_FinancialData[[#This Row],[City]])),_xlpm.st,PROPER(TRIM(tbl_FinancialData[[#This Row],[State]])),IF(_xlpm.city="pune","Maharashtra",IF(_xlpm.city="jamshedpur","Jharkhand",IF(_xlpm.city="bhilai","Chhattisgarh",IF(_xlpm.city="mumbai","Maharashtra",_xlpm.st)))))</f>
        <v>Delhi</v>
      </c>
      <c r="AH645" t="str">
        <f>_xlfn.LET(_xlpm.d,PROPER(TRIM(tbl_FinancialData[[#This Row],[Department]])),IF(_xlpm.d="It","IT",_xlpm.d))</f>
        <v>Finance</v>
      </c>
      <c r="AI645" t="str">
        <f>_xlfn.LET(_xlpm.pid,tbl_FinancialData[[#This Row],[Product ID]],_xlpm.n,PROPER(TRIM(tbl_FinancialData[[#This Row],[Product Name]])),IF(_xlpm.pid="P020","Document Scanner",IF(_xlpm.pid="P015","Network Router",SUBSTITUTE(SUBSTITUTE(_xlpm.n,"Crm","CRM"),"Ups","UPS"))))</f>
        <v>Network Router</v>
      </c>
      <c r="AJ645" s="3" t="str">
        <f>UPPER(TRIM(tbl_FinancialData[[#This Row],[Cost Center]]))</f>
        <v>CC-1002</v>
      </c>
    </row>
    <row r="646" spans="1:36" x14ac:dyDescent="0.25">
      <c r="A646" s="3" t="s">
        <v>848</v>
      </c>
      <c r="B646" s="2">
        <v>46014</v>
      </c>
      <c r="C646" t="s">
        <v>107</v>
      </c>
      <c r="D646" s="3" t="str">
        <f t="shared" si="43"/>
        <v>Q3</v>
      </c>
      <c r="E646" s="3" t="str">
        <f t="shared" si="44"/>
        <v>FY2026</v>
      </c>
      <c r="F646" s="8" t="s">
        <v>47</v>
      </c>
      <c r="G646" s="3" t="s">
        <v>35</v>
      </c>
      <c r="H646" t="s">
        <v>78</v>
      </c>
      <c r="I646" t="s">
        <v>115</v>
      </c>
      <c r="J646" s="3" t="s">
        <v>100</v>
      </c>
      <c r="K646" t="s">
        <v>71</v>
      </c>
      <c r="L646" s="3" t="s">
        <v>72</v>
      </c>
      <c r="M646" s="3" t="s">
        <v>130</v>
      </c>
      <c r="N646" t="s">
        <v>131</v>
      </c>
      <c r="O646" t="s">
        <v>43</v>
      </c>
      <c r="P646" t="s">
        <v>132</v>
      </c>
      <c r="Q646" s="3">
        <v>27109.09</v>
      </c>
      <c r="R646" s="3">
        <v>30733.24</v>
      </c>
      <c r="S646" s="3">
        <v>18941.02</v>
      </c>
      <c r="T646" s="3">
        <v>3135.17</v>
      </c>
      <c r="U646" s="3">
        <v>903.19</v>
      </c>
      <c r="V646" s="3">
        <v>3248.57</v>
      </c>
      <c r="W646" s="3">
        <v>516.44000000000005</v>
      </c>
      <c r="X646" s="3">
        <v>26744.38</v>
      </c>
      <c r="Y646" s="3">
        <v>8168.07</v>
      </c>
      <c r="Z646" s="3">
        <f t="shared" si="45"/>
        <v>364.70999999999913</v>
      </c>
      <c r="AA646" s="37">
        <f t="shared" si="46"/>
        <v>1.3453420974293093E-2</v>
      </c>
      <c r="AB646" s="3">
        <v>-3624.16</v>
      </c>
      <c r="AC646" s="3">
        <v>1355.45</v>
      </c>
      <c r="AD646" s="3">
        <v>4635.6499999999996</v>
      </c>
      <c r="AE646" s="3">
        <v>30389.29</v>
      </c>
      <c r="AF646" t="str">
        <f>IF(tbl_FinancialData[[#This Row],[City]]="","Unknown",PROPER(TRIM(tbl_FinancialData[[#This Row],[City]])))</f>
        <v>Thiruvananthapuram</v>
      </c>
      <c r="AG646" t="str">
        <f>_xlfn.LET(_xlpm.city,LOWER(TRIM(tbl_FinancialData[[#This Row],[City]])),_xlpm.st,PROPER(TRIM(tbl_FinancialData[[#This Row],[State]])),IF(_xlpm.city="pune","Maharashtra",IF(_xlpm.city="jamshedpur","Jharkhand",IF(_xlpm.city="bhilai","Chhattisgarh",IF(_xlpm.city="mumbai","Maharashtra",_xlpm.st)))))</f>
        <v>Kerala</v>
      </c>
      <c r="AH646" t="str">
        <f>_xlfn.LET(_xlpm.d,PROPER(TRIM(tbl_FinancialData[[#This Row],[Department]])),IF(_xlpm.d="It","IT",_xlpm.d))</f>
        <v>Marketing</v>
      </c>
      <c r="AI646" t="str">
        <f>_xlfn.LET(_xlpm.pid,tbl_FinancialData[[#This Row],[Product ID]],_xlpm.n,PROPER(TRIM(tbl_FinancialData[[#This Row],[Product Name]])),IF(_xlpm.pid="P020","Document Scanner",IF(_xlpm.pid="P015","Network Router",SUBSTITUTE(SUBSTITUTE(_xlpm.n,"Crm","CRM"),"Ups","UPS"))))</f>
        <v>UPS System</v>
      </c>
      <c r="AJ646" s="3" t="str">
        <f>UPPER(TRIM(tbl_FinancialData[[#This Row],[Cost Center]]))</f>
        <v>CC-1004</v>
      </c>
    </row>
    <row r="647" spans="1:36" x14ac:dyDescent="0.25">
      <c r="A647" s="3" t="s">
        <v>849</v>
      </c>
      <c r="B647" s="2">
        <v>46098</v>
      </c>
      <c r="C647" t="s">
        <v>125</v>
      </c>
      <c r="D647" s="3" t="str">
        <f t="shared" si="43"/>
        <v>Q4</v>
      </c>
      <c r="E647" s="3" t="str">
        <f t="shared" si="44"/>
        <v>FY2026</v>
      </c>
      <c r="F647" s="8" t="s">
        <v>85</v>
      </c>
      <c r="G647" s="3" t="s">
        <v>35</v>
      </c>
      <c r="H647" t="s">
        <v>178</v>
      </c>
      <c r="I647" t="s">
        <v>249</v>
      </c>
      <c r="J647" s="3" t="s">
        <v>80</v>
      </c>
      <c r="K647" t="s">
        <v>160</v>
      </c>
      <c r="L647" s="3" t="s">
        <v>94</v>
      </c>
      <c r="M647" s="3" t="s">
        <v>141</v>
      </c>
      <c r="N647" t="s">
        <v>142</v>
      </c>
      <c r="O647" t="s">
        <v>54</v>
      </c>
      <c r="P647" t="s">
        <v>143</v>
      </c>
      <c r="Q647" s="3">
        <v>5546.97</v>
      </c>
      <c r="R647" s="3">
        <v>5253.25</v>
      </c>
      <c r="S647" s="3">
        <v>3601.89</v>
      </c>
      <c r="T647" s="3">
        <v>362.02</v>
      </c>
      <c r="U647" s="3">
        <v>338</v>
      </c>
      <c r="V647" s="3">
        <v>334.26</v>
      </c>
      <c r="W647" s="3">
        <v>241</v>
      </c>
      <c r="X647" s="3">
        <v>4877.17</v>
      </c>
      <c r="Y647" s="3">
        <v>1945.08</v>
      </c>
      <c r="Z647" s="3">
        <f t="shared" si="45"/>
        <v>669.80000000000018</v>
      </c>
      <c r="AA647" s="37">
        <f t="shared" si="46"/>
        <v>0.12075060798958713</v>
      </c>
      <c r="AB647" s="3">
        <v>293.72000000000003</v>
      </c>
      <c r="AC647" s="3">
        <v>0</v>
      </c>
      <c r="AD647" s="3">
        <v>277.35000000000002</v>
      </c>
      <c r="AE647" s="3">
        <v>5824.32</v>
      </c>
      <c r="AF647" t="str">
        <f>IF(tbl_FinancialData[[#This Row],[City]]="","Unknown",PROPER(TRIM(tbl_FinancialData[[#This Row],[City]])))</f>
        <v>Bhilai</v>
      </c>
      <c r="AG647" t="str">
        <f>_xlfn.LET(_xlpm.city,LOWER(TRIM(tbl_FinancialData[[#This Row],[City]])),_xlpm.st,PROPER(TRIM(tbl_FinancialData[[#This Row],[State]])),IF(_xlpm.city="pune","Maharashtra",IF(_xlpm.city="jamshedpur","Jharkhand",IF(_xlpm.city="bhilai","Chhattisgarh",IF(_xlpm.city="mumbai","Maharashtra",_xlpm.st)))))</f>
        <v>Chhattisgarh</v>
      </c>
      <c r="AH647" t="str">
        <f>_xlfn.LET(_xlpm.d,PROPER(TRIM(tbl_FinancialData[[#This Row],[Department]])),IF(_xlpm.d="It","IT",_xlpm.d))</f>
        <v>IT</v>
      </c>
      <c r="AI647" t="str">
        <f>_xlfn.LET(_xlpm.pid,tbl_FinancialData[[#This Row],[Product ID]],_xlpm.n,PROPER(TRIM(tbl_FinancialData[[#This Row],[Product Name]])),IF(_xlpm.pid="P020","Document Scanner",IF(_xlpm.pid="P015","Network Router",SUBSTITUTE(SUBSTITUTE(_xlpm.n,"Crm","CRM"),"Ups","UPS"))))</f>
        <v>Headset</v>
      </c>
      <c r="AJ647" s="3" t="str">
        <f>UPPER(TRIM(tbl_FinancialData[[#This Row],[Cost Center]]))</f>
        <v>CC-1001</v>
      </c>
    </row>
    <row r="648" spans="1:36" x14ac:dyDescent="0.25">
      <c r="A648" s="3" t="s">
        <v>850</v>
      </c>
      <c r="B648" s="2">
        <v>46106</v>
      </c>
      <c r="C648" t="s">
        <v>125</v>
      </c>
      <c r="D648" s="3" t="str">
        <f t="shared" si="43"/>
        <v>Q4</v>
      </c>
      <c r="E648" s="3" t="str">
        <f t="shared" si="44"/>
        <v>FY2026</v>
      </c>
      <c r="F648" s="8" t="s">
        <v>59</v>
      </c>
      <c r="G648" s="3" t="s">
        <v>35</v>
      </c>
      <c r="H648" t="s">
        <v>254</v>
      </c>
      <c r="I648" t="s">
        <v>314</v>
      </c>
      <c r="J648" s="3" t="s">
        <v>70</v>
      </c>
      <c r="K648" t="s">
        <v>39</v>
      </c>
      <c r="L648" s="3" t="s">
        <v>40</v>
      </c>
      <c r="M648" s="3" t="s">
        <v>189</v>
      </c>
      <c r="N648" t="s">
        <v>190</v>
      </c>
      <c r="O648" t="s">
        <v>104</v>
      </c>
      <c r="P648" t="s">
        <v>105</v>
      </c>
      <c r="Q648" s="3">
        <v>8219.67</v>
      </c>
      <c r="R648" s="3">
        <v>7643.67</v>
      </c>
      <c r="S648" s="3">
        <v>5496.73</v>
      </c>
      <c r="T648" s="3">
        <v>575.41</v>
      </c>
      <c r="U648" s="3">
        <v>428.31</v>
      </c>
      <c r="V648" s="3">
        <v>559.25</v>
      </c>
      <c r="W648" s="3">
        <v>329.27</v>
      </c>
      <c r="X648" s="3">
        <v>7388.97</v>
      </c>
      <c r="Y648" s="3">
        <v>2722.95</v>
      </c>
      <c r="Z648" s="3">
        <f t="shared" si="45"/>
        <v>830.69999999999982</v>
      </c>
      <c r="AA648" s="37">
        <f t="shared" si="46"/>
        <v>0.10106245141228296</v>
      </c>
      <c r="AB648" s="3">
        <v>576</v>
      </c>
      <c r="AC648" s="3">
        <v>0</v>
      </c>
      <c r="AD648" s="3">
        <v>986.36</v>
      </c>
      <c r="AE648" s="3">
        <v>9206.0300000000007</v>
      </c>
      <c r="AF648" t="str">
        <f>IF(tbl_FinancialData[[#This Row],[City]]="","Unknown",PROPER(TRIM(tbl_FinancialData[[#This Row],[City]])))</f>
        <v>New Delhi</v>
      </c>
      <c r="AG648" t="str">
        <f>_xlfn.LET(_xlpm.city,LOWER(TRIM(tbl_FinancialData[[#This Row],[City]])),_xlpm.st,PROPER(TRIM(tbl_FinancialData[[#This Row],[State]])),IF(_xlpm.city="pune","Maharashtra",IF(_xlpm.city="jamshedpur","Jharkhand",IF(_xlpm.city="bhilai","Chhattisgarh",IF(_xlpm.city="mumbai","Maharashtra",_xlpm.st)))))</f>
        <v>Delhi</v>
      </c>
      <c r="AH648" t="str">
        <f>_xlfn.LET(_xlpm.d,PROPER(TRIM(tbl_FinancialData[[#This Row],[Department]])),IF(_xlpm.d="It","IT",_xlpm.d))</f>
        <v>Operations</v>
      </c>
      <c r="AI648" t="str">
        <f>_xlfn.LET(_xlpm.pid,tbl_FinancialData[[#This Row],[Product ID]],_xlpm.n,PROPER(TRIM(tbl_FinancialData[[#This Row],[Product Name]])),IF(_xlpm.pid="P020","Document Scanner",IF(_xlpm.pid="P015","Network Router",SUBSTITUTE(SUBSTITUTE(_xlpm.n,"Crm","CRM"),"Ups","UPS"))))</f>
        <v>CRM Software</v>
      </c>
      <c r="AJ648" s="3" t="str">
        <f>UPPER(TRIM(tbl_FinancialData[[#This Row],[Cost Center]]))</f>
        <v>CC-1002</v>
      </c>
    </row>
    <row r="649" spans="1:36" x14ac:dyDescent="0.25">
      <c r="A649" s="3" t="s">
        <v>851</v>
      </c>
      <c r="B649" s="2">
        <v>45841</v>
      </c>
      <c r="C649" t="s">
        <v>32</v>
      </c>
      <c r="D649" s="3" t="str">
        <f t="shared" si="43"/>
        <v>Q2</v>
      </c>
      <c r="E649" s="3" t="str">
        <f t="shared" si="44"/>
        <v>FY2026</v>
      </c>
      <c r="F649" s="8" t="s">
        <v>67</v>
      </c>
      <c r="G649" s="3" t="s">
        <v>35</v>
      </c>
      <c r="H649" t="s">
        <v>118</v>
      </c>
      <c r="I649" t="s">
        <v>119</v>
      </c>
      <c r="J649" s="3" t="s">
        <v>100</v>
      </c>
      <c r="K649" t="s">
        <v>71</v>
      </c>
      <c r="L649" s="3" t="s">
        <v>40</v>
      </c>
      <c r="M649" s="3" t="s">
        <v>141</v>
      </c>
      <c r="N649" t="s">
        <v>142</v>
      </c>
      <c r="O649" t="s">
        <v>54</v>
      </c>
      <c r="P649" t="s">
        <v>143</v>
      </c>
      <c r="Q649" s="3">
        <v>5487.75</v>
      </c>
      <c r="R649" s="3">
        <v>5781.34</v>
      </c>
      <c r="S649" s="3">
        <v>3541.88</v>
      </c>
      <c r="T649" s="3">
        <v>321.31</v>
      </c>
      <c r="U649" s="3">
        <v>430.09</v>
      </c>
      <c r="V649" s="3">
        <v>410.71</v>
      </c>
      <c r="W649" s="3">
        <v>68.77</v>
      </c>
      <c r="X649" s="3">
        <v>4772.76</v>
      </c>
      <c r="Y649" s="3">
        <v>1945.87</v>
      </c>
      <c r="Z649" s="3">
        <f t="shared" si="45"/>
        <v>714.98999999999978</v>
      </c>
      <c r="AA649" s="37">
        <f t="shared" si="46"/>
        <v>0.13028836955036213</v>
      </c>
      <c r="AB649" s="3">
        <v>-293.58999999999997</v>
      </c>
      <c r="AC649" s="3">
        <v>439.02</v>
      </c>
      <c r="AD649" s="3">
        <v>605.85</v>
      </c>
      <c r="AE649" s="3">
        <v>5654.58</v>
      </c>
      <c r="AF649" t="str">
        <f>IF(tbl_FinancialData[[#This Row],[City]]="","Unknown",PROPER(TRIM(tbl_FinancialData[[#This Row],[City]])))</f>
        <v>Ranchi</v>
      </c>
      <c r="AG649" t="str">
        <f>_xlfn.LET(_xlpm.city,LOWER(TRIM(tbl_FinancialData[[#This Row],[City]])),_xlpm.st,PROPER(TRIM(tbl_FinancialData[[#This Row],[State]])),IF(_xlpm.city="pune","Maharashtra",IF(_xlpm.city="jamshedpur","Jharkhand",IF(_xlpm.city="bhilai","Chhattisgarh",IF(_xlpm.city="mumbai","Maharashtra",_xlpm.st)))))</f>
        <v>Jharkhand</v>
      </c>
      <c r="AH649" t="str">
        <f>_xlfn.LET(_xlpm.d,PROPER(TRIM(tbl_FinancialData[[#This Row],[Department]])),IF(_xlpm.d="It","IT",_xlpm.d))</f>
        <v>Marketing</v>
      </c>
      <c r="AI649" t="str">
        <f>_xlfn.LET(_xlpm.pid,tbl_FinancialData[[#This Row],[Product ID]],_xlpm.n,PROPER(TRIM(tbl_FinancialData[[#This Row],[Product Name]])),IF(_xlpm.pid="P020","Document Scanner",IF(_xlpm.pid="P015","Network Router",SUBSTITUTE(SUBSTITUTE(_xlpm.n,"Crm","CRM"),"Ups","UPS"))))</f>
        <v>Headset</v>
      </c>
      <c r="AJ649" s="3" t="str">
        <f>UPPER(TRIM(tbl_FinancialData[[#This Row],[Cost Center]]))</f>
        <v>CC-1002</v>
      </c>
    </row>
    <row r="650" spans="1:36" x14ac:dyDescent="0.25">
      <c r="A650" s="3" t="s">
        <v>852</v>
      </c>
      <c r="B650" s="2">
        <v>46041</v>
      </c>
      <c r="C650" t="s">
        <v>77</v>
      </c>
      <c r="D650" s="3" t="str">
        <f t="shared" si="43"/>
        <v>Q4</v>
      </c>
      <c r="E650" s="3" t="str">
        <f t="shared" si="44"/>
        <v>FY2026</v>
      </c>
      <c r="F650" s="8" t="s">
        <v>59</v>
      </c>
      <c r="G650" s="3" t="s">
        <v>35</v>
      </c>
      <c r="H650" t="s">
        <v>139</v>
      </c>
      <c r="I650" t="s">
        <v>140</v>
      </c>
      <c r="J650" s="3" t="s">
        <v>100</v>
      </c>
      <c r="K650" t="s">
        <v>160</v>
      </c>
      <c r="L650" s="3" t="s">
        <v>51</v>
      </c>
      <c r="M650" s="3" t="s">
        <v>141</v>
      </c>
      <c r="N650" t="s">
        <v>142</v>
      </c>
      <c r="O650" t="s">
        <v>54</v>
      </c>
      <c r="P650" t="s">
        <v>143</v>
      </c>
      <c r="Q650" s="3">
        <v>3971.21</v>
      </c>
      <c r="R650" s="3">
        <v>4028.48</v>
      </c>
      <c r="S650" s="3">
        <v>2236.11</v>
      </c>
      <c r="T650" s="3">
        <v>306.02999999999997</v>
      </c>
      <c r="U650" s="3">
        <v>307.87</v>
      </c>
      <c r="V650" s="3">
        <v>198.4</v>
      </c>
      <c r="W650" s="3">
        <v>174.62</v>
      </c>
      <c r="X650" s="3">
        <v>3223.04</v>
      </c>
      <c r="Y650" s="3">
        <v>1735.09</v>
      </c>
      <c r="Z650" s="3">
        <f t="shared" si="45"/>
        <v>748.17000000000007</v>
      </c>
      <c r="AA650" s="37">
        <f t="shared" si="46"/>
        <v>0.18839849819072779</v>
      </c>
      <c r="AB650" s="3">
        <v>-57.27</v>
      </c>
      <c r="AC650" s="3">
        <v>198.56</v>
      </c>
      <c r="AD650" s="3">
        <v>188.63</v>
      </c>
      <c r="AE650" s="3">
        <v>3961.28</v>
      </c>
      <c r="AF650" t="str">
        <f>IF(tbl_FinancialData[[#This Row],[City]]="","Unknown",PROPER(TRIM(tbl_FinancialData[[#This Row],[City]])))</f>
        <v>Faridabad</v>
      </c>
      <c r="AG650" t="str">
        <f>_xlfn.LET(_xlpm.city,LOWER(TRIM(tbl_FinancialData[[#This Row],[City]])),_xlpm.st,PROPER(TRIM(tbl_FinancialData[[#This Row],[State]])),IF(_xlpm.city="pune","Maharashtra",IF(_xlpm.city="jamshedpur","Jharkhand",IF(_xlpm.city="bhilai","Chhattisgarh",IF(_xlpm.city="mumbai","Maharashtra",_xlpm.st)))))</f>
        <v>Haryana</v>
      </c>
      <c r="AH650" t="str">
        <f>_xlfn.LET(_xlpm.d,PROPER(TRIM(tbl_FinancialData[[#This Row],[Department]])),IF(_xlpm.d="It","IT",_xlpm.d))</f>
        <v>IT</v>
      </c>
      <c r="AI650" t="str">
        <f>_xlfn.LET(_xlpm.pid,tbl_FinancialData[[#This Row],[Product ID]],_xlpm.n,PROPER(TRIM(tbl_FinancialData[[#This Row],[Product Name]])),IF(_xlpm.pid="P020","Document Scanner",IF(_xlpm.pid="P015","Network Router",SUBSTITUTE(SUBSTITUTE(_xlpm.n,"Crm","CRM"),"Ups","UPS"))))</f>
        <v>Headset</v>
      </c>
      <c r="AJ650" s="3" t="str">
        <f>UPPER(TRIM(tbl_FinancialData[[#This Row],[Cost Center]]))</f>
        <v>CC-1003</v>
      </c>
    </row>
    <row r="651" spans="1:36" x14ac:dyDescent="0.25">
      <c r="A651" s="3" t="s">
        <v>853</v>
      </c>
      <c r="B651" s="2">
        <v>45855</v>
      </c>
      <c r="C651" t="s">
        <v>32</v>
      </c>
      <c r="D651" s="3" t="str">
        <f t="shared" si="43"/>
        <v>Q2</v>
      </c>
      <c r="E651" s="3" t="str">
        <f t="shared" si="44"/>
        <v>FY2026</v>
      </c>
      <c r="F651" s="8" t="s">
        <v>85</v>
      </c>
      <c r="G651" s="3" t="s">
        <v>35</v>
      </c>
      <c r="H651" t="s">
        <v>60</v>
      </c>
      <c r="I651" t="s">
        <v>108</v>
      </c>
      <c r="J651" s="3" t="s">
        <v>100</v>
      </c>
      <c r="K651" t="s">
        <v>50</v>
      </c>
      <c r="L651" s="3" t="s">
        <v>72</v>
      </c>
      <c r="M651" s="3" t="s">
        <v>41</v>
      </c>
      <c r="N651" t="s">
        <v>42</v>
      </c>
      <c r="O651" t="s">
        <v>43</v>
      </c>
      <c r="P651" t="s">
        <v>44</v>
      </c>
      <c r="Q651" s="3">
        <v>66676.83</v>
      </c>
      <c r="R651" s="3">
        <v>72838.25</v>
      </c>
      <c r="S651" s="3">
        <v>36072.99</v>
      </c>
      <c r="T651" s="3">
        <v>7932.32</v>
      </c>
      <c r="U651" s="3">
        <v>5539.1</v>
      </c>
      <c r="V651" s="3">
        <v>3702.71</v>
      </c>
      <c r="W651" s="3">
        <v>971.21</v>
      </c>
      <c r="X651" s="3">
        <v>54218.33</v>
      </c>
      <c r="Y651" s="3">
        <v>30603.85</v>
      </c>
      <c r="Z651" s="3">
        <f t="shared" si="45"/>
        <v>12458.5</v>
      </c>
      <c r="AA651" s="37">
        <f t="shared" si="46"/>
        <v>0.18684901486768341</v>
      </c>
      <c r="AB651" s="3">
        <v>-6161.42</v>
      </c>
      <c r="AC651" s="3">
        <v>6667.68</v>
      </c>
      <c r="AD651" s="3">
        <v>10801.65</v>
      </c>
      <c r="AE651" s="3">
        <v>70810.8</v>
      </c>
      <c r="AF651" t="str">
        <f>IF(tbl_FinancialData[[#This Row],[City]]="","Unknown",PROPER(TRIM(tbl_FinancialData[[#This Row],[City]])))</f>
        <v>Agra</v>
      </c>
      <c r="AG651" t="str">
        <f>_xlfn.LET(_xlpm.city,LOWER(TRIM(tbl_FinancialData[[#This Row],[City]])),_xlpm.st,PROPER(TRIM(tbl_FinancialData[[#This Row],[State]])),IF(_xlpm.city="pune","Maharashtra",IF(_xlpm.city="jamshedpur","Jharkhand",IF(_xlpm.city="bhilai","Chhattisgarh",IF(_xlpm.city="mumbai","Maharashtra",_xlpm.st)))))</f>
        <v>Uttar Pradesh</v>
      </c>
      <c r="AH651" t="str">
        <f>_xlfn.LET(_xlpm.d,PROPER(TRIM(tbl_FinancialData[[#This Row],[Department]])),IF(_xlpm.d="It","IT",_xlpm.d))</f>
        <v>Sales</v>
      </c>
      <c r="AI651" t="str">
        <f>_xlfn.LET(_xlpm.pid,tbl_FinancialData[[#This Row],[Product ID]],_xlpm.n,PROPER(TRIM(tbl_FinancialData[[#This Row],[Product Name]])),IF(_xlpm.pid="P020","Document Scanner",IF(_xlpm.pid="P015","Network Router",SUBSTITUTE(SUBSTITUTE(_xlpm.n,"Crm","CRM"),"Ups","UPS"))))</f>
        <v>Conference Camera</v>
      </c>
      <c r="AJ651" s="3" t="str">
        <f>UPPER(TRIM(tbl_FinancialData[[#This Row],[Cost Center]]))</f>
        <v>CC-1004</v>
      </c>
    </row>
    <row r="652" spans="1:36" x14ac:dyDescent="0.25">
      <c r="A652" s="3" t="s">
        <v>854</v>
      </c>
      <c r="B652" s="2">
        <v>45994</v>
      </c>
      <c r="C652" t="s">
        <v>107</v>
      </c>
      <c r="D652" s="3" t="str">
        <f t="shared" si="43"/>
        <v>Q3</v>
      </c>
      <c r="E652" s="3" t="str">
        <f t="shared" si="44"/>
        <v>FY2026</v>
      </c>
      <c r="F652" s="8" t="s">
        <v>85</v>
      </c>
      <c r="G652" s="3" t="s">
        <v>35</v>
      </c>
      <c r="H652" t="s">
        <v>86</v>
      </c>
      <c r="I652" t="s">
        <v>181</v>
      </c>
      <c r="J652" s="3" t="s">
        <v>100</v>
      </c>
      <c r="K652" t="s">
        <v>101</v>
      </c>
      <c r="L652" s="3" t="s">
        <v>72</v>
      </c>
      <c r="M652" s="3" t="s">
        <v>95</v>
      </c>
      <c r="N652" t="s">
        <v>96</v>
      </c>
      <c r="O652" t="s">
        <v>43</v>
      </c>
      <c r="P652" t="s">
        <v>90</v>
      </c>
      <c r="Q652" s="3">
        <v>54930.7</v>
      </c>
      <c r="R652" s="3">
        <v>54930.07</v>
      </c>
      <c r="S652" s="3">
        <v>31947.61</v>
      </c>
      <c r="T652" s="3">
        <v>5498.25</v>
      </c>
      <c r="U652" s="3">
        <v>2397.27</v>
      </c>
      <c r="V652" s="3">
        <v>6456.55</v>
      </c>
      <c r="W652" s="3">
        <v>1719.55</v>
      </c>
      <c r="X652" s="3">
        <v>48019.23</v>
      </c>
      <c r="Y652" s="3">
        <v>22983.09</v>
      </c>
      <c r="Z652" s="3">
        <f t="shared" si="45"/>
        <v>6911.4699999999939</v>
      </c>
      <c r="AA652" s="37">
        <f t="shared" si="46"/>
        <v>0.12582162615804995</v>
      </c>
      <c r="AB652" s="3">
        <v>0.62</v>
      </c>
      <c r="AC652" s="3">
        <v>1647.92</v>
      </c>
      <c r="AD652" s="3">
        <v>9590.9</v>
      </c>
      <c r="AE652" s="3">
        <v>62873.68</v>
      </c>
      <c r="AF652" t="str">
        <f>IF(tbl_FinancialData[[#This Row],[City]]="","Unknown",PROPER(TRIM(tbl_FinancialData[[#This Row],[City]])))</f>
        <v>Bhopal</v>
      </c>
      <c r="AG652" t="str">
        <f>_xlfn.LET(_xlpm.city,LOWER(TRIM(tbl_FinancialData[[#This Row],[City]])),_xlpm.st,PROPER(TRIM(tbl_FinancialData[[#This Row],[State]])),IF(_xlpm.city="pune","Maharashtra",IF(_xlpm.city="jamshedpur","Jharkhand",IF(_xlpm.city="bhilai","Chhattisgarh",IF(_xlpm.city="mumbai","Maharashtra",_xlpm.st)))))</f>
        <v>Madhya Pradesh</v>
      </c>
      <c r="AH652" t="str">
        <f>_xlfn.LET(_xlpm.d,PROPER(TRIM(tbl_FinancialData[[#This Row],[Department]])),IF(_xlpm.d="It","IT",_xlpm.d))</f>
        <v>Finance</v>
      </c>
      <c r="AI652" t="str">
        <f>_xlfn.LET(_xlpm.pid,tbl_FinancialData[[#This Row],[Product ID]],_xlpm.n,PROPER(TRIM(tbl_FinancialData[[#This Row],[Product Name]])),IF(_xlpm.pid="P020","Document Scanner",IF(_xlpm.pid="P015","Network Router",SUBSTITUTE(SUBSTITUTE(_xlpm.n,"Crm","CRM"),"Ups","UPS"))))</f>
        <v>Document Scanner</v>
      </c>
      <c r="AJ652" s="3" t="str">
        <f>UPPER(TRIM(tbl_FinancialData[[#This Row],[Cost Center]]))</f>
        <v>CC-1004</v>
      </c>
    </row>
    <row r="653" spans="1:36" x14ac:dyDescent="0.25">
      <c r="A653" s="3" t="s">
        <v>855</v>
      </c>
      <c r="B653" s="2">
        <v>46078</v>
      </c>
      <c r="C653" t="s">
        <v>57</v>
      </c>
      <c r="D653" s="3" t="str">
        <f t="shared" si="43"/>
        <v>Q4</v>
      </c>
      <c r="E653" s="3" t="str">
        <f t="shared" si="44"/>
        <v>FY2026</v>
      </c>
      <c r="F653" s="8" t="s">
        <v>59</v>
      </c>
      <c r="G653" s="3" t="s">
        <v>35</v>
      </c>
      <c r="H653" t="s">
        <v>139</v>
      </c>
      <c r="I653" t="s">
        <v>140</v>
      </c>
      <c r="J653" s="3" t="s">
        <v>70</v>
      </c>
      <c r="K653" t="s">
        <v>39</v>
      </c>
      <c r="L653" s="3" t="s">
        <v>94</v>
      </c>
      <c r="M653" s="3" t="s">
        <v>186</v>
      </c>
      <c r="N653" t="s">
        <v>187</v>
      </c>
      <c r="O653" t="s">
        <v>173</v>
      </c>
      <c r="P653" t="s">
        <v>174</v>
      </c>
      <c r="Q653" s="3">
        <v>30049.47</v>
      </c>
      <c r="R653" s="3">
        <v>27096.41</v>
      </c>
      <c r="S653" s="3">
        <v>16553.13</v>
      </c>
      <c r="T653" s="3">
        <v>1967.74</v>
      </c>
      <c r="U653" s="3">
        <v>1833.01</v>
      </c>
      <c r="V653" s="3">
        <v>2122.1999999999998</v>
      </c>
      <c r="W653" s="3">
        <v>465.9</v>
      </c>
      <c r="X653" s="3">
        <v>22941.98</v>
      </c>
      <c r="Y653" s="3">
        <v>13496.34</v>
      </c>
      <c r="Z653" s="3">
        <f t="shared" si="45"/>
        <v>7107.4900000000016</v>
      </c>
      <c r="AA653" s="37">
        <f t="shared" si="46"/>
        <v>0.23652630146222217</v>
      </c>
      <c r="AB653" s="3">
        <v>2953.06</v>
      </c>
      <c r="AC653" s="3">
        <v>1502.47</v>
      </c>
      <c r="AD653" s="3">
        <v>3425.64</v>
      </c>
      <c r="AE653" s="3">
        <v>31972.63</v>
      </c>
      <c r="AF653" t="str">
        <f>IF(tbl_FinancialData[[#This Row],[City]]="","Unknown",PROPER(TRIM(tbl_FinancialData[[#This Row],[City]])))</f>
        <v>Faridabad</v>
      </c>
      <c r="AG653" t="str">
        <f>_xlfn.LET(_xlpm.city,LOWER(TRIM(tbl_FinancialData[[#This Row],[City]])),_xlpm.st,PROPER(TRIM(tbl_FinancialData[[#This Row],[State]])),IF(_xlpm.city="pune","Maharashtra",IF(_xlpm.city="jamshedpur","Jharkhand",IF(_xlpm.city="bhilai","Chhattisgarh",IF(_xlpm.city="mumbai","Maharashtra",_xlpm.st)))))</f>
        <v>Haryana</v>
      </c>
      <c r="AH653" t="str">
        <f>_xlfn.LET(_xlpm.d,PROPER(TRIM(tbl_FinancialData[[#This Row],[Department]])),IF(_xlpm.d="It","IT",_xlpm.d))</f>
        <v>Operations</v>
      </c>
      <c r="AI653" t="str">
        <f>_xlfn.LET(_xlpm.pid,tbl_FinancialData[[#This Row],[Product ID]],_xlpm.n,PROPER(TRIM(tbl_FinancialData[[#This Row],[Product Name]])),IF(_xlpm.pid="P020","Document Scanner",IF(_xlpm.pid="P015","Network Router",SUBSTITUTE(SUBSTITUTE(_xlpm.n,"Crm","CRM"),"Ups","UPS"))))</f>
        <v>Network Router</v>
      </c>
      <c r="AJ653" s="3" t="str">
        <f>UPPER(TRIM(tbl_FinancialData[[#This Row],[Cost Center]]))</f>
        <v>CC-1001</v>
      </c>
    </row>
    <row r="654" spans="1:36" x14ac:dyDescent="0.25">
      <c r="A654" s="3" t="s">
        <v>856</v>
      </c>
      <c r="B654" s="2">
        <v>46106</v>
      </c>
      <c r="C654" t="s">
        <v>125</v>
      </c>
      <c r="D654" s="3" t="str">
        <f t="shared" si="43"/>
        <v>Q4</v>
      </c>
      <c r="E654" s="3" t="str">
        <f t="shared" si="44"/>
        <v>FY2026</v>
      </c>
      <c r="F654" s="8" t="s">
        <v>67</v>
      </c>
      <c r="G654" s="3" t="s">
        <v>35</v>
      </c>
      <c r="H654" t="s">
        <v>118</v>
      </c>
      <c r="I654" t="s">
        <v>209</v>
      </c>
      <c r="J654" s="3" t="s">
        <v>100</v>
      </c>
      <c r="K654" t="s">
        <v>50</v>
      </c>
      <c r="L654" s="3" t="s">
        <v>81</v>
      </c>
      <c r="M654" s="3" t="s">
        <v>95</v>
      </c>
      <c r="N654" t="s">
        <v>96</v>
      </c>
      <c r="O654" t="s">
        <v>43</v>
      </c>
      <c r="P654" t="s">
        <v>90</v>
      </c>
      <c r="Q654" s="3">
        <v>66803.100000000006</v>
      </c>
      <c r="R654" s="3">
        <v>66329.899999999994</v>
      </c>
      <c r="S654" s="3">
        <v>36821.129999999997</v>
      </c>
      <c r="T654" s="3">
        <v>8093.58</v>
      </c>
      <c r="U654" s="3">
        <v>6009.52</v>
      </c>
      <c r="V654" s="3">
        <v>6254.66</v>
      </c>
      <c r="W654" s="3">
        <v>2982.71</v>
      </c>
      <c r="X654" s="3">
        <v>60161.61</v>
      </c>
      <c r="Y654" s="3">
        <v>29981.97</v>
      </c>
      <c r="Z654" s="3">
        <f t="shared" si="45"/>
        <v>6641.4900000000052</v>
      </c>
      <c r="AA654" s="37">
        <f t="shared" si="46"/>
        <v>9.941888924316393E-2</v>
      </c>
      <c r="AB654" s="3">
        <v>473.2</v>
      </c>
      <c r="AC654" s="3">
        <v>3340.16</v>
      </c>
      <c r="AD654" s="3">
        <v>11423.33</v>
      </c>
      <c r="AE654" s="3">
        <v>74886.28</v>
      </c>
      <c r="AF654" t="str">
        <f>IF(tbl_FinancialData[[#This Row],[City]]="","Unknown",PROPER(TRIM(tbl_FinancialData[[#This Row],[City]])))</f>
        <v>Jamshedpur</v>
      </c>
      <c r="AG654" t="str">
        <f>_xlfn.LET(_xlpm.city,LOWER(TRIM(tbl_FinancialData[[#This Row],[City]])),_xlpm.st,PROPER(TRIM(tbl_FinancialData[[#This Row],[State]])),IF(_xlpm.city="pune","Maharashtra",IF(_xlpm.city="jamshedpur","Jharkhand",IF(_xlpm.city="bhilai","Chhattisgarh",IF(_xlpm.city="mumbai","Maharashtra",_xlpm.st)))))</f>
        <v>Jharkhand</v>
      </c>
      <c r="AH654" t="str">
        <f>_xlfn.LET(_xlpm.d,PROPER(TRIM(tbl_FinancialData[[#This Row],[Department]])),IF(_xlpm.d="It","IT",_xlpm.d))</f>
        <v>Sales</v>
      </c>
      <c r="AI654" t="str">
        <f>_xlfn.LET(_xlpm.pid,tbl_FinancialData[[#This Row],[Product ID]],_xlpm.n,PROPER(TRIM(tbl_FinancialData[[#This Row],[Product Name]])),IF(_xlpm.pid="P020","Document Scanner",IF(_xlpm.pid="P015","Network Router",SUBSTITUTE(SUBSTITUTE(_xlpm.n,"Crm","CRM"),"Ups","UPS"))))</f>
        <v>Document Scanner</v>
      </c>
      <c r="AJ654" s="3" t="str">
        <f>UPPER(TRIM(tbl_FinancialData[[#This Row],[Cost Center]]))</f>
        <v>CC-1005</v>
      </c>
    </row>
    <row r="655" spans="1:36" x14ac:dyDescent="0.25">
      <c r="A655" s="3" t="s">
        <v>857</v>
      </c>
      <c r="B655" s="2">
        <v>45773</v>
      </c>
      <c r="C655" t="s">
        <v>128</v>
      </c>
      <c r="D655" s="3" t="str">
        <f t="shared" si="43"/>
        <v>Q1</v>
      </c>
      <c r="E655" s="3" t="str">
        <f t="shared" si="44"/>
        <v>FY2026</v>
      </c>
      <c r="F655" s="8" t="s">
        <v>67</v>
      </c>
      <c r="G655" s="3" t="s">
        <v>35</v>
      </c>
      <c r="H655" t="s">
        <v>217</v>
      </c>
      <c r="I655" t="s">
        <v>284</v>
      </c>
      <c r="J655" s="3" t="s">
        <v>38</v>
      </c>
      <c r="K655" t="s">
        <v>160</v>
      </c>
      <c r="L655" s="3" t="s">
        <v>51</v>
      </c>
      <c r="M655" s="3" t="s">
        <v>197</v>
      </c>
      <c r="N655" t="s">
        <v>198</v>
      </c>
      <c r="O655" t="s">
        <v>43</v>
      </c>
      <c r="P655" t="s">
        <v>163</v>
      </c>
      <c r="Q655" s="3">
        <v>57988.68</v>
      </c>
      <c r="R655" s="3">
        <v>63487.63</v>
      </c>
      <c r="S655" s="3">
        <v>33321.57</v>
      </c>
      <c r="T655" s="3">
        <v>6040.48</v>
      </c>
      <c r="U655" s="3">
        <v>3243.82</v>
      </c>
      <c r="V655" s="3">
        <v>6929.75</v>
      </c>
      <c r="W655" s="3">
        <v>2059.27</v>
      </c>
      <c r="X655" s="3">
        <v>51594.89</v>
      </c>
      <c r="Y655" s="3">
        <v>24667.11</v>
      </c>
      <c r="Z655" s="3">
        <f t="shared" si="45"/>
        <v>6393.7900000000009</v>
      </c>
      <c r="AA655" s="37">
        <f t="shared" si="46"/>
        <v>0.11025927819015713</v>
      </c>
      <c r="AB655" s="3">
        <v>-5498.95</v>
      </c>
      <c r="AC655" s="3">
        <v>5798.87</v>
      </c>
      <c r="AD655" s="3">
        <v>9394.17</v>
      </c>
      <c r="AE655" s="3">
        <v>61583.97</v>
      </c>
      <c r="AF655" t="str">
        <f>IF(tbl_FinancialData[[#This Row],[City]]="","Unknown",PROPER(TRIM(tbl_FinancialData[[#This Row],[City]])))</f>
        <v>Patna</v>
      </c>
      <c r="AG655" t="str">
        <f>_xlfn.LET(_xlpm.city,LOWER(TRIM(tbl_FinancialData[[#This Row],[City]])),_xlpm.st,PROPER(TRIM(tbl_FinancialData[[#This Row],[State]])),IF(_xlpm.city="pune","Maharashtra",IF(_xlpm.city="jamshedpur","Jharkhand",IF(_xlpm.city="bhilai","Chhattisgarh",IF(_xlpm.city="mumbai","Maharashtra",_xlpm.st)))))</f>
        <v>Bihar</v>
      </c>
      <c r="AH655" t="str">
        <f>_xlfn.LET(_xlpm.d,PROPER(TRIM(tbl_FinancialData[[#This Row],[Department]])),IF(_xlpm.d="It","IT",_xlpm.d))</f>
        <v>IT</v>
      </c>
      <c r="AI655" t="str">
        <f>_xlfn.LET(_xlpm.pid,tbl_FinancialData[[#This Row],[Product ID]],_xlpm.n,PROPER(TRIM(tbl_FinancialData[[#This Row],[Product Name]])),IF(_xlpm.pid="P020","Document Scanner",IF(_xlpm.pid="P015","Network Router",SUBSTITUTE(SUBSTITUTE(_xlpm.n,"Crm","CRM"),"Ups","UPS"))))</f>
        <v>Smartphone</v>
      </c>
      <c r="AJ655" s="3" t="str">
        <f>UPPER(TRIM(tbl_FinancialData[[#This Row],[Cost Center]]))</f>
        <v>CC-1003</v>
      </c>
    </row>
    <row r="656" spans="1:36" x14ac:dyDescent="0.25">
      <c r="A656" s="3" t="s">
        <v>858</v>
      </c>
      <c r="B656" s="2">
        <v>46092</v>
      </c>
      <c r="C656" t="s">
        <v>125</v>
      </c>
      <c r="D656" s="3" t="str">
        <f t="shared" si="43"/>
        <v>Q4</v>
      </c>
      <c r="E656" s="3" t="str">
        <f t="shared" si="44"/>
        <v>FY2026</v>
      </c>
      <c r="F656" s="8" t="s">
        <v>47</v>
      </c>
      <c r="G656" s="3" t="s">
        <v>35</v>
      </c>
      <c r="H656" t="s">
        <v>48</v>
      </c>
      <c r="I656" t="s">
        <v>126</v>
      </c>
      <c r="J656" s="3" t="s">
        <v>100</v>
      </c>
      <c r="K656" t="s">
        <v>50</v>
      </c>
      <c r="L656" s="3" t="s">
        <v>81</v>
      </c>
      <c r="M656" s="3" t="s">
        <v>197</v>
      </c>
      <c r="N656" t="s">
        <v>198</v>
      </c>
      <c r="O656" t="s">
        <v>43</v>
      </c>
      <c r="P656" t="s">
        <v>163</v>
      </c>
      <c r="Q656" s="3">
        <v>20171.48</v>
      </c>
      <c r="R656" s="3">
        <v>20807.23</v>
      </c>
      <c r="S656" s="3">
        <v>12225.13</v>
      </c>
      <c r="T656" s="3">
        <v>2580.39</v>
      </c>
      <c r="U656" s="3">
        <v>1699.34</v>
      </c>
      <c r="V656" s="3">
        <v>1067.82</v>
      </c>
      <c r="W656" s="3">
        <v>462.15</v>
      </c>
      <c r="X656" s="3">
        <v>18034.810000000001</v>
      </c>
      <c r="Y656" s="3">
        <v>7946.35</v>
      </c>
      <c r="Z656" s="3">
        <f t="shared" si="45"/>
        <v>2136.6699999999983</v>
      </c>
      <c r="AA656" s="37">
        <f t="shared" si="46"/>
        <v>0.10592529650774253</v>
      </c>
      <c r="AB656" s="3">
        <v>-635.75</v>
      </c>
      <c r="AC656" s="3">
        <v>605.14</v>
      </c>
      <c r="AD656" s="3">
        <v>2347.96</v>
      </c>
      <c r="AE656" s="3">
        <v>21914.29</v>
      </c>
      <c r="AF656" t="str">
        <f>IF(tbl_FinancialData[[#This Row],[City]]="","Unknown",PROPER(TRIM(tbl_FinancialData[[#This Row],[City]])))</f>
        <v>Coimbatore</v>
      </c>
      <c r="AG656" t="str">
        <f>_xlfn.LET(_xlpm.city,LOWER(TRIM(tbl_FinancialData[[#This Row],[City]])),_xlpm.st,PROPER(TRIM(tbl_FinancialData[[#This Row],[State]])),IF(_xlpm.city="pune","Maharashtra",IF(_xlpm.city="jamshedpur","Jharkhand",IF(_xlpm.city="bhilai","Chhattisgarh",IF(_xlpm.city="mumbai","Maharashtra",_xlpm.st)))))</f>
        <v>Tamil Nadu</v>
      </c>
      <c r="AH656" t="str">
        <f>_xlfn.LET(_xlpm.d,PROPER(TRIM(tbl_FinancialData[[#This Row],[Department]])),IF(_xlpm.d="It","IT",_xlpm.d))</f>
        <v>Sales</v>
      </c>
      <c r="AI656" t="str">
        <f>_xlfn.LET(_xlpm.pid,tbl_FinancialData[[#This Row],[Product ID]],_xlpm.n,PROPER(TRIM(tbl_FinancialData[[#This Row],[Product Name]])),IF(_xlpm.pid="P020","Document Scanner",IF(_xlpm.pid="P015","Network Router",SUBSTITUTE(SUBSTITUTE(_xlpm.n,"Crm","CRM"),"Ups","UPS"))))</f>
        <v>Smartphone</v>
      </c>
      <c r="AJ656" s="3" t="str">
        <f>UPPER(TRIM(tbl_FinancialData[[#This Row],[Cost Center]]))</f>
        <v>CC-1005</v>
      </c>
    </row>
    <row r="657" spans="1:36" x14ac:dyDescent="0.25">
      <c r="A657" s="3" t="s">
        <v>859</v>
      </c>
      <c r="B657" s="2">
        <v>46074</v>
      </c>
      <c r="C657" t="s">
        <v>57</v>
      </c>
      <c r="D657" s="3" t="str">
        <f t="shared" si="43"/>
        <v>Q4</v>
      </c>
      <c r="E657" s="3" t="str">
        <f t="shared" si="44"/>
        <v>FY2026</v>
      </c>
      <c r="F657" s="8" t="s">
        <v>59</v>
      </c>
      <c r="G657" s="3" t="s">
        <v>35</v>
      </c>
      <c r="H657" t="s">
        <v>230</v>
      </c>
      <c r="I657" t="s">
        <v>301</v>
      </c>
      <c r="J657" s="3" t="s">
        <v>100</v>
      </c>
      <c r="K657" t="s">
        <v>71</v>
      </c>
      <c r="L657" s="3" t="s">
        <v>94</v>
      </c>
      <c r="M657" s="3" t="s">
        <v>41</v>
      </c>
      <c r="N657" t="s">
        <v>42</v>
      </c>
      <c r="O657" t="s">
        <v>43</v>
      </c>
      <c r="P657" t="s">
        <v>44</v>
      </c>
      <c r="Q657" s="3">
        <v>28545.1</v>
      </c>
      <c r="R657" s="3">
        <v>32915.46</v>
      </c>
      <c r="S657" s="3">
        <v>15940.09</v>
      </c>
      <c r="T657" s="3">
        <v>2566.16</v>
      </c>
      <c r="U657" s="3">
        <v>2492.1799999999998</v>
      </c>
      <c r="V657" s="3">
        <v>2819.59</v>
      </c>
      <c r="W657" s="3">
        <v>1032.5</v>
      </c>
      <c r="X657" s="3">
        <v>24850.52</v>
      </c>
      <c r="Y657" s="3">
        <v>12605</v>
      </c>
      <c r="Z657" s="3">
        <f t="shared" si="45"/>
        <v>3694.5799999999981</v>
      </c>
      <c r="AA657" s="37">
        <f t="shared" si="46"/>
        <v>0.12942956934815428</v>
      </c>
      <c r="AB657" s="3">
        <v>-4370.37</v>
      </c>
      <c r="AC657" s="3">
        <v>570.9</v>
      </c>
      <c r="AD657" s="3">
        <v>3356.9</v>
      </c>
      <c r="AE657" s="3">
        <v>31331.1</v>
      </c>
      <c r="AF657" t="str">
        <f>IF(tbl_FinancialData[[#This Row],[City]]="","Unknown",PROPER(TRIM(tbl_FinancialData[[#This Row],[City]])))</f>
        <v>Amritsar</v>
      </c>
      <c r="AG657" t="str">
        <f>_xlfn.LET(_xlpm.city,LOWER(TRIM(tbl_FinancialData[[#This Row],[City]])),_xlpm.st,PROPER(TRIM(tbl_FinancialData[[#This Row],[State]])),IF(_xlpm.city="pune","Maharashtra",IF(_xlpm.city="jamshedpur","Jharkhand",IF(_xlpm.city="bhilai","Chhattisgarh",IF(_xlpm.city="mumbai","Maharashtra",_xlpm.st)))))</f>
        <v>Punjab</v>
      </c>
      <c r="AH657" t="str">
        <f>_xlfn.LET(_xlpm.d,PROPER(TRIM(tbl_FinancialData[[#This Row],[Department]])),IF(_xlpm.d="It","IT",_xlpm.d))</f>
        <v>Marketing</v>
      </c>
      <c r="AI657" t="str">
        <f>_xlfn.LET(_xlpm.pid,tbl_FinancialData[[#This Row],[Product ID]],_xlpm.n,PROPER(TRIM(tbl_FinancialData[[#This Row],[Product Name]])),IF(_xlpm.pid="P020","Document Scanner",IF(_xlpm.pid="P015","Network Router",SUBSTITUTE(SUBSTITUTE(_xlpm.n,"Crm","CRM"),"Ups","UPS"))))</f>
        <v>Conference Camera</v>
      </c>
      <c r="AJ657" s="3" t="str">
        <f>UPPER(TRIM(tbl_FinancialData[[#This Row],[Cost Center]]))</f>
        <v>CC-1001</v>
      </c>
    </row>
    <row r="658" spans="1:36" x14ac:dyDescent="0.25">
      <c r="A658" s="3" t="s">
        <v>860</v>
      </c>
      <c r="B658" s="2">
        <v>45816</v>
      </c>
      <c r="C658" t="s">
        <v>156</v>
      </c>
      <c r="D658" s="3" t="str">
        <f t="shared" si="43"/>
        <v>Q1</v>
      </c>
      <c r="E658" s="3" t="str">
        <f t="shared" si="44"/>
        <v>FY2026</v>
      </c>
      <c r="F658" s="8" t="s">
        <v>59</v>
      </c>
      <c r="G658" s="3" t="s">
        <v>35</v>
      </c>
      <c r="H658" t="s">
        <v>139</v>
      </c>
      <c r="I658" t="s">
        <v>140</v>
      </c>
      <c r="J658" s="3" t="s">
        <v>38</v>
      </c>
      <c r="K658" t="s">
        <v>160</v>
      </c>
      <c r="L658" s="3" t="s">
        <v>40</v>
      </c>
      <c r="M658" s="3" t="s">
        <v>189</v>
      </c>
      <c r="N658" t="s">
        <v>190</v>
      </c>
      <c r="O658" t="s">
        <v>104</v>
      </c>
      <c r="P658" t="s">
        <v>105</v>
      </c>
      <c r="Q658" s="3">
        <v>11136.02</v>
      </c>
      <c r="R658" s="3">
        <v>9829.7800000000007</v>
      </c>
      <c r="S658" s="3">
        <v>5974.62</v>
      </c>
      <c r="T658" s="3">
        <v>679.5</v>
      </c>
      <c r="U658" s="3">
        <v>721.51</v>
      </c>
      <c r="V658" s="3">
        <v>593.80999999999995</v>
      </c>
      <c r="W658" s="3">
        <v>317.39999999999998</v>
      </c>
      <c r="X658" s="3">
        <v>8286.84</v>
      </c>
      <c r="Y658" s="3">
        <v>5161.3999999999996</v>
      </c>
      <c r="Z658" s="3">
        <f t="shared" si="45"/>
        <v>2849.1800000000003</v>
      </c>
      <c r="AA658" s="37">
        <f t="shared" si="46"/>
        <v>0.25585262957501875</v>
      </c>
      <c r="AB658" s="3">
        <v>1306.24</v>
      </c>
      <c r="AC658" s="3">
        <v>556.79999999999995</v>
      </c>
      <c r="AD658" s="3">
        <v>1269.51</v>
      </c>
      <c r="AE658" s="3">
        <v>11848.72</v>
      </c>
      <c r="AF658" t="str">
        <f>IF(tbl_FinancialData[[#This Row],[City]]="","Unknown",PROPER(TRIM(tbl_FinancialData[[#This Row],[City]])))</f>
        <v>Faridabad</v>
      </c>
      <c r="AG658" t="str">
        <f>_xlfn.LET(_xlpm.city,LOWER(TRIM(tbl_FinancialData[[#This Row],[City]])),_xlpm.st,PROPER(TRIM(tbl_FinancialData[[#This Row],[State]])),IF(_xlpm.city="pune","Maharashtra",IF(_xlpm.city="jamshedpur","Jharkhand",IF(_xlpm.city="bhilai","Chhattisgarh",IF(_xlpm.city="mumbai","Maharashtra",_xlpm.st)))))</f>
        <v>Haryana</v>
      </c>
      <c r="AH658" t="str">
        <f>_xlfn.LET(_xlpm.d,PROPER(TRIM(tbl_FinancialData[[#This Row],[Department]])),IF(_xlpm.d="It","IT",_xlpm.d))</f>
        <v>IT</v>
      </c>
      <c r="AI658" t="str">
        <f>_xlfn.LET(_xlpm.pid,tbl_FinancialData[[#This Row],[Product ID]],_xlpm.n,PROPER(TRIM(tbl_FinancialData[[#This Row],[Product Name]])),IF(_xlpm.pid="P020","Document Scanner",IF(_xlpm.pid="P015","Network Router",SUBSTITUTE(SUBSTITUTE(_xlpm.n,"Crm","CRM"),"Ups","UPS"))))</f>
        <v>CRM Software</v>
      </c>
      <c r="AJ658" s="3" t="str">
        <f>UPPER(TRIM(tbl_FinancialData[[#This Row],[Cost Center]]))</f>
        <v>CC-1002</v>
      </c>
    </row>
    <row r="659" spans="1:36" x14ac:dyDescent="0.25">
      <c r="A659" s="3" t="s">
        <v>861</v>
      </c>
      <c r="B659" s="2">
        <v>45806</v>
      </c>
      <c r="C659" t="s">
        <v>65</v>
      </c>
      <c r="D659" s="3" t="str">
        <f t="shared" si="43"/>
        <v>Q1</v>
      </c>
      <c r="E659" s="3" t="str">
        <f t="shared" si="44"/>
        <v>FY2026</v>
      </c>
      <c r="F659" s="8" t="s">
        <v>34</v>
      </c>
      <c r="G659" s="3" t="s">
        <v>35</v>
      </c>
      <c r="H659" t="s">
        <v>134</v>
      </c>
      <c r="I659" t="s">
        <v>154</v>
      </c>
      <c r="J659" s="3" t="s">
        <v>100</v>
      </c>
      <c r="K659" t="s">
        <v>71</v>
      </c>
      <c r="L659" s="3" t="s">
        <v>72</v>
      </c>
      <c r="M659" s="3" t="s">
        <v>62</v>
      </c>
      <c r="N659" t="s">
        <v>63</v>
      </c>
      <c r="O659" t="s">
        <v>54</v>
      </c>
      <c r="P659" t="s">
        <v>55</v>
      </c>
      <c r="Q659" s="3">
        <v>4667.08</v>
      </c>
      <c r="R659" s="3">
        <v>4825.13</v>
      </c>
      <c r="S659" s="3">
        <v>3038.87</v>
      </c>
      <c r="T659" s="3">
        <v>335.47</v>
      </c>
      <c r="U659" s="3">
        <v>153.56</v>
      </c>
      <c r="V659" s="3">
        <v>394.3</v>
      </c>
      <c r="W659" s="3">
        <v>100.08</v>
      </c>
      <c r="X659" s="3">
        <v>4022.28</v>
      </c>
      <c r="Y659" s="3">
        <v>1628.22</v>
      </c>
      <c r="Z659" s="3">
        <f t="shared" si="45"/>
        <v>644.79999999999973</v>
      </c>
      <c r="AA659" s="37">
        <f t="shared" si="46"/>
        <v>0.13815919161445694</v>
      </c>
      <c r="AB659" s="3">
        <v>-158.05000000000001</v>
      </c>
      <c r="AC659" s="3">
        <v>140.01</v>
      </c>
      <c r="AD659" s="3">
        <v>814.87</v>
      </c>
      <c r="AE659" s="3">
        <v>5341.94</v>
      </c>
      <c r="AF659" t="str">
        <f>IF(tbl_FinancialData[[#This Row],[City]]="","Unknown",PROPER(TRIM(tbl_FinancialData[[#This Row],[City]])))</f>
        <v>Udaipur</v>
      </c>
      <c r="AG659" t="str">
        <f>_xlfn.LET(_xlpm.city,LOWER(TRIM(tbl_FinancialData[[#This Row],[City]])),_xlpm.st,PROPER(TRIM(tbl_FinancialData[[#This Row],[State]])),IF(_xlpm.city="pune","Maharashtra",IF(_xlpm.city="jamshedpur","Jharkhand",IF(_xlpm.city="bhilai","Chhattisgarh",IF(_xlpm.city="mumbai","Maharashtra",_xlpm.st)))))</f>
        <v>Rajasthan</v>
      </c>
      <c r="AH659" t="str">
        <f>_xlfn.LET(_xlpm.d,PROPER(TRIM(tbl_FinancialData[[#This Row],[Department]])),IF(_xlpm.d="It","IT",_xlpm.d))</f>
        <v>Marketing</v>
      </c>
      <c r="AI659" t="str">
        <f>_xlfn.LET(_xlpm.pid,tbl_FinancialData[[#This Row],[Product ID]],_xlpm.n,PROPER(TRIM(tbl_FinancialData[[#This Row],[Product Name]])),IF(_xlpm.pid="P020","Document Scanner",IF(_xlpm.pid="P015","Network Router",SUBSTITUTE(SUBSTITUTE(_xlpm.n,"Crm","CRM"),"Ups","UPS"))))</f>
        <v>Keyboard</v>
      </c>
      <c r="AJ659" s="3" t="str">
        <f>UPPER(TRIM(tbl_FinancialData[[#This Row],[Cost Center]]))</f>
        <v>CC-1004</v>
      </c>
    </row>
    <row r="660" spans="1:36" x14ac:dyDescent="0.25">
      <c r="A660" s="3" t="s">
        <v>862</v>
      </c>
      <c r="B660" s="2">
        <v>45812</v>
      </c>
      <c r="C660" t="s">
        <v>156</v>
      </c>
      <c r="D660" s="3" t="str">
        <f t="shared" si="43"/>
        <v>Q1</v>
      </c>
      <c r="E660" s="3" t="str">
        <f t="shared" si="44"/>
        <v>FY2026</v>
      </c>
      <c r="F660" s="8" t="s">
        <v>47</v>
      </c>
      <c r="G660" s="3" t="s">
        <v>35</v>
      </c>
      <c r="H660" t="s">
        <v>214</v>
      </c>
      <c r="I660" t="s">
        <v>220</v>
      </c>
      <c r="J660" s="3" t="s">
        <v>38</v>
      </c>
      <c r="K660" t="s">
        <v>50</v>
      </c>
      <c r="L660" s="3" t="s">
        <v>72</v>
      </c>
      <c r="M660" s="3" t="s">
        <v>141</v>
      </c>
      <c r="N660" t="s">
        <v>142</v>
      </c>
      <c r="O660" t="s">
        <v>54</v>
      </c>
      <c r="P660" t="s">
        <v>143</v>
      </c>
      <c r="Q660" s="3">
        <v>7900.97</v>
      </c>
      <c r="R660" s="3">
        <v>7165.27</v>
      </c>
      <c r="S660" s="3">
        <v>4032.46</v>
      </c>
      <c r="T660" s="3">
        <v>917.55</v>
      </c>
      <c r="U660" s="3">
        <v>641.63</v>
      </c>
      <c r="V660" s="3">
        <v>597.6</v>
      </c>
      <c r="W660" s="3">
        <v>276.47000000000003</v>
      </c>
      <c r="X660" s="3">
        <v>6465.72</v>
      </c>
      <c r="Y660" s="3">
        <v>3868.52</v>
      </c>
      <c r="Z660" s="3">
        <f t="shared" si="45"/>
        <v>1435.25</v>
      </c>
      <c r="AA660" s="37">
        <f t="shared" si="46"/>
        <v>0.18165491072615134</v>
      </c>
      <c r="AB660" s="3">
        <v>735.71</v>
      </c>
      <c r="AC660" s="3">
        <v>632.08000000000004</v>
      </c>
      <c r="AD660" s="3">
        <v>363.44</v>
      </c>
      <c r="AE660" s="3">
        <v>7632.34</v>
      </c>
      <c r="AF660" t="str">
        <f>IF(tbl_FinancialData[[#This Row],[City]]="","Unknown",PROPER(TRIM(tbl_FinancialData[[#This Row],[City]])))</f>
        <v>Mysuru</v>
      </c>
      <c r="AG660" t="str">
        <f>_xlfn.LET(_xlpm.city,LOWER(TRIM(tbl_FinancialData[[#This Row],[City]])),_xlpm.st,PROPER(TRIM(tbl_FinancialData[[#This Row],[State]])),IF(_xlpm.city="pune","Maharashtra",IF(_xlpm.city="jamshedpur","Jharkhand",IF(_xlpm.city="bhilai","Chhattisgarh",IF(_xlpm.city="mumbai","Maharashtra",_xlpm.st)))))</f>
        <v>Karnataka</v>
      </c>
      <c r="AH660" t="str">
        <f>_xlfn.LET(_xlpm.d,PROPER(TRIM(tbl_FinancialData[[#This Row],[Department]])),IF(_xlpm.d="It","IT",_xlpm.d))</f>
        <v>Sales</v>
      </c>
      <c r="AI660" t="str">
        <f>_xlfn.LET(_xlpm.pid,tbl_FinancialData[[#This Row],[Product ID]],_xlpm.n,PROPER(TRIM(tbl_FinancialData[[#This Row],[Product Name]])),IF(_xlpm.pid="P020","Document Scanner",IF(_xlpm.pid="P015","Network Router",SUBSTITUTE(SUBSTITUTE(_xlpm.n,"Crm","CRM"),"Ups","UPS"))))</f>
        <v>Headset</v>
      </c>
      <c r="AJ660" s="3" t="str">
        <f>UPPER(TRIM(tbl_FinancialData[[#This Row],[Cost Center]]))</f>
        <v>CC-1004</v>
      </c>
    </row>
    <row r="661" spans="1:36" x14ac:dyDescent="0.25">
      <c r="A661" s="3" t="s">
        <v>863</v>
      </c>
      <c r="B661" s="2">
        <v>45807</v>
      </c>
      <c r="C661" t="s">
        <v>65</v>
      </c>
      <c r="D661" s="3" t="str">
        <f t="shared" si="43"/>
        <v>Q1</v>
      </c>
      <c r="E661" s="3" t="str">
        <f t="shared" si="44"/>
        <v>FY2026</v>
      </c>
      <c r="F661" s="8" t="s">
        <v>34</v>
      </c>
      <c r="G661" s="3" t="s">
        <v>35</v>
      </c>
      <c r="H661" t="s">
        <v>36</v>
      </c>
      <c r="I661" t="s">
        <v>245</v>
      </c>
      <c r="J661" s="3" t="s">
        <v>38</v>
      </c>
      <c r="K661" t="s">
        <v>50</v>
      </c>
      <c r="L661" s="3" t="s">
        <v>72</v>
      </c>
      <c r="M661" s="3" t="s">
        <v>130</v>
      </c>
      <c r="N661" t="s">
        <v>131</v>
      </c>
      <c r="O661" t="s">
        <v>43</v>
      </c>
      <c r="P661" t="s">
        <v>132</v>
      </c>
      <c r="Q661" s="3">
        <v>24061.17</v>
      </c>
      <c r="R661" s="3">
        <v>25447.99</v>
      </c>
      <c r="S661" s="3">
        <v>16281.82</v>
      </c>
      <c r="T661" s="3">
        <v>2791.68</v>
      </c>
      <c r="U661" s="3">
        <v>705.39</v>
      </c>
      <c r="V661" s="3">
        <v>1291.33</v>
      </c>
      <c r="W661" s="3">
        <v>502.62</v>
      </c>
      <c r="X661" s="3">
        <v>21572.84</v>
      </c>
      <c r="Y661" s="3">
        <v>7779.36</v>
      </c>
      <c r="Z661" s="3">
        <f t="shared" si="45"/>
        <v>2488.3299999999981</v>
      </c>
      <c r="AA661" s="37">
        <f t="shared" si="46"/>
        <v>0.10341683301352338</v>
      </c>
      <c r="AB661" s="3">
        <v>-1386.81</v>
      </c>
      <c r="AC661" s="3">
        <v>481.22</v>
      </c>
      <c r="AD661" s="3">
        <v>4244.3900000000003</v>
      </c>
      <c r="AE661" s="3">
        <v>27824.34</v>
      </c>
      <c r="AF661" t="str">
        <f>IF(tbl_FinancialData[[#This Row],[City]]="","Unknown",PROPER(TRIM(tbl_FinancialData[[#This Row],[City]])))</f>
        <v>Margao</v>
      </c>
      <c r="AG661" t="str">
        <f>_xlfn.LET(_xlpm.city,LOWER(TRIM(tbl_FinancialData[[#This Row],[City]])),_xlpm.st,PROPER(TRIM(tbl_FinancialData[[#This Row],[State]])),IF(_xlpm.city="pune","Maharashtra",IF(_xlpm.city="jamshedpur","Jharkhand",IF(_xlpm.city="bhilai","Chhattisgarh",IF(_xlpm.city="mumbai","Maharashtra",_xlpm.st)))))</f>
        <v>Goa</v>
      </c>
      <c r="AH661" t="str">
        <f>_xlfn.LET(_xlpm.d,PROPER(TRIM(tbl_FinancialData[[#This Row],[Department]])),IF(_xlpm.d="It","IT",_xlpm.d))</f>
        <v>Sales</v>
      </c>
      <c r="AI661" t="str">
        <f>_xlfn.LET(_xlpm.pid,tbl_FinancialData[[#This Row],[Product ID]],_xlpm.n,PROPER(TRIM(tbl_FinancialData[[#This Row],[Product Name]])),IF(_xlpm.pid="P020","Document Scanner",IF(_xlpm.pid="P015","Network Router",SUBSTITUTE(SUBSTITUTE(_xlpm.n,"Crm","CRM"),"Ups","UPS"))))</f>
        <v>UPS System</v>
      </c>
      <c r="AJ661" s="3" t="str">
        <f>UPPER(TRIM(tbl_FinancialData[[#This Row],[Cost Center]]))</f>
        <v>CC-1004</v>
      </c>
    </row>
    <row r="662" spans="1:36" x14ac:dyDescent="0.25">
      <c r="A662" s="3" t="s">
        <v>864</v>
      </c>
      <c r="B662" s="2">
        <v>45770</v>
      </c>
      <c r="C662" t="s">
        <v>128</v>
      </c>
      <c r="D662" s="3" t="str">
        <f t="shared" si="43"/>
        <v>Q1</v>
      </c>
      <c r="E662" s="3" t="str">
        <f t="shared" si="44"/>
        <v>FY2026</v>
      </c>
      <c r="F662" s="8" t="s">
        <v>67</v>
      </c>
      <c r="G662" s="3" t="s">
        <v>35</v>
      </c>
      <c r="H662" t="s">
        <v>217</v>
      </c>
      <c r="I662" t="s">
        <v>284</v>
      </c>
      <c r="J662" s="3" t="s">
        <v>70</v>
      </c>
      <c r="K662" t="s">
        <v>101</v>
      </c>
      <c r="L662" s="3" t="s">
        <v>72</v>
      </c>
      <c r="M662" s="3" t="s">
        <v>41</v>
      </c>
      <c r="N662" t="s">
        <v>42</v>
      </c>
      <c r="O662" t="s">
        <v>43</v>
      </c>
      <c r="P662" t="s">
        <v>44</v>
      </c>
      <c r="Q662" s="3">
        <v>49566.12</v>
      </c>
      <c r="R662" s="3">
        <v>54770.37</v>
      </c>
      <c r="S662" s="3">
        <v>29857.32</v>
      </c>
      <c r="T662" s="3">
        <v>2893.96</v>
      </c>
      <c r="U662" s="3">
        <v>4004.39</v>
      </c>
      <c r="V662" s="3">
        <v>3210.95</v>
      </c>
      <c r="W662" s="3">
        <v>2180.6799999999998</v>
      </c>
      <c r="X662" s="3">
        <v>42147.31</v>
      </c>
      <c r="Y662" s="3">
        <v>19708.8</v>
      </c>
      <c r="Z662" s="3">
        <f t="shared" si="45"/>
        <v>7418.8100000000049</v>
      </c>
      <c r="AA662" s="37">
        <f t="shared" si="46"/>
        <v>0.1496750199531455</v>
      </c>
      <c r="AB662" s="3">
        <v>-5204.25</v>
      </c>
      <c r="AC662" s="3">
        <v>0</v>
      </c>
      <c r="AD662" s="3">
        <v>8921.9</v>
      </c>
      <c r="AE662" s="3">
        <v>58488.02</v>
      </c>
      <c r="AF662" t="str">
        <f>IF(tbl_FinancialData[[#This Row],[City]]="","Unknown",PROPER(TRIM(tbl_FinancialData[[#This Row],[City]])))</f>
        <v>Patna</v>
      </c>
      <c r="AG662" t="str">
        <f>_xlfn.LET(_xlpm.city,LOWER(TRIM(tbl_FinancialData[[#This Row],[City]])),_xlpm.st,PROPER(TRIM(tbl_FinancialData[[#This Row],[State]])),IF(_xlpm.city="pune","Maharashtra",IF(_xlpm.city="jamshedpur","Jharkhand",IF(_xlpm.city="bhilai","Chhattisgarh",IF(_xlpm.city="mumbai","Maharashtra",_xlpm.st)))))</f>
        <v>Bihar</v>
      </c>
      <c r="AH662" t="str">
        <f>_xlfn.LET(_xlpm.d,PROPER(TRIM(tbl_FinancialData[[#This Row],[Department]])),IF(_xlpm.d="It","IT",_xlpm.d))</f>
        <v>Finance</v>
      </c>
      <c r="AI662" t="str">
        <f>_xlfn.LET(_xlpm.pid,tbl_FinancialData[[#This Row],[Product ID]],_xlpm.n,PROPER(TRIM(tbl_FinancialData[[#This Row],[Product Name]])),IF(_xlpm.pid="P020","Document Scanner",IF(_xlpm.pid="P015","Network Router",SUBSTITUTE(SUBSTITUTE(_xlpm.n,"Crm","CRM"),"Ups","UPS"))))</f>
        <v>Conference Camera</v>
      </c>
      <c r="AJ662" s="3" t="str">
        <f>UPPER(TRIM(tbl_FinancialData[[#This Row],[Cost Center]]))</f>
        <v>CC-1004</v>
      </c>
    </row>
    <row r="663" spans="1:36" x14ac:dyDescent="0.25">
      <c r="A663" s="3" t="s">
        <v>865</v>
      </c>
      <c r="B663" s="2">
        <v>45933</v>
      </c>
      <c r="C663" t="s">
        <v>92</v>
      </c>
      <c r="D663" s="3" t="str">
        <f t="shared" si="43"/>
        <v>Q3</v>
      </c>
      <c r="E663" s="3" t="str">
        <f t="shared" si="44"/>
        <v>FY2026</v>
      </c>
      <c r="F663" s="8" t="s">
        <v>85</v>
      </c>
      <c r="G663" s="3" t="s">
        <v>35</v>
      </c>
      <c r="H663" t="s">
        <v>178</v>
      </c>
      <c r="I663" t="s">
        <v>329</v>
      </c>
      <c r="J663" s="3" t="s">
        <v>80</v>
      </c>
      <c r="K663" t="s">
        <v>71</v>
      </c>
      <c r="L663" s="3" t="s">
        <v>94</v>
      </c>
      <c r="M663" s="3" t="s">
        <v>186</v>
      </c>
      <c r="N663" t="s">
        <v>187</v>
      </c>
      <c r="O663" t="s">
        <v>173</v>
      </c>
      <c r="P663" t="s">
        <v>174</v>
      </c>
      <c r="Q663" s="3">
        <v>16821.86</v>
      </c>
      <c r="R663" s="3">
        <v>16072.67</v>
      </c>
      <c r="S663" s="3">
        <v>9460.9699999999993</v>
      </c>
      <c r="T663" s="3">
        <v>1459.94</v>
      </c>
      <c r="U663" s="3">
        <v>630.47</v>
      </c>
      <c r="V663" s="3">
        <v>975.5</v>
      </c>
      <c r="W663" s="3">
        <v>328.09</v>
      </c>
      <c r="X663" s="3">
        <v>12854.97</v>
      </c>
      <c r="Y663" s="3">
        <v>7360.89</v>
      </c>
      <c r="Z663" s="3">
        <f t="shared" si="45"/>
        <v>3966.8900000000012</v>
      </c>
      <c r="AA663" s="37">
        <f t="shared" si="46"/>
        <v>0.23581756119715663</v>
      </c>
      <c r="AB663" s="3">
        <v>749.18</v>
      </c>
      <c r="AC663" s="3">
        <v>504.66</v>
      </c>
      <c r="AD663" s="3">
        <v>2937.1</v>
      </c>
      <c r="AE663" s="3">
        <v>19254.3</v>
      </c>
      <c r="AF663" t="str">
        <f>IF(tbl_FinancialData[[#This Row],[City]]="","Unknown",PROPER(TRIM(tbl_FinancialData[[#This Row],[City]])))</f>
        <v>Raipur</v>
      </c>
      <c r="AG663" t="str">
        <f>_xlfn.LET(_xlpm.city,LOWER(TRIM(tbl_FinancialData[[#This Row],[City]])),_xlpm.st,PROPER(TRIM(tbl_FinancialData[[#This Row],[State]])),IF(_xlpm.city="pune","Maharashtra",IF(_xlpm.city="jamshedpur","Jharkhand",IF(_xlpm.city="bhilai","Chhattisgarh",IF(_xlpm.city="mumbai","Maharashtra",_xlpm.st)))))</f>
        <v>Chhattisgarh</v>
      </c>
      <c r="AH663" t="str">
        <f>_xlfn.LET(_xlpm.d,PROPER(TRIM(tbl_FinancialData[[#This Row],[Department]])),IF(_xlpm.d="It","IT",_xlpm.d))</f>
        <v>Marketing</v>
      </c>
      <c r="AI663" t="str">
        <f>_xlfn.LET(_xlpm.pid,tbl_FinancialData[[#This Row],[Product ID]],_xlpm.n,PROPER(TRIM(tbl_FinancialData[[#This Row],[Product Name]])),IF(_xlpm.pid="P020","Document Scanner",IF(_xlpm.pid="P015","Network Router",SUBSTITUTE(SUBSTITUTE(_xlpm.n,"Crm","CRM"),"Ups","UPS"))))</f>
        <v>Network Router</v>
      </c>
      <c r="AJ663" s="3" t="str">
        <f>UPPER(TRIM(tbl_FinancialData[[#This Row],[Cost Center]]))</f>
        <v>CC-1001</v>
      </c>
    </row>
    <row r="664" spans="1:36" x14ac:dyDescent="0.25">
      <c r="A664" s="3" t="s">
        <v>866</v>
      </c>
      <c r="B664" s="2">
        <v>45983</v>
      </c>
      <c r="C664" t="s">
        <v>147</v>
      </c>
      <c r="D664" s="3" t="str">
        <f t="shared" si="43"/>
        <v>Q3</v>
      </c>
      <c r="E664" s="3" t="str">
        <f t="shared" si="44"/>
        <v>FY2026</v>
      </c>
      <c r="F664" s="8" t="s">
        <v>59</v>
      </c>
      <c r="G664" s="3" t="s">
        <v>35</v>
      </c>
      <c r="H664" t="s">
        <v>60</v>
      </c>
      <c r="I664" t="s">
        <v>108</v>
      </c>
      <c r="J664" s="3" t="s">
        <v>80</v>
      </c>
      <c r="K664" t="s">
        <v>50</v>
      </c>
      <c r="L664" s="3" t="s">
        <v>94</v>
      </c>
      <c r="M664" s="3" t="s">
        <v>73</v>
      </c>
      <c r="N664" t="s">
        <v>74</v>
      </c>
      <c r="O664" t="s">
        <v>43</v>
      </c>
      <c r="P664" t="s">
        <v>75</v>
      </c>
      <c r="Q664" s="3">
        <v>47018.41</v>
      </c>
      <c r="R664" s="3">
        <v>45914.47</v>
      </c>
      <c r="S664" s="3">
        <v>23415.42</v>
      </c>
      <c r="T664" s="3">
        <v>5719.89</v>
      </c>
      <c r="U664" s="3">
        <v>3628.6</v>
      </c>
      <c r="V664" s="3">
        <v>2405.56</v>
      </c>
      <c r="W664" s="3">
        <v>1748.47</v>
      </c>
      <c r="X664" s="3">
        <v>36917.93</v>
      </c>
      <c r="Y664" s="3">
        <v>23602.99</v>
      </c>
      <c r="Z664" s="3">
        <f t="shared" si="45"/>
        <v>10100.480000000003</v>
      </c>
      <c r="AA664" s="37">
        <f t="shared" si="46"/>
        <v>0.21481968445976804</v>
      </c>
      <c r="AB664" s="3">
        <v>1103.94</v>
      </c>
      <c r="AC664" s="3">
        <v>2350.92</v>
      </c>
      <c r="AD664" s="3">
        <v>5360.1</v>
      </c>
      <c r="AE664" s="3">
        <v>50027.59</v>
      </c>
      <c r="AF664" t="str">
        <f>IF(tbl_FinancialData[[#This Row],[City]]="","Unknown",PROPER(TRIM(tbl_FinancialData[[#This Row],[City]])))</f>
        <v>Agra</v>
      </c>
      <c r="AG664" t="str">
        <f>_xlfn.LET(_xlpm.city,LOWER(TRIM(tbl_FinancialData[[#This Row],[City]])),_xlpm.st,PROPER(TRIM(tbl_FinancialData[[#This Row],[State]])),IF(_xlpm.city="pune","Maharashtra",IF(_xlpm.city="jamshedpur","Jharkhand",IF(_xlpm.city="bhilai","Chhattisgarh",IF(_xlpm.city="mumbai","Maharashtra",_xlpm.st)))))</f>
        <v>Uttar Pradesh</v>
      </c>
      <c r="AH664" t="str">
        <f>_xlfn.LET(_xlpm.d,PROPER(TRIM(tbl_FinancialData[[#This Row],[Department]])),IF(_xlpm.d="It","IT",_xlpm.d))</f>
        <v>Sales</v>
      </c>
      <c r="AI664" t="str">
        <f>_xlfn.LET(_xlpm.pid,tbl_FinancialData[[#This Row],[Product ID]],_xlpm.n,PROPER(TRIM(tbl_FinancialData[[#This Row],[Product Name]])),IF(_xlpm.pid="P020","Document Scanner",IF(_xlpm.pid="P015","Network Router",SUBSTITUTE(SUBSTITUTE(_xlpm.n,"Crm","CRM"),"Ups","UPS"))))</f>
        <v>Monitor</v>
      </c>
      <c r="AJ664" s="3" t="str">
        <f>UPPER(TRIM(tbl_FinancialData[[#This Row],[Cost Center]]))</f>
        <v>CC-1001</v>
      </c>
    </row>
    <row r="665" spans="1:36" x14ac:dyDescent="0.25">
      <c r="A665" s="3" t="s">
        <v>867</v>
      </c>
      <c r="B665" s="2">
        <v>45948</v>
      </c>
      <c r="C665" t="s">
        <v>92</v>
      </c>
      <c r="D665" s="3" t="str">
        <f t="shared" si="43"/>
        <v>Q3</v>
      </c>
      <c r="E665" s="3" t="str">
        <f t="shared" si="44"/>
        <v>FY2026</v>
      </c>
      <c r="F665" s="8" t="s">
        <v>85</v>
      </c>
      <c r="G665" s="3" t="s">
        <v>35</v>
      </c>
      <c r="H665" t="s">
        <v>60</v>
      </c>
      <c r="I665" t="s">
        <v>185</v>
      </c>
      <c r="J665" s="3" t="s">
        <v>38</v>
      </c>
      <c r="K665" t="s">
        <v>50</v>
      </c>
      <c r="L665" s="3" t="s">
        <v>72</v>
      </c>
      <c r="M665" s="3" t="s">
        <v>73</v>
      </c>
      <c r="N665" t="s">
        <v>74</v>
      </c>
      <c r="O665" t="s">
        <v>43</v>
      </c>
      <c r="P665" t="s">
        <v>75</v>
      </c>
      <c r="Q665" s="3">
        <v>22489.48</v>
      </c>
      <c r="R665" s="3">
        <v>21211.84</v>
      </c>
      <c r="S665" s="3">
        <v>15916.32</v>
      </c>
      <c r="T665" s="3">
        <v>1728.17</v>
      </c>
      <c r="U665" s="3">
        <v>1037.6500000000001</v>
      </c>
      <c r="V665" s="3">
        <v>2560.89</v>
      </c>
      <c r="W665" s="3">
        <v>553.4</v>
      </c>
      <c r="X665" s="3">
        <v>21796.43</v>
      </c>
      <c r="Y665" s="3">
        <v>6573.16</v>
      </c>
      <c r="Z665" s="3">
        <f t="shared" si="45"/>
        <v>693.04999999999927</v>
      </c>
      <c r="AA665" s="37">
        <f t="shared" si="46"/>
        <v>3.0816630709113741E-2</v>
      </c>
      <c r="AB665" s="3">
        <v>1277.6400000000001</v>
      </c>
      <c r="AC665" s="3">
        <v>2248.9499999999998</v>
      </c>
      <c r="AD665" s="3">
        <v>1012.03</v>
      </c>
      <c r="AE665" s="3">
        <v>21252.560000000001</v>
      </c>
      <c r="AF665" t="str">
        <f>IF(tbl_FinancialData[[#This Row],[City]]="","Unknown",PROPER(TRIM(tbl_FinancialData[[#This Row],[City]])))</f>
        <v>Kanpur</v>
      </c>
      <c r="AG665" t="str">
        <f>_xlfn.LET(_xlpm.city,LOWER(TRIM(tbl_FinancialData[[#This Row],[City]])),_xlpm.st,PROPER(TRIM(tbl_FinancialData[[#This Row],[State]])),IF(_xlpm.city="pune","Maharashtra",IF(_xlpm.city="jamshedpur","Jharkhand",IF(_xlpm.city="bhilai","Chhattisgarh",IF(_xlpm.city="mumbai","Maharashtra",_xlpm.st)))))</f>
        <v>Uttar Pradesh</v>
      </c>
      <c r="AH665" t="str">
        <f>_xlfn.LET(_xlpm.d,PROPER(TRIM(tbl_FinancialData[[#This Row],[Department]])),IF(_xlpm.d="It","IT",_xlpm.d))</f>
        <v>Sales</v>
      </c>
      <c r="AI665" t="str">
        <f>_xlfn.LET(_xlpm.pid,tbl_FinancialData[[#This Row],[Product ID]],_xlpm.n,PROPER(TRIM(tbl_FinancialData[[#This Row],[Product Name]])),IF(_xlpm.pid="P020","Document Scanner",IF(_xlpm.pid="P015","Network Router",SUBSTITUTE(SUBSTITUTE(_xlpm.n,"Crm","CRM"),"Ups","UPS"))))</f>
        <v>Monitor</v>
      </c>
      <c r="AJ665" s="3" t="str">
        <f>UPPER(TRIM(tbl_FinancialData[[#This Row],[Cost Center]]))</f>
        <v>CC-1004</v>
      </c>
    </row>
    <row r="666" spans="1:36" x14ac:dyDescent="0.25">
      <c r="A666" s="3" t="s">
        <v>868</v>
      </c>
      <c r="B666" s="2">
        <v>46017</v>
      </c>
      <c r="C666" t="s">
        <v>107</v>
      </c>
      <c r="D666" s="3" t="str">
        <f t="shared" si="43"/>
        <v>Q3</v>
      </c>
      <c r="E666" s="3" t="str">
        <f t="shared" si="44"/>
        <v>FY2026</v>
      </c>
      <c r="F666" s="8" t="s">
        <v>85</v>
      </c>
      <c r="G666" s="3" t="s">
        <v>35</v>
      </c>
      <c r="H666" t="s">
        <v>86</v>
      </c>
      <c r="I666" t="s">
        <v>262</v>
      </c>
      <c r="J666" s="3" t="s">
        <v>70</v>
      </c>
      <c r="K666" t="s">
        <v>50</v>
      </c>
      <c r="L666" s="3" t="s">
        <v>94</v>
      </c>
      <c r="M666" s="3" t="s">
        <v>110</v>
      </c>
      <c r="N666" t="s">
        <v>111</v>
      </c>
      <c r="O666" t="s">
        <v>112</v>
      </c>
      <c r="P666" t="s">
        <v>113</v>
      </c>
      <c r="Q666" s="3">
        <v>25929.67</v>
      </c>
      <c r="R666" s="3">
        <v>25907.95</v>
      </c>
      <c r="S666" s="3">
        <v>13766.67</v>
      </c>
      <c r="T666" s="3">
        <v>3186.73</v>
      </c>
      <c r="U666" s="3">
        <v>2220.98</v>
      </c>
      <c r="V666" s="3">
        <v>2069.34</v>
      </c>
      <c r="W666" s="3">
        <v>265.19</v>
      </c>
      <c r="X666" s="3">
        <v>21508.91</v>
      </c>
      <c r="Y666" s="3">
        <v>12163.01</v>
      </c>
      <c r="Z666" s="3">
        <f t="shared" si="45"/>
        <v>4420.7599999999984</v>
      </c>
      <c r="AA666" s="37">
        <f t="shared" si="46"/>
        <v>0.17049040732103413</v>
      </c>
      <c r="AB666" s="3">
        <v>21.72</v>
      </c>
      <c r="AC666" s="3">
        <v>0</v>
      </c>
      <c r="AD666" s="3">
        <v>3111.56</v>
      </c>
      <c r="AE666" s="3">
        <v>29041.23</v>
      </c>
      <c r="AF666" t="str">
        <f>IF(tbl_FinancialData[[#This Row],[City]]="","Unknown",PROPER(TRIM(tbl_FinancialData[[#This Row],[City]])))</f>
        <v>Gwalior</v>
      </c>
      <c r="AG666" t="str">
        <f>_xlfn.LET(_xlpm.city,LOWER(TRIM(tbl_FinancialData[[#This Row],[City]])),_xlpm.st,PROPER(TRIM(tbl_FinancialData[[#This Row],[State]])),IF(_xlpm.city="pune","Maharashtra",IF(_xlpm.city="jamshedpur","Jharkhand",IF(_xlpm.city="bhilai","Chhattisgarh",IF(_xlpm.city="mumbai","Maharashtra",_xlpm.st)))))</f>
        <v>Madhya Pradesh</v>
      </c>
      <c r="AH666" t="str">
        <f>_xlfn.LET(_xlpm.d,PROPER(TRIM(tbl_FinancialData[[#This Row],[Department]])),IF(_xlpm.d="It","IT",_xlpm.d))</f>
        <v>Sales</v>
      </c>
      <c r="AI666" t="str">
        <f>_xlfn.LET(_xlpm.pid,tbl_FinancialData[[#This Row],[Product ID]],_xlpm.n,PROPER(TRIM(tbl_FinancialData[[#This Row],[Product Name]])),IF(_xlpm.pid="P020","Document Scanner",IF(_xlpm.pid="P015","Network Router",SUBSTITUTE(SUBSTITUTE(_xlpm.n,"Crm","CRM"),"Ups","UPS"))))</f>
        <v>Office Desk</v>
      </c>
      <c r="AJ666" s="3" t="str">
        <f>UPPER(TRIM(tbl_FinancialData[[#This Row],[Cost Center]]))</f>
        <v>CC-1001</v>
      </c>
    </row>
    <row r="667" spans="1:36" x14ac:dyDescent="0.25">
      <c r="A667" s="3" t="s">
        <v>869</v>
      </c>
      <c r="B667" s="2">
        <v>45959</v>
      </c>
      <c r="C667" t="s">
        <v>92</v>
      </c>
      <c r="D667" s="3" t="str">
        <f t="shared" si="43"/>
        <v>Q3</v>
      </c>
      <c r="E667" s="3" t="str">
        <f t="shared" si="44"/>
        <v>FY2026</v>
      </c>
      <c r="F667" s="8" t="s">
        <v>85</v>
      </c>
      <c r="G667" s="3" t="s">
        <v>35</v>
      </c>
      <c r="H667" t="s">
        <v>178</v>
      </c>
      <c r="I667" t="s">
        <v>329</v>
      </c>
      <c r="J667" s="3" t="s">
        <v>38</v>
      </c>
      <c r="K667" t="s">
        <v>71</v>
      </c>
      <c r="L667" s="3" t="s">
        <v>72</v>
      </c>
      <c r="M667" s="3" t="s">
        <v>120</v>
      </c>
      <c r="N667" t="s">
        <v>121</v>
      </c>
      <c r="O667" t="s">
        <v>43</v>
      </c>
      <c r="P667" t="s">
        <v>122</v>
      </c>
      <c r="Q667" s="3">
        <v>50661.52</v>
      </c>
      <c r="R667" s="3">
        <v>50739.9</v>
      </c>
      <c r="S667" s="3">
        <v>28018.26</v>
      </c>
      <c r="T667" s="3">
        <v>5299.17</v>
      </c>
      <c r="U667" s="3">
        <v>4057.58</v>
      </c>
      <c r="V667" s="3">
        <v>4837.6400000000003</v>
      </c>
      <c r="W667" s="3">
        <v>2159.38</v>
      </c>
      <c r="X667" s="3">
        <v>44372.03</v>
      </c>
      <c r="Y667" s="3">
        <v>22643.25</v>
      </c>
      <c r="Z667" s="3">
        <f t="shared" si="45"/>
        <v>6289.489999999998</v>
      </c>
      <c r="AA667" s="37">
        <f t="shared" si="46"/>
        <v>0.12414728180283573</v>
      </c>
      <c r="AB667" s="3">
        <v>-78.39</v>
      </c>
      <c r="AC667" s="3">
        <v>2533.08</v>
      </c>
      <c r="AD667" s="3">
        <v>8663.1200000000008</v>
      </c>
      <c r="AE667" s="3">
        <v>56791.56</v>
      </c>
      <c r="AF667" t="str">
        <f>IF(tbl_FinancialData[[#This Row],[City]]="","Unknown",PROPER(TRIM(tbl_FinancialData[[#This Row],[City]])))</f>
        <v>Raipur</v>
      </c>
      <c r="AG667" t="str">
        <f>_xlfn.LET(_xlpm.city,LOWER(TRIM(tbl_FinancialData[[#This Row],[City]])),_xlpm.st,PROPER(TRIM(tbl_FinancialData[[#This Row],[State]])),IF(_xlpm.city="pune","Maharashtra",IF(_xlpm.city="jamshedpur","Jharkhand",IF(_xlpm.city="bhilai","Chhattisgarh",IF(_xlpm.city="mumbai","Maharashtra",_xlpm.st)))))</f>
        <v>Chhattisgarh</v>
      </c>
      <c r="AH667" t="str">
        <f>_xlfn.LET(_xlpm.d,PROPER(TRIM(tbl_FinancialData[[#This Row],[Department]])),IF(_xlpm.d="It","IT",_xlpm.d))</f>
        <v>Marketing</v>
      </c>
      <c r="AI667" t="str">
        <f>_xlfn.LET(_xlpm.pid,tbl_FinancialData[[#This Row],[Product ID]],_xlpm.n,PROPER(TRIM(tbl_FinancialData[[#This Row],[Product Name]])),IF(_xlpm.pid="P020","Document Scanner",IF(_xlpm.pid="P015","Network Router",SUBSTITUTE(SUBSTITUTE(_xlpm.n,"Crm","CRM"),"Ups","UPS"))))</f>
        <v>Projector</v>
      </c>
      <c r="AJ667" s="3" t="str">
        <f>UPPER(TRIM(tbl_FinancialData[[#This Row],[Cost Center]]))</f>
        <v>CC-1004</v>
      </c>
    </row>
    <row r="668" spans="1:36" x14ac:dyDescent="0.25">
      <c r="A668" s="3" t="s">
        <v>870</v>
      </c>
      <c r="B668" s="2">
        <v>45790</v>
      </c>
      <c r="C668" t="s">
        <v>65</v>
      </c>
      <c r="D668" s="3" t="str">
        <f t="shared" si="43"/>
        <v>Q1</v>
      </c>
      <c r="E668" s="3" t="str">
        <f t="shared" si="44"/>
        <v>FY2026</v>
      </c>
      <c r="F668" s="8" t="s">
        <v>34</v>
      </c>
      <c r="G668" s="3" t="s">
        <v>35</v>
      </c>
      <c r="H668" t="s">
        <v>98</v>
      </c>
      <c r="I668" t="s">
        <v>99</v>
      </c>
      <c r="J668" s="3" t="s">
        <v>38</v>
      </c>
      <c r="K668" t="s">
        <v>50</v>
      </c>
      <c r="L668" s="3" t="s">
        <v>40</v>
      </c>
      <c r="M668" s="3" t="s">
        <v>120</v>
      </c>
      <c r="N668" t="s">
        <v>121</v>
      </c>
      <c r="O668" t="s">
        <v>43</v>
      </c>
      <c r="P668" t="s">
        <v>122</v>
      </c>
      <c r="Q668" s="3">
        <v>51931.31</v>
      </c>
      <c r="R668" s="3">
        <v>52847.49</v>
      </c>
      <c r="S668" s="3">
        <v>37186.67</v>
      </c>
      <c r="T668" s="3">
        <v>4226.9799999999996</v>
      </c>
      <c r="U668" s="3">
        <v>2521.2199999999998</v>
      </c>
      <c r="V668" s="3">
        <v>3400.9</v>
      </c>
      <c r="W668" s="3">
        <v>2145.61</v>
      </c>
      <c r="X668" s="3">
        <v>49481.38</v>
      </c>
      <c r="Y668" s="3">
        <v>14744.64</v>
      </c>
      <c r="Z668" s="3">
        <f t="shared" si="45"/>
        <v>2449.9300000000003</v>
      </c>
      <c r="AA668" s="37">
        <f t="shared" si="46"/>
        <v>4.7176356614150511E-2</v>
      </c>
      <c r="AB668" s="3">
        <v>-916.18</v>
      </c>
      <c r="AC668" s="3">
        <v>1557.94</v>
      </c>
      <c r="AD668" s="3">
        <v>9067.2099999999991</v>
      </c>
      <c r="AE668" s="3">
        <v>59440.58</v>
      </c>
      <c r="AF668" t="str">
        <f>IF(tbl_FinancialData[[#This Row],[City]]="","Unknown",PROPER(TRIM(tbl_FinancialData[[#This Row],[City]])))</f>
        <v>Mumbai</v>
      </c>
      <c r="AG668" t="str">
        <f>_xlfn.LET(_xlpm.city,LOWER(TRIM(tbl_FinancialData[[#This Row],[City]])),_xlpm.st,PROPER(TRIM(tbl_FinancialData[[#This Row],[State]])),IF(_xlpm.city="pune","Maharashtra",IF(_xlpm.city="jamshedpur","Jharkhand",IF(_xlpm.city="bhilai","Chhattisgarh",IF(_xlpm.city="mumbai","Maharashtra",_xlpm.st)))))</f>
        <v>Maharashtra</v>
      </c>
      <c r="AH668" t="str">
        <f>_xlfn.LET(_xlpm.d,PROPER(TRIM(tbl_FinancialData[[#This Row],[Department]])),IF(_xlpm.d="It","IT",_xlpm.d))</f>
        <v>Sales</v>
      </c>
      <c r="AI668" t="str">
        <f>_xlfn.LET(_xlpm.pid,tbl_FinancialData[[#This Row],[Product ID]],_xlpm.n,PROPER(TRIM(tbl_FinancialData[[#This Row],[Product Name]])),IF(_xlpm.pid="P020","Document Scanner",IF(_xlpm.pid="P015","Network Router",SUBSTITUTE(SUBSTITUTE(_xlpm.n,"Crm","CRM"),"Ups","UPS"))))</f>
        <v>Projector</v>
      </c>
      <c r="AJ668" s="3" t="str">
        <f>UPPER(TRIM(tbl_FinancialData[[#This Row],[Cost Center]]))</f>
        <v>CC-1002</v>
      </c>
    </row>
    <row r="669" spans="1:36" x14ac:dyDescent="0.25">
      <c r="A669" s="3" t="s">
        <v>871</v>
      </c>
      <c r="B669" s="2">
        <v>45935</v>
      </c>
      <c r="C669" t="s">
        <v>92</v>
      </c>
      <c r="D669" s="3" t="str">
        <f t="shared" si="43"/>
        <v>Q3</v>
      </c>
      <c r="E669" s="3" t="str">
        <f t="shared" si="44"/>
        <v>FY2026</v>
      </c>
      <c r="F669" s="8" t="s">
        <v>67</v>
      </c>
      <c r="G669" s="3" t="s">
        <v>35</v>
      </c>
      <c r="H669" t="s">
        <v>68</v>
      </c>
      <c r="I669" t="s">
        <v>204</v>
      </c>
      <c r="J669" s="3" t="s">
        <v>80</v>
      </c>
      <c r="K669" t="s">
        <v>39</v>
      </c>
      <c r="L669" s="3" t="s">
        <v>40</v>
      </c>
      <c r="M669" s="3" t="s">
        <v>52</v>
      </c>
      <c r="N669" t="s">
        <v>53</v>
      </c>
      <c r="O669" t="s">
        <v>54</v>
      </c>
      <c r="P669" t="s">
        <v>55</v>
      </c>
      <c r="Q669" s="3">
        <v>7292.31</v>
      </c>
      <c r="R669" s="3">
        <v>7975.13</v>
      </c>
      <c r="S669" s="3">
        <v>4240.08</v>
      </c>
      <c r="T669" s="3">
        <v>744.68</v>
      </c>
      <c r="U669" s="3">
        <v>305.08999999999997</v>
      </c>
      <c r="V669" s="3">
        <v>332.39</v>
      </c>
      <c r="W669" s="3">
        <v>178.45</v>
      </c>
      <c r="X669" s="3">
        <v>5800.7</v>
      </c>
      <c r="Y669" s="3">
        <v>3052.24</v>
      </c>
      <c r="Z669" s="3">
        <f t="shared" si="45"/>
        <v>1491.6100000000006</v>
      </c>
      <c r="AA669" s="37">
        <f t="shared" si="46"/>
        <v>0.20454561037586177</v>
      </c>
      <c r="AB669" s="3">
        <v>-682.82</v>
      </c>
      <c r="AC669" s="3">
        <v>218.77</v>
      </c>
      <c r="AD669" s="3">
        <v>848.83</v>
      </c>
      <c r="AE669" s="3">
        <v>7922.37</v>
      </c>
      <c r="AF669" t="str">
        <f>IF(tbl_FinancialData[[#This Row],[City]]="","Unknown",PROPER(TRIM(tbl_FinancialData[[#This Row],[City]])))</f>
        <v>Cuttack</v>
      </c>
      <c r="AG669" t="str">
        <f>_xlfn.LET(_xlpm.city,LOWER(TRIM(tbl_FinancialData[[#This Row],[City]])),_xlpm.st,PROPER(TRIM(tbl_FinancialData[[#This Row],[State]])),IF(_xlpm.city="pune","Maharashtra",IF(_xlpm.city="jamshedpur","Jharkhand",IF(_xlpm.city="bhilai","Chhattisgarh",IF(_xlpm.city="mumbai","Maharashtra",_xlpm.st)))))</f>
        <v>Odisha</v>
      </c>
      <c r="AH669" t="str">
        <f>_xlfn.LET(_xlpm.d,PROPER(TRIM(tbl_FinancialData[[#This Row],[Department]])),IF(_xlpm.d="It","IT",_xlpm.d))</f>
        <v>Operations</v>
      </c>
      <c r="AI669" t="str">
        <f>_xlfn.LET(_xlpm.pid,tbl_FinancialData[[#This Row],[Product ID]],_xlpm.n,PROPER(TRIM(tbl_FinancialData[[#This Row],[Product Name]])),IF(_xlpm.pid="P020","Document Scanner",IF(_xlpm.pid="P015","Network Router",SUBSTITUTE(SUBSTITUTE(_xlpm.n,"Crm","CRM"),"Ups","UPS"))))</f>
        <v>Mouse</v>
      </c>
      <c r="AJ669" s="3" t="str">
        <f>UPPER(TRIM(tbl_FinancialData[[#This Row],[Cost Center]]))</f>
        <v>CC-1002</v>
      </c>
    </row>
    <row r="670" spans="1:36" x14ac:dyDescent="0.25">
      <c r="A670" s="3" t="s">
        <v>872</v>
      </c>
      <c r="B670" s="2">
        <v>46096</v>
      </c>
      <c r="C670" t="s">
        <v>125</v>
      </c>
      <c r="D670" s="3" t="str">
        <f t="shared" si="43"/>
        <v>Q4</v>
      </c>
      <c r="E670" s="3" t="str">
        <f t="shared" si="44"/>
        <v>FY2026</v>
      </c>
      <c r="F670" s="8" t="s">
        <v>59</v>
      </c>
      <c r="G670" s="3" t="s">
        <v>35</v>
      </c>
      <c r="H670" t="s">
        <v>139</v>
      </c>
      <c r="I670" t="s">
        <v>152</v>
      </c>
      <c r="J670" s="3" t="s">
        <v>38</v>
      </c>
      <c r="K670" t="s">
        <v>71</v>
      </c>
      <c r="L670" s="3" t="s">
        <v>51</v>
      </c>
      <c r="M670" s="3" t="s">
        <v>95</v>
      </c>
      <c r="N670" t="s">
        <v>96</v>
      </c>
      <c r="O670" t="s">
        <v>43</v>
      </c>
      <c r="P670" t="s">
        <v>90</v>
      </c>
      <c r="Q670" s="3">
        <v>58985.93</v>
      </c>
      <c r="R670" s="3">
        <v>62486.080000000002</v>
      </c>
      <c r="S670" s="3">
        <v>28523.74</v>
      </c>
      <c r="T670" s="3">
        <v>4614.4799999999996</v>
      </c>
      <c r="U670" s="3">
        <v>2023.16</v>
      </c>
      <c r="V670" s="3">
        <v>6722.67</v>
      </c>
      <c r="W670" s="3">
        <v>804.59</v>
      </c>
      <c r="X670" s="3">
        <v>42688.639999999999</v>
      </c>
      <c r="Y670" s="3">
        <v>30462.19</v>
      </c>
      <c r="Z670" s="3">
        <f t="shared" si="45"/>
        <v>16297.29</v>
      </c>
      <c r="AA670" s="37">
        <f t="shared" si="46"/>
        <v>0.27629114265045918</v>
      </c>
      <c r="AB670" s="3">
        <v>-3500.15</v>
      </c>
      <c r="AC670" s="3">
        <v>1769.58</v>
      </c>
      <c r="AD670" s="3">
        <v>2860.82</v>
      </c>
      <c r="AE670" s="3">
        <v>60077.17</v>
      </c>
      <c r="AF670" t="str">
        <f>IF(tbl_FinancialData[[#This Row],[City]]="","Unknown",PROPER(TRIM(tbl_FinancialData[[#This Row],[City]])))</f>
        <v>Panipat</v>
      </c>
      <c r="AG670" t="str">
        <f>_xlfn.LET(_xlpm.city,LOWER(TRIM(tbl_FinancialData[[#This Row],[City]])),_xlpm.st,PROPER(TRIM(tbl_FinancialData[[#This Row],[State]])),IF(_xlpm.city="pune","Maharashtra",IF(_xlpm.city="jamshedpur","Jharkhand",IF(_xlpm.city="bhilai","Chhattisgarh",IF(_xlpm.city="mumbai","Maharashtra",_xlpm.st)))))</f>
        <v>Haryana</v>
      </c>
      <c r="AH670" t="str">
        <f>_xlfn.LET(_xlpm.d,PROPER(TRIM(tbl_FinancialData[[#This Row],[Department]])),IF(_xlpm.d="It","IT",_xlpm.d))</f>
        <v>Marketing</v>
      </c>
      <c r="AI670" t="str">
        <f>_xlfn.LET(_xlpm.pid,tbl_FinancialData[[#This Row],[Product ID]],_xlpm.n,PROPER(TRIM(tbl_FinancialData[[#This Row],[Product Name]])),IF(_xlpm.pid="P020","Document Scanner",IF(_xlpm.pid="P015","Network Router",SUBSTITUTE(SUBSTITUTE(_xlpm.n,"Crm","CRM"),"Ups","UPS"))))</f>
        <v>Document Scanner</v>
      </c>
      <c r="AJ670" s="3" t="str">
        <f>UPPER(TRIM(tbl_FinancialData[[#This Row],[Cost Center]]))</f>
        <v>CC-1003</v>
      </c>
    </row>
    <row r="671" spans="1:36" x14ac:dyDescent="0.25">
      <c r="A671" s="3" t="s">
        <v>873</v>
      </c>
      <c r="B671" s="2">
        <v>45893</v>
      </c>
      <c r="C671" t="s">
        <v>117</v>
      </c>
      <c r="D671" s="3" t="str">
        <f t="shared" si="43"/>
        <v>Q2</v>
      </c>
      <c r="E671" s="3" t="str">
        <f t="shared" si="44"/>
        <v>FY2026</v>
      </c>
      <c r="F671" s="8" t="s">
        <v>47</v>
      </c>
      <c r="G671" s="3" t="s">
        <v>35</v>
      </c>
      <c r="H671" t="s">
        <v>78</v>
      </c>
      <c r="I671" t="s">
        <v>115</v>
      </c>
      <c r="J671" s="3" t="s">
        <v>38</v>
      </c>
      <c r="K671" t="s">
        <v>50</v>
      </c>
      <c r="L671" s="3" t="s">
        <v>40</v>
      </c>
      <c r="M671" s="3" t="s">
        <v>235</v>
      </c>
      <c r="N671" t="s">
        <v>236</v>
      </c>
      <c r="O671" t="s">
        <v>104</v>
      </c>
      <c r="P671" t="s">
        <v>237</v>
      </c>
      <c r="Q671" s="3">
        <v>30210.61</v>
      </c>
      <c r="R671" s="3">
        <v>27232.91</v>
      </c>
      <c r="S671" s="3">
        <v>14736.44</v>
      </c>
      <c r="T671" s="3">
        <v>3310.01</v>
      </c>
      <c r="U671" s="3">
        <v>1017.13</v>
      </c>
      <c r="V671" s="3">
        <v>1529.86</v>
      </c>
      <c r="W671" s="3">
        <v>325.76</v>
      </c>
      <c r="X671" s="3">
        <v>20919.2</v>
      </c>
      <c r="Y671" s="3">
        <v>15474.16</v>
      </c>
      <c r="Z671" s="3">
        <f t="shared" si="45"/>
        <v>9291.41</v>
      </c>
      <c r="AA671" s="37">
        <f t="shared" si="46"/>
        <v>0.30755453133849331</v>
      </c>
      <c r="AB671" s="3">
        <v>2977.7</v>
      </c>
      <c r="AC671" s="3">
        <v>0</v>
      </c>
      <c r="AD671" s="3">
        <v>3625.27</v>
      </c>
      <c r="AE671" s="3">
        <v>33835.879999999997</v>
      </c>
      <c r="AF671" t="str">
        <f>IF(tbl_FinancialData[[#This Row],[City]]="","Unknown",PROPER(TRIM(tbl_FinancialData[[#This Row],[City]])))</f>
        <v>Thiruvananthapuram</v>
      </c>
      <c r="AG671" t="str">
        <f>_xlfn.LET(_xlpm.city,LOWER(TRIM(tbl_FinancialData[[#This Row],[City]])),_xlpm.st,PROPER(TRIM(tbl_FinancialData[[#This Row],[State]])),IF(_xlpm.city="pune","Maharashtra",IF(_xlpm.city="jamshedpur","Jharkhand",IF(_xlpm.city="bhilai","Chhattisgarh",IF(_xlpm.city="mumbai","Maharashtra",_xlpm.st)))))</f>
        <v>Kerala</v>
      </c>
      <c r="AH671" t="str">
        <f>_xlfn.LET(_xlpm.d,PROPER(TRIM(tbl_FinancialData[[#This Row],[Department]])),IF(_xlpm.d="It","IT",_xlpm.d))</f>
        <v>Sales</v>
      </c>
      <c r="AI671" t="str">
        <f>_xlfn.LET(_xlpm.pid,tbl_FinancialData[[#This Row],[Product ID]],_xlpm.n,PROPER(TRIM(tbl_FinancialData[[#This Row],[Product Name]])),IF(_xlpm.pid="P020","Document Scanner",IF(_xlpm.pid="P015","Network Router",SUBSTITUTE(SUBSTITUTE(_xlpm.n,"Crm","CRM"),"Ups","UPS"))))</f>
        <v>Data Storage</v>
      </c>
      <c r="AJ671" s="3" t="str">
        <f>UPPER(TRIM(tbl_FinancialData[[#This Row],[Cost Center]]))</f>
        <v>CC-1002</v>
      </c>
    </row>
    <row r="672" spans="1:36" x14ac:dyDescent="0.25">
      <c r="A672" s="3" t="s">
        <v>874</v>
      </c>
      <c r="B672" s="2">
        <v>46065</v>
      </c>
      <c r="C672" t="s">
        <v>57</v>
      </c>
      <c r="D672" s="3" t="str">
        <f t="shared" si="43"/>
        <v>Q4</v>
      </c>
      <c r="E672" s="3" t="str">
        <f t="shared" si="44"/>
        <v>FY2026</v>
      </c>
      <c r="F672" s="8" t="s">
        <v>59</v>
      </c>
      <c r="G672" s="3" t="s">
        <v>35</v>
      </c>
      <c r="H672" t="s">
        <v>254</v>
      </c>
      <c r="I672" t="s">
        <v>255</v>
      </c>
      <c r="J672" s="3" t="s">
        <v>70</v>
      </c>
      <c r="K672" t="s">
        <v>50</v>
      </c>
      <c r="L672" s="3" t="s">
        <v>51</v>
      </c>
      <c r="M672" s="3" t="s">
        <v>130</v>
      </c>
      <c r="N672" t="s">
        <v>131</v>
      </c>
      <c r="O672" t="s">
        <v>43</v>
      </c>
      <c r="P672" t="s">
        <v>132</v>
      </c>
      <c r="Q672" s="3">
        <v>25677.78</v>
      </c>
      <c r="R672" s="3">
        <v>25036.45</v>
      </c>
      <c r="S672" s="3">
        <v>16945.810000000001</v>
      </c>
      <c r="T672" s="3">
        <v>1563.78</v>
      </c>
      <c r="U672" s="3">
        <v>2140.56</v>
      </c>
      <c r="V672" s="3">
        <v>1525.42</v>
      </c>
      <c r="W672" s="3">
        <v>574.15</v>
      </c>
      <c r="X672" s="3">
        <v>22749.72</v>
      </c>
      <c r="Y672" s="3">
        <v>8731.9699999999993</v>
      </c>
      <c r="Z672" s="3">
        <f t="shared" si="45"/>
        <v>2928.0599999999977</v>
      </c>
      <c r="AA672" s="37">
        <f t="shared" si="46"/>
        <v>0.11403088584760823</v>
      </c>
      <c r="AB672" s="3">
        <v>641.32000000000005</v>
      </c>
      <c r="AC672" s="3">
        <v>2567.7800000000002</v>
      </c>
      <c r="AD672" s="3">
        <v>2773.2</v>
      </c>
      <c r="AE672" s="3">
        <v>25883.200000000001</v>
      </c>
      <c r="AF672" t="str">
        <f>IF(tbl_FinancialData[[#This Row],[City]]="","Unknown",PROPER(TRIM(tbl_FinancialData[[#This Row],[City]])))</f>
        <v>Noida</v>
      </c>
      <c r="AG672" t="str">
        <f>_xlfn.LET(_xlpm.city,LOWER(TRIM(tbl_FinancialData[[#This Row],[City]])),_xlpm.st,PROPER(TRIM(tbl_FinancialData[[#This Row],[State]])),IF(_xlpm.city="pune","Maharashtra",IF(_xlpm.city="jamshedpur","Jharkhand",IF(_xlpm.city="bhilai","Chhattisgarh",IF(_xlpm.city="mumbai","Maharashtra",_xlpm.st)))))</f>
        <v>Delhi</v>
      </c>
      <c r="AH672" t="str">
        <f>_xlfn.LET(_xlpm.d,PROPER(TRIM(tbl_FinancialData[[#This Row],[Department]])),IF(_xlpm.d="It","IT",_xlpm.d))</f>
        <v>Sales</v>
      </c>
      <c r="AI672" t="str">
        <f>_xlfn.LET(_xlpm.pid,tbl_FinancialData[[#This Row],[Product ID]],_xlpm.n,PROPER(TRIM(tbl_FinancialData[[#This Row],[Product Name]])),IF(_xlpm.pid="P020","Document Scanner",IF(_xlpm.pid="P015","Network Router",SUBSTITUTE(SUBSTITUTE(_xlpm.n,"Crm","CRM"),"Ups","UPS"))))</f>
        <v>UPS System</v>
      </c>
      <c r="AJ672" s="3" t="str">
        <f>UPPER(TRIM(tbl_FinancialData[[#This Row],[Cost Center]]))</f>
        <v>CC-1003</v>
      </c>
    </row>
    <row r="673" spans="1:36" x14ac:dyDescent="0.25">
      <c r="A673" s="3" t="s">
        <v>875</v>
      </c>
      <c r="B673" s="2">
        <v>46035</v>
      </c>
      <c r="C673" t="s">
        <v>77</v>
      </c>
      <c r="D673" s="3" t="str">
        <f t="shared" si="43"/>
        <v>Q4</v>
      </c>
      <c r="E673" s="3" t="str">
        <f t="shared" si="44"/>
        <v>FY2026</v>
      </c>
      <c r="F673" s="8" t="s">
        <v>85</v>
      </c>
      <c r="G673" s="3" t="s">
        <v>35</v>
      </c>
      <c r="H673" t="s">
        <v>178</v>
      </c>
      <c r="I673" t="s">
        <v>329</v>
      </c>
      <c r="J673" s="3" t="s">
        <v>100</v>
      </c>
      <c r="K673" t="s">
        <v>39</v>
      </c>
      <c r="L673" s="3" t="s">
        <v>40</v>
      </c>
      <c r="M673" s="3" t="s">
        <v>52</v>
      </c>
      <c r="N673" t="s">
        <v>53</v>
      </c>
      <c r="O673" t="s">
        <v>54</v>
      </c>
      <c r="P673" t="s">
        <v>55</v>
      </c>
      <c r="Q673" s="3">
        <v>6523.89</v>
      </c>
      <c r="R673" s="3">
        <v>6470.01</v>
      </c>
      <c r="S673" s="3">
        <v>3845.03</v>
      </c>
      <c r="T673" s="3">
        <v>418.59</v>
      </c>
      <c r="U673" s="3">
        <v>431.95</v>
      </c>
      <c r="V673" s="3">
        <v>451.01</v>
      </c>
      <c r="W673" s="3">
        <v>259.86</v>
      </c>
      <c r="X673" s="3">
        <v>5406.45</v>
      </c>
      <c r="Y673" s="3">
        <v>2678.86</v>
      </c>
      <c r="Z673" s="3">
        <f t="shared" si="45"/>
        <v>1117.4400000000005</v>
      </c>
      <c r="AA673" s="37">
        <f t="shared" si="46"/>
        <v>0.1712843104344188</v>
      </c>
      <c r="AB673" s="3">
        <v>53.88</v>
      </c>
      <c r="AC673" s="3">
        <v>326.19</v>
      </c>
      <c r="AD673" s="3">
        <v>1115.5899999999999</v>
      </c>
      <c r="AE673" s="3">
        <v>7313.28</v>
      </c>
      <c r="AF673" t="str">
        <f>IF(tbl_FinancialData[[#This Row],[City]]="","Unknown",PROPER(TRIM(tbl_FinancialData[[#This Row],[City]])))</f>
        <v>Raipur</v>
      </c>
      <c r="AG673" t="str">
        <f>_xlfn.LET(_xlpm.city,LOWER(TRIM(tbl_FinancialData[[#This Row],[City]])),_xlpm.st,PROPER(TRIM(tbl_FinancialData[[#This Row],[State]])),IF(_xlpm.city="pune","Maharashtra",IF(_xlpm.city="jamshedpur","Jharkhand",IF(_xlpm.city="bhilai","Chhattisgarh",IF(_xlpm.city="mumbai","Maharashtra",_xlpm.st)))))</f>
        <v>Chhattisgarh</v>
      </c>
      <c r="AH673" t="str">
        <f>_xlfn.LET(_xlpm.d,PROPER(TRIM(tbl_FinancialData[[#This Row],[Department]])),IF(_xlpm.d="It","IT",_xlpm.d))</f>
        <v>Operations</v>
      </c>
      <c r="AI673" t="str">
        <f>_xlfn.LET(_xlpm.pid,tbl_FinancialData[[#This Row],[Product ID]],_xlpm.n,PROPER(TRIM(tbl_FinancialData[[#This Row],[Product Name]])),IF(_xlpm.pid="P020","Document Scanner",IF(_xlpm.pid="P015","Network Router",SUBSTITUTE(SUBSTITUTE(_xlpm.n,"Crm","CRM"),"Ups","UPS"))))</f>
        <v>Mouse</v>
      </c>
      <c r="AJ673" s="3" t="str">
        <f>UPPER(TRIM(tbl_FinancialData[[#This Row],[Cost Center]]))</f>
        <v>CC-1002</v>
      </c>
    </row>
    <row r="674" spans="1:36" x14ac:dyDescent="0.25">
      <c r="A674" s="3" t="s">
        <v>876</v>
      </c>
      <c r="B674" s="2">
        <v>46092</v>
      </c>
      <c r="C674" t="s">
        <v>125</v>
      </c>
      <c r="D674" s="3" t="str">
        <f t="shared" si="43"/>
        <v>Q4</v>
      </c>
      <c r="E674" s="3" t="str">
        <f t="shared" si="44"/>
        <v>FY2026</v>
      </c>
      <c r="F674" s="8" t="s">
        <v>85</v>
      </c>
      <c r="G674" s="3" t="s">
        <v>35</v>
      </c>
      <c r="H674" t="s">
        <v>86</v>
      </c>
      <c r="I674" t="s">
        <v>262</v>
      </c>
      <c r="J674" s="3" t="s">
        <v>38</v>
      </c>
      <c r="K674" t="s">
        <v>50</v>
      </c>
      <c r="L674" s="3" t="s">
        <v>81</v>
      </c>
      <c r="M674" s="3" t="s">
        <v>189</v>
      </c>
      <c r="N674" t="s">
        <v>190</v>
      </c>
      <c r="O674" t="s">
        <v>104</v>
      </c>
      <c r="P674" t="s">
        <v>105</v>
      </c>
      <c r="Q674" s="3">
        <v>10708.54</v>
      </c>
      <c r="R674" s="3">
        <v>10159.16</v>
      </c>
      <c r="S674" s="3">
        <v>6493.6</v>
      </c>
      <c r="T674" s="3">
        <v>922.26</v>
      </c>
      <c r="U674" s="3">
        <v>671.15</v>
      </c>
      <c r="V674" s="3">
        <v>1179.79</v>
      </c>
      <c r="W674" s="3">
        <v>432.32</v>
      </c>
      <c r="X674" s="3">
        <v>9699.1200000000008</v>
      </c>
      <c r="Y674" s="3">
        <v>4214.95</v>
      </c>
      <c r="Z674" s="3">
        <f t="shared" si="45"/>
        <v>1009.4200000000001</v>
      </c>
      <c r="AA674" s="37">
        <f t="shared" si="46"/>
        <v>9.4263083482902424E-2</v>
      </c>
      <c r="AB674" s="3">
        <v>549.39</v>
      </c>
      <c r="AC674" s="3">
        <v>321.26</v>
      </c>
      <c r="AD674" s="3">
        <v>519.36</v>
      </c>
      <c r="AE674" s="3">
        <v>10906.65</v>
      </c>
      <c r="AF674" t="str">
        <f>IF(tbl_FinancialData[[#This Row],[City]]="","Unknown",PROPER(TRIM(tbl_FinancialData[[#This Row],[City]])))</f>
        <v>Gwalior</v>
      </c>
      <c r="AG674" t="str">
        <f>_xlfn.LET(_xlpm.city,LOWER(TRIM(tbl_FinancialData[[#This Row],[City]])),_xlpm.st,PROPER(TRIM(tbl_FinancialData[[#This Row],[State]])),IF(_xlpm.city="pune","Maharashtra",IF(_xlpm.city="jamshedpur","Jharkhand",IF(_xlpm.city="bhilai","Chhattisgarh",IF(_xlpm.city="mumbai","Maharashtra",_xlpm.st)))))</f>
        <v>Madhya Pradesh</v>
      </c>
      <c r="AH674" t="str">
        <f>_xlfn.LET(_xlpm.d,PROPER(TRIM(tbl_FinancialData[[#This Row],[Department]])),IF(_xlpm.d="It","IT",_xlpm.d))</f>
        <v>Sales</v>
      </c>
      <c r="AI674" t="str">
        <f>_xlfn.LET(_xlpm.pid,tbl_FinancialData[[#This Row],[Product ID]],_xlpm.n,PROPER(TRIM(tbl_FinancialData[[#This Row],[Product Name]])),IF(_xlpm.pid="P020","Document Scanner",IF(_xlpm.pid="P015","Network Router",SUBSTITUTE(SUBSTITUTE(_xlpm.n,"Crm","CRM"),"Ups","UPS"))))</f>
        <v>CRM Software</v>
      </c>
      <c r="AJ674" s="3" t="str">
        <f>UPPER(TRIM(tbl_FinancialData[[#This Row],[Cost Center]]))</f>
        <v>CC-1005</v>
      </c>
    </row>
    <row r="675" spans="1:36" x14ac:dyDescent="0.25">
      <c r="A675" s="3" t="s">
        <v>877</v>
      </c>
      <c r="B675" s="2">
        <v>45789</v>
      </c>
      <c r="C675" t="s">
        <v>65</v>
      </c>
      <c r="D675" s="3" t="str">
        <f t="shared" si="43"/>
        <v>Q1</v>
      </c>
      <c r="E675" s="3" t="str">
        <f t="shared" si="44"/>
        <v>FY2026</v>
      </c>
      <c r="F675" s="8" t="s">
        <v>34</v>
      </c>
      <c r="G675" s="3" t="s">
        <v>35</v>
      </c>
      <c r="H675" t="s">
        <v>157</v>
      </c>
      <c r="I675" t="s">
        <v>158</v>
      </c>
      <c r="J675" s="3" t="s">
        <v>38</v>
      </c>
      <c r="K675" t="s">
        <v>50</v>
      </c>
      <c r="L675" s="3" t="s">
        <v>40</v>
      </c>
      <c r="M675" s="3" t="s">
        <v>235</v>
      </c>
      <c r="N675" t="s">
        <v>236</v>
      </c>
      <c r="O675" t="s">
        <v>104</v>
      </c>
      <c r="P675" t="s">
        <v>237</v>
      </c>
      <c r="Q675" s="3">
        <v>12796.67</v>
      </c>
      <c r="R675" s="3">
        <v>11975.25</v>
      </c>
      <c r="S675" s="3">
        <v>9012.5499999999993</v>
      </c>
      <c r="T675" s="3">
        <v>1639.85</v>
      </c>
      <c r="U675" s="3">
        <v>935.23</v>
      </c>
      <c r="V675" s="3">
        <v>770.05</v>
      </c>
      <c r="W675" s="3">
        <v>244.65</v>
      </c>
      <c r="X675" s="3">
        <v>12602.33</v>
      </c>
      <c r="Y675" s="3">
        <v>3784.12</v>
      </c>
      <c r="Z675" s="3">
        <f t="shared" si="45"/>
        <v>194.34000000000015</v>
      </c>
      <c r="AA675" s="37">
        <f t="shared" si="46"/>
        <v>1.5186763431423968E-2</v>
      </c>
      <c r="AB675" s="3">
        <v>821.42</v>
      </c>
      <c r="AC675" s="3">
        <v>639.83000000000004</v>
      </c>
      <c r="AD675" s="3">
        <v>607.84</v>
      </c>
      <c r="AE675" s="3">
        <v>12764.68</v>
      </c>
      <c r="AF675" t="str">
        <f>IF(tbl_FinancialData[[#This Row],[City]]="","Unknown",PROPER(TRIM(tbl_FinancialData[[#This Row],[City]])))</f>
        <v>Ahmedabad</v>
      </c>
      <c r="AG675" t="str">
        <f>_xlfn.LET(_xlpm.city,LOWER(TRIM(tbl_FinancialData[[#This Row],[City]])),_xlpm.st,PROPER(TRIM(tbl_FinancialData[[#This Row],[State]])),IF(_xlpm.city="pune","Maharashtra",IF(_xlpm.city="jamshedpur","Jharkhand",IF(_xlpm.city="bhilai","Chhattisgarh",IF(_xlpm.city="mumbai","Maharashtra",_xlpm.st)))))</f>
        <v>Gujarat</v>
      </c>
      <c r="AH675" t="str">
        <f>_xlfn.LET(_xlpm.d,PROPER(TRIM(tbl_FinancialData[[#This Row],[Department]])),IF(_xlpm.d="It","IT",_xlpm.d))</f>
        <v>Sales</v>
      </c>
      <c r="AI675" t="str">
        <f>_xlfn.LET(_xlpm.pid,tbl_FinancialData[[#This Row],[Product ID]],_xlpm.n,PROPER(TRIM(tbl_FinancialData[[#This Row],[Product Name]])),IF(_xlpm.pid="P020","Document Scanner",IF(_xlpm.pid="P015","Network Router",SUBSTITUTE(SUBSTITUTE(_xlpm.n,"Crm","CRM"),"Ups","UPS"))))</f>
        <v>Data Storage</v>
      </c>
      <c r="AJ675" s="3" t="str">
        <f>UPPER(TRIM(tbl_FinancialData[[#This Row],[Cost Center]]))</f>
        <v>CC-1002</v>
      </c>
    </row>
    <row r="676" spans="1:36" x14ac:dyDescent="0.25">
      <c r="A676" s="3" t="s">
        <v>878</v>
      </c>
      <c r="B676" s="2">
        <v>46073</v>
      </c>
      <c r="C676" t="s">
        <v>57</v>
      </c>
      <c r="D676" s="3" t="str">
        <f t="shared" si="43"/>
        <v>Q4</v>
      </c>
      <c r="E676" s="3" t="str">
        <f t="shared" si="44"/>
        <v>FY2026</v>
      </c>
      <c r="F676" s="8" t="s">
        <v>67</v>
      </c>
      <c r="G676" s="3" t="s">
        <v>35</v>
      </c>
      <c r="H676" t="s">
        <v>217</v>
      </c>
      <c r="I676" t="s">
        <v>284</v>
      </c>
      <c r="J676" s="3" t="s">
        <v>38</v>
      </c>
      <c r="K676" t="s">
        <v>39</v>
      </c>
      <c r="L676" s="3" t="s">
        <v>81</v>
      </c>
      <c r="M676" s="3" t="s">
        <v>102</v>
      </c>
      <c r="N676" t="s">
        <v>103</v>
      </c>
      <c r="O676" t="s">
        <v>104</v>
      </c>
      <c r="P676" t="s">
        <v>105</v>
      </c>
      <c r="Q676" s="3">
        <v>23202.38</v>
      </c>
      <c r="R676" s="3">
        <v>25067.41</v>
      </c>
      <c r="S676" s="3">
        <v>15627.39</v>
      </c>
      <c r="T676" s="3">
        <v>1464.81</v>
      </c>
      <c r="U676" s="3">
        <v>1247.43</v>
      </c>
      <c r="V676" s="3">
        <v>1844.75</v>
      </c>
      <c r="W676" s="3">
        <v>485.49</v>
      </c>
      <c r="X676" s="3">
        <v>20669.87</v>
      </c>
      <c r="Y676" s="3">
        <v>7574.99</v>
      </c>
      <c r="Z676" s="3">
        <f t="shared" si="45"/>
        <v>2532.510000000002</v>
      </c>
      <c r="AA676" s="37">
        <f t="shared" si="46"/>
        <v>0.10914871664027578</v>
      </c>
      <c r="AB676" s="3">
        <v>-1865.03</v>
      </c>
      <c r="AC676" s="3">
        <v>696.07</v>
      </c>
      <c r="AD676" s="3">
        <v>2700.76</v>
      </c>
      <c r="AE676" s="3">
        <v>25207.06</v>
      </c>
      <c r="AF676" t="str">
        <f>IF(tbl_FinancialData[[#This Row],[City]]="","Unknown",PROPER(TRIM(tbl_FinancialData[[#This Row],[City]])))</f>
        <v>Patna</v>
      </c>
      <c r="AG676" t="str">
        <f>_xlfn.LET(_xlpm.city,LOWER(TRIM(tbl_FinancialData[[#This Row],[City]])),_xlpm.st,PROPER(TRIM(tbl_FinancialData[[#This Row],[State]])),IF(_xlpm.city="pune","Maharashtra",IF(_xlpm.city="jamshedpur","Jharkhand",IF(_xlpm.city="bhilai","Chhattisgarh",IF(_xlpm.city="mumbai","Maharashtra",_xlpm.st)))))</f>
        <v>Bihar</v>
      </c>
      <c r="AH676" t="str">
        <f>_xlfn.LET(_xlpm.d,PROPER(TRIM(tbl_FinancialData[[#This Row],[Department]])),IF(_xlpm.d="It","IT",_xlpm.d))</f>
        <v>Operations</v>
      </c>
      <c r="AI676" t="str">
        <f>_xlfn.LET(_xlpm.pid,tbl_FinancialData[[#This Row],[Product ID]],_xlpm.n,PROPER(TRIM(tbl_FinancialData[[#This Row],[Product Name]])),IF(_xlpm.pid="P020","Document Scanner",IF(_xlpm.pid="P015","Network Router",SUBSTITUTE(SUBSTITUTE(_xlpm.n,"Crm","CRM"),"Ups","UPS"))))</f>
        <v>Accounting Software</v>
      </c>
      <c r="AJ676" s="3" t="str">
        <f>UPPER(TRIM(tbl_FinancialData[[#This Row],[Cost Center]]))</f>
        <v>CC-1005</v>
      </c>
    </row>
    <row r="677" spans="1:36" x14ac:dyDescent="0.25">
      <c r="A677" s="3" t="s">
        <v>879</v>
      </c>
      <c r="B677" s="2">
        <v>45950</v>
      </c>
      <c r="C677" t="s">
        <v>92</v>
      </c>
      <c r="D677" s="3" t="str">
        <f t="shared" si="43"/>
        <v>Q3</v>
      </c>
      <c r="E677" s="3" t="str">
        <f t="shared" si="44"/>
        <v>FY2026</v>
      </c>
      <c r="F677" s="8" t="s">
        <v>34</v>
      </c>
      <c r="G677" s="3" t="s">
        <v>35</v>
      </c>
      <c r="H677" t="s">
        <v>157</v>
      </c>
      <c r="I677" t="s">
        <v>194</v>
      </c>
      <c r="J677" s="3" t="s">
        <v>100</v>
      </c>
      <c r="K677" t="s">
        <v>50</v>
      </c>
      <c r="L677" s="3" t="s">
        <v>51</v>
      </c>
      <c r="M677" s="3" t="s">
        <v>52</v>
      </c>
      <c r="N677" t="s">
        <v>53</v>
      </c>
      <c r="O677" t="s">
        <v>54</v>
      </c>
      <c r="P677" t="s">
        <v>55</v>
      </c>
      <c r="Q677" s="3">
        <v>4749.41</v>
      </c>
      <c r="R677" s="3">
        <v>4662.41</v>
      </c>
      <c r="S677" s="3">
        <v>3213.64</v>
      </c>
      <c r="T677" s="3">
        <v>287.13</v>
      </c>
      <c r="U677" s="3">
        <v>172.26</v>
      </c>
      <c r="V677" s="3">
        <v>319.49</v>
      </c>
      <c r="W677" s="3">
        <v>115.4</v>
      </c>
      <c r="X677" s="3">
        <v>4107.92</v>
      </c>
      <c r="Y677" s="3">
        <v>1535.77</v>
      </c>
      <c r="Z677" s="3">
        <f t="shared" si="45"/>
        <v>641.48999999999978</v>
      </c>
      <c r="AA677" s="37">
        <f t="shared" si="46"/>
        <v>0.13506730309659512</v>
      </c>
      <c r="AB677" s="3">
        <v>87.01</v>
      </c>
      <c r="AC677" s="3">
        <v>142.47999999999999</v>
      </c>
      <c r="AD677" s="3">
        <v>829.25</v>
      </c>
      <c r="AE677" s="3">
        <v>5436.18</v>
      </c>
      <c r="AF677" t="str">
        <f>IF(tbl_FinancialData[[#This Row],[City]]="","Unknown",PROPER(TRIM(tbl_FinancialData[[#This Row],[City]])))</f>
        <v>Surat</v>
      </c>
      <c r="AG677" t="str">
        <f>_xlfn.LET(_xlpm.city,LOWER(TRIM(tbl_FinancialData[[#This Row],[City]])),_xlpm.st,PROPER(TRIM(tbl_FinancialData[[#This Row],[State]])),IF(_xlpm.city="pune","Maharashtra",IF(_xlpm.city="jamshedpur","Jharkhand",IF(_xlpm.city="bhilai","Chhattisgarh",IF(_xlpm.city="mumbai","Maharashtra",_xlpm.st)))))</f>
        <v>Gujarat</v>
      </c>
      <c r="AH677" t="str">
        <f>_xlfn.LET(_xlpm.d,PROPER(TRIM(tbl_FinancialData[[#This Row],[Department]])),IF(_xlpm.d="It","IT",_xlpm.d))</f>
        <v>Sales</v>
      </c>
      <c r="AI677" t="str">
        <f>_xlfn.LET(_xlpm.pid,tbl_FinancialData[[#This Row],[Product ID]],_xlpm.n,PROPER(TRIM(tbl_FinancialData[[#This Row],[Product Name]])),IF(_xlpm.pid="P020","Document Scanner",IF(_xlpm.pid="P015","Network Router",SUBSTITUTE(SUBSTITUTE(_xlpm.n,"Crm","CRM"),"Ups","UPS"))))</f>
        <v>Mouse</v>
      </c>
      <c r="AJ677" s="3" t="str">
        <f>UPPER(TRIM(tbl_FinancialData[[#This Row],[Cost Center]]))</f>
        <v>CC-1003</v>
      </c>
    </row>
    <row r="678" spans="1:36" x14ac:dyDescent="0.25">
      <c r="A678" s="3" t="s">
        <v>880</v>
      </c>
      <c r="B678" s="2">
        <v>45860</v>
      </c>
      <c r="C678" t="s">
        <v>32</v>
      </c>
      <c r="D678" s="3" t="str">
        <f t="shared" si="43"/>
        <v>Q2</v>
      </c>
      <c r="E678" s="3" t="str">
        <f t="shared" si="44"/>
        <v>FY2026</v>
      </c>
      <c r="F678" s="8" t="s">
        <v>34</v>
      </c>
      <c r="G678" s="3" t="s">
        <v>35</v>
      </c>
      <c r="H678" t="s">
        <v>98</v>
      </c>
      <c r="I678" t="s">
        <v>304</v>
      </c>
      <c r="J678" s="3" t="s">
        <v>38</v>
      </c>
      <c r="K678" t="s">
        <v>50</v>
      </c>
      <c r="L678" s="3" t="s">
        <v>40</v>
      </c>
      <c r="M678" s="3" t="s">
        <v>186</v>
      </c>
      <c r="N678" t="s">
        <v>187</v>
      </c>
      <c r="O678" t="s">
        <v>173</v>
      </c>
      <c r="P678" t="s">
        <v>174</v>
      </c>
      <c r="Q678" s="3">
        <v>27802.23</v>
      </c>
      <c r="R678" s="3">
        <v>26895.37</v>
      </c>
      <c r="S678" s="3">
        <v>15829.92</v>
      </c>
      <c r="T678" s="3">
        <v>3116.94</v>
      </c>
      <c r="U678" s="3">
        <v>1771.98</v>
      </c>
      <c r="V678" s="3">
        <v>2545.27</v>
      </c>
      <c r="W678" s="3">
        <v>1015.14</v>
      </c>
      <c r="X678" s="3">
        <v>24279.26</v>
      </c>
      <c r="Y678" s="3">
        <v>11972.3</v>
      </c>
      <c r="Z678" s="3">
        <f t="shared" si="45"/>
        <v>3522.9700000000012</v>
      </c>
      <c r="AA678" s="37">
        <f t="shared" si="46"/>
        <v>0.12671537498970412</v>
      </c>
      <c r="AB678" s="3">
        <v>906.86</v>
      </c>
      <c r="AC678" s="3">
        <v>0</v>
      </c>
      <c r="AD678" s="3">
        <v>5004.3999999999996</v>
      </c>
      <c r="AE678" s="3">
        <v>32806.629999999997</v>
      </c>
      <c r="AF678" t="str">
        <f>IF(tbl_FinancialData[[#This Row],[City]]="","Unknown",PROPER(TRIM(tbl_FinancialData[[#This Row],[City]])))</f>
        <v>Pune</v>
      </c>
      <c r="AG678" t="str">
        <f>_xlfn.LET(_xlpm.city,LOWER(TRIM(tbl_FinancialData[[#This Row],[City]])),_xlpm.st,PROPER(TRIM(tbl_FinancialData[[#This Row],[State]])),IF(_xlpm.city="pune","Maharashtra",IF(_xlpm.city="jamshedpur","Jharkhand",IF(_xlpm.city="bhilai","Chhattisgarh",IF(_xlpm.city="mumbai","Maharashtra",_xlpm.st)))))</f>
        <v>Maharashtra</v>
      </c>
      <c r="AH678" t="str">
        <f>_xlfn.LET(_xlpm.d,PROPER(TRIM(tbl_FinancialData[[#This Row],[Department]])),IF(_xlpm.d="It","IT",_xlpm.d))</f>
        <v>Sales</v>
      </c>
      <c r="AI678" t="str">
        <f>_xlfn.LET(_xlpm.pid,tbl_FinancialData[[#This Row],[Product ID]],_xlpm.n,PROPER(TRIM(tbl_FinancialData[[#This Row],[Product Name]])),IF(_xlpm.pid="P020","Document Scanner",IF(_xlpm.pid="P015","Network Router",SUBSTITUTE(SUBSTITUTE(_xlpm.n,"Crm","CRM"),"Ups","UPS"))))</f>
        <v>Network Router</v>
      </c>
      <c r="AJ678" s="3" t="str">
        <f>UPPER(TRIM(tbl_FinancialData[[#This Row],[Cost Center]]))</f>
        <v>CC-1002</v>
      </c>
    </row>
    <row r="679" spans="1:36" x14ac:dyDescent="0.25">
      <c r="A679" s="3" t="s">
        <v>881</v>
      </c>
      <c r="B679" s="2">
        <v>45950</v>
      </c>
      <c r="C679" t="s">
        <v>92</v>
      </c>
      <c r="D679" s="3" t="str">
        <f t="shared" si="43"/>
        <v>Q3</v>
      </c>
      <c r="E679" s="3" t="str">
        <f t="shared" si="44"/>
        <v>FY2026</v>
      </c>
      <c r="F679" s="8" t="s">
        <v>34</v>
      </c>
      <c r="G679" s="3" t="s">
        <v>35</v>
      </c>
      <c r="H679" t="s">
        <v>36</v>
      </c>
      <c r="I679" t="s">
        <v>145</v>
      </c>
      <c r="J679" s="3" t="s">
        <v>80</v>
      </c>
      <c r="K679" t="s">
        <v>50</v>
      </c>
      <c r="L679" s="3" t="s">
        <v>72</v>
      </c>
      <c r="M679" s="3" t="s">
        <v>52</v>
      </c>
      <c r="N679" t="s">
        <v>53</v>
      </c>
      <c r="O679" t="s">
        <v>54</v>
      </c>
      <c r="P679" t="s">
        <v>55</v>
      </c>
      <c r="Q679" s="3">
        <v>3957.58</v>
      </c>
      <c r="R679" s="3">
        <v>4616.08</v>
      </c>
      <c r="S679" s="3">
        <v>2021.76</v>
      </c>
      <c r="T679" s="3">
        <v>418.7</v>
      </c>
      <c r="U679" s="3">
        <v>229.16</v>
      </c>
      <c r="V679" s="3">
        <v>166.42</v>
      </c>
      <c r="W679" s="3">
        <v>167.67</v>
      </c>
      <c r="X679" s="3">
        <v>3003.71</v>
      </c>
      <c r="Y679" s="3">
        <v>1935.82</v>
      </c>
      <c r="Z679" s="3">
        <f t="shared" si="45"/>
        <v>953.86999999999989</v>
      </c>
      <c r="AA679" s="37">
        <f t="shared" si="46"/>
        <v>0.24102355479863954</v>
      </c>
      <c r="AB679" s="3">
        <v>-658.51</v>
      </c>
      <c r="AC679" s="3">
        <v>316.61</v>
      </c>
      <c r="AD679" s="3">
        <v>436.92</v>
      </c>
      <c r="AE679" s="3">
        <v>4077.89</v>
      </c>
      <c r="AF679" t="str">
        <f>IF(tbl_FinancialData[[#This Row],[City]]="","Unknown",PROPER(TRIM(tbl_FinancialData[[#This Row],[City]])))</f>
        <v>Panaji</v>
      </c>
      <c r="AG679" t="str">
        <f>_xlfn.LET(_xlpm.city,LOWER(TRIM(tbl_FinancialData[[#This Row],[City]])),_xlpm.st,PROPER(TRIM(tbl_FinancialData[[#This Row],[State]])),IF(_xlpm.city="pune","Maharashtra",IF(_xlpm.city="jamshedpur","Jharkhand",IF(_xlpm.city="bhilai","Chhattisgarh",IF(_xlpm.city="mumbai","Maharashtra",_xlpm.st)))))</f>
        <v>Goa</v>
      </c>
      <c r="AH679" t="str">
        <f>_xlfn.LET(_xlpm.d,PROPER(TRIM(tbl_FinancialData[[#This Row],[Department]])),IF(_xlpm.d="It","IT",_xlpm.d))</f>
        <v>Sales</v>
      </c>
      <c r="AI679" t="str">
        <f>_xlfn.LET(_xlpm.pid,tbl_FinancialData[[#This Row],[Product ID]],_xlpm.n,PROPER(TRIM(tbl_FinancialData[[#This Row],[Product Name]])),IF(_xlpm.pid="P020","Document Scanner",IF(_xlpm.pid="P015","Network Router",SUBSTITUTE(SUBSTITUTE(_xlpm.n,"Crm","CRM"),"Ups","UPS"))))</f>
        <v>Mouse</v>
      </c>
      <c r="AJ679" s="3" t="str">
        <f>UPPER(TRIM(tbl_FinancialData[[#This Row],[Cost Center]]))</f>
        <v>CC-1004</v>
      </c>
    </row>
    <row r="680" spans="1:36" x14ac:dyDescent="0.25">
      <c r="A680" s="3" t="s">
        <v>882</v>
      </c>
      <c r="B680" s="2">
        <v>46017</v>
      </c>
      <c r="C680" t="s">
        <v>107</v>
      </c>
      <c r="D680" s="3" t="str">
        <f t="shared" si="43"/>
        <v>Q3</v>
      </c>
      <c r="E680" s="3" t="str">
        <f t="shared" si="44"/>
        <v>FY2026</v>
      </c>
      <c r="F680" s="8" t="s">
        <v>59</v>
      </c>
      <c r="G680" s="3" t="s">
        <v>35</v>
      </c>
      <c r="H680" t="s">
        <v>139</v>
      </c>
      <c r="I680" t="s">
        <v>152</v>
      </c>
      <c r="J680" s="3" t="s">
        <v>80</v>
      </c>
      <c r="K680" t="s">
        <v>50</v>
      </c>
      <c r="L680" s="3" t="s">
        <v>94</v>
      </c>
      <c r="M680" s="3" t="s">
        <v>186</v>
      </c>
      <c r="N680" t="s">
        <v>187</v>
      </c>
      <c r="O680" t="s">
        <v>173</v>
      </c>
      <c r="P680" t="s">
        <v>174</v>
      </c>
      <c r="Q680" s="3">
        <v>22621.17</v>
      </c>
      <c r="R680" s="3">
        <v>25145.45</v>
      </c>
      <c r="S680" s="3">
        <v>11066.78</v>
      </c>
      <c r="T680" s="3">
        <v>1858</v>
      </c>
      <c r="U680" s="3">
        <v>1740.47</v>
      </c>
      <c r="V680" s="3">
        <v>1850.77</v>
      </c>
      <c r="W680" s="3">
        <v>661.7</v>
      </c>
      <c r="X680" s="3">
        <v>17177.71</v>
      </c>
      <c r="Y680" s="3">
        <v>11554.39</v>
      </c>
      <c r="Z680" s="3">
        <f t="shared" si="45"/>
        <v>5443.4599999999991</v>
      </c>
      <c r="AA680" s="37">
        <f t="shared" si="46"/>
        <v>0.24063565235573578</v>
      </c>
      <c r="AB680" s="3">
        <v>-2524.2800000000002</v>
      </c>
      <c r="AC680" s="3">
        <v>0</v>
      </c>
      <c r="AD680" s="3">
        <v>1131.06</v>
      </c>
      <c r="AE680" s="3">
        <v>23752.23</v>
      </c>
      <c r="AF680" t="str">
        <f>IF(tbl_FinancialData[[#This Row],[City]]="","Unknown",PROPER(TRIM(tbl_FinancialData[[#This Row],[City]])))</f>
        <v>Panipat</v>
      </c>
      <c r="AG680" t="str">
        <f>_xlfn.LET(_xlpm.city,LOWER(TRIM(tbl_FinancialData[[#This Row],[City]])),_xlpm.st,PROPER(TRIM(tbl_FinancialData[[#This Row],[State]])),IF(_xlpm.city="pune","Maharashtra",IF(_xlpm.city="jamshedpur","Jharkhand",IF(_xlpm.city="bhilai","Chhattisgarh",IF(_xlpm.city="mumbai","Maharashtra",_xlpm.st)))))</f>
        <v>Haryana</v>
      </c>
      <c r="AH680" t="str">
        <f>_xlfn.LET(_xlpm.d,PROPER(TRIM(tbl_FinancialData[[#This Row],[Department]])),IF(_xlpm.d="It","IT",_xlpm.d))</f>
        <v>Sales</v>
      </c>
      <c r="AI680" t="str">
        <f>_xlfn.LET(_xlpm.pid,tbl_FinancialData[[#This Row],[Product ID]],_xlpm.n,PROPER(TRIM(tbl_FinancialData[[#This Row],[Product Name]])),IF(_xlpm.pid="P020","Document Scanner",IF(_xlpm.pid="P015","Network Router",SUBSTITUTE(SUBSTITUTE(_xlpm.n,"Crm","CRM"),"Ups","UPS"))))</f>
        <v>Network Router</v>
      </c>
      <c r="AJ680" s="3" t="str">
        <f>UPPER(TRIM(tbl_FinancialData[[#This Row],[Cost Center]]))</f>
        <v>CC-1001</v>
      </c>
    </row>
    <row r="681" spans="1:36" x14ac:dyDescent="0.25">
      <c r="A681" s="3" t="s">
        <v>883</v>
      </c>
      <c r="B681" s="2">
        <v>45882</v>
      </c>
      <c r="C681" t="s">
        <v>117</v>
      </c>
      <c r="D681" s="3" t="str">
        <f t="shared" si="43"/>
        <v>Q2</v>
      </c>
      <c r="E681" s="3" t="str">
        <f t="shared" si="44"/>
        <v>FY2026</v>
      </c>
      <c r="F681" s="8" t="s">
        <v>85</v>
      </c>
      <c r="G681" s="3" t="s">
        <v>35</v>
      </c>
      <c r="H681" t="s">
        <v>178</v>
      </c>
      <c r="I681" t="s">
        <v>179</v>
      </c>
      <c r="J681" s="3" t="s">
        <v>100</v>
      </c>
      <c r="K681" t="s">
        <v>71</v>
      </c>
      <c r="L681" s="3" t="s">
        <v>81</v>
      </c>
      <c r="M681" s="3" t="s">
        <v>62</v>
      </c>
      <c r="N681" t="s">
        <v>63</v>
      </c>
      <c r="O681" t="s">
        <v>54</v>
      </c>
      <c r="P681" t="s">
        <v>55</v>
      </c>
      <c r="Q681" s="3">
        <v>6409.76</v>
      </c>
      <c r="R681" s="3">
        <v>6504.56</v>
      </c>
      <c r="S681" s="3">
        <v>3518.36</v>
      </c>
      <c r="T681" s="3">
        <v>374.14</v>
      </c>
      <c r="U681" s="3">
        <v>478.35</v>
      </c>
      <c r="V681" s="3">
        <v>518.32000000000005</v>
      </c>
      <c r="W681" s="3">
        <v>189</v>
      </c>
      <c r="X681" s="3">
        <v>5078.17</v>
      </c>
      <c r="Y681" s="3">
        <v>2891.41</v>
      </c>
      <c r="Z681" s="3">
        <f t="shared" si="45"/>
        <v>1331.5900000000001</v>
      </c>
      <c r="AA681" s="37">
        <f t="shared" si="46"/>
        <v>0.2077441277052495</v>
      </c>
      <c r="AB681" s="3">
        <v>-94.79</v>
      </c>
      <c r="AC681" s="3">
        <v>192.29</v>
      </c>
      <c r="AD681" s="3">
        <v>746.1</v>
      </c>
      <c r="AE681" s="3">
        <v>6963.57</v>
      </c>
      <c r="AF681" t="str">
        <f>IF(tbl_FinancialData[[#This Row],[City]]="","Unknown",PROPER(TRIM(tbl_FinancialData[[#This Row],[City]])))</f>
        <v>Bilaspur</v>
      </c>
      <c r="AG681" t="str">
        <f>_xlfn.LET(_xlpm.city,LOWER(TRIM(tbl_FinancialData[[#This Row],[City]])),_xlpm.st,PROPER(TRIM(tbl_FinancialData[[#This Row],[State]])),IF(_xlpm.city="pune","Maharashtra",IF(_xlpm.city="jamshedpur","Jharkhand",IF(_xlpm.city="bhilai","Chhattisgarh",IF(_xlpm.city="mumbai","Maharashtra",_xlpm.st)))))</f>
        <v>Chhattisgarh</v>
      </c>
      <c r="AH681" t="str">
        <f>_xlfn.LET(_xlpm.d,PROPER(TRIM(tbl_FinancialData[[#This Row],[Department]])),IF(_xlpm.d="It","IT",_xlpm.d))</f>
        <v>Marketing</v>
      </c>
      <c r="AI681" t="str">
        <f>_xlfn.LET(_xlpm.pid,tbl_FinancialData[[#This Row],[Product ID]],_xlpm.n,PROPER(TRIM(tbl_FinancialData[[#This Row],[Product Name]])),IF(_xlpm.pid="P020","Document Scanner",IF(_xlpm.pid="P015","Network Router",SUBSTITUTE(SUBSTITUTE(_xlpm.n,"Crm","CRM"),"Ups","UPS"))))</f>
        <v>Keyboard</v>
      </c>
      <c r="AJ681" s="3" t="str">
        <f>UPPER(TRIM(tbl_FinancialData[[#This Row],[Cost Center]]))</f>
        <v>CC-1005</v>
      </c>
    </row>
    <row r="682" spans="1:36" x14ac:dyDescent="0.25">
      <c r="A682" s="3" t="s">
        <v>884</v>
      </c>
      <c r="B682" s="2">
        <v>45951</v>
      </c>
      <c r="C682" t="s">
        <v>92</v>
      </c>
      <c r="D682" s="3" t="str">
        <f t="shared" si="43"/>
        <v>Q3</v>
      </c>
      <c r="E682" s="3" t="str">
        <f t="shared" si="44"/>
        <v>FY2026</v>
      </c>
      <c r="F682" s="8" t="s">
        <v>59</v>
      </c>
      <c r="G682" s="3" t="s">
        <v>35</v>
      </c>
      <c r="H682" t="s">
        <v>254</v>
      </c>
      <c r="I682" t="s">
        <v>200</v>
      </c>
      <c r="J682" s="3" t="s">
        <v>38</v>
      </c>
      <c r="K682" t="s">
        <v>71</v>
      </c>
      <c r="L682" s="3" t="s">
        <v>40</v>
      </c>
      <c r="M682" s="3" t="s">
        <v>41</v>
      </c>
      <c r="N682" t="s">
        <v>42</v>
      </c>
      <c r="O682" t="s">
        <v>43</v>
      </c>
      <c r="P682" t="s">
        <v>44</v>
      </c>
      <c r="Q682" s="3">
        <v>31436.53</v>
      </c>
      <c r="R682" s="3">
        <v>35642.78</v>
      </c>
      <c r="S682" s="3">
        <v>18652.16</v>
      </c>
      <c r="T682" s="3">
        <v>3400.06</v>
      </c>
      <c r="U682" s="3">
        <v>2827.92</v>
      </c>
      <c r="V682" s="3">
        <v>3747.9</v>
      </c>
      <c r="W682" s="3">
        <v>1133.3399999999999</v>
      </c>
      <c r="X682" s="3">
        <v>29761.38</v>
      </c>
      <c r="Y682" s="3">
        <v>12784.37</v>
      </c>
      <c r="Z682" s="3">
        <f t="shared" si="45"/>
        <v>1675.1499999999978</v>
      </c>
      <c r="AA682" s="37">
        <f t="shared" si="46"/>
        <v>5.3286733618500448E-2</v>
      </c>
      <c r="AB682" s="3">
        <v>-4206.24</v>
      </c>
      <c r="AC682" s="3">
        <v>1571.83</v>
      </c>
      <c r="AD682" s="3">
        <v>1493.24</v>
      </c>
      <c r="AE682" s="3">
        <v>31357.94</v>
      </c>
      <c r="AF682" t="str">
        <f>IF(tbl_FinancialData[[#This Row],[City]]="","Unknown",PROPER(TRIM(tbl_FinancialData[[#This Row],[City]])))</f>
        <v>Gurugram</v>
      </c>
      <c r="AG682" t="str">
        <f>_xlfn.LET(_xlpm.city,LOWER(TRIM(tbl_FinancialData[[#This Row],[City]])),_xlpm.st,PROPER(TRIM(tbl_FinancialData[[#This Row],[State]])),IF(_xlpm.city="pune","Maharashtra",IF(_xlpm.city="jamshedpur","Jharkhand",IF(_xlpm.city="bhilai","Chhattisgarh",IF(_xlpm.city="mumbai","Maharashtra",_xlpm.st)))))</f>
        <v>Delhi</v>
      </c>
      <c r="AH682" t="str">
        <f>_xlfn.LET(_xlpm.d,PROPER(TRIM(tbl_FinancialData[[#This Row],[Department]])),IF(_xlpm.d="It","IT",_xlpm.d))</f>
        <v>Marketing</v>
      </c>
      <c r="AI682" t="str">
        <f>_xlfn.LET(_xlpm.pid,tbl_FinancialData[[#This Row],[Product ID]],_xlpm.n,PROPER(TRIM(tbl_FinancialData[[#This Row],[Product Name]])),IF(_xlpm.pid="P020","Document Scanner",IF(_xlpm.pid="P015","Network Router",SUBSTITUTE(SUBSTITUTE(_xlpm.n,"Crm","CRM"),"Ups","UPS"))))</f>
        <v>Conference Camera</v>
      </c>
      <c r="AJ682" s="3" t="str">
        <f>UPPER(TRIM(tbl_FinancialData[[#This Row],[Cost Center]]))</f>
        <v>CC-1002</v>
      </c>
    </row>
    <row r="683" spans="1:36" x14ac:dyDescent="0.25">
      <c r="A683" s="3" t="s">
        <v>885</v>
      </c>
      <c r="B683" s="2">
        <v>45856</v>
      </c>
      <c r="C683" t="s">
        <v>32</v>
      </c>
      <c r="D683" s="3" t="str">
        <f t="shared" si="43"/>
        <v>Q2</v>
      </c>
      <c r="E683" s="3" t="str">
        <f t="shared" si="44"/>
        <v>FY2026</v>
      </c>
      <c r="F683" s="8" t="s">
        <v>67</v>
      </c>
      <c r="G683" s="3" t="s">
        <v>35</v>
      </c>
      <c r="H683" t="s">
        <v>68</v>
      </c>
      <c r="I683" t="s">
        <v>204</v>
      </c>
      <c r="J683" s="3" t="s">
        <v>38</v>
      </c>
      <c r="K683" t="s">
        <v>50</v>
      </c>
      <c r="L683" s="3" t="s">
        <v>40</v>
      </c>
      <c r="M683" s="3" t="s">
        <v>88</v>
      </c>
      <c r="N683" t="s">
        <v>89</v>
      </c>
      <c r="O683" t="s">
        <v>43</v>
      </c>
      <c r="P683" t="s">
        <v>90</v>
      </c>
      <c r="Q683" s="3">
        <v>40189.379999999997</v>
      </c>
      <c r="R683" s="3">
        <v>41559.67</v>
      </c>
      <c r="S683" s="3">
        <v>25990.07</v>
      </c>
      <c r="T683" s="3">
        <v>2187.86</v>
      </c>
      <c r="U683" s="3">
        <v>1748.04</v>
      </c>
      <c r="V683" s="3">
        <v>4241.5200000000004</v>
      </c>
      <c r="W683" s="3">
        <v>514.27</v>
      </c>
      <c r="X683" s="3">
        <v>34681.769999999997</v>
      </c>
      <c r="Y683" s="3">
        <v>14199.31</v>
      </c>
      <c r="Z683" s="3">
        <f t="shared" si="45"/>
        <v>5507.6100000000006</v>
      </c>
      <c r="AA683" s="37">
        <f t="shared" si="46"/>
        <v>0.13704142736215391</v>
      </c>
      <c r="AB683" s="3">
        <v>-1370.29</v>
      </c>
      <c r="AC683" s="3">
        <v>3215.15</v>
      </c>
      <c r="AD683" s="3">
        <v>1848.71</v>
      </c>
      <c r="AE683" s="3">
        <v>38822.94</v>
      </c>
      <c r="AF683" t="str">
        <f>IF(tbl_FinancialData[[#This Row],[City]]="","Unknown",PROPER(TRIM(tbl_FinancialData[[#This Row],[City]])))</f>
        <v>Cuttack</v>
      </c>
      <c r="AG683" t="str">
        <f>_xlfn.LET(_xlpm.city,LOWER(TRIM(tbl_FinancialData[[#This Row],[City]])),_xlpm.st,PROPER(TRIM(tbl_FinancialData[[#This Row],[State]])),IF(_xlpm.city="pune","Maharashtra",IF(_xlpm.city="jamshedpur","Jharkhand",IF(_xlpm.city="bhilai","Chhattisgarh",IF(_xlpm.city="mumbai","Maharashtra",_xlpm.st)))))</f>
        <v>Odisha</v>
      </c>
      <c r="AH683" t="str">
        <f>_xlfn.LET(_xlpm.d,PROPER(TRIM(tbl_FinancialData[[#This Row],[Department]])),IF(_xlpm.d="It","IT",_xlpm.d))</f>
        <v>Sales</v>
      </c>
      <c r="AI683" t="str">
        <f>_xlfn.LET(_xlpm.pid,tbl_FinancialData[[#This Row],[Product ID]],_xlpm.n,PROPER(TRIM(tbl_FinancialData[[#This Row],[Product Name]])),IF(_xlpm.pid="P020","Document Scanner",IF(_xlpm.pid="P015","Network Router",SUBSTITUTE(SUBSTITUTE(_xlpm.n,"Crm","CRM"),"Ups","UPS"))))</f>
        <v>Printer</v>
      </c>
      <c r="AJ683" s="3" t="str">
        <f>UPPER(TRIM(tbl_FinancialData[[#This Row],[Cost Center]]))</f>
        <v>CC-1002</v>
      </c>
    </row>
    <row r="684" spans="1:36" x14ac:dyDescent="0.25">
      <c r="A684" s="3" t="s">
        <v>886</v>
      </c>
      <c r="B684" s="2">
        <v>45905</v>
      </c>
      <c r="C684" t="s">
        <v>46</v>
      </c>
      <c r="D684" s="3" t="str">
        <f t="shared" si="43"/>
        <v>Q2</v>
      </c>
      <c r="E684" s="3" t="str">
        <f t="shared" si="44"/>
        <v>FY2026</v>
      </c>
      <c r="F684" s="8" t="s">
        <v>34</v>
      </c>
      <c r="G684" s="3" t="s">
        <v>35</v>
      </c>
      <c r="H684" t="s">
        <v>134</v>
      </c>
      <c r="I684" t="s">
        <v>176</v>
      </c>
      <c r="J684" s="3" t="s">
        <v>80</v>
      </c>
      <c r="K684" t="s">
        <v>50</v>
      </c>
      <c r="L684" s="3" t="s">
        <v>40</v>
      </c>
      <c r="M684" s="3" t="s">
        <v>41</v>
      </c>
      <c r="N684" t="s">
        <v>42</v>
      </c>
      <c r="O684" t="s">
        <v>43</v>
      </c>
      <c r="P684" t="s">
        <v>44</v>
      </c>
      <c r="Q684" s="3">
        <v>77410.2</v>
      </c>
      <c r="R684" s="3">
        <v>83633.350000000006</v>
      </c>
      <c r="S684" s="3">
        <v>47155.71</v>
      </c>
      <c r="T684" s="3">
        <v>8776.27</v>
      </c>
      <c r="U684" s="3">
        <v>4424.71</v>
      </c>
      <c r="V684" s="3">
        <v>4954.09</v>
      </c>
      <c r="W684" s="3">
        <v>1208.6099999999999</v>
      </c>
      <c r="X684" s="3">
        <v>66519.39</v>
      </c>
      <c r="Y684" s="3">
        <v>30254.49</v>
      </c>
      <c r="Z684" s="3">
        <f t="shared" si="45"/>
        <v>10890.809999999998</v>
      </c>
      <c r="AA684" s="37">
        <f t="shared" si="46"/>
        <v>0.14068959904508704</v>
      </c>
      <c r="AB684" s="3">
        <v>-6223.15</v>
      </c>
      <c r="AC684" s="3">
        <v>3870.51</v>
      </c>
      <c r="AD684" s="3">
        <v>13237.14</v>
      </c>
      <c r="AE684" s="3">
        <v>86776.83</v>
      </c>
      <c r="AF684" t="str">
        <f>IF(tbl_FinancialData[[#This Row],[City]]="","Unknown",PROPER(TRIM(tbl_FinancialData[[#This Row],[City]])))</f>
        <v>Jaipur</v>
      </c>
      <c r="AG684" t="str">
        <f>_xlfn.LET(_xlpm.city,LOWER(TRIM(tbl_FinancialData[[#This Row],[City]])),_xlpm.st,PROPER(TRIM(tbl_FinancialData[[#This Row],[State]])),IF(_xlpm.city="pune","Maharashtra",IF(_xlpm.city="jamshedpur","Jharkhand",IF(_xlpm.city="bhilai","Chhattisgarh",IF(_xlpm.city="mumbai","Maharashtra",_xlpm.st)))))</f>
        <v>Rajasthan</v>
      </c>
      <c r="AH684" t="str">
        <f>_xlfn.LET(_xlpm.d,PROPER(TRIM(tbl_FinancialData[[#This Row],[Department]])),IF(_xlpm.d="It","IT",_xlpm.d))</f>
        <v>Sales</v>
      </c>
      <c r="AI684" t="str">
        <f>_xlfn.LET(_xlpm.pid,tbl_FinancialData[[#This Row],[Product ID]],_xlpm.n,PROPER(TRIM(tbl_FinancialData[[#This Row],[Product Name]])),IF(_xlpm.pid="P020","Document Scanner",IF(_xlpm.pid="P015","Network Router",SUBSTITUTE(SUBSTITUTE(_xlpm.n,"Crm","CRM"),"Ups","UPS"))))</f>
        <v>Conference Camera</v>
      </c>
      <c r="AJ684" s="3" t="str">
        <f>UPPER(TRIM(tbl_FinancialData[[#This Row],[Cost Center]]))</f>
        <v>CC-1002</v>
      </c>
    </row>
    <row r="685" spans="1:36" x14ac:dyDescent="0.25">
      <c r="A685" s="3" t="s">
        <v>887</v>
      </c>
      <c r="B685" s="2">
        <v>46078</v>
      </c>
      <c r="C685" t="s">
        <v>57</v>
      </c>
      <c r="D685" s="3" t="str">
        <f t="shared" si="43"/>
        <v>Q4</v>
      </c>
      <c r="E685" s="3" t="str">
        <f t="shared" si="44"/>
        <v>FY2026</v>
      </c>
      <c r="F685" s="8" t="s">
        <v>59</v>
      </c>
      <c r="G685" s="3" t="s">
        <v>35</v>
      </c>
      <c r="H685" t="s">
        <v>254</v>
      </c>
      <c r="I685" t="s">
        <v>200</v>
      </c>
      <c r="J685" s="3" t="s">
        <v>38</v>
      </c>
      <c r="K685" t="s">
        <v>50</v>
      </c>
      <c r="L685" s="3" t="s">
        <v>40</v>
      </c>
      <c r="M685" s="3" t="s">
        <v>41</v>
      </c>
      <c r="N685" t="s">
        <v>42</v>
      </c>
      <c r="O685" t="s">
        <v>43</v>
      </c>
      <c r="P685" t="s">
        <v>44</v>
      </c>
      <c r="Q685" s="3">
        <v>17583.830000000002</v>
      </c>
      <c r="R685" s="3">
        <v>18085.87</v>
      </c>
      <c r="S685" s="3">
        <v>11011.23</v>
      </c>
      <c r="T685" s="3">
        <v>1265.9100000000001</v>
      </c>
      <c r="U685" s="3">
        <v>1258.8599999999999</v>
      </c>
      <c r="V685" s="3">
        <v>1540.23</v>
      </c>
      <c r="W685" s="3">
        <v>375.75</v>
      </c>
      <c r="X685" s="3">
        <v>15451.97</v>
      </c>
      <c r="Y685" s="3">
        <v>6572.6</v>
      </c>
      <c r="Z685" s="3">
        <f t="shared" si="45"/>
        <v>2131.8600000000024</v>
      </c>
      <c r="AA685" s="37">
        <f t="shared" si="46"/>
        <v>0.12123979815546455</v>
      </c>
      <c r="AB685" s="3">
        <v>-502.04</v>
      </c>
      <c r="AC685" s="3">
        <v>0</v>
      </c>
      <c r="AD685" s="3">
        <v>3165.09</v>
      </c>
      <c r="AE685" s="3">
        <v>20748.919999999998</v>
      </c>
      <c r="AF685" t="str">
        <f>IF(tbl_FinancialData[[#This Row],[City]]="","Unknown",PROPER(TRIM(tbl_FinancialData[[#This Row],[City]])))</f>
        <v>Gurugram</v>
      </c>
      <c r="AG685" t="str">
        <f>_xlfn.LET(_xlpm.city,LOWER(TRIM(tbl_FinancialData[[#This Row],[City]])),_xlpm.st,PROPER(TRIM(tbl_FinancialData[[#This Row],[State]])),IF(_xlpm.city="pune","Maharashtra",IF(_xlpm.city="jamshedpur","Jharkhand",IF(_xlpm.city="bhilai","Chhattisgarh",IF(_xlpm.city="mumbai","Maharashtra",_xlpm.st)))))</f>
        <v>Delhi</v>
      </c>
      <c r="AH685" t="str">
        <f>_xlfn.LET(_xlpm.d,PROPER(TRIM(tbl_FinancialData[[#This Row],[Department]])),IF(_xlpm.d="It","IT",_xlpm.d))</f>
        <v>Sales</v>
      </c>
      <c r="AI685" t="str">
        <f>_xlfn.LET(_xlpm.pid,tbl_FinancialData[[#This Row],[Product ID]],_xlpm.n,PROPER(TRIM(tbl_FinancialData[[#This Row],[Product Name]])),IF(_xlpm.pid="P020","Document Scanner",IF(_xlpm.pid="P015","Network Router",SUBSTITUTE(SUBSTITUTE(_xlpm.n,"Crm","CRM"),"Ups","UPS"))))</f>
        <v>Conference Camera</v>
      </c>
      <c r="AJ685" s="3" t="str">
        <f>UPPER(TRIM(tbl_FinancialData[[#This Row],[Cost Center]]))</f>
        <v>CC-1002</v>
      </c>
    </row>
    <row r="686" spans="1:36" x14ac:dyDescent="0.25">
      <c r="A686" s="3" t="s">
        <v>888</v>
      </c>
      <c r="B686" s="2">
        <v>45924</v>
      </c>
      <c r="C686" t="s">
        <v>46</v>
      </c>
      <c r="D686" s="3" t="str">
        <f t="shared" si="43"/>
        <v>Q2</v>
      </c>
      <c r="E686" s="3" t="str">
        <f t="shared" si="44"/>
        <v>FY2026</v>
      </c>
      <c r="F686" s="8" t="s">
        <v>59</v>
      </c>
      <c r="G686" s="3" t="s">
        <v>35</v>
      </c>
      <c r="H686" t="s">
        <v>139</v>
      </c>
      <c r="I686" t="s">
        <v>140</v>
      </c>
      <c r="J686" s="3" t="s">
        <v>80</v>
      </c>
      <c r="K686" t="s">
        <v>39</v>
      </c>
      <c r="L686" s="3" t="s">
        <v>51</v>
      </c>
      <c r="M686" s="3" t="s">
        <v>211</v>
      </c>
      <c r="N686" t="s">
        <v>212</v>
      </c>
      <c r="O686" t="s">
        <v>112</v>
      </c>
      <c r="P686" t="s">
        <v>113</v>
      </c>
      <c r="Q686" s="3">
        <v>26268.33</v>
      </c>
      <c r="R686" s="3">
        <v>24762.28</v>
      </c>
      <c r="S686" s="3">
        <v>17495.63</v>
      </c>
      <c r="T686" s="3">
        <v>2223.52</v>
      </c>
      <c r="U686" s="3">
        <v>984.61</v>
      </c>
      <c r="V686" s="3">
        <v>2951.35</v>
      </c>
      <c r="W686" s="3">
        <v>444.82</v>
      </c>
      <c r="X686" s="3">
        <v>24099.93</v>
      </c>
      <c r="Y686" s="3">
        <v>8772.7000000000007</v>
      </c>
      <c r="Z686" s="3">
        <f t="shared" si="45"/>
        <v>2168.4000000000015</v>
      </c>
      <c r="AA686" s="37">
        <f t="shared" si="46"/>
        <v>8.2548072146192822E-2</v>
      </c>
      <c r="AB686" s="3">
        <v>1506.05</v>
      </c>
      <c r="AC686" s="3">
        <v>0</v>
      </c>
      <c r="AD686" s="3">
        <v>1313.42</v>
      </c>
      <c r="AE686" s="3">
        <v>27581.75</v>
      </c>
      <c r="AF686" t="str">
        <f>IF(tbl_FinancialData[[#This Row],[City]]="","Unknown",PROPER(TRIM(tbl_FinancialData[[#This Row],[City]])))</f>
        <v>Faridabad</v>
      </c>
      <c r="AG686" t="str">
        <f>_xlfn.LET(_xlpm.city,LOWER(TRIM(tbl_FinancialData[[#This Row],[City]])),_xlpm.st,PROPER(TRIM(tbl_FinancialData[[#This Row],[State]])),IF(_xlpm.city="pune","Maharashtra",IF(_xlpm.city="jamshedpur","Jharkhand",IF(_xlpm.city="bhilai","Chhattisgarh",IF(_xlpm.city="mumbai","Maharashtra",_xlpm.st)))))</f>
        <v>Haryana</v>
      </c>
      <c r="AH686" t="str">
        <f>_xlfn.LET(_xlpm.d,PROPER(TRIM(tbl_FinancialData[[#This Row],[Department]])),IF(_xlpm.d="It","IT",_xlpm.d))</f>
        <v>Operations</v>
      </c>
      <c r="AI686" t="str">
        <f>_xlfn.LET(_xlpm.pid,tbl_FinancialData[[#This Row],[Product ID]],_xlpm.n,PROPER(TRIM(tbl_FinancialData[[#This Row],[Product Name]])),IF(_xlpm.pid="P020","Document Scanner",IF(_xlpm.pid="P015","Network Router",SUBSTITUTE(SUBSTITUTE(_xlpm.n,"Crm","CRM"),"Ups","UPS"))))</f>
        <v>Office Chair</v>
      </c>
      <c r="AJ686" s="3" t="str">
        <f>UPPER(TRIM(tbl_FinancialData[[#This Row],[Cost Center]]))</f>
        <v>CC-1003</v>
      </c>
    </row>
    <row r="687" spans="1:36" x14ac:dyDescent="0.25">
      <c r="A687" s="3" t="s">
        <v>889</v>
      </c>
      <c r="B687" s="2">
        <v>46045</v>
      </c>
      <c r="C687" t="s">
        <v>77</v>
      </c>
      <c r="D687" s="3" t="str">
        <f t="shared" si="43"/>
        <v>Q4</v>
      </c>
      <c r="E687" s="3" t="str">
        <f t="shared" si="44"/>
        <v>FY2026</v>
      </c>
      <c r="F687" s="8" t="s">
        <v>47</v>
      </c>
      <c r="G687" s="3" t="s">
        <v>35</v>
      </c>
      <c r="H687" t="s">
        <v>214</v>
      </c>
      <c r="I687" t="s">
        <v>215</v>
      </c>
      <c r="J687" s="3" t="s">
        <v>70</v>
      </c>
      <c r="K687" t="s">
        <v>50</v>
      </c>
      <c r="L687" s="3" t="s">
        <v>94</v>
      </c>
      <c r="M687" s="3" t="s">
        <v>73</v>
      </c>
      <c r="N687" t="s">
        <v>74</v>
      </c>
      <c r="O687" t="s">
        <v>43</v>
      </c>
      <c r="P687" t="s">
        <v>75</v>
      </c>
      <c r="Q687" s="3">
        <v>39218.47</v>
      </c>
      <c r="R687" s="3">
        <v>45443.81</v>
      </c>
      <c r="S687" s="3">
        <v>20919.330000000002</v>
      </c>
      <c r="T687" s="3">
        <v>5097.38</v>
      </c>
      <c r="U687" s="3">
        <v>1417.71</v>
      </c>
      <c r="V687" s="3">
        <v>3989.45</v>
      </c>
      <c r="W687" s="3">
        <v>698.85</v>
      </c>
      <c r="X687" s="3">
        <v>32122.71</v>
      </c>
      <c r="Y687" s="3">
        <v>18299.14</v>
      </c>
      <c r="Z687" s="3">
        <f t="shared" si="45"/>
        <v>7095.760000000002</v>
      </c>
      <c r="AA687" s="37">
        <f t="shared" si="46"/>
        <v>0.18092903675232619</v>
      </c>
      <c r="AB687" s="3">
        <v>-6225.34</v>
      </c>
      <c r="AC687" s="3">
        <v>0</v>
      </c>
      <c r="AD687" s="3">
        <v>7059.32</v>
      </c>
      <c r="AE687" s="3">
        <v>46277.79</v>
      </c>
      <c r="AF687" t="str">
        <f>IF(tbl_FinancialData[[#This Row],[City]]="","Unknown",PROPER(TRIM(tbl_FinancialData[[#This Row],[City]])))</f>
        <v>Mangaluru</v>
      </c>
      <c r="AG687" t="str">
        <f>_xlfn.LET(_xlpm.city,LOWER(TRIM(tbl_FinancialData[[#This Row],[City]])),_xlpm.st,PROPER(TRIM(tbl_FinancialData[[#This Row],[State]])),IF(_xlpm.city="pune","Maharashtra",IF(_xlpm.city="jamshedpur","Jharkhand",IF(_xlpm.city="bhilai","Chhattisgarh",IF(_xlpm.city="mumbai","Maharashtra",_xlpm.st)))))</f>
        <v>Karnataka</v>
      </c>
      <c r="AH687" t="str">
        <f>_xlfn.LET(_xlpm.d,PROPER(TRIM(tbl_FinancialData[[#This Row],[Department]])),IF(_xlpm.d="It","IT",_xlpm.d))</f>
        <v>Sales</v>
      </c>
      <c r="AI687" t="str">
        <f>_xlfn.LET(_xlpm.pid,tbl_FinancialData[[#This Row],[Product ID]],_xlpm.n,PROPER(TRIM(tbl_FinancialData[[#This Row],[Product Name]])),IF(_xlpm.pid="P020","Document Scanner",IF(_xlpm.pid="P015","Network Router",SUBSTITUTE(SUBSTITUTE(_xlpm.n,"Crm","CRM"),"Ups","UPS"))))</f>
        <v>Monitor</v>
      </c>
      <c r="AJ687" s="3" t="str">
        <f>UPPER(TRIM(tbl_FinancialData[[#This Row],[Cost Center]]))</f>
        <v>CC-1001</v>
      </c>
    </row>
    <row r="688" spans="1:36" x14ac:dyDescent="0.25">
      <c r="A688" s="3" t="s">
        <v>890</v>
      </c>
      <c r="B688" s="2">
        <v>46095</v>
      </c>
      <c r="C688" t="s">
        <v>125</v>
      </c>
      <c r="D688" s="3" t="str">
        <f t="shared" si="43"/>
        <v>Q4</v>
      </c>
      <c r="E688" s="3" t="str">
        <f t="shared" si="44"/>
        <v>FY2026</v>
      </c>
      <c r="F688" s="8" t="s">
        <v>85</v>
      </c>
      <c r="G688" s="3" t="s">
        <v>35</v>
      </c>
      <c r="H688" t="s">
        <v>86</v>
      </c>
      <c r="I688" t="s">
        <v>87</v>
      </c>
      <c r="J688" s="3" t="s">
        <v>100</v>
      </c>
      <c r="K688" t="s">
        <v>39</v>
      </c>
      <c r="L688" s="3" t="s">
        <v>72</v>
      </c>
      <c r="M688" s="3" t="s">
        <v>73</v>
      </c>
      <c r="N688" t="s">
        <v>74</v>
      </c>
      <c r="O688" t="s">
        <v>43</v>
      </c>
      <c r="P688" t="s">
        <v>75</v>
      </c>
      <c r="Q688" s="3">
        <v>34913.99</v>
      </c>
      <c r="R688" s="3">
        <v>35808.199999999997</v>
      </c>
      <c r="S688" s="3">
        <v>19724.22</v>
      </c>
      <c r="T688" s="3">
        <v>4235.6400000000003</v>
      </c>
      <c r="U688" s="3">
        <v>1249.29</v>
      </c>
      <c r="V688" s="3">
        <v>1814.16</v>
      </c>
      <c r="W688" s="3">
        <v>1054.1199999999999</v>
      </c>
      <c r="X688" s="3">
        <v>28077.43</v>
      </c>
      <c r="Y688" s="3">
        <v>15189.77</v>
      </c>
      <c r="Z688" s="3">
        <f t="shared" si="45"/>
        <v>6836.5599999999977</v>
      </c>
      <c r="AA688" s="37">
        <f t="shared" si="46"/>
        <v>0.19581147843600796</v>
      </c>
      <c r="AB688" s="3">
        <v>-894.21</v>
      </c>
      <c r="AC688" s="3">
        <v>1745.7</v>
      </c>
      <c r="AD688" s="3">
        <v>1658.41</v>
      </c>
      <c r="AE688" s="3">
        <v>34826.71</v>
      </c>
      <c r="AF688" t="str">
        <f>IF(tbl_FinancialData[[#This Row],[City]]="","Unknown",PROPER(TRIM(tbl_FinancialData[[#This Row],[City]])))</f>
        <v>Indore</v>
      </c>
      <c r="AG688" t="str">
        <f>_xlfn.LET(_xlpm.city,LOWER(TRIM(tbl_FinancialData[[#This Row],[City]])),_xlpm.st,PROPER(TRIM(tbl_FinancialData[[#This Row],[State]])),IF(_xlpm.city="pune","Maharashtra",IF(_xlpm.city="jamshedpur","Jharkhand",IF(_xlpm.city="bhilai","Chhattisgarh",IF(_xlpm.city="mumbai","Maharashtra",_xlpm.st)))))</f>
        <v>Madhya Pradesh</v>
      </c>
      <c r="AH688" t="str">
        <f>_xlfn.LET(_xlpm.d,PROPER(TRIM(tbl_FinancialData[[#This Row],[Department]])),IF(_xlpm.d="It","IT",_xlpm.d))</f>
        <v>Operations</v>
      </c>
      <c r="AI688" t="str">
        <f>_xlfn.LET(_xlpm.pid,tbl_FinancialData[[#This Row],[Product ID]],_xlpm.n,PROPER(TRIM(tbl_FinancialData[[#This Row],[Product Name]])),IF(_xlpm.pid="P020","Document Scanner",IF(_xlpm.pid="P015","Network Router",SUBSTITUTE(SUBSTITUTE(_xlpm.n,"Crm","CRM"),"Ups","UPS"))))</f>
        <v>Monitor</v>
      </c>
      <c r="AJ688" s="3" t="str">
        <f>UPPER(TRIM(tbl_FinancialData[[#This Row],[Cost Center]]))</f>
        <v>CC-1004</v>
      </c>
    </row>
    <row r="689" spans="1:36" x14ac:dyDescent="0.25">
      <c r="A689" s="3" t="s">
        <v>891</v>
      </c>
      <c r="B689" s="2">
        <v>45994</v>
      </c>
      <c r="C689" t="s">
        <v>107</v>
      </c>
      <c r="D689" s="3" t="str">
        <f t="shared" si="43"/>
        <v>Q3</v>
      </c>
      <c r="E689" s="3" t="str">
        <f t="shared" si="44"/>
        <v>FY2026</v>
      </c>
      <c r="F689" s="8" t="s">
        <v>47</v>
      </c>
      <c r="G689" s="3" t="s">
        <v>35</v>
      </c>
      <c r="H689" t="s">
        <v>206</v>
      </c>
      <c r="I689" t="s">
        <v>207</v>
      </c>
      <c r="J689" s="3" t="s">
        <v>80</v>
      </c>
      <c r="K689" t="s">
        <v>39</v>
      </c>
      <c r="L689" s="3" t="s">
        <v>40</v>
      </c>
      <c r="M689" s="3" t="s">
        <v>235</v>
      </c>
      <c r="N689" t="s">
        <v>236</v>
      </c>
      <c r="O689" t="s">
        <v>104</v>
      </c>
      <c r="P689" t="s">
        <v>237</v>
      </c>
      <c r="Q689" s="3">
        <v>23812.9</v>
      </c>
      <c r="R689" s="3">
        <v>25986.67</v>
      </c>
      <c r="S689" s="3">
        <v>12875.02</v>
      </c>
      <c r="T689" s="3">
        <v>2636.13</v>
      </c>
      <c r="U689" s="3">
        <v>1463.85</v>
      </c>
      <c r="V689" s="3">
        <v>1524.46</v>
      </c>
      <c r="W689" s="3">
        <v>571.71</v>
      </c>
      <c r="X689" s="3">
        <v>19071.16</v>
      </c>
      <c r="Y689" s="3">
        <v>10937.88</v>
      </c>
      <c r="Z689" s="3">
        <f t="shared" si="45"/>
        <v>4741.7400000000016</v>
      </c>
      <c r="AA689" s="37">
        <f t="shared" si="46"/>
        <v>0.1991248440971071</v>
      </c>
      <c r="AB689" s="3">
        <v>-2173.77</v>
      </c>
      <c r="AC689" s="3">
        <v>1190.6500000000001</v>
      </c>
      <c r="AD689" s="3">
        <v>4072.01</v>
      </c>
      <c r="AE689" s="3">
        <v>26694.26</v>
      </c>
      <c r="AF689" t="str">
        <f>IF(tbl_FinancialData[[#This Row],[City]]="","Unknown",PROPER(TRIM(tbl_FinancialData[[#This Row],[City]])))</f>
        <v>Nizamabad</v>
      </c>
      <c r="AG689" t="str">
        <f>_xlfn.LET(_xlpm.city,LOWER(TRIM(tbl_FinancialData[[#This Row],[City]])),_xlpm.st,PROPER(TRIM(tbl_FinancialData[[#This Row],[State]])),IF(_xlpm.city="pune","Maharashtra",IF(_xlpm.city="jamshedpur","Jharkhand",IF(_xlpm.city="bhilai","Chhattisgarh",IF(_xlpm.city="mumbai","Maharashtra",_xlpm.st)))))</f>
        <v>Telangana</v>
      </c>
      <c r="AH689" t="str">
        <f>_xlfn.LET(_xlpm.d,PROPER(TRIM(tbl_FinancialData[[#This Row],[Department]])),IF(_xlpm.d="It","IT",_xlpm.d))</f>
        <v>Operations</v>
      </c>
      <c r="AI689" t="str">
        <f>_xlfn.LET(_xlpm.pid,tbl_FinancialData[[#This Row],[Product ID]],_xlpm.n,PROPER(TRIM(tbl_FinancialData[[#This Row],[Product Name]])),IF(_xlpm.pid="P020","Document Scanner",IF(_xlpm.pid="P015","Network Router",SUBSTITUTE(SUBSTITUTE(_xlpm.n,"Crm","CRM"),"Ups","UPS"))))</f>
        <v>Data Storage</v>
      </c>
      <c r="AJ689" s="3" t="str">
        <f>UPPER(TRIM(tbl_FinancialData[[#This Row],[Cost Center]]))</f>
        <v>CC-1002</v>
      </c>
    </row>
    <row r="690" spans="1:36" x14ac:dyDescent="0.25">
      <c r="A690" s="3" t="s">
        <v>892</v>
      </c>
      <c r="B690" s="2">
        <v>46034</v>
      </c>
      <c r="C690" t="s">
        <v>77</v>
      </c>
      <c r="D690" s="3" t="str">
        <f t="shared" si="43"/>
        <v>Q4</v>
      </c>
      <c r="E690" s="3" t="str">
        <f t="shared" si="44"/>
        <v>FY2026</v>
      </c>
      <c r="F690" s="8" t="s">
        <v>59</v>
      </c>
      <c r="G690" s="3" t="s">
        <v>35</v>
      </c>
      <c r="H690" t="s">
        <v>254</v>
      </c>
      <c r="I690" t="s">
        <v>314</v>
      </c>
      <c r="J690" s="3" t="s">
        <v>80</v>
      </c>
      <c r="K690" t="s">
        <v>71</v>
      </c>
      <c r="L690" s="3" t="s">
        <v>51</v>
      </c>
      <c r="M690" s="3" t="s">
        <v>141</v>
      </c>
      <c r="N690" t="s">
        <v>142</v>
      </c>
      <c r="O690" t="s">
        <v>54</v>
      </c>
      <c r="P690" t="s">
        <v>143</v>
      </c>
      <c r="Q690" s="3">
        <v>8122.47</v>
      </c>
      <c r="R690" s="3">
        <v>9268.74</v>
      </c>
      <c r="S690" s="3">
        <v>4599.49</v>
      </c>
      <c r="T690" s="3">
        <v>1008.3</v>
      </c>
      <c r="U690" s="3">
        <v>571.92999999999995</v>
      </c>
      <c r="V690" s="3">
        <v>492.01</v>
      </c>
      <c r="W690" s="3">
        <v>241.59</v>
      </c>
      <c r="X690" s="3">
        <v>6913.31</v>
      </c>
      <c r="Y690" s="3">
        <v>3522.99</v>
      </c>
      <c r="Z690" s="3">
        <f t="shared" si="45"/>
        <v>1209.1599999999999</v>
      </c>
      <c r="AA690" s="37">
        <f t="shared" si="46"/>
        <v>0.14886604690445146</v>
      </c>
      <c r="AB690" s="3">
        <v>-1146.27</v>
      </c>
      <c r="AC690" s="3">
        <v>406.12</v>
      </c>
      <c r="AD690" s="3">
        <v>385.82</v>
      </c>
      <c r="AE690" s="3">
        <v>8102.16</v>
      </c>
      <c r="AF690" t="str">
        <f>IF(tbl_FinancialData[[#This Row],[City]]="","Unknown",PROPER(TRIM(tbl_FinancialData[[#This Row],[City]])))</f>
        <v>New Delhi</v>
      </c>
      <c r="AG690" t="str">
        <f>_xlfn.LET(_xlpm.city,LOWER(TRIM(tbl_FinancialData[[#This Row],[City]])),_xlpm.st,PROPER(TRIM(tbl_FinancialData[[#This Row],[State]])),IF(_xlpm.city="pune","Maharashtra",IF(_xlpm.city="jamshedpur","Jharkhand",IF(_xlpm.city="bhilai","Chhattisgarh",IF(_xlpm.city="mumbai","Maharashtra",_xlpm.st)))))</f>
        <v>Delhi</v>
      </c>
      <c r="AH690" t="str">
        <f>_xlfn.LET(_xlpm.d,PROPER(TRIM(tbl_FinancialData[[#This Row],[Department]])),IF(_xlpm.d="It","IT",_xlpm.d))</f>
        <v>Marketing</v>
      </c>
      <c r="AI690" t="str">
        <f>_xlfn.LET(_xlpm.pid,tbl_FinancialData[[#This Row],[Product ID]],_xlpm.n,PROPER(TRIM(tbl_FinancialData[[#This Row],[Product Name]])),IF(_xlpm.pid="P020","Document Scanner",IF(_xlpm.pid="P015","Network Router",SUBSTITUTE(SUBSTITUTE(_xlpm.n,"Crm","CRM"),"Ups","UPS"))))</f>
        <v>Headset</v>
      </c>
      <c r="AJ690" s="3" t="str">
        <f>UPPER(TRIM(tbl_FinancialData[[#This Row],[Cost Center]]))</f>
        <v>CC-1003</v>
      </c>
    </row>
    <row r="691" spans="1:36" x14ac:dyDescent="0.25">
      <c r="A691" s="3" t="s">
        <v>893</v>
      </c>
      <c r="B691" s="2">
        <v>45874</v>
      </c>
      <c r="C691" t="s">
        <v>117</v>
      </c>
      <c r="D691" s="3" t="str">
        <f t="shared" si="43"/>
        <v>Q2</v>
      </c>
      <c r="E691" s="3" t="str">
        <f t="shared" si="44"/>
        <v>FY2026</v>
      </c>
      <c r="F691" s="8" t="s">
        <v>47</v>
      </c>
      <c r="G691" s="3" t="s">
        <v>35</v>
      </c>
      <c r="H691" t="s">
        <v>206</v>
      </c>
      <c r="I691" t="s">
        <v>207</v>
      </c>
      <c r="J691" s="3" t="s">
        <v>100</v>
      </c>
      <c r="K691" t="s">
        <v>39</v>
      </c>
      <c r="L691" s="3" t="s">
        <v>51</v>
      </c>
      <c r="M691" s="3" t="s">
        <v>88</v>
      </c>
      <c r="N691" t="s">
        <v>89</v>
      </c>
      <c r="O691" t="s">
        <v>43</v>
      </c>
      <c r="P691" t="s">
        <v>90</v>
      </c>
      <c r="Q691" s="3">
        <v>52100.92</v>
      </c>
      <c r="R691" s="3">
        <v>49610.59</v>
      </c>
      <c r="S691" s="3">
        <v>35976.629999999997</v>
      </c>
      <c r="T691" s="3">
        <v>4252.49</v>
      </c>
      <c r="U691" s="3">
        <v>2881.69</v>
      </c>
      <c r="V691" s="3">
        <v>5671.3</v>
      </c>
      <c r="W691" s="3">
        <v>1472.57</v>
      </c>
      <c r="X691" s="3">
        <v>50254.67</v>
      </c>
      <c r="Y691" s="3">
        <v>16124.29</v>
      </c>
      <c r="Z691" s="3">
        <f t="shared" si="45"/>
        <v>1846.25</v>
      </c>
      <c r="AA691" s="37">
        <f t="shared" si="46"/>
        <v>3.543603452683753E-2</v>
      </c>
      <c r="AB691" s="3">
        <v>2490.33</v>
      </c>
      <c r="AC691" s="3">
        <v>1042.02</v>
      </c>
      <c r="AD691" s="3">
        <v>9190.6</v>
      </c>
      <c r="AE691" s="3">
        <v>60249.5</v>
      </c>
      <c r="AF691" t="str">
        <f>IF(tbl_FinancialData[[#This Row],[City]]="","Unknown",PROPER(TRIM(tbl_FinancialData[[#This Row],[City]])))</f>
        <v>Nizamabad</v>
      </c>
      <c r="AG691" t="str">
        <f>_xlfn.LET(_xlpm.city,LOWER(TRIM(tbl_FinancialData[[#This Row],[City]])),_xlpm.st,PROPER(TRIM(tbl_FinancialData[[#This Row],[State]])),IF(_xlpm.city="pune","Maharashtra",IF(_xlpm.city="jamshedpur","Jharkhand",IF(_xlpm.city="bhilai","Chhattisgarh",IF(_xlpm.city="mumbai","Maharashtra",_xlpm.st)))))</f>
        <v>Telangana</v>
      </c>
      <c r="AH691" t="str">
        <f>_xlfn.LET(_xlpm.d,PROPER(TRIM(tbl_FinancialData[[#This Row],[Department]])),IF(_xlpm.d="It","IT",_xlpm.d))</f>
        <v>Operations</v>
      </c>
      <c r="AI691" t="str">
        <f>_xlfn.LET(_xlpm.pid,tbl_FinancialData[[#This Row],[Product ID]],_xlpm.n,PROPER(TRIM(tbl_FinancialData[[#This Row],[Product Name]])),IF(_xlpm.pid="P020","Document Scanner",IF(_xlpm.pid="P015","Network Router",SUBSTITUTE(SUBSTITUTE(_xlpm.n,"Crm","CRM"),"Ups","UPS"))))</f>
        <v>Printer</v>
      </c>
      <c r="AJ691" s="3" t="str">
        <f>UPPER(TRIM(tbl_FinancialData[[#This Row],[Cost Center]]))</f>
        <v>CC-1003</v>
      </c>
    </row>
    <row r="692" spans="1:36" x14ac:dyDescent="0.25">
      <c r="A692" s="3" t="s">
        <v>894</v>
      </c>
      <c r="B692" s="2">
        <v>45760</v>
      </c>
      <c r="C692" t="s">
        <v>128</v>
      </c>
      <c r="D692" s="3" t="str">
        <f t="shared" si="43"/>
        <v>Q1</v>
      </c>
      <c r="E692" s="3" t="str">
        <f t="shared" si="44"/>
        <v>FY2026</v>
      </c>
      <c r="F692" s="8" t="s">
        <v>85</v>
      </c>
      <c r="G692" s="3" t="s">
        <v>35</v>
      </c>
      <c r="H692" t="s">
        <v>178</v>
      </c>
      <c r="I692" t="s">
        <v>179</v>
      </c>
      <c r="J692" s="3" t="s">
        <v>70</v>
      </c>
      <c r="K692" t="s">
        <v>39</v>
      </c>
      <c r="L692" s="3" t="s">
        <v>94</v>
      </c>
      <c r="M692" s="3" t="s">
        <v>88</v>
      </c>
      <c r="N692" t="s">
        <v>89</v>
      </c>
      <c r="O692" t="s">
        <v>43</v>
      </c>
      <c r="P692" t="s">
        <v>90</v>
      </c>
      <c r="Q692" s="3">
        <v>43197.79</v>
      </c>
      <c r="R692" s="3">
        <v>39949.980000000003</v>
      </c>
      <c r="S692" s="3">
        <v>25599.01</v>
      </c>
      <c r="T692" s="3">
        <v>5032.12</v>
      </c>
      <c r="U692" s="3">
        <v>1123.42</v>
      </c>
      <c r="V692" s="3">
        <v>2671.07</v>
      </c>
      <c r="W692" s="3">
        <v>435.69</v>
      </c>
      <c r="X692" s="3">
        <v>34861.300000000003</v>
      </c>
      <c r="Y692" s="3">
        <v>17598.79</v>
      </c>
      <c r="Z692" s="3">
        <f t="shared" si="45"/>
        <v>8336.489999999998</v>
      </c>
      <c r="AA692" s="37">
        <f t="shared" si="46"/>
        <v>0.19298417812577906</v>
      </c>
      <c r="AB692" s="3">
        <v>3247.81</v>
      </c>
      <c r="AC692" s="3">
        <v>1295.93</v>
      </c>
      <c r="AD692" s="3">
        <v>7542.33</v>
      </c>
      <c r="AE692" s="3">
        <v>49444.19</v>
      </c>
      <c r="AF692" t="str">
        <f>IF(tbl_FinancialData[[#This Row],[City]]="","Unknown",PROPER(TRIM(tbl_FinancialData[[#This Row],[City]])))</f>
        <v>Bilaspur</v>
      </c>
      <c r="AG692" t="str">
        <f>_xlfn.LET(_xlpm.city,LOWER(TRIM(tbl_FinancialData[[#This Row],[City]])),_xlpm.st,PROPER(TRIM(tbl_FinancialData[[#This Row],[State]])),IF(_xlpm.city="pune","Maharashtra",IF(_xlpm.city="jamshedpur","Jharkhand",IF(_xlpm.city="bhilai","Chhattisgarh",IF(_xlpm.city="mumbai","Maharashtra",_xlpm.st)))))</f>
        <v>Chhattisgarh</v>
      </c>
      <c r="AH692" t="str">
        <f>_xlfn.LET(_xlpm.d,PROPER(TRIM(tbl_FinancialData[[#This Row],[Department]])),IF(_xlpm.d="It","IT",_xlpm.d))</f>
        <v>Operations</v>
      </c>
      <c r="AI692" t="str">
        <f>_xlfn.LET(_xlpm.pid,tbl_FinancialData[[#This Row],[Product ID]],_xlpm.n,PROPER(TRIM(tbl_FinancialData[[#This Row],[Product Name]])),IF(_xlpm.pid="P020","Document Scanner",IF(_xlpm.pid="P015","Network Router",SUBSTITUTE(SUBSTITUTE(_xlpm.n,"Crm","CRM"),"Ups","UPS"))))</f>
        <v>Printer</v>
      </c>
      <c r="AJ692" s="3" t="str">
        <f>UPPER(TRIM(tbl_FinancialData[[#This Row],[Cost Center]]))</f>
        <v>CC-1001</v>
      </c>
    </row>
    <row r="693" spans="1:36" x14ac:dyDescent="0.25">
      <c r="A693" s="3" t="s">
        <v>895</v>
      </c>
      <c r="B693" s="2">
        <v>46080</v>
      </c>
      <c r="C693" t="s">
        <v>57</v>
      </c>
      <c r="D693" s="3" t="str">
        <f t="shared" si="43"/>
        <v>Q4</v>
      </c>
      <c r="E693" s="3" t="str">
        <f t="shared" si="44"/>
        <v>FY2026</v>
      </c>
      <c r="F693" s="8" t="s">
        <v>85</v>
      </c>
      <c r="G693" s="3" t="s">
        <v>35</v>
      </c>
      <c r="H693" t="s">
        <v>178</v>
      </c>
      <c r="I693" t="s">
        <v>249</v>
      </c>
      <c r="J693" s="3" t="s">
        <v>38</v>
      </c>
      <c r="K693" t="s">
        <v>39</v>
      </c>
      <c r="L693" s="3" t="s">
        <v>72</v>
      </c>
      <c r="M693" s="3" t="s">
        <v>197</v>
      </c>
      <c r="N693" t="s">
        <v>198</v>
      </c>
      <c r="O693" t="s">
        <v>43</v>
      </c>
      <c r="P693" t="s">
        <v>163</v>
      </c>
      <c r="Q693" s="3">
        <v>52530.11</v>
      </c>
      <c r="R693" s="3">
        <v>60792.83</v>
      </c>
      <c r="S693" s="3">
        <v>34195.769999999997</v>
      </c>
      <c r="T693" s="3">
        <v>4174.57</v>
      </c>
      <c r="U693" s="3">
        <v>3747.86</v>
      </c>
      <c r="V693" s="3">
        <v>2270.4699999999998</v>
      </c>
      <c r="W693" s="3">
        <v>1235.75</v>
      </c>
      <c r="X693" s="3">
        <v>45624.41</v>
      </c>
      <c r="Y693" s="3">
        <v>18334.349999999999</v>
      </c>
      <c r="Z693" s="3">
        <f t="shared" si="45"/>
        <v>6905.6999999999971</v>
      </c>
      <c r="AA693" s="37">
        <f t="shared" si="46"/>
        <v>0.1314617464155319</v>
      </c>
      <c r="AB693" s="3">
        <v>-8262.7199999999993</v>
      </c>
      <c r="AC693" s="3">
        <v>1575.9</v>
      </c>
      <c r="AD693" s="3">
        <v>2547.71</v>
      </c>
      <c r="AE693" s="3">
        <v>53501.919999999998</v>
      </c>
      <c r="AF693" t="str">
        <f>IF(tbl_FinancialData[[#This Row],[City]]="","Unknown",PROPER(TRIM(tbl_FinancialData[[#This Row],[City]])))</f>
        <v>Bhilai</v>
      </c>
      <c r="AG693" t="str">
        <f>_xlfn.LET(_xlpm.city,LOWER(TRIM(tbl_FinancialData[[#This Row],[City]])),_xlpm.st,PROPER(TRIM(tbl_FinancialData[[#This Row],[State]])),IF(_xlpm.city="pune","Maharashtra",IF(_xlpm.city="jamshedpur","Jharkhand",IF(_xlpm.city="bhilai","Chhattisgarh",IF(_xlpm.city="mumbai","Maharashtra",_xlpm.st)))))</f>
        <v>Chhattisgarh</v>
      </c>
      <c r="AH693" t="str">
        <f>_xlfn.LET(_xlpm.d,PROPER(TRIM(tbl_FinancialData[[#This Row],[Department]])),IF(_xlpm.d="It","IT",_xlpm.d))</f>
        <v>Operations</v>
      </c>
      <c r="AI693" t="str">
        <f>_xlfn.LET(_xlpm.pid,tbl_FinancialData[[#This Row],[Product ID]],_xlpm.n,PROPER(TRIM(tbl_FinancialData[[#This Row],[Product Name]])),IF(_xlpm.pid="P020","Document Scanner",IF(_xlpm.pid="P015","Network Router",SUBSTITUTE(SUBSTITUTE(_xlpm.n,"Crm","CRM"),"Ups","UPS"))))</f>
        <v>Smartphone</v>
      </c>
      <c r="AJ693" s="3" t="str">
        <f>UPPER(TRIM(tbl_FinancialData[[#This Row],[Cost Center]]))</f>
        <v>CC-1004</v>
      </c>
    </row>
    <row r="694" spans="1:36" x14ac:dyDescent="0.25">
      <c r="A694" s="3" t="s">
        <v>896</v>
      </c>
      <c r="B694" s="2">
        <v>45765</v>
      </c>
      <c r="C694" t="s">
        <v>128</v>
      </c>
      <c r="D694" s="3" t="str">
        <f t="shared" si="43"/>
        <v>Q1</v>
      </c>
      <c r="E694" s="3" t="str">
        <f t="shared" si="44"/>
        <v>FY2026</v>
      </c>
      <c r="F694" s="8" t="s">
        <v>34</v>
      </c>
      <c r="G694" s="3" t="s">
        <v>35</v>
      </c>
      <c r="H694" t="s">
        <v>134</v>
      </c>
      <c r="I694" t="s">
        <v>176</v>
      </c>
      <c r="J694" s="3" t="s">
        <v>80</v>
      </c>
      <c r="K694" t="s">
        <v>71</v>
      </c>
      <c r="L694" s="3" t="s">
        <v>40</v>
      </c>
      <c r="M694" s="3" t="s">
        <v>52</v>
      </c>
      <c r="N694" t="s">
        <v>53</v>
      </c>
      <c r="O694" t="s">
        <v>54</v>
      </c>
      <c r="P694" t="s">
        <v>55</v>
      </c>
      <c r="Q694" s="3">
        <v>4720.76</v>
      </c>
      <c r="R694" s="3">
        <v>4511.95</v>
      </c>
      <c r="S694" s="3">
        <v>2687.75</v>
      </c>
      <c r="T694" s="3">
        <v>276.88</v>
      </c>
      <c r="U694" s="3">
        <v>195.22</v>
      </c>
      <c r="V694" s="3">
        <v>291.54000000000002</v>
      </c>
      <c r="W694" s="3">
        <v>166.28</v>
      </c>
      <c r="X694" s="3">
        <v>3617.67</v>
      </c>
      <c r="Y694" s="3">
        <v>2033.01</v>
      </c>
      <c r="Z694" s="3">
        <f t="shared" si="45"/>
        <v>1103.0900000000001</v>
      </c>
      <c r="AA694" s="37">
        <f t="shared" si="46"/>
        <v>0.23366788398478214</v>
      </c>
      <c r="AB694" s="3">
        <v>208.81</v>
      </c>
      <c r="AC694" s="3">
        <v>0</v>
      </c>
      <c r="AD694" s="3">
        <v>849.74</v>
      </c>
      <c r="AE694" s="3">
        <v>5570.49</v>
      </c>
      <c r="AF694" t="str">
        <f>IF(tbl_FinancialData[[#This Row],[City]]="","Unknown",PROPER(TRIM(tbl_FinancialData[[#This Row],[City]])))</f>
        <v>Jaipur</v>
      </c>
      <c r="AG694" t="str">
        <f>_xlfn.LET(_xlpm.city,LOWER(TRIM(tbl_FinancialData[[#This Row],[City]])),_xlpm.st,PROPER(TRIM(tbl_FinancialData[[#This Row],[State]])),IF(_xlpm.city="pune","Maharashtra",IF(_xlpm.city="jamshedpur","Jharkhand",IF(_xlpm.city="bhilai","Chhattisgarh",IF(_xlpm.city="mumbai","Maharashtra",_xlpm.st)))))</f>
        <v>Rajasthan</v>
      </c>
      <c r="AH694" t="str">
        <f>_xlfn.LET(_xlpm.d,PROPER(TRIM(tbl_FinancialData[[#This Row],[Department]])),IF(_xlpm.d="It","IT",_xlpm.d))</f>
        <v>Marketing</v>
      </c>
      <c r="AI694" t="str">
        <f>_xlfn.LET(_xlpm.pid,tbl_FinancialData[[#This Row],[Product ID]],_xlpm.n,PROPER(TRIM(tbl_FinancialData[[#This Row],[Product Name]])),IF(_xlpm.pid="P020","Document Scanner",IF(_xlpm.pid="P015","Network Router",SUBSTITUTE(SUBSTITUTE(_xlpm.n,"Crm","CRM"),"Ups","UPS"))))</f>
        <v>Mouse</v>
      </c>
      <c r="AJ694" s="3" t="str">
        <f>UPPER(TRIM(tbl_FinancialData[[#This Row],[Cost Center]]))</f>
        <v>CC-1002</v>
      </c>
    </row>
    <row r="695" spans="1:36" x14ac:dyDescent="0.25">
      <c r="A695" s="3" t="s">
        <v>897</v>
      </c>
      <c r="B695" s="2">
        <v>45900</v>
      </c>
      <c r="C695" t="s">
        <v>117</v>
      </c>
      <c r="D695" s="3" t="str">
        <f t="shared" si="43"/>
        <v>Q2</v>
      </c>
      <c r="E695" s="3" t="str">
        <f t="shared" si="44"/>
        <v>FY2026</v>
      </c>
      <c r="F695" s="8" t="s">
        <v>59</v>
      </c>
      <c r="G695" s="3" t="s">
        <v>35</v>
      </c>
      <c r="H695" t="s">
        <v>139</v>
      </c>
      <c r="I695" t="s">
        <v>140</v>
      </c>
      <c r="J695" s="3" t="s">
        <v>100</v>
      </c>
      <c r="K695" t="s">
        <v>39</v>
      </c>
      <c r="L695" s="3" t="s">
        <v>81</v>
      </c>
      <c r="M695" s="3" t="s">
        <v>211</v>
      </c>
      <c r="N695" t="s">
        <v>212</v>
      </c>
      <c r="O695" t="s">
        <v>112</v>
      </c>
      <c r="P695" t="s">
        <v>113</v>
      </c>
      <c r="Q695" s="3">
        <v>38850.269999999997</v>
      </c>
      <c r="R695" s="3">
        <v>39359.769999999997</v>
      </c>
      <c r="S695" s="3">
        <v>26061.58</v>
      </c>
      <c r="T695" s="3">
        <v>1983.75</v>
      </c>
      <c r="U695" s="3">
        <v>2354.63</v>
      </c>
      <c r="V695" s="3">
        <v>3864.2</v>
      </c>
      <c r="W695" s="3">
        <v>683.49</v>
      </c>
      <c r="X695" s="3">
        <v>34947.65</v>
      </c>
      <c r="Y695" s="3">
        <v>12788.69</v>
      </c>
      <c r="Z695" s="3">
        <f t="shared" si="45"/>
        <v>3902.6199999999953</v>
      </c>
      <c r="AA695" s="37">
        <f t="shared" si="46"/>
        <v>0.10045284112568575</v>
      </c>
      <c r="AB695" s="3">
        <v>-509.5</v>
      </c>
      <c r="AC695" s="3">
        <v>0</v>
      </c>
      <c r="AD695" s="3">
        <v>1942.51</v>
      </c>
      <c r="AE695" s="3">
        <v>40792.78</v>
      </c>
      <c r="AF695" t="str">
        <f>IF(tbl_FinancialData[[#This Row],[City]]="","Unknown",PROPER(TRIM(tbl_FinancialData[[#This Row],[City]])))</f>
        <v>Faridabad</v>
      </c>
      <c r="AG695" t="str">
        <f>_xlfn.LET(_xlpm.city,LOWER(TRIM(tbl_FinancialData[[#This Row],[City]])),_xlpm.st,PROPER(TRIM(tbl_FinancialData[[#This Row],[State]])),IF(_xlpm.city="pune","Maharashtra",IF(_xlpm.city="jamshedpur","Jharkhand",IF(_xlpm.city="bhilai","Chhattisgarh",IF(_xlpm.city="mumbai","Maharashtra",_xlpm.st)))))</f>
        <v>Haryana</v>
      </c>
      <c r="AH695" t="str">
        <f>_xlfn.LET(_xlpm.d,PROPER(TRIM(tbl_FinancialData[[#This Row],[Department]])),IF(_xlpm.d="It","IT",_xlpm.d))</f>
        <v>Operations</v>
      </c>
      <c r="AI695" t="str">
        <f>_xlfn.LET(_xlpm.pid,tbl_FinancialData[[#This Row],[Product ID]],_xlpm.n,PROPER(TRIM(tbl_FinancialData[[#This Row],[Product Name]])),IF(_xlpm.pid="P020","Document Scanner",IF(_xlpm.pid="P015","Network Router",SUBSTITUTE(SUBSTITUTE(_xlpm.n,"Crm","CRM"),"Ups","UPS"))))</f>
        <v>Office Chair</v>
      </c>
      <c r="AJ695" s="3" t="str">
        <f>UPPER(TRIM(tbl_FinancialData[[#This Row],[Cost Center]]))</f>
        <v>CC-1005</v>
      </c>
    </row>
    <row r="696" spans="1:36" x14ac:dyDescent="0.25">
      <c r="A696" s="3" t="s">
        <v>898</v>
      </c>
      <c r="B696" s="2">
        <v>45954</v>
      </c>
      <c r="C696" t="s">
        <v>92</v>
      </c>
      <c r="D696" s="3" t="str">
        <f t="shared" si="43"/>
        <v>Q3</v>
      </c>
      <c r="E696" s="3" t="str">
        <f t="shared" si="44"/>
        <v>FY2026</v>
      </c>
      <c r="F696" s="8" t="s">
        <v>47</v>
      </c>
      <c r="G696" s="3" t="s">
        <v>35</v>
      </c>
      <c r="H696" t="s">
        <v>214</v>
      </c>
      <c r="I696" t="s">
        <v>321</v>
      </c>
      <c r="J696" s="3" t="s">
        <v>70</v>
      </c>
      <c r="K696" t="s">
        <v>101</v>
      </c>
      <c r="L696" s="3" t="s">
        <v>81</v>
      </c>
      <c r="M696" s="3" t="s">
        <v>141</v>
      </c>
      <c r="N696" t="s">
        <v>142</v>
      </c>
      <c r="O696" t="s">
        <v>54</v>
      </c>
      <c r="P696" t="s">
        <v>143</v>
      </c>
      <c r="Q696" s="3">
        <v>5855.95</v>
      </c>
      <c r="R696" s="3">
        <v>6504.12</v>
      </c>
      <c r="S696" s="3">
        <v>3778.67</v>
      </c>
      <c r="T696" s="3">
        <v>640.25</v>
      </c>
      <c r="U696" s="3">
        <v>425.96</v>
      </c>
      <c r="V696" s="3">
        <v>454.7</v>
      </c>
      <c r="W696" s="3">
        <v>101.89</v>
      </c>
      <c r="X696" s="3">
        <v>5401.47</v>
      </c>
      <c r="Y696" s="3">
        <v>2077.2800000000002</v>
      </c>
      <c r="Z696" s="3">
        <f t="shared" si="45"/>
        <v>454.47999999999956</v>
      </c>
      <c r="AA696" s="37">
        <f t="shared" si="46"/>
        <v>7.7609952270767266E-2</v>
      </c>
      <c r="AB696" s="3">
        <v>-648.16999999999996</v>
      </c>
      <c r="AC696" s="3">
        <v>292.8</v>
      </c>
      <c r="AD696" s="3">
        <v>1001.37</v>
      </c>
      <c r="AE696" s="3">
        <v>6564.52</v>
      </c>
      <c r="AF696" t="str">
        <f>IF(tbl_FinancialData[[#This Row],[City]]="","Unknown",PROPER(TRIM(tbl_FinancialData[[#This Row],[City]])))</f>
        <v>Bengaluru</v>
      </c>
      <c r="AG696" t="str">
        <f>_xlfn.LET(_xlpm.city,LOWER(TRIM(tbl_FinancialData[[#This Row],[City]])),_xlpm.st,PROPER(TRIM(tbl_FinancialData[[#This Row],[State]])),IF(_xlpm.city="pune","Maharashtra",IF(_xlpm.city="jamshedpur","Jharkhand",IF(_xlpm.city="bhilai","Chhattisgarh",IF(_xlpm.city="mumbai","Maharashtra",_xlpm.st)))))</f>
        <v>Karnataka</v>
      </c>
      <c r="AH696" t="str">
        <f>_xlfn.LET(_xlpm.d,PROPER(TRIM(tbl_FinancialData[[#This Row],[Department]])),IF(_xlpm.d="It","IT",_xlpm.d))</f>
        <v>Finance</v>
      </c>
      <c r="AI696" t="str">
        <f>_xlfn.LET(_xlpm.pid,tbl_FinancialData[[#This Row],[Product ID]],_xlpm.n,PROPER(TRIM(tbl_FinancialData[[#This Row],[Product Name]])),IF(_xlpm.pid="P020","Document Scanner",IF(_xlpm.pid="P015","Network Router",SUBSTITUTE(SUBSTITUTE(_xlpm.n,"Crm","CRM"),"Ups","UPS"))))</f>
        <v>Headset</v>
      </c>
      <c r="AJ696" s="3" t="str">
        <f>UPPER(TRIM(tbl_FinancialData[[#This Row],[Cost Center]]))</f>
        <v>CC-1005</v>
      </c>
    </row>
    <row r="697" spans="1:36" x14ac:dyDescent="0.25">
      <c r="A697" s="3" t="s">
        <v>899</v>
      </c>
      <c r="B697" s="2">
        <v>45857</v>
      </c>
      <c r="C697" t="s">
        <v>32</v>
      </c>
      <c r="D697" s="3" t="str">
        <f t="shared" si="43"/>
        <v>Q2</v>
      </c>
      <c r="E697" s="3" t="str">
        <f t="shared" si="44"/>
        <v>FY2026</v>
      </c>
      <c r="F697" s="8" t="s">
        <v>34</v>
      </c>
      <c r="G697" s="3" t="s">
        <v>35</v>
      </c>
      <c r="H697" t="s">
        <v>157</v>
      </c>
      <c r="I697" t="s">
        <v>166</v>
      </c>
      <c r="J697" s="3" t="s">
        <v>70</v>
      </c>
      <c r="K697" t="s">
        <v>160</v>
      </c>
      <c r="L697" s="3" t="s">
        <v>72</v>
      </c>
      <c r="M697" s="3" t="s">
        <v>197</v>
      </c>
      <c r="N697" t="s">
        <v>198</v>
      </c>
      <c r="O697" t="s">
        <v>43</v>
      </c>
      <c r="P697" t="s">
        <v>163</v>
      </c>
      <c r="Q697" s="3">
        <v>46062.559999999998</v>
      </c>
      <c r="R697" s="3">
        <v>44938.75</v>
      </c>
      <c r="S697" s="3">
        <v>26641.3</v>
      </c>
      <c r="T697" s="3">
        <v>4639.7</v>
      </c>
      <c r="U697" s="3">
        <v>1223.76</v>
      </c>
      <c r="V697" s="3">
        <v>5150.7700000000004</v>
      </c>
      <c r="W697" s="3">
        <v>1298.07</v>
      </c>
      <c r="X697" s="3">
        <v>38953.599999999999</v>
      </c>
      <c r="Y697" s="3">
        <v>19421.259999999998</v>
      </c>
      <c r="Z697" s="3">
        <f t="shared" si="45"/>
        <v>7108.9599999999991</v>
      </c>
      <c r="AA697" s="37">
        <f t="shared" si="46"/>
        <v>0.15433271620161795</v>
      </c>
      <c r="AB697" s="3">
        <v>1123.81</v>
      </c>
      <c r="AC697" s="3">
        <v>1381.88</v>
      </c>
      <c r="AD697" s="3">
        <v>8042.52</v>
      </c>
      <c r="AE697" s="3">
        <v>52723.21</v>
      </c>
      <c r="AF697" t="str">
        <f>IF(tbl_FinancialData[[#This Row],[City]]="","Unknown",PROPER(TRIM(tbl_FinancialData[[#This Row],[City]])))</f>
        <v>Vadodara</v>
      </c>
      <c r="AG697" t="str">
        <f>_xlfn.LET(_xlpm.city,LOWER(TRIM(tbl_FinancialData[[#This Row],[City]])),_xlpm.st,PROPER(TRIM(tbl_FinancialData[[#This Row],[State]])),IF(_xlpm.city="pune","Maharashtra",IF(_xlpm.city="jamshedpur","Jharkhand",IF(_xlpm.city="bhilai","Chhattisgarh",IF(_xlpm.city="mumbai","Maharashtra",_xlpm.st)))))</f>
        <v>Gujarat</v>
      </c>
      <c r="AH697" t="str">
        <f>_xlfn.LET(_xlpm.d,PROPER(TRIM(tbl_FinancialData[[#This Row],[Department]])),IF(_xlpm.d="It","IT",_xlpm.d))</f>
        <v>IT</v>
      </c>
      <c r="AI697" t="str">
        <f>_xlfn.LET(_xlpm.pid,tbl_FinancialData[[#This Row],[Product ID]],_xlpm.n,PROPER(TRIM(tbl_FinancialData[[#This Row],[Product Name]])),IF(_xlpm.pid="P020","Document Scanner",IF(_xlpm.pid="P015","Network Router",SUBSTITUTE(SUBSTITUTE(_xlpm.n,"Crm","CRM"),"Ups","UPS"))))</f>
        <v>Smartphone</v>
      </c>
      <c r="AJ697" s="3" t="str">
        <f>UPPER(TRIM(tbl_FinancialData[[#This Row],[Cost Center]]))</f>
        <v>CC-1004</v>
      </c>
    </row>
    <row r="698" spans="1:36" x14ac:dyDescent="0.25">
      <c r="A698" s="3" t="s">
        <v>900</v>
      </c>
      <c r="B698" s="2">
        <v>45887</v>
      </c>
      <c r="C698" t="s">
        <v>117</v>
      </c>
      <c r="D698" s="3" t="str">
        <f t="shared" si="43"/>
        <v>Q2</v>
      </c>
      <c r="E698" s="3" t="str">
        <f t="shared" si="44"/>
        <v>FY2026</v>
      </c>
      <c r="F698" s="8" t="s">
        <v>67</v>
      </c>
      <c r="G698" s="3" t="s">
        <v>35</v>
      </c>
      <c r="H698" t="s">
        <v>168</v>
      </c>
      <c r="I698" t="s">
        <v>169</v>
      </c>
      <c r="J698" s="3" t="s">
        <v>38</v>
      </c>
      <c r="K698" t="s">
        <v>160</v>
      </c>
      <c r="L698" s="3" t="s">
        <v>81</v>
      </c>
      <c r="M698" s="3" t="s">
        <v>110</v>
      </c>
      <c r="N698" t="s">
        <v>111</v>
      </c>
      <c r="O698" t="s">
        <v>112</v>
      </c>
      <c r="P698" t="s">
        <v>113</v>
      </c>
      <c r="Q698" s="3">
        <v>13936.03</v>
      </c>
      <c r="R698" s="3">
        <v>13803.37</v>
      </c>
      <c r="S698" s="3">
        <v>8850.7800000000007</v>
      </c>
      <c r="T698" s="3">
        <v>735.54</v>
      </c>
      <c r="U698" s="3">
        <v>1153.5899999999999</v>
      </c>
      <c r="V698" s="3">
        <v>1272.75</v>
      </c>
      <c r="W698" s="3">
        <v>453.26</v>
      </c>
      <c r="X698" s="3">
        <v>12465.92</v>
      </c>
      <c r="Y698" s="3">
        <v>5085.25</v>
      </c>
      <c r="Z698" s="3">
        <f t="shared" si="45"/>
        <v>1470.1100000000006</v>
      </c>
      <c r="AA698" s="37">
        <f t="shared" si="46"/>
        <v>0.10548987050113989</v>
      </c>
      <c r="AB698" s="3">
        <v>132.66</v>
      </c>
      <c r="AC698" s="3">
        <v>1114.8800000000001</v>
      </c>
      <c r="AD698" s="3">
        <v>1538.54</v>
      </c>
      <c r="AE698" s="3">
        <v>14359.68</v>
      </c>
      <c r="AF698" t="str">
        <f>IF(tbl_FinancialData[[#This Row],[City]]="","Unknown",PROPER(TRIM(tbl_FinancialData[[#This Row],[City]])))</f>
        <v>Kolkata</v>
      </c>
      <c r="AG698" t="str">
        <f>_xlfn.LET(_xlpm.city,LOWER(TRIM(tbl_FinancialData[[#This Row],[City]])),_xlpm.st,PROPER(TRIM(tbl_FinancialData[[#This Row],[State]])),IF(_xlpm.city="pune","Maharashtra",IF(_xlpm.city="jamshedpur","Jharkhand",IF(_xlpm.city="bhilai","Chhattisgarh",IF(_xlpm.city="mumbai","Maharashtra",_xlpm.st)))))</f>
        <v>West Bengal</v>
      </c>
      <c r="AH698" t="str">
        <f>_xlfn.LET(_xlpm.d,PROPER(TRIM(tbl_FinancialData[[#This Row],[Department]])),IF(_xlpm.d="It","IT",_xlpm.d))</f>
        <v>IT</v>
      </c>
      <c r="AI698" t="str">
        <f>_xlfn.LET(_xlpm.pid,tbl_FinancialData[[#This Row],[Product ID]],_xlpm.n,PROPER(TRIM(tbl_FinancialData[[#This Row],[Product Name]])),IF(_xlpm.pid="P020","Document Scanner",IF(_xlpm.pid="P015","Network Router",SUBSTITUTE(SUBSTITUTE(_xlpm.n,"Crm","CRM"),"Ups","UPS"))))</f>
        <v>Office Desk</v>
      </c>
      <c r="AJ698" s="3" t="str">
        <f>UPPER(TRIM(tbl_FinancialData[[#This Row],[Cost Center]]))</f>
        <v>CC-1005</v>
      </c>
    </row>
    <row r="699" spans="1:36" x14ac:dyDescent="0.25">
      <c r="A699" s="3" t="s">
        <v>901</v>
      </c>
      <c r="B699" s="2">
        <v>45812</v>
      </c>
      <c r="C699" t="s">
        <v>156</v>
      </c>
      <c r="D699" s="3" t="str">
        <f t="shared" si="43"/>
        <v>Q1</v>
      </c>
      <c r="E699" s="3" t="str">
        <f t="shared" si="44"/>
        <v>FY2026</v>
      </c>
      <c r="F699" s="8" t="s">
        <v>34</v>
      </c>
      <c r="G699" s="3" t="s">
        <v>35</v>
      </c>
      <c r="H699" t="s">
        <v>134</v>
      </c>
      <c r="I699" t="s">
        <v>154</v>
      </c>
      <c r="J699" s="3" t="s">
        <v>70</v>
      </c>
      <c r="K699" t="s">
        <v>160</v>
      </c>
      <c r="L699" s="3" t="s">
        <v>72</v>
      </c>
      <c r="M699" s="3" t="s">
        <v>73</v>
      </c>
      <c r="N699" t="s">
        <v>74</v>
      </c>
      <c r="O699" t="s">
        <v>43</v>
      </c>
      <c r="P699" t="s">
        <v>75</v>
      </c>
      <c r="Q699" s="3">
        <v>34427.54</v>
      </c>
      <c r="R699" s="3">
        <v>34061.32</v>
      </c>
      <c r="S699" s="3">
        <v>23020.46</v>
      </c>
      <c r="T699" s="3">
        <v>2056.15</v>
      </c>
      <c r="U699" s="3">
        <v>1121.17</v>
      </c>
      <c r="V699" s="3">
        <v>1940.21</v>
      </c>
      <c r="W699" s="3">
        <v>445.84</v>
      </c>
      <c r="X699" s="3">
        <v>28583.84</v>
      </c>
      <c r="Y699" s="3">
        <v>11407.08</v>
      </c>
      <c r="Z699" s="3">
        <f t="shared" si="45"/>
        <v>5843.7000000000007</v>
      </c>
      <c r="AA699" s="37">
        <f t="shared" si="46"/>
        <v>0.16973911002644979</v>
      </c>
      <c r="AB699" s="3">
        <v>366.22</v>
      </c>
      <c r="AC699" s="3">
        <v>1721.38</v>
      </c>
      <c r="AD699" s="3">
        <v>1635.31</v>
      </c>
      <c r="AE699" s="3">
        <v>34341.47</v>
      </c>
      <c r="AF699" t="str">
        <f>IF(tbl_FinancialData[[#This Row],[City]]="","Unknown",PROPER(TRIM(tbl_FinancialData[[#This Row],[City]])))</f>
        <v>Udaipur</v>
      </c>
      <c r="AG699" t="str">
        <f>_xlfn.LET(_xlpm.city,LOWER(TRIM(tbl_FinancialData[[#This Row],[City]])),_xlpm.st,PROPER(TRIM(tbl_FinancialData[[#This Row],[State]])),IF(_xlpm.city="pune","Maharashtra",IF(_xlpm.city="jamshedpur","Jharkhand",IF(_xlpm.city="bhilai","Chhattisgarh",IF(_xlpm.city="mumbai","Maharashtra",_xlpm.st)))))</f>
        <v>Rajasthan</v>
      </c>
      <c r="AH699" t="str">
        <f>_xlfn.LET(_xlpm.d,PROPER(TRIM(tbl_FinancialData[[#This Row],[Department]])),IF(_xlpm.d="It","IT",_xlpm.d))</f>
        <v>IT</v>
      </c>
      <c r="AI699" t="str">
        <f>_xlfn.LET(_xlpm.pid,tbl_FinancialData[[#This Row],[Product ID]],_xlpm.n,PROPER(TRIM(tbl_FinancialData[[#This Row],[Product Name]])),IF(_xlpm.pid="P020","Document Scanner",IF(_xlpm.pid="P015","Network Router",SUBSTITUTE(SUBSTITUTE(_xlpm.n,"Crm","CRM"),"Ups","UPS"))))</f>
        <v>Monitor</v>
      </c>
      <c r="AJ699" s="3" t="str">
        <f>UPPER(TRIM(tbl_FinancialData[[#This Row],[Cost Center]]))</f>
        <v>CC-1004</v>
      </c>
    </row>
    <row r="700" spans="1:36" x14ac:dyDescent="0.25">
      <c r="A700" s="3" t="s">
        <v>902</v>
      </c>
      <c r="B700" s="2">
        <v>45852</v>
      </c>
      <c r="C700" t="s">
        <v>32</v>
      </c>
      <c r="D700" s="3" t="str">
        <f t="shared" si="43"/>
        <v>Q2</v>
      </c>
      <c r="E700" s="3" t="str">
        <f t="shared" si="44"/>
        <v>FY2026</v>
      </c>
      <c r="F700" s="8" t="s">
        <v>47</v>
      </c>
      <c r="G700" s="3" t="s">
        <v>35</v>
      </c>
      <c r="H700" t="s">
        <v>48</v>
      </c>
      <c r="I700" t="s">
        <v>265</v>
      </c>
      <c r="J700" s="3" t="s">
        <v>70</v>
      </c>
      <c r="K700" t="s">
        <v>71</v>
      </c>
      <c r="L700" s="3" t="s">
        <v>72</v>
      </c>
      <c r="M700" s="3" t="s">
        <v>221</v>
      </c>
      <c r="N700" t="s">
        <v>222</v>
      </c>
      <c r="O700" t="s">
        <v>104</v>
      </c>
      <c r="P700" t="s">
        <v>223</v>
      </c>
      <c r="Q700" s="3">
        <v>13452.02</v>
      </c>
      <c r="R700" s="3">
        <v>15195.57</v>
      </c>
      <c r="S700" s="3">
        <v>7457.28</v>
      </c>
      <c r="T700" s="3">
        <v>1687.47</v>
      </c>
      <c r="U700" s="3">
        <v>493.37</v>
      </c>
      <c r="V700" s="3">
        <v>1251.28</v>
      </c>
      <c r="W700" s="3">
        <v>450.96</v>
      </c>
      <c r="X700" s="3">
        <v>11340.36</v>
      </c>
      <c r="Y700" s="3">
        <v>5994.74</v>
      </c>
      <c r="Z700" s="3">
        <f t="shared" si="45"/>
        <v>2111.66</v>
      </c>
      <c r="AA700" s="37">
        <f t="shared" si="46"/>
        <v>0.15697716774135034</v>
      </c>
      <c r="AB700" s="3">
        <v>-1743.55</v>
      </c>
      <c r="AC700" s="3">
        <v>269.04000000000002</v>
      </c>
      <c r="AD700" s="3">
        <v>1581.96</v>
      </c>
      <c r="AE700" s="3">
        <v>14764.94</v>
      </c>
      <c r="AF700" t="str">
        <f>IF(tbl_FinancialData[[#This Row],[City]]="","Unknown",PROPER(TRIM(tbl_FinancialData[[#This Row],[City]])))</f>
        <v>Madurai</v>
      </c>
      <c r="AG700" t="str">
        <f>_xlfn.LET(_xlpm.city,LOWER(TRIM(tbl_FinancialData[[#This Row],[City]])),_xlpm.st,PROPER(TRIM(tbl_FinancialData[[#This Row],[State]])),IF(_xlpm.city="pune","Maharashtra",IF(_xlpm.city="jamshedpur","Jharkhand",IF(_xlpm.city="bhilai","Chhattisgarh",IF(_xlpm.city="mumbai","Maharashtra",_xlpm.st)))))</f>
        <v>Tamil Nadu</v>
      </c>
      <c r="AH700" t="str">
        <f>_xlfn.LET(_xlpm.d,PROPER(TRIM(tbl_FinancialData[[#This Row],[Department]])),IF(_xlpm.d="It","IT",_xlpm.d))</f>
        <v>Marketing</v>
      </c>
      <c r="AI700" t="str">
        <f>_xlfn.LET(_xlpm.pid,tbl_FinancialData[[#This Row],[Product ID]],_xlpm.n,PROPER(TRIM(tbl_FinancialData[[#This Row],[Product Name]])),IF(_xlpm.pid="P020","Document Scanner",IF(_xlpm.pid="P015","Network Router",SUBSTITUTE(SUBSTITUTE(_xlpm.n,"Crm","CRM"),"Ups","UPS"))))</f>
        <v>Cloud Software</v>
      </c>
      <c r="AJ700" s="3" t="str">
        <f>UPPER(TRIM(tbl_FinancialData[[#This Row],[Cost Center]]))</f>
        <v>CC-1004</v>
      </c>
    </row>
    <row r="701" spans="1:36" x14ac:dyDescent="0.25">
      <c r="A701" s="3" t="s">
        <v>903</v>
      </c>
      <c r="B701" s="2">
        <v>45919</v>
      </c>
      <c r="C701" t="s">
        <v>46</v>
      </c>
      <c r="D701" s="3" t="str">
        <f t="shared" si="43"/>
        <v>Q2</v>
      </c>
      <c r="E701" s="3" t="str">
        <f t="shared" si="44"/>
        <v>FY2026</v>
      </c>
      <c r="F701" s="8" t="s">
        <v>59</v>
      </c>
      <c r="G701" s="3" t="s">
        <v>35</v>
      </c>
      <c r="H701" t="s">
        <v>230</v>
      </c>
      <c r="I701" t="s">
        <v>301</v>
      </c>
      <c r="J701" s="3" t="s">
        <v>100</v>
      </c>
      <c r="K701" t="s">
        <v>39</v>
      </c>
      <c r="L701" s="3" t="s">
        <v>94</v>
      </c>
      <c r="M701" s="3" t="s">
        <v>41</v>
      </c>
      <c r="N701" t="s">
        <v>42</v>
      </c>
      <c r="O701" t="s">
        <v>43</v>
      </c>
      <c r="P701" t="s">
        <v>44</v>
      </c>
      <c r="Q701" s="3">
        <v>32731.54</v>
      </c>
      <c r="R701" s="3">
        <v>37084.83</v>
      </c>
      <c r="S701" s="3">
        <v>21351.49</v>
      </c>
      <c r="T701" s="3">
        <v>4107.5</v>
      </c>
      <c r="U701" s="3">
        <v>2293.67</v>
      </c>
      <c r="V701" s="3">
        <v>3771.72</v>
      </c>
      <c r="W701" s="3">
        <v>962.57</v>
      </c>
      <c r="X701" s="3">
        <v>32486.959999999999</v>
      </c>
      <c r="Y701" s="3">
        <v>11380.05</v>
      </c>
      <c r="Z701" s="3">
        <f t="shared" si="45"/>
        <v>244.58000000000175</v>
      </c>
      <c r="AA701" s="37">
        <f t="shared" si="46"/>
        <v>7.4723034724306202E-3</v>
      </c>
      <c r="AB701" s="3">
        <v>-4353.29</v>
      </c>
      <c r="AC701" s="3">
        <v>1636.58</v>
      </c>
      <c r="AD701" s="3">
        <v>5597.09</v>
      </c>
      <c r="AE701" s="3">
        <v>36692.06</v>
      </c>
      <c r="AF701" t="str">
        <f>IF(tbl_FinancialData[[#This Row],[City]]="","Unknown",PROPER(TRIM(tbl_FinancialData[[#This Row],[City]])))</f>
        <v>Amritsar</v>
      </c>
      <c r="AG701" t="str">
        <f>_xlfn.LET(_xlpm.city,LOWER(TRIM(tbl_FinancialData[[#This Row],[City]])),_xlpm.st,PROPER(TRIM(tbl_FinancialData[[#This Row],[State]])),IF(_xlpm.city="pune","Maharashtra",IF(_xlpm.city="jamshedpur","Jharkhand",IF(_xlpm.city="bhilai","Chhattisgarh",IF(_xlpm.city="mumbai","Maharashtra",_xlpm.st)))))</f>
        <v>Punjab</v>
      </c>
      <c r="AH701" t="str">
        <f>_xlfn.LET(_xlpm.d,PROPER(TRIM(tbl_FinancialData[[#This Row],[Department]])),IF(_xlpm.d="It","IT",_xlpm.d))</f>
        <v>Operations</v>
      </c>
      <c r="AI701" t="str">
        <f>_xlfn.LET(_xlpm.pid,tbl_FinancialData[[#This Row],[Product ID]],_xlpm.n,PROPER(TRIM(tbl_FinancialData[[#This Row],[Product Name]])),IF(_xlpm.pid="P020","Document Scanner",IF(_xlpm.pid="P015","Network Router",SUBSTITUTE(SUBSTITUTE(_xlpm.n,"Crm","CRM"),"Ups","UPS"))))</f>
        <v>Conference Camera</v>
      </c>
      <c r="AJ701" s="3" t="str">
        <f>UPPER(TRIM(tbl_FinancialData[[#This Row],[Cost Center]]))</f>
        <v>CC-1001</v>
      </c>
    </row>
    <row r="702" spans="1:36" x14ac:dyDescent="0.25">
      <c r="A702" s="3" t="s">
        <v>904</v>
      </c>
      <c r="B702" s="2">
        <v>45948</v>
      </c>
      <c r="C702" t="s">
        <v>92</v>
      </c>
      <c r="D702" s="3" t="str">
        <f t="shared" si="43"/>
        <v>Q3</v>
      </c>
      <c r="E702" s="3" t="str">
        <f t="shared" si="44"/>
        <v>FY2026</v>
      </c>
      <c r="F702" s="8" t="s">
        <v>59</v>
      </c>
      <c r="G702" s="3" t="s">
        <v>35</v>
      </c>
      <c r="H702" t="s">
        <v>139</v>
      </c>
      <c r="I702" t="s">
        <v>152</v>
      </c>
      <c r="J702" s="3" t="s">
        <v>80</v>
      </c>
      <c r="K702" t="s">
        <v>39</v>
      </c>
      <c r="L702" s="3" t="s">
        <v>40</v>
      </c>
      <c r="M702" s="3" t="s">
        <v>141</v>
      </c>
      <c r="N702" t="s">
        <v>142</v>
      </c>
      <c r="O702" t="s">
        <v>54</v>
      </c>
      <c r="P702" t="s">
        <v>143</v>
      </c>
      <c r="Q702" s="3">
        <v>3339.52</v>
      </c>
      <c r="R702" s="3">
        <v>3475.23</v>
      </c>
      <c r="S702" s="3">
        <v>2339.46</v>
      </c>
      <c r="T702" s="3">
        <v>350.17</v>
      </c>
      <c r="U702" s="3">
        <v>245.08</v>
      </c>
      <c r="V702" s="3">
        <v>356.49</v>
      </c>
      <c r="W702" s="3">
        <v>74.5</v>
      </c>
      <c r="X702" s="3">
        <v>3365.69</v>
      </c>
      <c r="Y702" s="3">
        <v>1000.06</v>
      </c>
      <c r="Z702" s="3">
        <f t="shared" si="45"/>
        <v>-26.170000000000073</v>
      </c>
      <c r="AA702" s="37">
        <f t="shared" si="46"/>
        <v>-7.8364555385205276E-3</v>
      </c>
      <c r="AB702" s="3">
        <v>-135.71</v>
      </c>
      <c r="AC702" s="3">
        <v>0</v>
      </c>
      <c r="AD702" s="3">
        <v>601.11</v>
      </c>
      <c r="AE702" s="3">
        <v>3940.64</v>
      </c>
      <c r="AF702" t="str">
        <f>IF(tbl_FinancialData[[#This Row],[City]]="","Unknown",PROPER(TRIM(tbl_FinancialData[[#This Row],[City]])))</f>
        <v>Panipat</v>
      </c>
      <c r="AG702" t="str">
        <f>_xlfn.LET(_xlpm.city,LOWER(TRIM(tbl_FinancialData[[#This Row],[City]])),_xlpm.st,PROPER(TRIM(tbl_FinancialData[[#This Row],[State]])),IF(_xlpm.city="pune","Maharashtra",IF(_xlpm.city="jamshedpur","Jharkhand",IF(_xlpm.city="bhilai","Chhattisgarh",IF(_xlpm.city="mumbai","Maharashtra",_xlpm.st)))))</f>
        <v>Haryana</v>
      </c>
      <c r="AH702" t="str">
        <f>_xlfn.LET(_xlpm.d,PROPER(TRIM(tbl_FinancialData[[#This Row],[Department]])),IF(_xlpm.d="It","IT",_xlpm.d))</f>
        <v>Operations</v>
      </c>
      <c r="AI702" t="str">
        <f>_xlfn.LET(_xlpm.pid,tbl_FinancialData[[#This Row],[Product ID]],_xlpm.n,PROPER(TRIM(tbl_FinancialData[[#This Row],[Product Name]])),IF(_xlpm.pid="P020","Document Scanner",IF(_xlpm.pid="P015","Network Router",SUBSTITUTE(SUBSTITUTE(_xlpm.n,"Crm","CRM"),"Ups","UPS"))))</f>
        <v>Headset</v>
      </c>
      <c r="AJ702" s="3" t="str">
        <f>UPPER(TRIM(tbl_FinancialData[[#This Row],[Cost Center]]))</f>
        <v>CC-1002</v>
      </c>
    </row>
    <row r="703" spans="1:36" x14ac:dyDescent="0.25">
      <c r="A703" s="3" t="s">
        <v>905</v>
      </c>
      <c r="B703" s="2">
        <v>45945</v>
      </c>
      <c r="C703" t="s">
        <v>92</v>
      </c>
      <c r="D703" s="3" t="str">
        <f t="shared" si="43"/>
        <v>Q3</v>
      </c>
      <c r="E703" s="3" t="str">
        <f t="shared" si="44"/>
        <v>FY2026</v>
      </c>
      <c r="F703" s="8" t="s">
        <v>67</v>
      </c>
      <c r="G703" s="3" t="s">
        <v>35</v>
      </c>
      <c r="H703" t="s">
        <v>168</v>
      </c>
      <c r="I703" t="s">
        <v>278</v>
      </c>
      <c r="J703" s="3" t="s">
        <v>80</v>
      </c>
      <c r="K703" t="s">
        <v>101</v>
      </c>
      <c r="L703" s="3" t="s">
        <v>40</v>
      </c>
      <c r="M703" s="3" t="s">
        <v>95</v>
      </c>
      <c r="N703" t="s">
        <v>96</v>
      </c>
      <c r="O703" t="s">
        <v>43</v>
      </c>
      <c r="P703" t="s">
        <v>90</v>
      </c>
      <c r="Q703" s="3">
        <v>58589.52</v>
      </c>
      <c r="R703" s="3">
        <v>64941.59</v>
      </c>
      <c r="S703" s="3">
        <v>42015.37</v>
      </c>
      <c r="T703" s="3">
        <v>2967.37</v>
      </c>
      <c r="U703" s="3">
        <v>3130.84</v>
      </c>
      <c r="V703" s="3">
        <v>3543.7</v>
      </c>
      <c r="W703" s="3">
        <v>831.75</v>
      </c>
      <c r="X703" s="3">
        <v>52489.03</v>
      </c>
      <c r="Y703" s="3">
        <v>16574.150000000001</v>
      </c>
      <c r="Z703" s="3">
        <f t="shared" si="45"/>
        <v>6100.489999999998</v>
      </c>
      <c r="AA703" s="37">
        <f t="shared" si="46"/>
        <v>0.10412254614818484</v>
      </c>
      <c r="AB703" s="3">
        <v>-6352.08</v>
      </c>
      <c r="AC703" s="3">
        <v>4687.16</v>
      </c>
      <c r="AD703" s="3">
        <v>9702.42</v>
      </c>
      <c r="AE703" s="3">
        <v>63604.78</v>
      </c>
      <c r="AF703" t="str">
        <f>IF(tbl_FinancialData[[#This Row],[City]]="","Unknown",PROPER(TRIM(tbl_FinancialData[[#This Row],[City]])))</f>
        <v>Siliguri</v>
      </c>
      <c r="AG703" t="str">
        <f>_xlfn.LET(_xlpm.city,LOWER(TRIM(tbl_FinancialData[[#This Row],[City]])),_xlpm.st,PROPER(TRIM(tbl_FinancialData[[#This Row],[State]])),IF(_xlpm.city="pune","Maharashtra",IF(_xlpm.city="jamshedpur","Jharkhand",IF(_xlpm.city="bhilai","Chhattisgarh",IF(_xlpm.city="mumbai","Maharashtra",_xlpm.st)))))</f>
        <v>West Bengal</v>
      </c>
      <c r="AH703" t="str">
        <f>_xlfn.LET(_xlpm.d,PROPER(TRIM(tbl_FinancialData[[#This Row],[Department]])),IF(_xlpm.d="It","IT",_xlpm.d))</f>
        <v>Finance</v>
      </c>
      <c r="AI703" t="str">
        <f>_xlfn.LET(_xlpm.pid,tbl_FinancialData[[#This Row],[Product ID]],_xlpm.n,PROPER(TRIM(tbl_FinancialData[[#This Row],[Product Name]])),IF(_xlpm.pid="P020","Document Scanner",IF(_xlpm.pid="P015","Network Router",SUBSTITUTE(SUBSTITUTE(_xlpm.n,"Crm","CRM"),"Ups","UPS"))))</f>
        <v>Document Scanner</v>
      </c>
      <c r="AJ703" s="3" t="str">
        <f>UPPER(TRIM(tbl_FinancialData[[#This Row],[Cost Center]]))</f>
        <v>CC-1002</v>
      </c>
    </row>
    <row r="704" spans="1:36" x14ac:dyDescent="0.25">
      <c r="A704" s="3" t="s">
        <v>906</v>
      </c>
      <c r="B704" s="2">
        <v>46023</v>
      </c>
      <c r="C704" t="s">
        <v>77</v>
      </c>
      <c r="D704" s="3" t="str">
        <f t="shared" si="43"/>
        <v>Q4</v>
      </c>
      <c r="E704" s="3" t="str">
        <f t="shared" si="44"/>
        <v>FY2026</v>
      </c>
      <c r="F704" s="8" t="s">
        <v>59</v>
      </c>
      <c r="G704" s="3" t="s">
        <v>35</v>
      </c>
      <c r="H704" t="s">
        <v>139</v>
      </c>
      <c r="I704" t="s">
        <v>200</v>
      </c>
      <c r="J704" s="3" t="s">
        <v>38</v>
      </c>
      <c r="K704" t="s">
        <v>71</v>
      </c>
      <c r="L704" s="3" t="s">
        <v>51</v>
      </c>
      <c r="M704" s="3" t="s">
        <v>130</v>
      </c>
      <c r="N704" t="s">
        <v>131</v>
      </c>
      <c r="O704" t="s">
        <v>43</v>
      </c>
      <c r="P704" t="s">
        <v>132</v>
      </c>
      <c r="Q704" s="3">
        <v>44091</v>
      </c>
      <c r="R704" s="3">
        <v>44480.13</v>
      </c>
      <c r="S704" s="3">
        <v>25833.32</v>
      </c>
      <c r="T704" s="3">
        <v>2436.04</v>
      </c>
      <c r="U704" s="3">
        <v>2252.7800000000002</v>
      </c>
      <c r="V704" s="3">
        <v>4461.47</v>
      </c>
      <c r="W704" s="3">
        <v>1853.2</v>
      </c>
      <c r="X704" s="3">
        <v>36836.800000000003</v>
      </c>
      <c r="Y704" s="3">
        <v>18257.68</v>
      </c>
      <c r="Z704" s="3">
        <f t="shared" si="45"/>
        <v>7254.1999999999971</v>
      </c>
      <c r="AA704" s="37">
        <f t="shared" si="46"/>
        <v>0.16452790818987995</v>
      </c>
      <c r="AB704" s="3">
        <v>-389.13</v>
      </c>
      <c r="AC704" s="3">
        <v>1322.73</v>
      </c>
      <c r="AD704" s="3">
        <v>5132.1899999999996</v>
      </c>
      <c r="AE704" s="3">
        <v>47900.46</v>
      </c>
      <c r="AF704" t="str">
        <f>IF(tbl_FinancialData[[#This Row],[City]]="","Unknown",PROPER(TRIM(tbl_FinancialData[[#This Row],[City]])))</f>
        <v>Gurugram</v>
      </c>
      <c r="AG704" t="str">
        <f>_xlfn.LET(_xlpm.city,LOWER(TRIM(tbl_FinancialData[[#This Row],[City]])),_xlpm.st,PROPER(TRIM(tbl_FinancialData[[#This Row],[State]])),IF(_xlpm.city="pune","Maharashtra",IF(_xlpm.city="jamshedpur","Jharkhand",IF(_xlpm.city="bhilai","Chhattisgarh",IF(_xlpm.city="mumbai","Maharashtra",_xlpm.st)))))</f>
        <v>Haryana</v>
      </c>
      <c r="AH704" t="str">
        <f>_xlfn.LET(_xlpm.d,PROPER(TRIM(tbl_FinancialData[[#This Row],[Department]])),IF(_xlpm.d="It","IT",_xlpm.d))</f>
        <v>Marketing</v>
      </c>
      <c r="AI704" t="str">
        <f>_xlfn.LET(_xlpm.pid,tbl_FinancialData[[#This Row],[Product ID]],_xlpm.n,PROPER(TRIM(tbl_FinancialData[[#This Row],[Product Name]])),IF(_xlpm.pid="P020","Document Scanner",IF(_xlpm.pid="P015","Network Router",SUBSTITUTE(SUBSTITUTE(_xlpm.n,"Crm","CRM"),"Ups","UPS"))))</f>
        <v>UPS System</v>
      </c>
      <c r="AJ704" s="3" t="str">
        <f>UPPER(TRIM(tbl_FinancialData[[#This Row],[Cost Center]]))</f>
        <v>CC-1003</v>
      </c>
    </row>
    <row r="705" spans="1:36" x14ac:dyDescent="0.25">
      <c r="A705" s="3" t="s">
        <v>907</v>
      </c>
      <c r="B705" s="2">
        <v>45920</v>
      </c>
      <c r="C705" t="s">
        <v>46</v>
      </c>
      <c r="D705" s="3" t="str">
        <f t="shared" si="43"/>
        <v>Q2</v>
      </c>
      <c r="E705" s="3" t="str">
        <f t="shared" si="44"/>
        <v>FY2026</v>
      </c>
      <c r="F705" s="8" t="s">
        <v>34</v>
      </c>
      <c r="G705" s="3" t="s">
        <v>35</v>
      </c>
      <c r="H705" t="s">
        <v>157</v>
      </c>
      <c r="I705" t="s">
        <v>158</v>
      </c>
      <c r="J705" s="3" t="s">
        <v>70</v>
      </c>
      <c r="K705" t="s">
        <v>101</v>
      </c>
      <c r="L705" s="3" t="s">
        <v>40</v>
      </c>
      <c r="M705" s="3" t="s">
        <v>130</v>
      </c>
      <c r="N705" t="s">
        <v>131</v>
      </c>
      <c r="O705" t="s">
        <v>43</v>
      </c>
      <c r="P705" t="s">
        <v>132</v>
      </c>
      <c r="Q705" s="3">
        <v>61172.82</v>
      </c>
      <c r="R705" s="3">
        <v>64079.61</v>
      </c>
      <c r="S705" s="3">
        <v>29819.47</v>
      </c>
      <c r="T705" s="3">
        <v>5316.66</v>
      </c>
      <c r="U705" s="3">
        <v>3369.36</v>
      </c>
      <c r="V705" s="3">
        <v>5108.17</v>
      </c>
      <c r="W705" s="3">
        <v>2048.2800000000002</v>
      </c>
      <c r="X705" s="3">
        <v>45661.94</v>
      </c>
      <c r="Y705" s="3">
        <v>31353.35</v>
      </c>
      <c r="Z705" s="3">
        <f t="shared" si="45"/>
        <v>15510.879999999997</v>
      </c>
      <c r="AA705" s="37">
        <f t="shared" si="46"/>
        <v>0.25355836137683363</v>
      </c>
      <c r="AB705" s="3">
        <v>-2906.79</v>
      </c>
      <c r="AC705" s="3">
        <v>0</v>
      </c>
      <c r="AD705" s="3">
        <v>7340.74</v>
      </c>
      <c r="AE705" s="3">
        <v>68513.56</v>
      </c>
      <c r="AF705" t="str">
        <f>IF(tbl_FinancialData[[#This Row],[City]]="","Unknown",PROPER(TRIM(tbl_FinancialData[[#This Row],[City]])))</f>
        <v>Ahmedabad</v>
      </c>
      <c r="AG705" t="str">
        <f>_xlfn.LET(_xlpm.city,LOWER(TRIM(tbl_FinancialData[[#This Row],[City]])),_xlpm.st,PROPER(TRIM(tbl_FinancialData[[#This Row],[State]])),IF(_xlpm.city="pune","Maharashtra",IF(_xlpm.city="jamshedpur","Jharkhand",IF(_xlpm.city="bhilai","Chhattisgarh",IF(_xlpm.city="mumbai","Maharashtra",_xlpm.st)))))</f>
        <v>Gujarat</v>
      </c>
      <c r="AH705" t="str">
        <f>_xlfn.LET(_xlpm.d,PROPER(TRIM(tbl_FinancialData[[#This Row],[Department]])),IF(_xlpm.d="It","IT",_xlpm.d))</f>
        <v>Finance</v>
      </c>
      <c r="AI705" t="str">
        <f>_xlfn.LET(_xlpm.pid,tbl_FinancialData[[#This Row],[Product ID]],_xlpm.n,PROPER(TRIM(tbl_FinancialData[[#This Row],[Product Name]])),IF(_xlpm.pid="P020","Document Scanner",IF(_xlpm.pid="P015","Network Router",SUBSTITUTE(SUBSTITUTE(_xlpm.n,"Crm","CRM"),"Ups","UPS"))))</f>
        <v>UPS System</v>
      </c>
      <c r="AJ705" s="3" t="str">
        <f>UPPER(TRIM(tbl_FinancialData[[#This Row],[Cost Center]]))</f>
        <v>CC-1002</v>
      </c>
    </row>
    <row r="706" spans="1:36" x14ac:dyDescent="0.25">
      <c r="A706" s="3" t="s">
        <v>908</v>
      </c>
      <c r="B706" s="2">
        <v>45884</v>
      </c>
      <c r="C706" t="s">
        <v>117</v>
      </c>
      <c r="D706" s="3" t="str">
        <f t="shared" ref="D706:D769" si="47">"Q"&amp;INT(MOD(MONTH(B706)-4,12)/3)+1</f>
        <v>Q2</v>
      </c>
      <c r="E706" s="3" t="str">
        <f t="shared" ref="E706:E769" si="48">"FY"&amp; (YEAR(B706)+(MONTH(B706)&gt;=4))</f>
        <v>FY2026</v>
      </c>
      <c r="F706" s="8" t="s">
        <v>59</v>
      </c>
      <c r="G706" s="3" t="s">
        <v>35</v>
      </c>
      <c r="H706" t="s">
        <v>139</v>
      </c>
      <c r="I706" t="s">
        <v>152</v>
      </c>
      <c r="J706" s="3" t="s">
        <v>80</v>
      </c>
      <c r="K706" t="s">
        <v>71</v>
      </c>
      <c r="L706" s="3" t="s">
        <v>51</v>
      </c>
      <c r="M706" s="3" t="s">
        <v>235</v>
      </c>
      <c r="N706" t="s">
        <v>236</v>
      </c>
      <c r="O706" t="s">
        <v>104</v>
      </c>
      <c r="P706" t="s">
        <v>237</v>
      </c>
      <c r="Q706" s="3">
        <v>26624.71</v>
      </c>
      <c r="R706" s="3">
        <v>29163.65</v>
      </c>
      <c r="S706" s="3">
        <v>18511.87</v>
      </c>
      <c r="T706" s="3">
        <v>3251.92</v>
      </c>
      <c r="U706" s="3">
        <v>1234.1400000000001</v>
      </c>
      <c r="V706" s="3">
        <v>3093.69</v>
      </c>
      <c r="W706" s="3">
        <v>289.43</v>
      </c>
      <c r="X706" s="3">
        <v>26381.05</v>
      </c>
      <c r="Y706" s="3">
        <v>8112.83</v>
      </c>
      <c r="Z706" s="3">
        <f t="shared" si="45"/>
        <v>243.65999999999985</v>
      </c>
      <c r="AA706" s="37">
        <f t="shared" si="46"/>
        <v>9.1516489757071488E-3</v>
      </c>
      <c r="AB706" s="3">
        <v>-2538.94</v>
      </c>
      <c r="AC706" s="3">
        <v>798.74</v>
      </c>
      <c r="AD706" s="3">
        <v>4648.67</v>
      </c>
      <c r="AE706" s="3">
        <v>30474.639999999999</v>
      </c>
      <c r="AF706" t="str">
        <f>IF(tbl_FinancialData[[#This Row],[City]]="","Unknown",PROPER(TRIM(tbl_FinancialData[[#This Row],[City]])))</f>
        <v>Panipat</v>
      </c>
      <c r="AG706" t="str">
        <f>_xlfn.LET(_xlpm.city,LOWER(TRIM(tbl_FinancialData[[#This Row],[City]])),_xlpm.st,PROPER(TRIM(tbl_FinancialData[[#This Row],[State]])),IF(_xlpm.city="pune","Maharashtra",IF(_xlpm.city="jamshedpur","Jharkhand",IF(_xlpm.city="bhilai","Chhattisgarh",IF(_xlpm.city="mumbai","Maharashtra",_xlpm.st)))))</f>
        <v>Haryana</v>
      </c>
      <c r="AH706" t="str">
        <f>_xlfn.LET(_xlpm.d,PROPER(TRIM(tbl_FinancialData[[#This Row],[Department]])),IF(_xlpm.d="It","IT",_xlpm.d))</f>
        <v>Marketing</v>
      </c>
      <c r="AI706" t="str">
        <f>_xlfn.LET(_xlpm.pid,tbl_FinancialData[[#This Row],[Product ID]],_xlpm.n,PROPER(TRIM(tbl_FinancialData[[#This Row],[Product Name]])),IF(_xlpm.pid="P020","Document Scanner",IF(_xlpm.pid="P015","Network Router",SUBSTITUTE(SUBSTITUTE(_xlpm.n,"Crm","CRM"),"Ups","UPS"))))</f>
        <v>Data Storage</v>
      </c>
      <c r="AJ706" s="3" t="str">
        <f>UPPER(TRIM(tbl_FinancialData[[#This Row],[Cost Center]]))</f>
        <v>CC-1003</v>
      </c>
    </row>
    <row r="707" spans="1:36" x14ac:dyDescent="0.25">
      <c r="A707" s="3" t="s">
        <v>909</v>
      </c>
      <c r="B707" s="2">
        <v>45816</v>
      </c>
      <c r="C707" t="s">
        <v>156</v>
      </c>
      <c r="D707" s="3" t="str">
        <f t="shared" si="47"/>
        <v>Q1</v>
      </c>
      <c r="E707" s="3" t="str">
        <f t="shared" si="48"/>
        <v>FY2026</v>
      </c>
      <c r="F707" s="8" t="s">
        <v>59</v>
      </c>
      <c r="G707" s="3" t="s">
        <v>35</v>
      </c>
      <c r="H707" t="s">
        <v>60</v>
      </c>
      <c r="I707" t="s">
        <v>61</v>
      </c>
      <c r="J707" s="3" t="s">
        <v>70</v>
      </c>
      <c r="K707" t="s">
        <v>39</v>
      </c>
      <c r="L707" s="3" t="s">
        <v>72</v>
      </c>
      <c r="M707" s="3" t="s">
        <v>102</v>
      </c>
      <c r="N707" t="s">
        <v>103</v>
      </c>
      <c r="O707" t="s">
        <v>104</v>
      </c>
      <c r="P707" t="s">
        <v>105</v>
      </c>
      <c r="Q707" s="3">
        <v>17895.689999999999</v>
      </c>
      <c r="R707" s="3">
        <v>20755.5</v>
      </c>
      <c r="S707" s="3">
        <v>9725.92</v>
      </c>
      <c r="T707" s="3">
        <v>1109.3800000000001</v>
      </c>
      <c r="U707" s="3">
        <v>552.04</v>
      </c>
      <c r="V707" s="3">
        <v>1522.4</v>
      </c>
      <c r="W707" s="3">
        <v>250.21</v>
      </c>
      <c r="X707" s="3">
        <v>13159.95</v>
      </c>
      <c r="Y707" s="3">
        <v>8169.77</v>
      </c>
      <c r="Z707" s="3">
        <f t="shared" ref="Z707:Z770" si="49">Q707-X707</f>
        <v>4735.739999999998</v>
      </c>
      <c r="AA707" s="37">
        <f t="shared" ref="AA707:AA770" si="50">Z707/Q707</f>
        <v>0.26463019866794735</v>
      </c>
      <c r="AB707" s="3">
        <v>-2859.81</v>
      </c>
      <c r="AC707" s="3">
        <v>0</v>
      </c>
      <c r="AD707" s="3">
        <v>2147.48</v>
      </c>
      <c r="AE707" s="3">
        <v>20043.169999999998</v>
      </c>
      <c r="AF707" t="str">
        <f>IF(tbl_FinancialData[[#This Row],[City]]="","Unknown",PROPER(TRIM(tbl_FinancialData[[#This Row],[City]])))</f>
        <v>Lucknow</v>
      </c>
      <c r="AG707" t="str">
        <f>_xlfn.LET(_xlpm.city,LOWER(TRIM(tbl_FinancialData[[#This Row],[City]])),_xlpm.st,PROPER(TRIM(tbl_FinancialData[[#This Row],[State]])),IF(_xlpm.city="pune","Maharashtra",IF(_xlpm.city="jamshedpur","Jharkhand",IF(_xlpm.city="bhilai","Chhattisgarh",IF(_xlpm.city="mumbai","Maharashtra",_xlpm.st)))))</f>
        <v>Uttar Pradesh</v>
      </c>
      <c r="AH707" t="str">
        <f>_xlfn.LET(_xlpm.d,PROPER(TRIM(tbl_FinancialData[[#This Row],[Department]])),IF(_xlpm.d="It","IT",_xlpm.d))</f>
        <v>Operations</v>
      </c>
      <c r="AI707" t="str">
        <f>_xlfn.LET(_xlpm.pid,tbl_FinancialData[[#This Row],[Product ID]],_xlpm.n,PROPER(TRIM(tbl_FinancialData[[#This Row],[Product Name]])),IF(_xlpm.pid="P020","Document Scanner",IF(_xlpm.pid="P015","Network Router",SUBSTITUTE(SUBSTITUTE(_xlpm.n,"Crm","CRM"),"Ups","UPS"))))</f>
        <v>Accounting Software</v>
      </c>
      <c r="AJ707" s="3" t="str">
        <f>UPPER(TRIM(tbl_FinancialData[[#This Row],[Cost Center]]))</f>
        <v>CC-1004</v>
      </c>
    </row>
    <row r="708" spans="1:36" x14ac:dyDescent="0.25">
      <c r="A708" s="3" t="s">
        <v>910</v>
      </c>
      <c r="B708" s="2">
        <v>46038</v>
      </c>
      <c r="C708" t="s">
        <v>77</v>
      </c>
      <c r="D708" s="3" t="str">
        <f t="shared" si="47"/>
        <v>Q4</v>
      </c>
      <c r="E708" s="3" t="str">
        <f t="shared" si="48"/>
        <v>FY2026</v>
      </c>
      <c r="F708" s="8" t="s">
        <v>34</v>
      </c>
      <c r="G708" s="3" t="s">
        <v>35</v>
      </c>
      <c r="H708" t="s">
        <v>36</v>
      </c>
      <c r="I708" t="s">
        <v>37</v>
      </c>
      <c r="J708" s="3" t="s">
        <v>100</v>
      </c>
      <c r="K708" t="s">
        <v>50</v>
      </c>
      <c r="L708" s="3" t="s">
        <v>40</v>
      </c>
      <c r="M708" s="3" t="s">
        <v>41</v>
      </c>
      <c r="N708" t="s">
        <v>42</v>
      </c>
      <c r="O708" t="s">
        <v>43</v>
      </c>
      <c r="P708" t="s">
        <v>44</v>
      </c>
      <c r="Q708" s="3">
        <v>65086.2</v>
      </c>
      <c r="R708" s="3">
        <v>69650.02</v>
      </c>
      <c r="S708" s="3">
        <v>34713.72</v>
      </c>
      <c r="T708" s="3">
        <v>3532.43</v>
      </c>
      <c r="U708" s="3">
        <v>4229.51</v>
      </c>
      <c r="V708" s="3">
        <v>2850.25</v>
      </c>
      <c r="W708" s="3">
        <v>2046.65</v>
      </c>
      <c r="X708" s="3">
        <v>47372.56</v>
      </c>
      <c r="Y708" s="3">
        <v>30372.49</v>
      </c>
      <c r="Z708" s="3">
        <f t="shared" si="49"/>
        <v>17713.64</v>
      </c>
      <c r="AA708" s="37">
        <f t="shared" si="50"/>
        <v>0.2721566169172574</v>
      </c>
      <c r="AB708" s="3">
        <v>-4563.82</v>
      </c>
      <c r="AC708" s="3">
        <v>1301.72</v>
      </c>
      <c r="AD708" s="3">
        <v>11481.21</v>
      </c>
      <c r="AE708" s="3">
        <v>75265.69</v>
      </c>
      <c r="AF708" t="str">
        <f>IF(tbl_FinancialData[[#This Row],[City]]="","Unknown",PROPER(TRIM(tbl_FinancialData[[#This Row],[City]])))</f>
        <v>Vasco Da Gama</v>
      </c>
      <c r="AG708" t="str">
        <f>_xlfn.LET(_xlpm.city,LOWER(TRIM(tbl_FinancialData[[#This Row],[City]])),_xlpm.st,PROPER(TRIM(tbl_FinancialData[[#This Row],[State]])),IF(_xlpm.city="pune","Maharashtra",IF(_xlpm.city="jamshedpur","Jharkhand",IF(_xlpm.city="bhilai","Chhattisgarh",IF(_xlpm.city="mumbai","Maharashtra",_xlpm.st)))))</f>
        <v>Goa</v>
      </c>
      <c r="AH708" t="str">
        <f>_xlfn.LET(_xlpm.d,PROPER(TRIM(tbl_FinancialData[[#This Row],[Department]])),IF(_xlpm.d="It","IT",_xlpm.d))</f>
        <v>Sales</v>
      </c>
      <c r="AI708" t="str">
        <f>_xlfn.LET(_xlpm.pid,tbl_FinancialData[[#This Row],[Product ID]],_xlpm.n,PROPER(TRIM(tbl_FinancialData[[#This Row],[Product Name]])),IF(_xlpm.pid="P020","Document Scanner",IF(_xlpm.pid="P015","Network Router",SUBSTITUTE(SUBSTITUTE(_xlpm.n,"Crm","CRM"),"Ups","UPS"))))</f>
        <v>Conference Camera</v>
      </c>
      <c r="AJ708" s="3" t="str">
        <f>UPPER(TRIM(tbl_FinancialData[[#This Row],[Cost Center]]))</f>
        <v>CC-1002</v>
      </c>
    </row>
    <row r="709" spans="1:36" x14ac:dyDescent="0.25">
      <c r="A709" s="3" t="s">
        <v>911</v>
      </c>
      <c r="B709" s="2">
        <v>45813</v>
      </c>
      <c r="C709" t="s">
        <v>156</v>
      </c>
      <c r="D709" s="3" t="str">
        <f t="shared" si="47"/>
        <v>Q1</v>
      </c>
      <c r="E709" s="3" t="str">
        <f t="shared" si="48"/>
        <v>FY2026</v>
      </c>
      <c r="F709" s="8" t="s">
        <v>67</v>
      </c>
      <c r="G709" s="3" t="s">
        <v>35</v>
      </c>
      <c r="H709" t="s">
        <v>217</v>
      </c>
      <c r="I709" t="s">
        <v>218</v>
      </c>
      <c r="J709" s="3" t="s">
        <v>70</v>
      </c>
      <c r="K709" t="s">
        <v>50</v>
      </c>
      <c r="L709" s="3" t="s">
        <v>94</v>
      </c>
      <c r="M709" s="3" t="s">
        <v>62</v>
      </c>
      <c r="N709" t="s">
        <v>63</v>
      </c>
      <c r="O709" t="s">
        <v>54</v>
      </c>
      <c r="P709" t="s">
        <v>55</v>
      </c>
      <c r="Q709" s="3">
        <v>2559.4699999999998</v>
      </c>
      <c r="R709" s="3">
        <v>2416.69</v>
      </c>
      <c r="S709" s="3">
        <v>1494.43</v>
      </c>
      <c r="T709" s="3">
        <v>168.45</v>
      </c>
      <c r="U709" s="3">
        <v>155.24</v>
      </c>
      <c r="V709" s="3">
        <v>126.14</v>
      </c>
      <c r="W709" s="3">
        <v>27.66</v>
      </c>
      <c r="X709" s="3">
        <v>1971.92</v>
      </c>
      <c r="Y709" s="3">
        <v>1065.04</v>
      </c>
      <c r="Z709" s="3">
        <f t="shared" si="49"/>
        <v>587.54999999999973</v>
      </c>
      <c r="AA709" s="37">
        <f t="shared" si="50"/>
        <v>0.2295592446873766</v>
      </c>
      <c r="AB709" s="3">
        <v>142.78</v>
      </c>
      <c r="AC709" s="3">
        <v>0</v>
      </c>
      <c r="AD709" s="3">
        <v>460.7</v>
      </c>
      <c r="AE709" s="3">
        <v>3020.17</v>
      </c>
      <c r="AF709" t="str">
        <f>IF(tbl_FinancialData[[#This Row],[City]]="","Unknown",PROPER(TRIM(tbl_FinancialData[[#This Row],[City]])))</f>
        <v>Gaya</v>
      </c>
      <c r="AG709" t="str">
        <f>_xlfn.LET(_xlpm.city,LOWER(TRIM(tbl_FinancialData[[#This Row],[City]])),_xlpm.st,PROPER(TRIM(tbl_FinancialData[[#This Row],[State]])),IF(_xlpm.city="pune","Maharashtra",IF(_xlpm.city="jamshedpur","Jharkhand",IF(_xlpm.city="bhilai","Chhattisgarh",IF(_xlpm.city="mumbai","Maharashtra",_xlpm.st)))))</f>
        <v>Bihar</v>
      </c>
      <c r="AH709" t="str">
        <f>_xlfn.LET(_xlpm.d,PROPER(TRIM(tbl_FinancialData[[#This Row],[Department]])),IF(_xlpm.d="It","IT",_xlpm.d))</f>
        <v>Sales</v>
      </c>
      <c r="AI709" t="str">
        <f>_xlfn.LET(_xlpm.pid,tbl_FinancialData[[#This Row],[Product ID]],_xlpm.n,PROPER(TRIM(tbl_FinancialData[[#This Row],[Product Name]])),IF(_xlpm.pid="P020","Document Scanner",IF(_xlpm.pid="P015","Network Router",SUBSTITUTE(SUBSTITUTE(_xlpm.n,"Crm","CRM"),"Ups","UPS"))))</f>
        <v>Keyboard</v>
      </c>
      <c r="AJ709" s="3" t="str">
        <f>UPPER(TRIM(tbl_FinancialData[[#This Row],[Cost Center]]))</f>
        <v>CC-1001</v>
      </c>
    </row>
    <row r="710" spans="1:36" x14ac:dyDescent="0.25">
      <c r="A710" s="3" t="s">
        <v>912</v>
      </c>
      <c r="B710" s="2">
        <v>45883</v>
      </c>
      <c r="C710" t="s">
        <v>117</v>
      </c>
      <c r="D710" s="3" t="str">
        <f t="shared" si="47"/>
        <v>Q2</v>
      </c>
      <c r="E710" s="3" t="str">
        <f t="shared" si="48"/>
        <v>FY2026</v>
      </c>
      <c r="F710" s="8" t="s">
        <v>85</v>
      </c>
      <c r="G710" s="3" t="s">
        <v>35</v>
      </c>
      <c r="H710" t="s">
        <v>178</v>
      </c>
      <c r="I710" t="s">
        <v>329</v>
      </c>
      <c r="J710" s="3" t="s">
        <v>70</v>
      </c>
      <c r="K710" t="s">
        <v>50</v>
      </c>
      <c r="L710" s="3" t="s">
        <v>81</v>
      </c>
      <c r="M710" s="3" t="s">
        <v>171</v>
      </c>
      <c r="N710" t="s">
        <v>172</v>
      </c>
      <c r="O710" t="s">
        <v>173</v>
      </c>
      <c r="P710" t="s">
        <v>174</v>
      </c>
      <c r="Q710" s="3">
        <v>7218.81</v>
      </c>
      <c r="R710" s="3">
        <v>8168</v>
      </c>
      <c r="S710" s="3">
        <v>4731.87</v>
      </c>
      <c r="T710" s="3">
        <v>744.6</v>
      </c>
      <c r="U710" s="3">
        <v>241.77</v>
      </c>
      <c r="V710" s="3">
        <v>658.32</v>
      </c>
      <c r="W710" s="3">
        <v>267.27999999999997</v>
      </c>
      <c r="X710" s="3">
        <v>6643.83</v>
      </c>
      <c r="Y710" s="3">
        <v>2486.94</v>
      </c>
      <c r="Z710" s="3">
        <f t="shared" si="49"/>
        <v>574.98000000000047</v>
      </c>
      <c r="AA710" s="37">
        <f t="shared" si="50"/>
        <v>7.965024706288161E-2</v>
      </c>
      <c r="AB710" s="3">
        <v>-949.19</v>
      </c>
      <c r="AC710" s="3">
        <v>577.5</v>
      </c>
      <c r="AD710" s="3">
        <v>332.07</v>
      </c>
      <c r="AE710" s="3">
        <v>6973.37</v>
      </c>
      <c r="AF710" t="str">
        <f>IF(tbl_FinancialData[[#This Row],[City]]="","Unknown",PROPER(TRIM(tbl_FinancialData[[#This Row],[City]])))</f>
        <v>Raipur</v>
      </c>
      <c r="AG710" t="str">
        <f>_xlfn.LET(_xlpm.city,LOWER(TRIM(tbl_FinancialData[[#This Row],[City]])),_xlpm.st,PROPER(TRIM(tbl_FinancialData[[#This Row],[State]])),IF(_xlpm.city="pune","Maharashtra",IF(_xlpm.city="jamshedpur","Jharkhand",IF(_xlpm.city="bhilai","Chhattisgarh",IF(_xlpm.city="mumbai","Maharashtra",_xlpm.st)))))</f>
        <v>Chhattisgarh</v>
      </c>
      <c r="AH710" t="str">
        <f>_xlfn.LET(_xlpm.d,PROPER(TRIM(tbl_FinancialData[[#This Row],[Department]])),IF(_xlpm.d="It","IT",_xlpm.d))</f>
        <v>Sales</v>
      </c>
      <c r="AI710" t="str">
        <f>_xlfn.LET(_xlpm.pid,tbl_FinancialData[[#This Row],[Product ID]],_xlpm.n,PROPER(TRIM(tbl_FinancialData[[#This Row],[Product Name]])),IF(_xlpm.pid="P020","Document Scanner",IF(_xlpm.pid="P015","Network Router",SUBSTITUTE(SUBSTITUTE(_xlpm.n,"Crm","CRM"),"Ups","UPS"))))</f>
        <v>Network Switch</v>
      </c>
      <c r="AJ710" s="3" t="str">
        <f>UPPER(TRIM(tbl_FinancialData[[#This Row],[Cost Center]]))</f>
        <v>CC-1005</v>
      </c>
    </row>
    <row r="711" spans="1:36" x14ac:dyDescent="0.25">
      <c r="A711" s="3" t="s">
        <v>913</v>
      </c>
      <c r="B711" s="2">
        <v>45939</v>
      </c>
      <c r="C711" t="s">
        <v>92</v>
      </c>
      <c r="D711" s="3" t="str">
        <f t="shared" si="47"/>
        <v>Q3</v>
      </c>
      <c r="E711" s="3" t="str">
        <f t="shared" si="48"/>
        <v>FY2026</v>
      </c>
      <c r="F711" s="8" t="s">
        <v>59</v>
      </c>
      <c r="G711" s="3" t="s">
        <v>35</v>
      </c>
      <c r="H711" t="s">
        <v>254</v>
      </c>
      <c r="I711" t="s">
        <v>200</v>
      </c>
      <c r="J711" s="3" t="s">
        <v>100</v>
      </c>
      <c r="K711" t="s">
        <v>39</v>
      </c>
      <c r="L711" s="3" t="s">
        <v>51</v>
      </c>
      <c r="M711" s="3" t="s">
        <v>88</v>
      </c>
      <c r="N711" t="s">
        <v>89</v>
      </c>
      <c r="O711" t="s">
        <v>43</v>
      </c>
      <c r="P711" t="s">
        <v>90</v>
      </c>
      <c r="Q711" s="3">
        <v>42720.57</v>
      </c>
      <c r="R711" s="3">
        <v>48185.37</v>
      </c>
      <c r="S711" s="3">
        <v>23191.42</v>
      </c>
      <c r="T711" s="3">
        <v>4490.28</v>
      </c>
      <c r="U711" s="3">
        <v>3632.95</v>
      </c>
      <c r="V711" s="3">
        <v>2870.23</v>
      </c>
      <c r="W711" s="3">
        <v>1179.1400000000001</v>
      </c>
      <c r="X711" s="3">
        <v>35364.019999999997</v>
      </c>
      <c r="Y711" s="3">
        <v>19529.150000000001</v>
      </c>
      <c r="Z711" s="3">
        <f t="shared" si="49"/>
        <v>7356.5500000000029</v>
      </c>
      <c r="AA711" s="37">
        <f t="shared" si="50"/>
        <v>0.17220158813424077</v>
      </c>
      <c r="AB711" s="3">
        <v>-5464.8</v>
      </c>
      <c r="AC711" s="3">
        <v>1281.6199999999999</v>
      </c>
      <c r="AD711" s="3">
        <v>2071.9499999999998</v>
      </c>
      <c r="AE711" s="3">
        <v>43510.9</v>
      </c>
      <c r="AF711" t="str">
        <f>IF(tbl_FinancialData[[#This Row],[City]]="","Unknown",PROPER(TRIM(tbl_FinancialData[[#This Row],[City]])))</f>
        <v>Gurugram</v>
      </c>
      <c r="AG711" t="str">
        <f>_xlfn.LET(_xlpm.city,LOWER(TRIM(tbl_FinancialData[[#This Row],[City]])),_xlpm.st,PROPER(TRIM(tbl_FinancialData[[#This Row],[State]])),IF(_xlpm.city="pune","Maharashtra",IF(_xlpm.city="jamshedpur","Jharkhand",IF(_xlpm.city="bhilai","Chhattisgarh",IF(_xlpm.city="mumbai","Maharashtra",_xlpm.st)))))</f>
        <v>Delhi</v>
      </c>
      <c r="AH711" t="str">
        <f>_xlfn.LET(_xlpm.d,PROPER(TRIM(tbl_FinancialData[[#This Row],[Department]])),IF(_xlpm.d="It","IT",_xlpm.d))</f>
        <v>Operations</v>
      </c>
      <c r="AI711" t="str">
        <f>_xlfn.LET(_xlpm.pid,tbl_FinancialData[[#This Row],[Product ID]],_xlpm.n,PROPER(TRIM(tbl_FinancialData[[#This Row],[Product Name]])),IF(_xlpm.pid="P020","Document Scanner",IF(_xlpm.pid="P015","Network Router",SUBSTITUTE(SUBSTITUTE(_xlpm.n,"Crm","CRM"),"Ups","UPS"))))</f>
        <v>Printer</v>
      </c>
      <c r="AJ711" s="3" t="str">
        <f>UPPER(TRIM(tbl_FinancialData[[#This Row],[Cost Center]]))</f>
        <v>CC-1003</v>
      </c>
    </row>
    <row r="712" spans="1:36" x14ac:dyDescent="0.25">
      <c r="A712" s="3" t="s">
        <v>914</v>
      </c>
      <c r="B712" s="2">
        <v>45765</v>
      </c>
      <c r="C712" t="s">
        <v>128</v>
      </c>
      <c r="D712" s="3" t="str">
        <f t="shared" si="47"/>
        <v>Q1</v>
      </c>
      <c r="E712" s="3" t="str">
        <f t="shared" si="48"/>
        <v>FY2026</v>
      </c>
      <c r="F712" s="8" t="s">
        <v>85</v>
      </c>
      <c r="G712" s="3" t="s">
        <v>35</v>
      </c>
      <c r="H712" t="s">
        <v>60</v>
      </c>
      <c r="I712" t="s">
        <v>185</v>
      </c>
      <c r="J712" s="3" t="s">
        <v>100</v>
      </c>
      <c r="K712" t="s">
        <v>50</v>
      </c>
      <c r="L712" s="3" t="s">
        <v>72</v>
      </c>
      <c r="M712" s="3" t="s">
        <v>221</v>
      </c>
      <c r="N712" t="s">
        <v>222</v>
      </c>
      <c r="O712" t="s">
        <v>104</v>
      </c>
      <c r="P712" t="s">
        <v>223</v>
      </c>
      <c r="Q712" s="3">
        <v>17637.43</v>
      </c>
      <c r="R712" s="3">
        <v>20528.080000000002</v>
      </c>
      <c r="S712" s="3">
        <v>9079.32</v>
      </c>
      <c r="T712" s="3">
        <v>1132.06</v>
      </c>
      <c r="U712" s="3">
        <v>1429.93</v>
      </c>
      <c r="V712" s="3">
        <v>1259.68</v>
      </c>
      <c r="W712" s="3">
        <v>179.07</v>
      </c>
      <c r="X712" s="3">
        <v>13080.07</v>
      </c>
      <c r="Y712" s="3">
        <v>8558.11</v>
      </c>
      <c r="Z712" s="3">
        <f t="shared" si="49"/>
        <v>4557.3600000000006</v>
      </c>
      <c r="AA712" s="37">
        <f t="shared" si="50"/>
        <v>0.25839138695376823</v>
      </c>
      <c r="AB712" s="3">
        <v>-2890.65</v>
      </c>
      <c r="AC712" s="3">
        <v>352.75</v>
      </c>
      <c r="AD712" s="3">
        <v>2074.16</v>
      </c>
      <c r="AE712" s="3">
        <v>19358.849999999999</v>
      </c>
      <c r="AF712" t="str">
        <f>IF(tbl_FinancialData[[#This Row],[City]]="","Unknown",PROPER(TRIM(tbl_FinancialData[[#This Row],[City]])))</f>
        <v>Kanpur</v>
      </c>
      <c r="AG712" t="str">
        <f>_xlfn.LET(_xlpm.city,LOWER(TRIM(tbl_FinancialData[[#This Row],[City]])),_xlpm.st,PROPER(TRIM(tbl_FinancialData[[#This Row],[State]])),IF(_xlpm.city="pune","Maharashtra",IF(_xlpm.city="jamshedpur","Jharkhand",IF(_xlpm.city="bhilai","Chhattisgarh",IF(_xlpm.city="mumbai","Maharashtra",_xlpm.st)))))</f>
        <v>Uttar Pradesh</v>
      </c>
      <c r="AH712" t="str">
        <f>_xlfn.LET(_xlpm.d,PROPER(TRIM(tbl_FinancialData[[#This Row],[Department]])),IF(_xlpm.d="It","IT",_xlpm.d))</f>
        <v>Sales</v>
      </c>
      <c r="AI712" t="str">
        <f>_xlfn.LET(_xlpm.pid,tbl_FinancialData[[#This Row],[Product ID]],_xlpm.n,PROPER(TRIM(tbl_FinancialData[[#This Row],[Product Name]])),IF(_xlpm.pid="P020","Document Scanner",IF(_xlpm.pid="P015","Network Router",SUBSTITUTE(SUBSTITUTE(_xlpm.n,"Crm","CRM"),"Ups","UPS"))))</f>
        <v>Cloud Software</v>
      </c>
      <c r="AJ712" s="3" t="str">
        <f>UPPER(TRIM(tbl_FinancialData[[#This Row],[Cost Center]]))</f>
        <v>CC-1004</v>
      </c>
    </row>
    <row r="713" spans="1:36" x14ac:dyDescent="0.25">
      <c r="A713" s="3" t="s">
        <v>915</v>
      </c>
      <c r="B713" s="2">
        <v>45962</v>
      </c>
      <c r="C713" t="s">
        <v>147</v>
      </c>
      <c r="D713" s="3" t="str">
        <f t="shared" si="47"/>
        <v>Q3</v>
      </c>
      <c r="E713" s="3" t="str">
        <f t="shared" si="48"/>
        <v>FY2026</v>
      </c>
      <c r="F713" s="8" t="s">
        <v>59</v>
      </c>
      <c r="G713" s="3" t="s">
        <v>35</v>
      </c>
      <c r="H713" t="s">
        <v>139</v>
      </c>
      <c r="I713" t="s">
        <v>152</v>
      </c>
      <c r="J713" s="3" t="s">
        <v>70</v>
      </c>
      <c r="K713" t="s">
        <v>50</v>
      </c>
      <c r="L713" s="3" t="s">
        <v>40</v>
      </c>
      <c r="M713" s="3" t="s">
        <v>52</v>
      </c>
      <c r="N713" t="s">
        <v>53</v>
      </c>
      <c r="O713" t="s">
        <v>54</v>
      </c>
      <c r="P713" t="s">
        <v>55</v>
      </c>
      <c r="Q713" s="3">
        <v>5477.14</v>
      </c>
      <c r="R713" s="3">
        <v>5430.8</v>
      </c>
      <c r="S713" s="3">
        <v>2949.89</v>
      </c>
      <c r="T713" s="3">
        <v>593.29</v>
      </c>
      <c r="U713" s="3">
        <v>286.33999999999997</v>
      </c>
      <c r="V713" s="3">
        <v>649.1</v>
      </c>
      <c r="W713" s="3">
        <v>121.77</v>
      </c>
      <c r="X713" s="3">
        <v>4600.38</v>
      </c>
      <c r="Y713" s="3">
        <v>2527.25</v>
      </c>
      <c r="Z713" s="3">
        <f t="shared" si="49"/>
        <v>876.76000000000022</v>
      </c>
      <c r="AA713" s="37">
        <f t="shared" si="50"/>
        <v>0.16007624417122809</v>
      </c>
      <c r="AB713" s="3">
        <v>46.33</v>
      </c>
      <c r="AC713" s="3">
        <v>438.17</v>
      </c>
      <c r="AD713" s="3">
        <v>907.01</v>
      </c>
      <c r="AE713" s="3">
        <v>5945.98</v>
      </c>
      <c r="AF713" t="str">
        <f>IF(tbl_FinancialData[[#This Row],[City]]="","Unknown",PROPER(TRIM(tbl_FinancialData[[#This Row],[City]])))</f>
        <v>Panipat</v>
      </c>
      <c r="AG713" t="str">
        <f>_xlfn.LET(_xlpm.city,LOWER(TRIM(tbl_FinancialData[[#This Row],[City]])),_xlpm.st,PROPER(TRIM(tbl_FinancialData[[#This Row],[State]])),IF(_xlpm.city="pune","Maharashtra",IF(_xlpm.city="jamshedpur","Jharkhand",IF(_xlpm.city="bhilai","Chhattisgarh",IF(_xlpm.city="mumbai","Maharashtra",_xlpm.st)))))</f>
        <v>Haryana</v>
      </c>
      <c r="AH713" t="str">
        <f>_xlfn.LET(_xlpm.d,PROPER(TRIM(tbl_FinancialData[[#This Row],[Department]])),IF(_xlpm.d="It","IT",_xlpm.d))</f>
        <v>Sales</v>
      </c>
      <c r="AI713" t="str">
        <f>_xlfn.LET(_xlpm.pid,tbl_FinancialData[[#This Row],[Product ID]],_xlpm.n,PROPER(TRIM(tbl_FinancialData[[#This Row],[Product Name]])),IF(_xlpm.pid="P020","Document Scanner",IF(_xlpm.pid="P015","Network Router",SUBSTITUTE(SUBSTITUTE(_xlpm.n,"Crm","CRM"),"Ups","UPS"))))</f>
        <v>Mouse</v>
      </c>
      <c r="AJ713" s="3" t="str">
        <f>UPPER(TRIM(tbl_FinancialData[[#This Row],[Cost Center]]))</f>
        <v>CC-1002</v>
      </c>
    </row>
    <row r="714" spans="1:36" x14ac:dyDescent="0.25">
      <c r="A714" s="3" t="s">
        <v>916</v>
      </c>
      <c r="B714" s="2">
        <v>46041</v>
      </c>
      <c r="C714" t="s">
        <v>77</v>
      </c>
      <c r="D714" s="3" t="str">
        <f t="shared" si="47"/>
        <v>Q4</v>
      </c>
      <c r="E714" s="3" t="str">
        <f t="shared" si="48"/>
        <v>FY2026</v>
      </c>
      <c r="F714" s="8" t="s">
        <v>59</v>
      </c>
      <c r="G714" s="3" t="s">
        <v>35</v>
      </c>
      <c r="H714" t="s">
        <v>254</v>
      </c>
      <c r="I714" t="s">
        <v>200</v>
      </c>
      <c r="J714" s="3" t="s">
        <v>38</v>
      </c>
      <c r="K714" t="s">
        <v>160</v>
      </c>
      <c r="L714" s="3" t="s">
        <v>94</v>
      </c>
      <c r="M714" s="3" t="s">
        <v>235</v>
      </c>
      <c r="N714" t="s">
        <v>236</v>
      </c>
      <c r="O714" t="s">
        <v>104</v>
      </c>
      <c r="P714" t="s">
        <v>237</v>
      </c>
      <c r="Q714" s="3">
        <v>22786.55</v>
      </c>
      <c r="R714" s="3">
        <v>21609.4</v>
      </c>
      <c r="S714" s="3">
        <v>12027.74</v>
      </c>
      <c r="T714" s="3">
        <v>1914.86</v>
      </c>
      <c r="U714" s="3">
        <v>1688.65</v>
      </c>
      <c r="V714" s="3">
        <v>2014.46</v>
      </c>
      <c r="W714" s="3">
        <v>777.07</v>
      </c>
      <c r="X714" s="3">
        <v>18422.77</v>
      </c>
      <c r="Y714" s="3">
        <v>10758.8</v>
      </c>
      <c r="Z714" s="3">
        <f t="shared" si="49"/>
        <v>4363.7799999999988</v>
      </c>
      <c r="AA714" s="37">
        <f t="shared" si="50"/>
        <v>0.19150683188108769</v>
      </c>
      <c r="AB714" s="3">
        <v>1177.1500000000001</v>
      </c>
      <c r="AC714" s="3">
        <v>455.73</v>
      </c>
      <c r="AD714" s="3">
        <v>2679.7</v>
      </c>
      <c r="AE714" s="3">
        <v>25010.51</v>
      </c>
      <c r="AF714" t="str">
        <f>IF(tbl_FinancialData[[#This Row],[City]]="","Unknown",PROPER(TRIM(tbl_FinancialData[[#This Row],[City]])))</f>
        <v>Gurugram</v>
      </c>
      <c r="AG714" t="str">
        <f>_xlfn.LET(_xlpm.city,LOWER(TRIM(tbl_FinancialData[[#This Row],[City]])),_xlpm.st,PROPER(TRIM(tbl_FinancialData[[#This Row],[State]])),IF(_xlpm.city="pune","Maharashtra",IF(_xlpm.city="jamshedpur","Jharkhand",IF(_xlpm.city="bhilai","Chhattisgarh",IF(_xlpm.city="mumbai","Maharashtra",_xlpm.st)))))</f>
        <v>Delhi</v>
      </c>
      <c r="AH714" t="str">
        <f>_xlfn.LET(_xlpm.d,PROPER(TRIM(tbl_FinancialData[[#This Row],[Department]])),IF(_xlpm.d="It","IT",_xlpm.d))</f>
        <v>IT</v>
      </c>
      <c r="AI714" t="str">
        <f>_xlfn.LET(_xlpm.pid,tbl_FinancialData[[#This Row],[Product ID]],_xlpm.n,PROPER(TRIM(tbl_FinancialData[[#This Row],[Product Name]])),IF(_xlpm.pid="P020","Document Scanner",IF(_xlpm.pid="P015","Network Router",SUBSTITUTE(SUBSTITUTE(_xlpm.n,"Crm","CRM"),"Ups","UPS"))))</f>
        <v>Data Storage</v>
      </c>
      <c r="AJ714" s="3" t="str">
        <f>UPPER(TRIM(tbl_FinancialData[[#This Row],[Cost Center]]))</f>
        <v>CC-1001</v>
      </c>
    </row>
    <row r="715" spans="1:36" x14ac:dyDescent="0.25">
      <c r="A715" s="3" t="s">
        <v>917</v>
      </c>
      <c r="B715" s="2">
        <v>45975</v>
      </c>
      <c r="C715" t="s">
        <v>147</v>
      </c>
      <c r="D715" s="3" t="str">
        <f t="shared" si="47"/>
        <v>Q3</v>
      </c>
      <c r="E715" s="3" t="str">
        <f t="shared" si="48"/>
        <v>FY2026</v>
      </c>
      <c r="F715" s="8" t="s">
        <v>34</v>
      </c>
      <c r="G715" s="3" t="s">
        <v>35</v>
      </c>
      <c r="H715" t="s">
        <v>157</v>
      </c>
      <c r="I715" t="s">
        <v>166</v>
      </c>
      <c r="J715" s="3" t="s">
        <v>70</v>
      </c>
      <c r="K715" t="s">
        <v>101</v>
      </c>
      <c r="L715" s="3" t="s">
        <v>51</v>
      </c>
      <c r="M715" s="3" t="s">
        <v>102</v>
      </c>
      <c r="N715" t="s">
        <v>103</v>
      </c>
      <c r="O715" t="s">
        <v>104</v>
      </c>
      <c r="P715" t="s">
        <v>105</v>
      </c>
      <c r="Q715" s="3">
        <v>16358.1</v>
      </c>
      <c r="R715" s="3">
        <v>16579.48</v>
      </c>
      <c r="S715" s="3">
        <v>10341.44</v>
      </c>
      <c r="T715" s="3">
        <v>983.74</v>
      </c>
      <c r="U715" s="3">
        <v>1188.3599999999999</v>
      </c>
      <c r="V715" s="3">
        <v>1006.63</v>
      </c>
      <c r="W715" s="3">
        <v>420.43</v>
      </c>
      <c r="X715" s="3">
        <v>13940.6</v>
      </c>
      <c r="Y715" s="3">
        <v>6016.66</v>
      </c>
      <c r="Z715" s="3">
        <f t="shared" si="49"/>
        <v>2417.5</v>
      </c>
      <c r="AA715" s="37">
        <f t="shared" si="50"/>
        <v>0.14778611207903117</v>
      </c>
      <c r="AB715" s="3">
        <v>-221.38</v>
      </c>
      <c r="AC715" s="3">
        <v>1308.6500000000001</v>
      </c>
      <c r="AD715" s="3">
        <v>2708.9</v>
      </c>
      <c r="AE715" s="3">
        <v>17758.36</v>
      </c>
      <c r="AF715" t="str">
        <f>IF(tbl_FinancialData[[#This Row],[City]]="","Unknown",PROPER(TRIM(tbl_FinancialData[[#This Row],[City]])))</f>
        <v>Vadodara</v>
      </c>
      <c r="AG715" t="str">
        <f>_xlfn.LET(_xlpm.city,LOWER(TRIM(tbl_FinancialData[[#This Row],[City]])),_xlpm.st,PROPER(TRIM(tbl_FinancialData[[#This Row],[State]])),IF(_xlpm.city="pune","Maharashtra",IF(_xlpm.city="jamshedpur","Jharkhand",IF(_xlpm.city="bhilai","Chhattisgarh",IF(_xlpm.city="mumbai","Maharashtra",_xlpm.st)))))</f>
        <v>Gujarat</v>
      </c>
      <c r="AH715" t="str">
        <f>_xlfn.LET(_xlpm.d,PROPER(TRIM(tbl_FinancialData[[#This Row],[Department]])),IF(_xlpm.d="It","IT",_xlpm.d))</f>
        <v>Finance</v>
      </c>
      <c r="AI715" t="str">
        <f>_xlfn.LET(_xlpm.pid,tbl_FinancialData[[#This Row],[Product ID]],_xlpm.n,PROPER(TRIM(tbl_FinancialData[[#This Row],[Product Name]])),IF(_xlpm.pid="P020","Document Scanner",IF(_xlpm.pid="P015","Network Router",SUBSTITUTE(SUBSTITUTE(_xlpm.n,"Crm","CRM"),"Ups","UPS"))))</f>
        <v>Accounting Software</v>
      </c>
      <c r="AJ715" s="3" t="str">
        <f>UPPER(TRIM(tbl_FinancialData[[#This Row],[Cost Center]]))</f>
        <v>CC-1003</v>
      </c>
    </row>
    <row r="716" spans="1:36" x14ac:dyDescent="0.25">
      <c r="A716" s="3" t="s">
        <v>918</v>
      </c>
      <c r="B716" s="2">
        <v>45765</v>
      </c>
      <c r="C716" t="s">
        <v>128</v>
      </c>
      <c r="D716" s="3" t="str">
        <f t="shared" si="47"/>
        <v>Q1</v>
      </c>
      <c r="E716" s="3" t="str">
        <f t="shared" si="48"/>
        <v>FY2026</v>
      </c>
      <c r="F716" s="8" t="s">
        <v>34</v>
      </c>
      <c r="G716" s="3" t="s">
        <v>35</v>
      </c>
      <c r="H716" t="s">
        <v>36</v>
      </c>
      <c r="I716" t="s">
        <v>37</v>
      </c>
      <c r="J716" s="3" t="s">
        <v>80</v>
      </c>
      <c r="K716" t="s">
        <v>39</v>
      </c>
      <c r="L716" s="3" t="s">
        <v>94</v>
      </c>
      <c r="M716" s="3" t="s">
        <v>161</v>
      </c>
      <c r="N716" t="s">
        <v>162</v>
      </c>
      <c r="O716" t="s">
        <v>43</v>
      </c>
      <c r="P716" t="s">
        <v>163</v>
      </c>
      <c r="Q716" s="3">
        <v>53583.87</v>
      </c>
      <c r="R716" s="3">
        <v>59877.11</v>
      </c>
      <c r="S716" s="3">
        <v>26999.73</v>
      </c>
      <c r="T716" s="3">
        <v>6206.14</v>
      </c>
      <c r="U716" s="3">
        <v>3692.18</v>
      </c>
      <c r="V716" s="3">
        <v>2520.0100000000002</v>
      </c>
      <c r="W716" s="3">
        <v>1816.91</v>
      </c>
      <c r="X716" s="3">
        <v>41234.97</v>
      </c>
      <c r="Y716" s="3">
        <v>26584.15</v>
      </c>
      <c r="Z716" s="3">
        <f t="shared" si="49"/>
        <v>12348.900000000001</v>
      </c>
      <c r="AA716" s="37">
        <f t="shared" si="50"/>
        <v>0.23045927813724543</v>
      </c>
      <c r="AB716" s="3">
        <v>-6293.24</v>
      </c>
      <c r="AC716" s="3">
        <v>2679.19</v>
      </c>
      <c r="AD716" s="3">
        <v>6108.56</v>
      </c>
      <c r="AE716" s="3">
        <v>57013.24</v>
      </c>
      <c r="AF716" t="str">
        <f>IF(tbl_FinancialData[[#This Row],[City]]="","Unknown",PROPER(TRIM(tbl_FinancialData[[#This Row],[City]])))</f>
        <v>Vasco Da Gama</v>
      </c>
      <c r="AG716" t="str">
        <f>_xlfn.LET(_xlpm.city,LOWER(TRIM(tbl_FinancialData[[#This Row],[City]])),_xlpm.st,PROPER(TRIM(tbl_FinancialData[[#This Row],[State]])),IF(_xlpm.city="pune","Maharashtra",IF(_xlpm.city="jamshedpur","Jharkhand",IF(_xlpm.city="bhilai","Chhattisgarh",IF(_xlpm.city="mumbai","Maharashtra",_xlpm.st)))))</f>
        <v>Goa</v>
      </c>
      <c r="AH716" t="str">
        <f>_xlfn.LET(_xlpm.d,PROPER(TRIM(tbl_FinancialData[[#This Row],[Department]])),IF(_xlpm.d="It","IT",_xlpm.d))</f>
        <v>Operations</v>
      </c>
      <c r="AI716" t="str">
        <f>_xlfn.LET(_xlpm.pid,tbl_FinancialData[[#This Row],[Product ID]],_xlpm.n,PROPER(TRIM(tbl_FinancialData[[#This Row],[Product Name]])),IF(_xlpm.pid="P020","Document Scanner",IF(_xlpm.pid="P015","Network Router",SUBSTITUTE(SUBSTITUTE(_xlpm.n,"Crm","CRM"),"Ups","UPS"))))</f>
        <v>Tablet</v>
      </c>
      <c r="AJ716" s="3" t="str">
        <f>UPPER(TRIM(tbl_FinancialData[[#This Row],[Cost Center]]))</f>
        <v>CC-1001</v>
      </c>
    </row>
    <row r="717" spans="1:36" x14ac:dyDescent="0.25">
      <c r="A717" s="3" t="s">
        <v>919</v>
      </c>
      <c r="B717" s="2">
        <v>46015</v>
      </c>
      <c r="C717" t="s">
        <v>107</v>
      </c>
      <c r="D717" s="3" t="str">
        <f t="shared" si="47"/>
        <v>Q3</v>
      </c>
      <c r="E717" s="3" t="str">
        <f t="shared" si="48"/>
        <v>FY2026</v>
      </c>
      <c r="F717" s="8" t="s">
        <v>67</v>
      </c>
      <c r="G717" s="3" t="s">
        <v>35</v>
      </c>
      <c r="H717" t="s">
        <v>217</v>
      </c>
      <c r="I717" t="s">
        <v>284</v>
      </c>
      <c r="J717" s="3" t="s">
        <v>100</v>
      </c>
      <c r="K717" t="s">
        <v>50</v>
      </c>
      <c r="L717" s="3" t="s">
        <v>51</v>
      </c>
      <c r="M717" s="3" t="s">
        <v>95</v>
      </c>
      <c r="N717" t="s">
        <v>96</v>
      </c>
      <c r="O717" t="s">
        <v>43</v>
      </c>
      <c r="P717" t="s">
        <v>90</v>
      </c>
      <c r="Q717" s="3">
        <v>40411.089999999997</v>
      </c>
      <c r="R717" s="3">
        <v>42769.67</v>
      </c>
      <c r="S717" s="3">
        <v>25113.49</v>
      </c>
      <c r="T717" s="3">
        <v>4232.59</v>
      </c>
      <c r="U717" s="3">
        <v>1981.98</v>
      </c>
      <c r="V717" s="3">
        <v>3067.94</v>
      </c>
      <c r="W717" s="3">
        <v>870.82</v>
      </c>
      <c r="X717" s="3">
        <v>35266.81</v>
      </c>
      <c r="Y717" s="3">
        <v>15297.61</v>
      </c>
      <c r="Z717" s="3">
        <f t="shared" si="49"/>
        <v>5144.2799999999988</v>
      </c>
      <c r="AA717" s="37">
        <f t="shared" si="50"/>
        <v>0.12729871923771419</v>
      </c>
      <c r="AB717" s="3">
        <v>-2358.5700000000002</v>
      </c>
      <c r="AC717" s="3">
        <v>3232.89</v>
      </c>
      <c r="AD717" s="3">
        <v>1858.91</v>
      </c>
      <c r="AE717" s="3">
        <v>39037.120000000003</v>
      </c>
      <c r="AF717" t="str">
        <f>IF(tbl_FinancialData[[#This Row],[City]]="","Unknown",PROPER(TRIM(tbl_FinancialData[[#This Row],[City]])))</f>
        <v>Patna</v>
      </c>
      <c r="AG717" t="str">
        <f>_xlfn.LET(_xlpm.city,LOWER(TRIM(tbl_FinancialData[[#This Row],[City]])),_xlpm.st,PROPER(TRIM(tbl_FinancialData[[#This Row],[State]])),IF(_xlpm.city="pune","Maharashtra",IF(_xlpm.city="jamshedpur","Jharkhand",IF(_xlpm.city="bhilai","Chhattisgarh",IF(_xlpm.city="mumbai","Maharashtra",_xlpm.st)))))</f>
        <v>Bihar</v>
      </c>
      <c r="AH717" t="str">
        <f>_xlfn.LET(_xlpm.d,PROPER(TRIM(tbl_FinancialData[[#This Row],[Department]])),IF(_xlpm.d="It","IT",_xlpm.d))</f>
        <v>Sales</v>
      </c>
      <c r="AI717" t="str">
        <f>_xlfn.LET(_xlpm.pid,tbl_FinancialData[[#This Row],[Product ID]],_xlpm.n,PROPER(TRIM(tbl_FinancialData[[#This Row],[Product Name]])),IF(_xlpm.pid="P020","Document Scanner",IF(_xlpm.pid="P015","Network Router",SUBSTITUTE(SUBSTITUTE(_xlpm.n,"Crm","CRM"),"Ups","UPS"))))</f>
        <v>Document Scanner</v>
      </c>
      <c r="AJ717" s="3" t="str">
        <f>UPPER(TRIM(tbl_FinancialData[[#This Row],[Cost Center]]))</f>
        <v>CC-1003</v>
      </c>
    </row>
    <row r="718" spans="1:36" x14ac:dyDescent="0.25">
      <c r="A718" s="3" t="s">
        <v>920</v>
      </c>
      <c r="B718" s="2">
        <v>45860</v>
      </c>
      <c r="C718" t="s">
        <v>32</v>
      </c>
      <c r="D718" s="3" t="str">
        <f t="shared" si="47"/>
        <v>Q2</v>
      </c>
      <c r="E718" s="3" t="str">
        <f t="shared" si="48"/>
        <v>FY2026</v>
      </c>
      <c r="F718" s="8" t="s">
        <v>34</v>
      </c>
      <c r="G718" s="3" t="s">
        <v>35</v>
      </c>
      <c r="H718" t="s">
        <v>157</v>
      </c>
      <c r="I718" t="s">
        <v>166</v>
      </c>
      <c r="J718" s="3" t="s">
        <v>70</v>
      </c>
      <c r="K718" t="s">
        <v>160</v>
      </c>
      <c r="L718" s="3" t="s">
        <v>72</v>
      </c>
      <c r="M718" s="3" t="s">
        <v>110</v>
      </c>
      <c r="N718" t="s">
        <v>111</v>
      </c>
      <c r="O718" t="s">
        <v>112</v>
      </c>
      <c r="P718" t="s">
        <v>113</v>
      </c>
      <c r="Q718" s="3">
        <v>8346.36</v>
      </c>
      <c r="R718" s="3">
        <v>8094.33</v>
      </c>
      <c r="S718" s="3">
        <v>5928.8</v>
      </c>
      <c r="T718" s="3">
        <v>840.02</v>
      </c>
      <c r="U718" s="3">
        <v>509.32</v>
      </c>
      <c r="V718" s="3">
        <v>804.83</v>
      </c>
      <c r="W718" s="3">
        <v>205.42</v>
      </c>
      <c r="X718" s="3">
        <v>8288.39</v>
      </c>
      <c r="Y718" s="3">
        <v>2417.56</v>
      </c>
      <c r="Z718" s="3">
        <f t="shared" si="49"/>
        <v>57.970000000001164</v>
      </c>
      <c r="AA718" s="37">
        <f t="shared" si="50"/>
        <v>6.9455427276083415E-3</v>
      </c>
      <c r="AB718" s="3">
        <v>252.03</v>
      </c>
      <c r="AC718" s="3">
        <v>417.32</v>
      </c>
      <c r="AD718" s="3">
        <v>951.48</v>
      </c>
      <c r="AE718" s="3">
        <v>8880.5300000000007</v>
      </c>
      <c r="AF718" t="str">
        <f>IF(tbl_FinancialData[[#This Row],[City]]="","Unknown",PROPER(TRIM(tbl_FinancialData[[#This Row],[City]])))</f>
        <v>Vadodara</v>
      </c>
      <c r="AG718" t="str">
        <f>_xlfn.LET(_xlpm.city,LOWER(TRIM(tbl_FinancialData[[#This Row],[City]])),_xlpm.st,PROPER(TRIM(tbl_FinancialData[[#This Row],[State]])),IF(_xlpm.city="pune","Maharashtra",IF(_xlpm.city="jamshedpur","Jharkhand",IF(_xlpm.city="bhilai","Chhattisgarh",IF(_xlpm.city="mumbai","Maharashtra",_xlpm.st)))))</f>
        <v>Gujarat</v>
      </c>
      <c r="AH718" t="str">
        <f>_xlfn.LET(_xlpm.d,PROPER(TRIM(tbl_FinancialData[[#This Row],[Department]])),IF(_xlpm.d="It","IT",_xlpm.d))</f>
        <v>IT</v>
      </c>
      <c r="AI718" t="str">
        <f>_xlfn.LET(_xlpm.pid,tbl_FinancialData[[#This Row],[Product ID]],_xlpm.n,PROPER(TRIM(tbl_FinancialData[[#This Row],[Product Name]])),IF(_xlpm.pid="P020","Document Scanner",IF(_xlpm.pid="P015","Network Router",SUBSTITUTE(SUBSTITUTE(_xlpm.n,"Crm","CRM"),"Ups","UPS"))))</f>
        <v>Office Desk</v>
      </c>
      <c r="AJ718" s="3" t="str">
        <f>UPPER(TRIM(tbl_FinancialData[[#This Row],[Cost Center]]))</f>
        <v>CC-1004</v>
      </c>
    </row>
    <row r="719" spans="1:36" x14ac:dyDescent="0.25">
      <c r="A719" s="3" t="s">
        <v>921</v>
      </c>
      <c r="B719" s="2">
        <v>46032</v>
      </c>
      <c r="C719" t="s">
        <v>77</v>
      </c>
      <c r="D719" s="3" t="str">
        <f t="shared" si="47"/>
        <v>Q4</v>
      </c>
      <c r="E719" s="3" t="str">
        <f t="shared" si="48"/>
        <v>FY2026</v>
      </c>
      <c r="F719" s="8" t="s">
        <v>47</v>
      </c>
      <c r="G719" s="3" t="s">
        <v>35</v>
      </c>
      <c r="H719" t="s">
        <v>206</v>
      </c>
      <c r="I719" t="s">
        <v>207</v>
      </c>
      <c r="J719" s="3" t="s">
        <v>80</v>
      </c>
      <c r="K719" t="s">
        <v>101</v>
      </c>
      <c r="L719" s="3" t="s">
        <v>72</v>
      </c>
      <c r="M719" s="3" t="s">
        <v>95</v>
      </c>
      <c r="N719" t="s">
        <v>96</v>
      </c>
      <c r="O719" t="s">
        <v>43</v>
      </c>
      <c r="P719" t="s">
        <v>90</v>
      </c>
      <c r="Q719" s="3">
        <v>29755.32</v>
      </c>
      <c r="R719" s="3">
        <v>31192.11</v>
      </c>
      <c r="S719" s="3">
        <v>15300.9</v>
      </c>
      <c r="T719" s="3">
        <v>2812.99</v>
      </c>
      <c r="U719" s="3">
        <v>1361.36</v>
      </c>
      <c r="V719" s="3">
        <v>2124.42</v>
      </c>
      <c r="W719" s="3">
        <v>588.45000000000005</v>
      </c>
      <c r="X719" s="3">
        <v>22188.11</v>
      </c>
      <c r="Y719" s="3">
        <v>14454.42</v>
      </c>
      <c r="Z719" s="3">
        <f t="shared" si="49"/>
        <v>7567.2099999999991</v>
      </c>
      <c r="AA719" s="37">
        <f t="shared" si="50"/>
        <v>0.25431452257949166</v>
      </c>
      <c r="AB719" s="3">
        <v>-1436.79</v>
      </c>
      <c r="AC719" s="3">
        <v>2975.53</v>
      </c>
      <c r="AD719" s="3">
        <v>4820.3599999999997</v>
      </c>
      <c r="AE719" s="3">
        <v>31600.15</v>
      </c>
      <c r="AF719" t="str">
        <f>IF(tbl_FinancialData[[#This Row],[City]]="","Unknown",PROPER(TRIM(tbl_FinancialData[[#This Row],[City]])))</f>
        <v>Nizamabad</v>
      </c>
      <c r="AG719" t="str">
        <f>_xlfn.LET(_xlpm.city,LOWER(TRIM(tbl_FinancialData[[#This Row],[City]])),_xlpm.st,PROPER(TRIM(tbl_FinancialData[[#This Row],[State]])),IF(_xlpm.city="pune","Maharashtra",IF(_xlpm.city="jamshedpur","Jharkhand",IF(_xlpm.city="bhilai","Chhattisgarh",IF(_xlpm.city="mumbai","Maharashtra",_xlpm.st)))))</f>
        <v>Telangana</v>
      </c>
      <c r="AH719" t="str">
        <f>_xlfn.LET(_xlpm.d,PROPER(TRIM(tbl_FinancialData[[#This Row],[Department]])),IF(_xlpm.d="It","IT",_xlpm.d))</f>
        <v>Finance</v>
      </c>
      <c r="AI719" t="str">
        <f>_xlfn.LET(_xlpm.pid,tbl_FinancialData[[#This Row],[Product ID]],_xlpm.n,PROPER(TRIM(tbl_FinancialData[[#This Row],[Product Name]])),IF(_xlpm.pid="P020","Document Scanner",IF(_xlpm.pid="P015","Network Router",SUBSTITUTE(SUBSTITUTE(_xlpm.n,"Crm","CRM"),"Ups","UPS"))))</f>
        <v>Document Scanner</v>
      </c>
      <c r="AJ719" s="3" t="str">
        <f>UPPER(TRIM(tbl_FinancialData[[#This Row],[Cost Center]]))</f>
        <v>CC-1004</v>
      </c>
    </row>
    <row r="720" spans="1:36" x14ac:dyDescent="0.25">
      <c r="A720" s="3" t="s">
        <v>922</v>
      </c>
      <c r="B720" s="2">
        <v>46080</v>
      </c>
      <c r="C720" t="s">
        <v>57</v>
      </c>
      <c r="D720" s="3" t="str">
        <f t="shared" si="47"/>
        <v>Q4</v>
      </c>
      <c r="E720" s="3" t="str">
        <f t="shared" si="48"/>
        <v>FY2026</v>
      </c>
      <c r="F720" s="8" t="s">
        <v>34</v>
      </c>
      <c r="G720" s="3" t="s">
        <v>35</v>
      </c>
      <c r="H720" t="s">
        <v>134</v>
      </c>
      <c r="I720" t="s">
        <v>135</v>
      </c>
      <c r="J720" s="3" t="s">
        <v>38</v>
      </c>
      <c r="K720" t="s">
        <v>101</v>
      </c>
      <c r="L720" s="3" t="s">
        <v>72</v>
      </c>
      <c r="M720" s="3" t="s">
        <v>88</v>
      </c>
      <c r="N720" t="s">
        <v>89</v>
      </c>
      <c r="O720" t="s">
        <v>43</v>
      </c>
      <c r="P720" t="s">
        <v>90</v>
      </c>
      <c r="Q720" s="3">
        <v>31411.97</v>
      </c>
      <c r="R720" s="3">
        <v>32734.04</v>
      </c>
      <c r="S720" s="3">
        <v>16758.72</v>
      </c>
      <c r="T720" s="3">
        <v>2593.73</v>
      </c>
      <c r="U720" s="3">
        <v>2802.56</v>
      </c>
      <c r="V720" s="3">
        <v>3225.52</v>
      </c>
      <c r="W720" s="3">
        <v>946.38</v>
      </c>
      <c r="X720" s="3">
        <v>26326.91</v>
      </c>
      <c r="Y720" s="3">
        <v>14653.25</v>
      </c>
      <c r="Z720" s="3">
        <f t="shared" si="49"/>
        <v>5085.0600000000013</v>
      </c>
      <c r="AA720" s="37">
        <f t="shared" si="50"/>
        <v>0.16188287458570733</v>
      </c>
      <c r="AB720" s="3">
        <v>-1322.08</v>
      </c>
      <c r="AC720" s="3">
        <v>0</v>
      </c>
      <c r="AD720" s="3">
        <v>3769.44</v>
      </c>
      <c r="AE720" s="3">
        <v>35181.4</v>
      </c>
      <c r="AF720" t="str">
        <f>IF(tbl_FinancialData[[#This Row],[City]]="","Unknown",PROPER(TRIM(tbl_FinancialData[[#This Row],[City]])))</f>
        <v>Jodhpur</v>
      </c>
      <c r="AG720" t="str">
        <f>_xlfn.LET(_xlpm.city,LOWER(TRIM(tbl_FinancialData[[#This Row],[City]])),_xlpm.st,PROPER(TRIM(tbl_FinancialData[[#This Row],[State]])),IF(_xlpm.city="pune","Maharashtra",IF(_xlpm.city="jamshedpur","Jharkhand",IF(_xlpm.city="bhilai","Chhattisgarh",IF(_xlpm.city="mumbai","Maharashtra",_xlpm.st)))))</f>
        <v>Rajasthan</v>
      </c>
      <c r="AH720" t="str">
        <f>_xlfn.LET(_xlpm.d,PROPER(TRIM(tbl_FinancialData[[#This Row],[Department]])),IF(_xlpm.d="It","IT",_xlpm.d))</f>
        <v>Finance</v>
      </c>
      <c r="AI720" t="str">
        <f>_xlfn.LET(_xlpm.pid,tbl_FinancialData[[#This Row],[Product ID]],_xlpm.n,PROPER(TRIM(tbl_FinancialData[[#This Row],[Product Name]])),IF(_xlpm.pid="P020","Document Scanner",IF(_xlpm.pid="P015","Network Router",SUBSTITUTE(SUBSTITUTE(_xlpm.n,"Crm","CRM"),"Ups","UPS"))))</f>
        <v>Printer</v>
      </c>
      <c r="AJ720" s="3" t="str">
        <f>UPPER(TRIM(tbl_FinancialData[[#This Row],[Cost Center]]))</f>
        <v>CC-1004</v>
      </c>
    </row>
    <row r="721" spans="1:36" x14ac:dyDescent="0.25">
      <c r="A721" s="3" t="s">
        <v>923</v>
      </c>
      <c r="B721" s="2">
        <v>45762</v>
      </c>
      <c r="C721" t="s">
        <v>128</v>
      </c>
      <c r="D721" s="3" t="str">
        <f t="shared" si="47"/>
        <v>Q1</v>
      </c>
      <c r="E721" s="3" t="str">
        <f t="shared" si="48"/>
        <v>FY2026</v>
      </c>
      <c r="F721" s="8" t="s">
        <v>67</v>
      </c>
      <c r="G721" s="3" t="s">
        <v>35</v>
      </c>
      <c r="H721" t="s">
        <v>217</v>
      </c>
      <c r="I721" t="s">
        <v>241</v>
      </c>
      <c r="J721" s="3" t="s">
        <v>38</v>
      </c>
      <c r="K721" t="s">
        <v>101</v>
      </c>
      <c r="L721" s="3" t="s">
        <v>72</v>
      </c>
      <c r="M721" s="3" t="s">
        <v>52</v>
      </c>
      <c r="N721" t="s">
        <v>53</v>
      </c>
      <c r="O721" t="s">
        <v>54</v>
      </c>
      <c r="P721" t="s">
        <v>55</v>
      </c>
      <c r="Q721" s="3">
        <v>7466.59</v>
      </c>
      <c r="R721" s="3">
        <v>8189.92</v>
      </c>
      <c r="S721" s="3">
        <v>4819.49</v>
      </c>
      <c r="T721" s="3">
        <v>951.64</v>
      </c>
      <c r="U721" s="3">
        <v>574.38</v>
      </c>
      <c r="V721" s="3">
        <v>380.27</v>
      </c>
      <c r="W721" s="3">
        <v>165.51</v>
      </c>
      <c r="X721" s="3">
        <v>6891.29</v>
      </c>
      <c r="Y721" s="3">
        <v>2647.1</v>
      </c>
      <c r="Z721" s="3">
        <f t="shared" si="49"/>
        <v>575.30000000000018</v>
      </c>
      <c r="AA721" s="37">
        <f t="shared" si="50"/>
        <v>7.7049898280205573E-2</v>
      </c>
      <c r="AB721" s="3">
        <v>-723.32</v>
      </c>
      <c r="AC721" s="3">
        <v>746.66</v>
      </c>
      <c r="AD721" s="3">
        <v>806.39</v>
      </c>
      <c r="AE721" s="3">
        <v>7526.33</v>
      </c>
      <c r="AF721" t="str">
        <f>IF(tbl_FinancialData[[#This Row],[City]]="","Unknown",PROPER(TRIM(tbl_FinancialData[[#This Row],[City]])))</f>
        <v>Muzaffarpur</v>
      </c>
      <c r="AG721" t="str">
        <f>_xlfn.LET(_xlpm.city,LOWER(TRIM(tbl_FinancialData[[#This Row],[City]])),_xlpm.st,PROPER(TRIM(tbl_FinancialData[[#This Row],[State]])),IF(_xlpm.city="pune","Maharashtra",IF(_xlpm.city="jamshedpur","Jharkhand",IF(_xlpm.city="bhilai","Chhattisgarh",IF(_xlpm.city="mumbai","Maharashtra",_xlpm.st)))))</f>
        <v>Bihar</v>
      </c>
      <c r="AH721" t="str">
        <f>_xlfn.LET(_xlpm.d,PROPER(TRIM(tbl_FinancialData[[#This Row],[Department]])),IF(_xlpm.d="It","IT",_xlpm.d))</f>
        <v>Finance</v>
      </c>
      <c r="AI721" t="str">
        <f>_xlfn.LET(_xlpm.pid,tbl_FinancialData[[#This Row],[Product ID]],_xlpm.n,PROPER(TRIM(tbl_FinancialData[[#This Row],[Product Name]])),IF(_xlpm.pid="P020","Document Scanner",IF(_xlpm.pid="P015","Network Router",SUBSTITUTE(SUBSTITUTE(_xlpm.n,"Crm","CRM"),"Ups","UPS"))))</f>
        <v>Mouse</v>
      </c>
      <c r="AJ721" s="3" t="str">
        <f>UPPER(TRIM(tbl_FinancialData[[#This Row],[Cost Center]]))</f>
        <v>CC-1004</v>
      </c>
    </row>
    <row r="722" spans="1:36" x14ac:dyDescent="0.25">
      <c r="A722" s="3" t="s">
        <v>924</v>
      </c>
      <c r="B722" s="2">
        <v>45825</v>
      </c>
      <c r="C722" t="s">
        <v>156</v>
      </c>
      <c r="D722" s="3" t="str">
        <f t="shared" si="47"/>
        <v>Q1</v>
      </c>
      <c r="E722" s="3" t="str">
        <f t="shared" si="48"/>
        <v>FY2026</v>
      </c>
      <c r="F722" s="8" t="s">
        <v>67</v>
      </c>
      <c r="G722" s="3" t="s">
        <v>35</v>
      </c>
      <c r="H722" t="s">
        <v>168</v>
      </c>
      <c r="I722" t="s">
        <v>169</v>
      </c>
      <c r="J722" s="3" t="s">
        <v>80</v>
      </c>
      <c r="K722" t="s">
        <v>160</v>
      </c>
      <c r="L722" s="3" t="s">
        <v>72</v>
      </c>
      <c r="M722" s="3" t="s">
        <v>186</v>
      </c>
      <c r="N722" t="s">
        <v>187</v>
      </c>
      <c r="O722" t="s">
        <v>173</v>
      </c>
      <c r="P722" t="s">
        <v>174</v>
      </c>
      <c r="Q722" s="3">
        <v>17805.13</v>
      </c>
      <c r="R722" s="3">
        <v>20158.259999999998</v>
      </c>
      <c r="S722" s="3">
        <v>12321.3</v>
      </c>
      <c r="T722" s="3">
        <v>1118.72</v>
      </c>
      <c r="U722" s="3">
        <v>838.13</v>
      </c>
      <c r="V722" s="3">
        <v>1189.7</v>
      </c>
      <c r="W722" s="3">
        <v>204.25</v>
      </c>
      <c r="X722" s="3">
        <v>15672.1</v>
      </c>
      <c r="Y722" s="3">
        <v>5483.83</v>
      </c>
      <c r="Z722" s="3">
        <f t="shared" si="49"/>
        <v>2133.0300000000007</v>
      </c>
      <c r="AA722" s="37">
        <f t="shared" si="50"/>
        <v>0.11979861983596865</v>
      </c>
      <c r="AB722" s="3">
        <v>-2353.14</v>
      </c>
      <c r="AC722" s="3">
        <v>890.26</v>
      </c>
      <c r="AD722" s="3">
        <v>3044.68</v>
      </c>
      <c r="AE722" s="3">
        <v>19959.55</v>
      </c>
      <c r="AF722" t="str">
        <f>IF(tbl_FinancialData[[#This Row],[City]]="","Unknown",PROPER(TRIM(tbl_FinancialData[[#This Row],[City]])))</f>
        <v>Kolkata</v>
      </c>
      <c r="AG722" t="str">
        <f>_xlfn.LET(_xlpm.city,LOWER(TRIM(tbl_FinancialData[[#This Row],[City]])),_xlpm.st,PROPER(TRIM(tbl_FinancialData[[#This Row],[State]])),IF(_xlpm.city="pune","Maharashtra",IF(_xlpm.city="jamshedpur","Jharkhand",IF(_xlpm.city="bhilai","Chhattisgarh",IF(_xlpm.city="mumbai","Maharashtra",_xlpm.st)))))</f>
        <v>West Bengal</v>
      </c>
      <c r="AH722" t="str">
        <f>_xlfn.LET(_xlpm.d,PROPER(TRIM(tbl_FinancialData[[#This Row],[Department]])),IF(_xlpm.d="It","IT",_xlpm.d))</f>
        <v>IT</v>
      </c>
      <c r="AI722" t="str">
        <f>_xlfn.LET(_xlpm.pid,tbl_FinancialData[[#This Row],[Product ID]],_xlpm.n,PROPER(TRIM(tbl_FinancialData[[#This Row],[Product Name]])),IF(_xlpm.pid="P020","Document Scanner",IF(_xlpm.pid="P015","Network Router",SUBSTITUTE(SUBSTITUTE(_xlpm.n,"Crm","CRM"),"Ups","UPS"))))</f>
        <v>Network Router</v>
      </c>
      <c r="AJ722" s="3" t="str">
        <f>UPPER(TRIM(tbl_FinancialData[[#This Row],[Cost Center]]))</f>
        <v>CC-1004</v>
      </c>
    </row>
    <row r="723" spans="1:36" x14ac:dyDescent="0.25">
      <c r="A723" s="3" t="s">
        <v>925</v>
      </c>
      <c r="B723" s="2">
        <v>45991</v>
      </c>
      <c r="C723" t="s">
        <v>147</v>
      </c>
      <c r="D723" s="3" t="str">
        <f t="shared" si="47"/>
        <v>Q3</v>
      </c>
      <c r="E723" s="3" t="str">
        <f t="shared" si="48"/>
        <v>FY2026</v>
      </c>
      <c r="F723" s="8" t="s">
        <v>59</v>
      </c>
      <c r="G723" s="3" t="s">
        <v>35</v>
      </c>
      <c r="H723" t="s">
        <v>139</v>
      </c>
      <c r="I723" t="s">
        <v>152</v>
      </c>
      <c r="J723" s="3" t="s">
        <v>70</v>
      </c>
      <c r="K723" t="s">
        <v>50</v>
      </c>
      <c r="L723" s="3" t="s">
        <v>81</v>
      </c>
      <c r="M723" s="3" t="s">
        <v>130</v>
      </c>
      <c r="N723" t="s">
        <v>131</v>
      </c>
      <c r="O723" t="s">
        <v>43</v>
      </c>
      <c r="P723" t="s">
        <v>132</v>
      </c>
      <c r="Q723" s="3">
        <v>43426.95</v>
      </c>
      <c r="R723" s="3">
        <v>44824.05</v>
      </c>
      <c r="S723" s="3">
        <v>29224.84</v>
      </c>
      <c r="T723" s="3">
        <v>4646.83</v>
      </c>
      <c r="U723" s="3">
        <v>2124.17</v>
      </c>
      <c r="V723" s="3">
        <v>2906.74</v>
      </c>
      <c r="W723" s="3">
        <v>817.97</v>
      </c>
      <c r="X723" s="3">
        <v>39720.550000000003</v>
      </c>
      <c r="Y723" s="3">
        <v>14202.11</v>
      </c>
      <c r="Z723" s="3">
        <f t="shared" si="49"/>
        <v>3706.3999999999942</v>
      </c>
      <c r="AA723" s="37">
        <f t="shared" si="50"/>
        <v>8.5347923351743432E-2</v>
      </c>
      <c r="AB723" s="3">
        <v>-1397.1</v>
      </c>
      <c r="AC723" s="3">
        <v>2171.35</v>
      </c>
      <c r="AD723" s="3">
        <v>7426.01</v>
      </c>
      <c r="AE723" s="3">
        <v>48681.62</v>
      </c>
      <c r="AF723" t="str">
        <f>IF(tbl_FinancialData[[#This Row],[City]]="","Unknown",PROPER(TRIM(tbl_FinancialData[[#This Row],[City]])))</f>
        <v>Panipat</v>
      </c>
      <c r="AG723" t="str">
        <f>_xlfn.LET(_xlpm.city,LOWER(TRIM(tbl_FinancialData[[#This Row],[City]])),_xlpm.st,PROPER(TRIM(tbl_FinancialData[[#This Row],[State]])),IF(_xlpm.city="pune","Maharashtra",IF(_xlpm.city="jamshedpur","Jharkhand",IF(_xlpm.city="bhilai","Chhattisgarh",IF(_xlpm.city="mumbai","Maharashtra",_xlpm.st)))))</f>
        <v>Haryana</v>
      </c>
      <c r="AH723" t="str">
        <f>_xlfn.LET(_xlpm.d,PROPER(TRIM(tbl_FinancialData[[#This Row],[Department]])),IF(_xlpm.d="It","IT",_xlpm.d))</f>
        <v>Sales</v>
      </c>
      <c r="AI723" t="str">
        <f>_xlfn.LET(_xlpm.pid,tbl_FinancialData[[#This Row],[Product ID]],_xlpm.n,PROPER(TRIM(tbl_FinancialData[[#This Row],[Product Name]])),IF(_xlpm.pid="P020","Document Scanner",IF(_xlpm.pid="P015","Network Router",SUBSTITUTE(SUBSTITUTE(_xlpm.n,"Crm","CRM"),"Ups","UPS"))))</f>
        <v>UPS System</v>
      </c>
      <c r="AJ723" s="3" t="str">
        <f>UPPER(TRIM(tbl_FinancialData[[#This Row],[Cost Center]]))</f>
        <v>CC-1005</v>
      </c>
    </row>
    <row r="724" spans="1:36" x14ac:dyDescent="0.25">
      <c r="A724" s="3" t="s">
        <v>926</v>
      </c>
      <c r="B724" s="2">
        <v>45956</v>
      </c>
      <c r="C724" t="s">
        <v>92</v>
      </c>
      <c r="D724" s="3" t="str">
        <f t="shared" si="47"/>
        <v>Q3</v>
      </c>
      <c r="E724" s="3" t="str">
        <f t="shared" si="48"/>
        <v>FY2026</v>
      </c>
      <c r="F724" s="8" t="s">
        <v>85</v>
      </c>
      <c r="G724" s="3" t="s">
        <v>35</v>
      </c>
      <c r="H724" t="s">
        <v>178</v>
      </c>
      <c r="I724" t="s">
        <v>329</v>
      </c>
      <c r="J724" s="3" t="s">
        <v>100</v>
      </c>
      <c r="K724" t="s">
        <v>50</v>
      </c>
      <c r="L724" s="3" t="s">
        <v>51</v>
      </c>
      <c r="M724" s="3" t="s">
        <v>52</v>
      </c>
      <c r="N724" t="s">
        <v>53</v>
      </c>
      <c r="O724" t="s">
        <v>54</v>
      </c>
      <c r="P724" t="s">
        <v>55</v>
      </c>
      <c r="Q724" s="3">
        <v>8713.83</v>
      </c>
      <c r="R724" s="3">
        <v>9221.25</v>
      </c>
      <c r="S724" s="3">
        <v>5663.6</v>
      </c>
      <c r="T724" s="3">
        <v>1016.21</v>
      </c>
      <c r="U724" s="3">
        <v>286.67</v>
      </c>
      <c r="V724" s="3">
        <v>913.26</v>
      </c>
      <c r="W724" s="3">
        <v>233.92</v>
      </c>
      <c r="X724" s="3">
        <v>8113.66</v>
      </c>
      <c r="Y724" s="3">
        <v>3050.23</v>
      </c>
      <c r="Z724" s="3">
        <f t="shared" si="49"/>
        <v>600.17000000000007</v>
      </c>
      <c r="AA724" s="37">
        <f t="shared" si="50"/>
        <v>6.8875569066644646E-2</v>
      </c>
      <c r="AB724" s="3">
        <v>-507.42</v>
      </c>
      <c r="AC724" s="3">
        <v>261.42</v>
      </c>
      <c r="AD724" s="3">
        <v>1014.29</v>
      </c>
      <c r="AE724" s="3">
        <v>9466.7099999999991</v>
      </c>
      <c r="AF724" t="str">
        <f>IF(tbl_FinancialData[[#This Row],[City]]="","Unknown",PROPER(TRIM(tbl_FinancialData[[#This Row],[City]])))</f>
        <v>Raipur</v>
      </c>
      <c r="AG724" t="str">
        <f>_xlfn.LET(_xlpm.city,LOWER(TRIM(tbl_FinancialData[[#This Row],[City]])),_xlpm.st,PROPER(TRIM(tbl_FinancialData[[#This Row],[State]])),IF(_xlpm.city="pune","Maharashtra",IF(_xlpm.city="jamshedpur","Jharkhand",IF(_xlpm.city="bhilai","Chhattisgarh",IF(_xlpm.city="mumbai","Maharashtra",_xlpm.st)))))</f>
        <v>Chhattisgarh</v>
      </c>
      <c r="AH724" t="str">
        <f>_xlfn.LET(_xlpm.d,PROPER(TRIM(tbl_FinancialData[[#This Row],[Department]])),IF(_xlpm.d="It","IT",_xlpm.d))</f>
        <v>Sales</v>
      </c>
      <c r="AI724" t="str">
        <f>_xlfn.LET(_xlpm.pid,tbl_FinancialData[[#This Row],[Product ID]],_xlpm.n,PROPER(TRIM(tbl_FinancialData[[#This Row],[Product Name]])),IF(_xlpm.pid="P020","Document Scanner",IF(_xlpm.pid="P015","Network Router",SUBSTITUTE(SUBSTITUTE(_xlpm.n,"Crm","CRM"),"Ups","UPS"))))</f>
        <v>Mouse</v>
      </c>
      <c r="AJ724" s="3" t="str">
        <f>UPPER(TRIM(tbl_FinancialData[[#This Row],[Cost Center]]))</f>
        <v>CC-1003</v>
      </c>
    </row>
    <row r="725" spans="1:36" x14ac:dyDescent="0.25">
      <c r="A725" s="3" t="s">
        <v>927</v>
      </c>
      <c r="B725" s="2">
        <v>45955</v>
      </c>
      <c r="C725" t="s">
        <v>92</v>
      </c>
      <c r="D725" s="3" t="str">
        <f t="shared" si="47"/>
        <v>Q3</v>
      </c>
      <c r="E725" s="3" t="str">
        <f t="shared" si="48"/>
        <v>FY2026</v>
      </c>
      <c r="F725" s="8" t="s">
        <v>59</v>
      </c>
      <c r="G725" s="3" t="s">
        <v>35</v>
      </c>
      <c r="H725" t="s">
        <v>60</v>
      </c>
      <c r="I725" t="s">
        <v>185</v>
      </c>
      <c r="J725" s="3" t="s">
        <v>100</v>
      </c>
      <c r="K725" t="s">
        <v>160</v>
      </c>
      <c r="L725" s="3" t="s">
        <v>94</v>
      </c>
      <c r="M725" s="3" t="s">
        <v>189</v>
      </c>
      <c r="N725" t="s">
        <v>190</v>
      </c>
      <c r="O725" t="s">
        <v>104</v>
      </c>
      <c r="P725" t="s">
        <v>105</v>
      </c>
      <c r="Q725" s="3">
        <v>18905.810000000001</v>
      </c>
      <c r="R725" s="3">
        <v>19612.419999999998</v>
      </c>
      <c r="S725" s="3">
        <v>10085.49</v>
      </c>
      <c r="T725" s="3">
        <v>1455.98</v>
      </c>
      <c r="U725" s="3">
        <v>1075.23</v>
      </c>
      <c r="V725" s="3">
        <v>1235.51</v>
      </c>
      <c r="W725" s="3">
        <v>411.08</v>
      </c>
      <c r="X725" s="3">
        <v>14263.28</v>
      </c>
      <c r="Y725" s="3">
        <v>8820.32</v>
      </c>
      <c r="Z725" s="3">
        <f t="shared" si="49"/>
        <v>4642.5300000000007</v>
      </c>
      <c r="AA725" s="37">
        <f t="shared" si="50"/>
        <v>0.24556102065978661</v>
      </c>
      <c r="AB725" s="3">
        <v>-706.62</v>
      </c>
      <c r="AC725" s="3">
        <v>567.16999999999996</v>
      </c>
      <c r="AD725" s="3">
        <v>916.93</v>
      </c>
      <c r="AE725" s="3">
        <v>19255.560000000001</v>
      </c>
      <c r="AF725" t="str">
        <f>IF(tbl_FinancialData[[#This Row],[City]]="","Unknown",PROPER(TRIM(tbl_FinancialData[[#This Row],[City]])))</f>
        <v>Kanpur</v>
      </c>
      <c r="AG725" t="str">
        <f>_xlfn.LET(_xlpm.city,LOWER(TRIM(tbl_FinancialData[[#This Row],[City]])),_xlpm.st,PROPER(TRIM(tbl_FinancialData[[#This Row],[State]])),IF(_xlpm.city="pune","Maharashtra",IF(_xlpm.city="jamshedpur","Jharkhand",IF(_xlpm.city="bhilai","Chhattisgarh",IF(_xlpm.city="mumbai","Maharashtra",_xlpm.st)))))</f>
        <v>Uttar Pradesh</v>
      </c>
      <c r="AH725" t="str">
        <f>_xlfn.LET(_xlpm.d,PROPER(TRIM(tbl_FinancialData[[#This Row],[Department]])),IF(_xlpm.d="It","IT",_xlpm.d))</f>
        <v>IT</v>
      </c>
      <c r="AI725" t="str">
        <f>_xlfn.LET(_xlpm.pid,tbl_FinancialData[[#This Row],[Product ID]],_xlpm.n,PROPER(TRIM(tbl_FinancialData[[#This Row],[Product Name]])),IF(_xlpm.pid="P020","Document Scanner",IF(_xlpm.pid="P015","Network Router",SUBSTITUTE(SUBSTITUTE(_xlpm.n,"Crm","CRM"),"Ups","UPS"))))</f>
        <v>CRM Software</v>
      </c>
      <c r="AJ725" s="3" t="str">
        <f>UPPER(TRIM(tbl_FinancialData[[#This Row],[Cost Center]]))</f>
        <v>CC-1001</v>
      </c>
    </row>
    <row r="726" spans="1:36" x14ac:dyDescent="0.25">
      <c r="A726" s="3" t="s">
        <v>928</v>
      </c>
      <c r="B726" s="2">
        <v>46098</v>
      </c>
      <c r="C726" t="s">
        <v>125</v>
      </c>
      <c r="D726" s="3" t="str">
        <f t="shared" si="47"/>
        <v>Q4</v>
      </c>
      <c r="E726" s="3" t="str">
        <f t="shared" si="48"/>
        <v>FY2026</v>
      </c>
      <c r="F726" s="8" t="s">
        <v>67</v>
      </c>
      <c r="G726" s="3" t="s">
        <v>35</v>
      </c>
      <c r="H726" t="s">
        <v>118</v>
      </c>
      <c r="I726" t="s">
        <v>227</v>
      </c>
      <c r="J726" s="3" t="s">
        <v>80</v>
      </c>
      <c r="K726" t="s">
        <v>50</v>
      </c>
      <c r="L726" s="3" t="s">
        <v>94</v>
      </c>
      <c r="M726" s="3" t="s">
        <v>102</v>
      </c>
      <c r="N726" t="s">
        <v>103</v>
      </c>
      <c r="O726" t="s">
        <v>104</v>
      </c>
      <c r="P726" t="s">
        <v>105</v>
      </c>
      <c r="Q726" s="3">
        <v>11965.21</v>
      </c>
      <c r="R726" s="3">
        <v>13431.13</v>
      </c>
      <c r="S726" s="3">
        <v>7238.07</v>
      </c>
      <c r="T726" s="3">
        <v>1291.49</v>
      </c>
      <c r="U726" s="3">
        <v>584.04</v>
      </c>
      <c r="V726" s="3">
        <v>513.80999999999995</v>
      </c>
      <c r="W726" s="3">
        <v>498.37</v>
      </c>
      <c r="X726" s="3">
        <v>10125.780000000001</v>
      </c>
      <c r="Y726" s="3">
        <v>4727.1400000000003</v>
      </c>
      <c r="Z726" s="3">
        <f t="shared" si="49"/>
        <v>1839.4299999999985</v>
      </c>
      <c r="AA726" s="37">
        <f t="shared" si="50"/>
        <v>0.15373152665101561</v>
      </c>
      <c r="AB726" s="3">
        <v>-1465.91</v>
      </c>
      <c r="AC726" s="3">
        <v>0</v>
      </c>
      <c r="AD726" s="3">
        <v>2153.7399999999998</v>
      </c>
      <c r="AE726" s="3">
        <v>14118.95</v>
      </c>
      <c r="AF726" t="str">
        <f>IF(tbl_FinancialData[[#This Row],[City]]="","Unknown",PROPER(TRIM(tbl_FinancialData[[#This Row],[City]])))</f>
        <v>Dhanbad</v>
      </c>
      <c r="AG726" t="str">
        <f>_xlfn.LET(_xlpm.city,LOWER(TRIM(tbl_FinancialData[[#This Row],[City]])),_xlpm.st,PROPER(TRIM(tbl_FinancialData[[#This Row],[State]])),IF(_xlpm.city="pune","Maharashtra",IF(_xlpm.city="jamshedpur","Jharkhand",IF(_xlpm.city="bhilai","Chhattisgarh",IF(_xlpm.city="mumbai","Maharashtra",_xlpm.st)))))</f>
        <v>Jharkhand</v>
      </c>
      <c r="AH726" t="str">
        <f>_xlfn.LET(_xlpm.d,PROPER(TRIM(tbl_FinancialData[[#This Row],[Department]])),IF(_xlpm.d="It","IT",_xlpm.d))</f>
        <v>Sales</v>
      </c>
      <c r="AI726" t="str">
        <f>_xlfn.LET(_xlpm.pid,tbl_FinancialData[[#This Row],[Product ID]],_xlpm.n,PROPER(TRIM(tbl_FinancialData[[#This Row],[Product Name]])),IF(_xlpm.pid="P020","Document Scanner",IF(_xlpm.pid="P015","Network Router",SUBSTITUTE(SUBSTITUTE(_xlpm.n,"Crm","CRM"),"Ups","UPS"))))</f>
        <v>Accounting Software</v>
      </c>
      <c r="AJ726" s="3" t="str">
        <f>UPPER(TRIM(tbl_FinancialData[[#This Row],[Cost Center]]))</f>
        <v>CC-1001</v>
      </c>
    </row>
    <row r="727" spans="1:36" x14ac:dyDescent="0.25">
      <c r="A727" s="3" t="s">
        <v>929</v>
      </c>
      <c r="B727" s="2">
        <v>45799</v>
      </c>
      <c r="C727" t="s">
        <v>65</v>
      </c>
      <c r="D727" s="3" t="str">
        <f t="shared" si="47"/>
        <v>Q1</v>
      </c>
      <c r="E727" s="3" t="str">
        <f t="shared" si="48"/>
        <v>FY2026</v>
      </c>
      <c r="F727" s="8" t="s">
        <v>47</v>
      </c>
      <c r="G727" s="3" t="s">
        <v>35</v>
      </c>
      <c r="H727" t="s">
        <v>206</v>
      </c>
      <c r="I727" t="s">
        <v>296</v>
      </c>
      <c r="J727" s="3" t="s">
        <v>100</v>
      </c>
      <c r="K727" t="s">
        <v>50</v>
      </c>
      <c r="L727" s="3" t="s">
        <v>81</v>
      </c>
      <c r="M727" s="3" t="s">
        <v>88</v>
      </c>
      <c r="N727" t="s">
        <v>89</v>
      </c>
      <c r="O727" t="s">
        <v>43</v>
      </c>
      <c r="P727" t="s">
        <v>90</v>
      </c>
      <c r="Q727" s="3">
        <v>37630.620000000003</v>
      </c>
      <c r="R727" s="3">
        <v>36898.06</v>
      </c>
      <c r="S727" s="3">
        <v>25857.24</v>
      </c>
      <c r="T727" s="3">
        <v>3463.67</v>
      </c>
      <c r="U727" s="3">
        <v>2233.11</v>
      </c>
      <c r="V727" s="3">
        <v>4399.67</v>
      </c>
      <c r="W727" s="3">
        <v>798.93</v>
      </c>
      <c r="X727" s="3">
        <v>36752.629999999997</v>
      </c>
      <c r="Y727" s="3">
        <v>11773.38</v>
      </c>
      <c r="Z727" s="3">
        <f t="shared" si="49"/>
        <v>877.99000000000524</v>
      </c>
      <c r="AA727" s="37">
        <f t="shared" si="50"/>
        <v>2.333179735013681E-2</v>
      </c>
      <c r="AB727" s="3">
        <v>732.56</v>
      </c>
      <c r="AC727" s="3">
        <v>1128.92</v>
      </c>
      <c r="AD727" s="3">
        <v>6570.31</v>
      </c>
      <c r="AE727" s="3">
        <v>43072.01</v>
      </c>
      <c r="AF727" t="str">
        <f>IF(tbl_FinancialData[[#This Row],[City]]="","Unknown",PROPER(TRIM(tbl_FinancialData[[#This Row],[City]])))</f>
        <v>Warangal</v>
      </c>
      <c r="AG727" t="str">
        <f>_xlfn.LET(_xlpm.city,LOWER(TRIM(tbl_FinancialData[[#This Row],[City]])),_xlpm.st,PROPER(TRIM(tbl_FinancialData[[#This Row],[State]])),IF(_xlpm.city="pune","Maharashtra",IF(_xlpm.city="jamshedpur","Jharkhand",IF(_xlpm.city="bhilai","Chhattisgarh",IF(_xlpm.city="mumbai","Maharashtra",_xlpm.st)))))</f>
        <v>Telangana</v>
      </c>
      <c r="AH727" t="str">
        <f>_xlfn.LET(_xlpm.d,PROPER(TRIM(tbl_FinancialData[[#This Row],[Department]])),IF(_xlpm.d="It","IT",_xlpm.d))</f>
        <v>Sales</v>
      </c>
      <c r="AI727" t="str">
        <f>_xlfn.LET(_xlpm.pid,tbl_FinancialData[[#This Row],[Product ID]],_xlpm.n,PROPER(TRIM(tbl_FinancialData[[#This Row],[Product Name]])),IF(_xlpm.pid="P020","Document Scanner",IF(_xlpm.pid="P015","Network Router",SUBSTITUTE(SUBSTITUTE(_xlpm.n,"Crm","CRM"),"Ups","UPS"))))</f>
        <v>Printer</v>
      </c>
      <c r="AJ727" s="3" t="str">
        <f>UPPER(TRIM(tbl_FinancialData[[#This Row],[Cost Center]]))</f>
        <v>CC-1005</v>
      </c>
    </row>
    <row r="728" spans="1:36" x14ac:dyDescent="0.25">
      <c r="A728" s="3" t="s">
        <v>930</v>
      </c>
      <c r="B728" s="2">
        <v>45939</v>
      </c>
      <c r="C728" t="s">
        <v>92</v>
      </c>
      <c r="D728" s="3" t="str">
        <f t="shared" si="47"/>
        <v>Q3</v>
      </c>
      <c r="E728" s="3" t="str">
        <f t="shared" si="48"/>
        <v>FY2026</v>
      </c>
      <c r="F728" s="8" t="s">
        <v>34</v>
      </c>
      <c r="G728" s="3" t="s">
        <v>35</v>
      </c>
      <c r="H728" t="s">
        <v>157</v>
      </c>
      <c r="I728" t="s">
        <v>194</v>
      </c>
      <c r="J728" s="3" t="s">
        <v>80</v>
      </c>
      <c r="K728" t="s">
        <v>71</v>
      </c>
      <c r="L728" s="3" t="s">
        <v>81</v>
      </c>
      <c r="M728" s="3" t="s">
        <v>171</v>
      </c>
      <c r="N728" t="s">
        <v>172</v>
      </c>
      <c r="O728" t="s">
        <v>173</v>
      </c>
      <c r="P728" t="s">
        <v>174</v>
      </c>
      <c r="Q728" s="3">
        <v>9992.2999999999993</v>
      </c>
      <c r="R728" s="3">
        <v>8957.4599999999991</v>
      </c>
      <c r="S728" s="3">
        <v>6482.94</v>
      </c>
      <c r="T728" s="3">
        <v>1212.08</v>
      </c>
      <c r="U728" s="3">
        <v>662.81</v>
      </c>
      <c r="V728" s="3">
        <v>1149.32</v>
      </c>
      <c r="W728" s="3">
        <v>144.86000000000001</v>
      </c>
      <c r="X728" s="3">
        <v>9652</v>
      </c>
      <c r="Y728" s="3">
        <v>3509.36</v>
      </c>
      <c r="Z728" s="3">
        <f t="shared" si="49"/>
        <v>340.29999999999927</v>
      </c>
      <c r="AA728" s="37">
        <f t="shared" si="50"/>
        <v>3.4056223291934716E-2</v>
      </c>
      <c r="AB728" s="3">
        <v>1034.8399999999999</v>
      </c>
      <c r="AC728" s="3">
        <v>0</v>
      </c>
      <c r="AD728" s="3">
        <v>1798.61</v>
      </c>
      <c r="AE728" s="3">
        <v>11790.92</v>
      </c>
      <c r="AF728" t="str">
        <f>IF(tbl_FinancialData[[#This Row],[City]]="","Unknown",PROPER(TRIM(tbl_FinancialData[[#This Row],[City]])))</f>
        <v>Surat</v>
      </c>
      <c r="AG728" t="str">
        <f>_xlfn.LET(_xlpm.city,LOWER(TRIM(tbl_FinancialData[[#This Row],[City]])),_xlpm.st,PROPER(TRIM(tbl_FinancialData[[#This Row],[State]])),IF(_xlpm.city="pune","Maharashtra",IF(_xlpm.city="jamshedpur","Jharkhand",IF(_xlpm.city="bhilai","Chhattisgarh",IF(_xlpm.city="mumbai","Maharashtra",_xlpm.st)))))</f>
        <v>Gujarat</v>
      </c>
      <c r="AH728" t="str">
        <f>_xlfn.LET(_xlpm.d,PROPER(TRIM(tbl_FinancialData[[#This Row],[Department]])),IF(_xlpm.d="It","IT",_xlpm.d))</f>
        <v>Marketing</v>
      </c>
      <c r="AI728" t="str">
        <f>_xlfn.LET(_xlpm.pid,tbl_FinancialData[[#This Row],[Product ID]],_xlpm.n,PROPER(TRIM(tbl_FinancialData[[#This Row],[Product Name]])),IF(_xlpm.pid="P020","Document Scanner",IF(_xlpm.pid="P015","Network Router",SUBSTITUTE(SUBSTITUTE(_xlpm.n,"Crm","CRM"),"Ups","UPS"))))</f>
        <v>Network Switch</v>
      </c>
      <c r="AJ728" s="3" t="str">
        <f>UPPER(TRIM(tbl_FinancialData[[#This Row],[Cost Center]]))</f>
        <v>CC-1005</v>
      </c>
    </row>
    <row r="729" spans="1:36" x14ac:dyDescent="0.25">
      <c r="A729" s="3" t="s">
        <v>931</v>
      </c>
      <c r="B729" s="2">
        <v>45937</v>
      </c>
      <c r="C729" t="s">
        <v>92</v>
      </c>
      <c r="D729" s="3" t="str">
        <f t="shared" si="47"/>
        <v>Q3</v>
      </c>
      <c r="E729" s="3" t="str">
        <f t="shared" si="48"/>
        <v>FY2026</v>
      </c>
      <c r="F729" s="8" t="s">
        <v>85</v>
      </c>
      <c r="G729" s="3" t="s">
        <v>35</v>
      </c>
      <c r="H729" t="s">
        <v>60</v>
      </c>
      <c r="I729" t="s">
        <v>185</v>
      </c>
      <c r="J729" s="3" t="s">
        <v>38</v>
      </c>
      <c r="K729" t="s">
        <v>160</v>
      </c>
      <c r="L729" s="3" t="s">
        <v>40</v>
      </c>
      <c r="M729" s="3" t="s">
        <v>141</v>
      </c>
      <c r="N729" t="s">
        <v>142</v>
      </c>
      <c r="O729" t="s">
        <v>54</v>
      </c>
      <c r="P729" t="s">
        <v>143</v>
      </c>
      <c r="Q729" s="3">
        <v>6010.82</v>
      </c>
      <c r="R729" s="3">
        <v>6716.21</v>
      </c>
      <c r="S729" s="3">
        <v>3753.42</v>
      </c>
      <c r="T729" s="3">
        <v>576.07000000000005</v>
      </c>
      <c r="U729" s="3">
        <v>329.36</v>
      </c>
      <c r="V729" s="3">
        <v>373.65</v>
      </c>
      <c r="W729" s="3">
        <v>157.74</v>
      </c>
      <c r="X729" s="3">
        <v>5190.25</v>
      </c>
      <c r="Y729" s="3">
        <v>2257.4</v>
      </c>
      <c r="Z729" s="3">
        <f t="shared" si="49"/>
        <v>820.56999999999971</v>
      </c>
      <c r="AA729" s="37">
        <f t="shared" si="50"/>
        <v>0.13651548374431438</v>
      </c>
      <c r="AB729" s="3">
        <v>-705.4</v>
      </c>
      <c r="AC729" s="3">
        <v>180.32</v>
      </c>
      <c r="AD729" s="3">
        <v>699.66</v>
      </c>
      <c r="AE729" s="3">
        <v>6530.15</v>
      </c>
      <c r="AF729" t="str">
        <f>IF(tbl_FinancialData[[#This Row],[City]]="","Unknown",PROPER(TRIM(tbl_FinancialData[[#This Row],[City]])))</f>
        <v>Kanpur</v>
      </c>
      <c r="AG729" t="str">
        <f>_xlfn.LET(_xlpm.city,LOWER(TRIM(tbl_FinancialData[[#This Row],[City]])),_xlpm.st,PROPER(TRIM(tbl_FinancialData[[#This Row],[State]])),IF(_xlpm.city="pune","Maharashtra",IF(_xlpm.city="jamshedpur","Jharkhand",IF(_xlpm.city="bhilai","Chhattisgarh",IF(_xlpm.city="mumbai","Maharashtra",_xlpm.st)))))</f>
        <v>Uttar Pradesh</v>
      </c>
      <c r="AH729" t="str">
        <f>_xlfn.LET(_xlpm.d,PROPER(TRIM(tbl_FinancialData[[#This Row],[Department]])),IF(_xlpm.d="It","IT",_xlpm.d))</f>
        <v>IT</v>
      </c>
      <c r="AI729" t="str">
        <f>_xlfn.LET(_xlpm.pid,tbl_FinancialData[[#This Row],[Product ID]],_xlpm.n,PROPER(TRIM(tbl_FinancialData[[#This Row],[Product Name]])),IF(_xlpm.pid="P020","Document Scanner",IF(_xlpm.pid="P015","Network Router",SUBSTITUTE(SUBSTITUTE(_xlpm.n,"Crm","CRM"),"Ups","UPS"))))</f>
        <v>Headset</v>
      </c>
      <c r="AJ729" s="3" t="str">
        <f>UPPER(TRIM(tbl_FinancialData[[#This Row],[Cost Center]]))</f>
        <v>CC-1002</v>
      </c>
    </row>
    <row r="730" spans="1:36" x14ac:dyDescent="0.25">
      <c r="A730" s="3" t="s">
        <v>932</v>
      </c>
      <c r="B730" s="2">
        <v>45883</v>
      </c>
      <c r="C730" t="s">
        <v>117</v>
      </c>
      <c r="D730" s="3" t="str">
        <f t="shared" si="47"/>
        <v>Q2</v>
      </c>
      <c r="E730" s="3" t="str">
        <f t="shared" si="48"/>
        <v>FY2026</v>
      </c>
      <c r="F730" s="8" t="s">
        <v>85</v>
      </c>
      <c r="G730" s="3" t="s">
        <v>35</v>
      </c>
      <c r="H730" t="s">
        <v>60</v>
      </c>
      <c r="I730" t="s">
        <v>108</v>
      </c>
      <c r="J730" s="3" t="s">
        <v>100</v>
      </c>
      <c r="K730" t="s">
        <v>50</v>
      </c>
      <c r="L730" s="3" t="s">
        <v>81</v>
      </c>
      <c r="M730" s="3" t="s">
        <v>102</v>
      </c>
      <c r="N730" t="s">
        <v>103</v>
      </c>
      <c r="O730" t="s">
        <v>104</v>
      </c>
      <c r="P730" t="s">
        <v>105</v>
      </c>
      <c r="Q730" s="3">
        <v>25392.94</v>
      </c>
      <c r="R730" s="3">
        <v>28714.22</v>
      </c>
      <c r="S730" s="3">
        <v>12936.45</v>
      </c>
      <c r="T730" s="3">
        <v>2940.4</v>
      </c>
      <c r="U730" s="3">
        <v>1467.76</v>
      </c>
      <c r="V730" s="3">
        <v>2814.6</v>
      </c>
      <c r="W730" s="3">
        <v>1041.8900000000001</v>
      </c>
      <c r="X730" s="3">
        <v>21201.1</v>
      </c>
      <c r="Y730" s="3">
        <v>12456.5</v>
      </c>
      <c r="Z730" s="3">
        <f t="shared" si="49"/>
        <v>4191.84</v>
      </c>
      <c r="AA730" s="37">
        <f t="shared" si="50"/>
        <v>0.16507895501663061</v>
      </c>
      <c r="AB730" s="3">
        <v>-3321.28</v>
      </c>
      <c r="AC730" s="3">
        <v>0</v>
      </c>
      <c r="AD730" s="3">
        <v>3047.15</v>
      </c>
      <c r="AE730" s="3">
        <v>28440.1</v>
      </c>
      <c r="AF730" t="str">
        <f>IF(tbl_FinancialData[[#This Row],[City]]="","Unknown",PROPER(TRIM(tbl_FinancialData[[#This Row],[City]])))</f>
        <v>Agra</v>
      </c>
      <c r="AG730" t="str">
        <f>_xlfn.LET(_xlpm.city,LOWER(TRIM(tbl_FinancialData[[#This Row],[City]])),_xlpm.st,PROPER(TRIM(tbl_FinancialData[[#This Row],[State]])),IF(_xlpm.city="pune","Maharashtra",IF(_xlpm.city="jamshedpur","Jharkhand",IF(_xlpm.city="bhilai","Chhattisgarh",IF(_xlpm.city="mumbai","Maharashtra",_xlpm.st)))))</f>
        <v>Uttar Pradesh</v>
      </c>
      <c r="AH730" t="str">
        <f>_xlfn.LET(_xlpm.d,PROPER(TRIM(tbl_FinancialData[[#This Row],[Department]])),IF(_xlpm.d="It","IT",_xlpm.d))</f>
        <v>Sales</v>
      </c>
      <c r="AI730" t="str">
        <f>_xlfn.LET(_xlpm.pid,tbl_FinancialData[[#This Row],[Product ID]],_xlpm.n,PROPER(TRIM(tbl_FinancialData[[#This Row],[Product Name]])),IF(_xlpm.pid="P020","Document Scanner",IF(_xlpm.pid="P015","Network Router",SUBSTITUTE(SUBSTITUTE(_xlpm.n,"Crm","CRM"),"Ups","UPS"))))</f>
        <v>Accounting Software</v>
      </c>
      <c r="AJ730" s="3" t="str">
        <f>UPPER(TRIM(tbl_FinancialData[[#This Row],[Cost Center]]))</f>
        <v>CC-1005</v>
      </c>
    </row>
    <row r="731" spans="1:36" x14ac:dyDescent="0.25">
      <c r="A731" s="3" t="s">
        <v>933</v>
      </c>
      <c r="B731" s="2">
        <v>45821</v>
      </c>
      <c r="C731" t="s">
        <v>156</v>
      </c>
      <c r="D731" s="3" t="str">
        <f t="shared" si="47"/>
        <v>Q1</v>
      </c>
      <c r="E731" s="3" t="str">
        <f t="shared" si="48"/>
        <v>FY2026</v>
      </c>
      <c r="F731" s="8" t="s">
        <v>67</v>
      </c>
      <c r="G731" s="3" t="s">
        <v>35</v>
      </c>
      <c r="H731" t="s">
        <v>118</v>
      </c>
      <c r="I731" t="s">
        <v>209</v>
      </c>
      <c r="J731" s="3" t="s">
        <v>70</v>
      </c>
      <c r="K731" t="s">
        <v>50</v>
      </c>
      <c r="L731" s="3" t="s">
        <v>51</v>
      </c>
      <c r="M731" s="3" t="s">
        <v>235</v>
      </c>
      <c r="N731" t="s">
        <v>236</v>
      </c>
      <c r="O731" t="s">
        <v>104</v>
      </c>
      <c r="P731" t="s">
        <v>237</v>
      </c>
      <c r="Q731" s="3">
        <v>21819.86</v>
      </c>
      <c r="R731" s="3">
        <v>24190.21</v>
      </c>
      <c r="S731" s="3">
        <v>12721.79</v>
      </c>
      <c r="T731" s="3">
        <v>1185.8900000000001</v>
      </c>
      <c r="U731" s="3">
        <v>784.51</v>
      </c>
      <c r="V731" s="3">
        <v>1668.65</v>
      </c>
      <c r="W731" s="3">
        <v>839.71</v>
      </c>
      <c r="X731" s="3">
        <v>17200.55</v>
      </c>
      <c r="Y731" s="3">
        <v>9098.07</v>
      </c>
      <c r="Z731" s="3">
        <f t="shared" si="49"/>
        <v>4619.3100000000013</v>
      </c>
      <c r="AA731" s="37">
        <f t="shared" si="50"/>
        <v>0.21170209158078929</v>
      </c>
      <c r="AB731" s="3">
        <v>-2370.35</v>
      </c>
      <c r="AC731" s="3">
        <v>654.6</v>
      </c>
      <c r="AD731" s="3">
        <v>2539.83</v>
      </c>
      <c r="AE731" s="3">
        <v>23705.1</v>
      </c>
      <c r="AF731" t="str">
        <f>IF(tbl_FinancialData[[#This Row],[City]]="","Unknown",PROPER(TRIM(tbl_FinancialData[[#This Row],[City]])))</f>
        <v>Jamshedpur</v>
      </c>
      <c r="AG731" t="str">
        <f>_xlfn.LET(_xlpm.city,LOWER(TRIM(tbl_FinancialData[[#This Row],[City]])),_xlpm.st,PROPER(TRIM(tbl_FinancialData[[#This Row],[State]])),IF(_xlpm.city="pune","Maharashtra",IF(_xlpm.city="jamshedpur","Jharkhand",IF(_xlpm.city="bhilai","Chhattisgarh",IF(_xlpm.city="mumbai","Maharashtra",_xlpm.st)))))</f>
        <v>Jharkhand</v>
      </c>
      <c r="AH731" t="str">
        <f>_xlfn.LET(_xlpm.d,PROPER(TRIM(tbl_FinancialData[[#This Row],[Department]])),IF(_xlpm.d="It","IT",_xlpm.d))</f>
        <v>Sales</v>
      </c>
      <c r="AI731" t="str">
        <f>_xlfn.LET(_xlpm.pid,tbl_FinancialData[[#This Row],[Product ID]],_xlpm.n,PROPER(TRIM(tbl_FinancialData[[#This Row],[Product Name]])),IF(_xlpm.pid="P020","Document Scanner",IF(_xlpm.pid="P015","Network Router",SUBSTITUTE(SUBSTITUTE(_xlpm.n,"Crm","CRM"),"Ups","UPS"))))</f>
        <v>Data Storage</v>
      </c>
      <c r="AJ731" s="3" t="str">
        <f>UPPER(TRIM(tbl_FinancialData[[#This Row],[Cost Center]]))</f>
        <v>CC-1003</v>
      </c>
    </row>
    <row r="732" spans="1:36" x14ac:dyDescent="0.25">
      <c r="A732" s="3" t="s">
        <v>934</v>
      </c>
      <c r="B732" s="2">
        <v>46063</v>
      </c>
      <c r="C732" t="s">
        <v>57</v>
      </c>
      <c r="D732" s="3" t="str">
        <f t="shared" si="47"/>
        <v>Q4</v>
      </c>
      <c r="E732" s="3" t="str">
        <f t="shared" si="48"/>
        <v>FY2026</v>
      </c>
      <c r="F732" s="8" t="s">
        <v>34</v>
      </c>
      <c r="G732" s="3" t="s">
        <v>35</v>
      </c>
      <c r="H732" t="s">
        <v>98</v>
      </c>
      <c r="I732" t="s">
        <v>304</v>
      </c>
      <c r="J732" s="3" t="s">
        <v>80</v>
      </c>
      <c r="K732" t="s">
        <v>50</v>
      </c>
      <c r="L732" s="3" t="s">
        <v>51</v>
      </c>
      <c r="M732" s="3" t="s">
        <v>211</v>
      </c>
      <c r="N732" t="s">
        <v>212</v>
      </c>
      <c r="O732" t="s">
        <v>112</v>
      </c>
      <c r="P732" t="s">
        <v>113</v>
      </c>
      <c r="Q732" s="3">
        <v>30615.13</v>
      </c>
      <c r="R732" s="3">
        <v>27135.69</v>
      </c>
      <c r="S732" s="3">
        <v>17169.25</v>
      </c>
      <c r="T732" s="3">
        <v>1884.61</v>
      </c>
      <c r="U732" s="3">
        <v>1228.99</v>
      </c>
      <c r="V732" s="3">
        <v>3442.34</v>
      </c>
      <c r="W732" s="3">
        <v>345.68</v>
      </c>
      <c r="X732" s="3">
        <v>24070.87</v>
      </c>
      <c r="Y732" s="3">
        <v>13445.88</v>
      </c>
      <c r="Z732" s="3">
        <f t="shared" si="49"/>
        <v>6544.260000000002</v>
      </c>
      <c r="AA732" s="37">
        <f t="shared" si="50"/>
        <v>0.21375901392546762</v>
      </c>
      <c r="AB732" s="3">
        <v>3479.44</v>
      </c>
      <c r="AC732" s="3">
        <v>612.29999999999995</v>
      </c>
      <c r="AD732" s="3">
        <v>3600.34</v>
      </c>
      <c r="AE732" s="3">
        <v>33603.160000000003</v>
      </c>
      <c r="AF732" t="str">
        <f>IF(tbl_FinancialData[[#This Row],[City]]="","Unknown",PROPER(TRIM(tbl_FinancialData[[#This Row],[City]])))</f>
        <v>Pune</v>
      </c>
      <c r="AG732" t="str">
        <f>_xlfn.LET(_xlpm.city,LOWER(TRIM(tbl_FinancialData[[#This Row],[City]])),_xlpm.st,PROPER(TRIM(tbl_FinancialData[[#This Row],[State]])),IF(_xlpm.city="pune","Maharashtra",IF(_xlpm.city="jamshedpur","Jharkhand",IF(_xlpm.city="bhilai","Chhattisgarh",IF(_xlpm.city="mumbai","Maharashtra",_xlpm.st)))))</f>
        <v>Maharashtra</v>
      </c>
      <c r="AH732" t="str">
        <f>_xlfn.LET(_xlpm.d,PROPER(TRIM(tbl_FinancialData[[#This Row],[Department]])),IF(_xlpm.d="It","IT",_xlpm.d))</f>
        <v>Sales</v>
      </c>
      <c r="AI732" t="str">
        <f>_xlfn.LET(_xlpm.pid,tbl_FinancialData[[#This Row],[Product ID]],_xlpm.n,PROPER(TRIM(tbl_FinancialData[[#This Row],[Product Name]])),IF(_xlpm.pid="P020","Document Scanner",IF(_xlpm.pid="P015","Network Router",SUBSTITUTE(SUBSTITUTE(_xlpm.n,"Crm","CRM"),"Ups","UPS"))))</f>
        <v>Office Chair</v>
      </c>
      <c r="AJ732" s="3" t="str">
        <f>UPPER(TRIM(tbl_FinancialData[[#This Row],[Cost Center]]))</f>
        <v>CC-1003</v>
      </c>
    </row>
    <row r="733" spans="1:36" x14ac:dyDescent="0.25">
      <c r="A733" s="3" t="s">
        <v>935</v>
      </c>
      <c r="B733" s="2">
        <v>46084</v>
      </c>
      <c r="C733" t="s">
        <v>125</v>
      </c>
      <c r="D733" s="3" t="str">
        <f t="shared" si="47"/>
        <v>Q4</v>
      </c>
      <c r="E733" s="3" t="str">
        <f t="shared" si="48"/>
        <v>FY2026</v>
      </c>
      <c r="F733" s="8" t="s">
        <v>34</v>
      </c>
      <c r="G733" s="3" t="s">
        <v>35</v>
      </c>
      <c r="H733" t="s">
        <v>134</v>
      </c>
      <c r="I733" t="s">
        <v>176</v>
      </c>
      <c r="J733" s="3" t="s">
        <v>80</v>
      </c>
      <c r="K733" t="s">
        <v>50</v>
      </c>
      <c r="L733" s="3" t="s">
        <v>40</v>
      </c>
      <c r="M733" s="3" t="s">
        <v>62</v>
      </c>
      <c r="N733" t="s">
        <v>63</v>
      </c>
      <c r="O733" t="s">
        <v>54</v>
      </c>
      <c r="P733" t="s">
        <v>55</v>
      </c>
      <c r="Q733" s="3">
        <v>6471.18</v>
      </c>
      <c r="R733" s="3">
        <v>7272.77</v>
      </c>
      <c r="S733" s="3">
        <v>3290.04</v>
      </c>
      <c r="T733" s="3">
        <v>714.97</v>
      </c>
      <c r="U733" s="3">
        <v>203.05</v>
      </c>
      <c r="V733" s="3">
        <v>490.21</v>
      </c>
      <c r="W733" s="3">
        <v>230.96</v>
      </c>
      <c r="X733" s="3">
        <v>4929.24</v>
      </c>
      <c r="Y733" s="3">
        <v>3181.13</v>
      </c>
      <c r="Z733" s="3">
        <f t="shared" si="49"/>
        <v>1541.9400000000005</v>
      </c>
      <c r="AA733" s="37">
        <f t="shared" si="50"/>
        <v>0.23827802657320618</v>
      </c>
      <c r="AB733" s="3">
        <v>-801.59</v>
      </c>
      <c r="AC733" s="3">
        <v>0</v>
      </c>
      <c r="AD733" s="3">
        <v>776.54</v>
      </c>
      <c r="AE733" s="3">
        <v>7247.72</v>
      </c>
      <c r="AF733" t="str">
        <f>IF(tbl_FinancialData[[#This Row],[City]]="","Unknown",PROPER(TRIM(tbl_FinancialData[[#This Row],[City]])))</f>
        <v>Jaipur</v>
      </c>
      <c r="AG733" t="str">
        <f>_xlfn.LET(_xlpm.city,LOWER(TRIM(tbl_FinancialData[[#This Row],[City]])),_xlpm.st,PROPER(TRIM(tbl_FinancialData[[#This Row],[State]])),IF(_xlpm.city="pune","Maharashtra",IF(_xlpm.city="jamshedpur","Jharkhand",IF(_xlpm.city="bhilai","Chhattisgarh",IF(_xlpm.city="mumbai","Maharashtra",_xlpm.st)))))</f>
        <v>Rajasthan</v>
      </c>
      <c r="AH733" t="str">
        <f>_xlfn.LET(_xlpm.d,PROPER(TRIM(tbl_FinancialData[[#This Row],[Department]])),IF(_xlpm.d="It","IT",_xlpm.d))</f>
        <v>Sales</v>
      </c>
      <c r="AI733" t="str">
        <f>_xlfn.LET(_xlpm.pid,tbl_FinancialData[[#This Row],[Product ID]],_xlpm.n,PROPER(TRIM(tbl_FinancialData[[#This Row],[Product Name]])),IF(_xlpm.pid="P020","Document Scanner",IF(_xlpm.pid="P015","Network Router",SUBSTITUTE(SUBSTITUTE(_xlpm.n,"Crm","CRM"),"Ups","UPS"))))</f>
        <v>Keyboard</v>
      </c>
      <c r="AJ733" s="3" t="str">
        <f>UPPER(TRIM(tbl_FinancialData[[#This Row],[Cost Center]]))</f>
        <v>CC-1002</v>
      </c>
    </row>
    <row r="734" spans="1:36" x14ac:dyDescent="0.25">
      <c r="A734" s="3" t="s">
        <v>936</v>
      </c>
      <c r="B734" s="2">
        <v>45899</v>
      </c>
      <c r="C734" t="s">
        <v>117</v>
      </c>
      <c r="D734" s="3" t="str">
        <f t="shared" si="47"/>
        <v>Q2</v>
      </c>
      <c r="E734" s="3" t="str">
        <f t="shared" si="48"/>
        <v>FY2026</v>
      </c>
      <c r="F734" s="8" t="s">
        <v>85</v>
      </c>
      <c r="G734" s="3" t="s">
        <v>35</v>
      </c>
      <c r="H734" t="s">
        <v>86</v>
      </c>
      <c r="I734" t="s">
        <v>262</v>
      </c>
      <c r="J734" s="3" t="s">
        <v>70</v>
      </c>
      <c r="K734" t="s">
        <v>50</v>
      </c>
      <c r="L734" s="3" t="s">
        <v>51</v>
      </c>
      <c r="M734" s="3" t="s">
        <v>95</v>
      </c>
      <c r="N734" t="s">
        <v>96</v>
      </c>
      <c r="O734" t="s">
        <v>43</v>
      </c>
      <c r="P734" t="s">
        <v>90</v>
      </c>
      <c r="Q734" s="3">
        <v>35228.49</v>
      </c>
      <c r="R734" s="3">
        <v>36831.26</v>
      </c>
      <c r="S734" s="3">
        <v>20867.490000000002</v>
      </c>
      <c r="T734" s="3">
        <v>4535.93</v>
      </c>
      <c r="U734" s="3">
        <v>2156.06</v>
      </c>
      <c r="V734" s="3">
        <v>3272.35</v>
      </c>
      <c r="W734" s="3">
        <v>762.59</v>
      </c>
      <c r="X734" s="3">
        <v>31594.42</v>
      </c>
      <c r="Y734" s="3">
        <v>14361</v>
      </c>
      <c r="Z734" s="3">
        <f t="shared" si="49"/>
        <v>3634.0699999999997</v>
      </c>
      <c r="AA734" s="37">
        <f t="shared" si="50"/>
        <v>0.10315713219612875</v>
      </c>
      <c r="AB734" s="3">
        <v>-1602.78</v>
      </c>
      <c r="AC734" s="3">
        <v>1056.8499999999999</v>
      </c>
      <c r="AD734" s="3">
        <v>4100.6000000000004</v>
      </c>
      <c r="AE734" s="3">
        <v>38272.230000000003</v>
      </c>
      <c r="AF734" t="str">
        <f>IF(tbl_FinancialData[[#This Row],[City]]="","Unknown",PROPER(TRIM(tbl_FinancialData[[#This Row],[City]])))</f>
        <v>Gwalior</v>
      </c>
      <c r="AG734" t="str">
        <f>_xlfn.LET(_xlpm.city,LOWER(TRIM(tbl_FinancialData[[#This Row],[City]])),_xlpm.st,PROPER(TRIM(tbl_FinancialData[[#This Row],[State]])),IF(_xlpm.city="pune","Maharashtra",IF(_xlpm.city="jamshedpur","Jharkhand",IF(_xlpm.city="bhilai","Chhattisgarh",IF(_xlpm.city="mumbai","Maharashtra",_xlpm.st)))))</f>
        <v>Madhya Pradesh</v>
      </c>
      <c r="AH734" t="str">
        <f>_xlfn.LET(_xlpm.d,PROPER(TRIM(tbl_FinancialData[[#This Row],[Department]])),IF(_xlpm.d="It","IT",_xlpm.d))</f>
        <v>Sales</v>
      </c>
      <c r="AI734" t="str">
        <f>_xlfn.LET(_xlpm.pid,tbl_FinancialData[[#This Row],[Product ID]],_xlpm.n,PROPER(TRIM(tbl_FinancialData[[#This Row],[Product Name]])),IF(_xlpm.pid="P020","Document Scanner",IF(_xlpm.pid="P015","Network Router",SUBSTITUTE(SUBSTITUTE(_xlpm.n,"Crm","CRM"),"Ups","UPS"))))</f>
        <v>Document Scanner</v>
      </c>
      <c r="AJ734" s="3" t="str">
        <f>UPPER(TRIM(tbl_FinancialData[[#This Row],[Cost Center]]))</f>
        <v>CC-1003</v>
      </c>
    </row>
    <row r="735" spans="1:36" x14ac:dyDescent="0.25">
      <c r="A735" s="3" t="s">
        <v>937</v>
      </c>
      <c r="B735" s="2">
        <v>46059</v>
      </c>
      <c r="C735" t="s">
        <v>57</v>
      </c>
      <c r="D735" s="3" t="str">
        <f t="shared" si="47"/>
        <v>Q4</v>
      </c>
      <c r="E735" s="3" t="str">
        <f t="shared" si="48"/>
        <v>FY2026</v>
      </c>
      <c r="F735" s="8" t="s">
        <v>47</v>
      </c>
      <c r="G735" s="3" t="s">
        <v>35</v>
      </c>
      <c r="H735" t="s">
        <v>48</v>
      </c>
      <c r="I735" t="s">
        <v>938</v>
      </c>
      <c r="J735" s="3" t="s">
        <v>38</v>
      </c>
      <c r="K735" t="s">
        <v>50</v>
      </c>
      <c r="L735" s="3" t="s">
        <v>72</v>
      </c>
      <c r="M735" s="3" t="s">
        <v>235</v>
      </c>
      <c r="N735" t="s">
        <v>236</v>
      </c>
      <c r="O735" t="s">
        <v>104</v>
      </c>
      <c r="P735" t="s">
        <v>237</v>
      </c>
      <c r="Q735" s="3">
        <v>17552.64</v>
      </c>
      <c r="R735" s="3">
        <v>16861.39</v>
      </c>
      <c r="S735" s="3">
        <v>11172.16</v>
      </c>
      <c r="T735" s="3">
        <v>1066.72</v>
      </c>
      <c r="U735" s="3">
        <v>1030.52</v>
      </c>
      <c r="V735" s="3">
        <v>1780.64</v>
      </c>
      <c r="W735" s="3">
        <v>276.45999999999998</v>
      </c>
      <c r="X735" s="3">
        <v>15326.5</v>
      </c>
      <c r="Y735" s="3">
        <v>6380.48</v>
      </c>
      <c r="Z735" s="3">
        <f t="shared" si="49"/>
        <v>2226.1399999999994</v>
      </c>
      <c r="AA735" s="37">
        <f t="shared" si="50"/>
        <v>0.12682650587034197</v>
      </c>
      <c r="AB735" s="3">
        <v>691.25</v>
      </c>
      <c r="AC735" s="3">
        <v>877.63</v>
      </c>
      <c r="AD735" s="3">
        <v>3001.5</v>
      </c>
      <c r="AE735" s="3">
        <v>19676.509999999998</v>
      </c>
      <c r="AF735" t="str">
        <f>IF(tbl_FinancialData[[#This Row],[City]]="","Unknown",PROPER(TRIM(tbl_FinancialData[[#This Row],[City]])))</f>
        <v>Mumbai</v>
      </c>
      <c r="AG735" t="str">
        <f>_xlfn.LET(_xlpm.city,LOWER(TRIM(tbl_FinancialData[[#This Row],[City]])),_xlpm.st,PROPER(TRIM(tbl_FinancialData[[#This Row],[State]])),IF(_xlpm.city="pune","Maharashtra",IF(_xlpm.city="jamshedpur","Jharkhand",IF(_xlpm.city="bhilai","Chhattisgarh",IF(_xlpm.city="mumbai","Maharashtra",_xlpm.st)))))</f>
        <v>Maharashtra</v>
      </c>
      <c r="AH735" t="str">
        <f>_xlfn.LET(_xlpm.d,PROPER(TRIM(tbl_FinancialData[[#This Row],[Department]])),IF(_xlpm.d="It","IT",_xlpm.d))</f>
        <v>Sales</v>
      </c>
      <c r="AI735" t="str">
        <f>_xlfn.LET(_xlpm.pid,tbl_FinancialData[[#This Row],[Product ID]],_xlpm.n,PROPER(TRIM(tbl_FinancialData[[#This Row],[Product Name]])),IF(_xlpm.pid="P020","Document Scanner",IF(_xlpm.pid="P015","Network Router",SUBSTITUTE(SUBSTITUTE(_xlpm.n,"Crm","CRM"),"Ups","UPS"))))</f>
        <v>Data Storage</v>
      </c>
      <c r="AJ735" s="3" t="str">
        <f>UPPER(TRIM(tbl_FinancialData[[#This Row],[Cost Center]]))</f>
        <v>CC-1004</v>
      </c>
    </row>
    <row r="736" spans="1:36" x14ac:dyDescent="0.25">
      <c r="A736" s="3" t="s">
        <v>939</v>
      </c>
      <c r="B736" s="2">
        <v>45831</v>
      </c>
      <c r="C736" t="s">
        <v>156</v>
      </c>
      <c r="D736" s="3" t="str">
        <f t="shared" si="47"/>
        <v>Q1</v>
      </c>
      <c r="E736" s="3" t="str">
        <f t="shared" si="48"/>
        <v>FY2026</v>
      </c>
      <c r="F736" s="8" t="s">
        <v>34</v>
      </c>
      <c r="G736" s="3" t="s">
        <v>35</v>
      </c>
      <c r="H736" t="s">
        <v>157</v>
      </c>
      <c r="I736" t="s">
        <v>158</v>
      </c>
      <c r="J736" s="3" t="s">
        <v>70</v>
      </c>
      <c r="K736" t="s">
        <v>50</v>
      </c>
      <c r="L736" s="3" t="s">
        <v>51</v>
      </c>
      <c r="M736" s="3" t="s">
        <v>52</v>
      </c>
      <c r="N736" t="s">
        <v>53</v>
      </c>
      <c r="O736" t="s">
        <v>54</v>
      </c>
      <c r="P736" t="s">
        <v>55</v>
      </c>
      <c r="Q736" s="3">
        <v>2701.61</v>
      </c>
      <c r="R736" s="3">
        <v>2779.96</v>
      </c>
      <c r="S736" s="3">
        <v>1560.9</v>
      </c>
      <c r="T736" s="3">
        <v>286.13</v>
      </c>
      <c r="U736" s="3">
        <v>226.32</v>
      </c>
      <c r="V736" s="3">
        <v>282.10000000000002</v>
      </c>
      <c r="W736" s="3">
        <v>52.97</v>
      </c>
      <c r="X736" s="3">
        <v>2408.41</v>
      </c>
      <c r="Y736" s="3">
        <v>1140.71</v>
      </c>
      <c r="Z736" s="3">
        <f t="shared" si="49"/>
        <v>293.20000000000027</v>
      </c>
      <c r="AA736" s="37">
        <f t="shared" si="50"/>
        <v>0.10852787782100312</v>
      </c>
      <c r="AB736" s="3">
        <v>-78.36</v>
      </c>
      <c r="AC736" s="3">
        <v>216.13</v>
      </c>
      <c r="AD736" s="3">
        <v>447.39</v>
      </c>
      <c r="AE736" s="3">
        <v>2932.87</v>
      </c>
      <c r="AF736" t="str">
        <f>IF(tbl_FinancialData[[#This Row],[City]]="","Unknown",PROPER(TRIM(tbl_FinancialData[[#This Row],[City]])))</f>
        <v>Ahmedabad</v>
      </c>
      <c r="AG736" t="str">
        <f>_xlfn.LET(_xlpm.city,LOWER(TRIM(tbl_FinancialData[[#This Row],[City]])),_xlpm.st,PROPER(TRIM(tbl_FinancialData[[#This Row],[State]])),IF(_xlpm.city="pune","Maharashtra",IF(_xlpm.city="jamshedpur","Jharkhand",IF(_xlpm.city="bhilai","Chhattisgarh",IF(_xlpm.city="mumbai","Maharashtra",_xlpm.st)))))</f>
        <v>Gujarat</v>
      </c>
      <c r="AH736" t="str">
        <f>_xlfn.LET(_xlpm.d,PROPER(TRIM(tbl_FinancialData[[#This Row],[Department]])),IF(_xlpm.d="It","IT",_xlpm.d))</f>
        <v>Sales</v>
      </c>
      <c r="AI736" t="str">
        <f>_xlfn.LET(_xlpm.pid,tbl_FinancialData[[#This Row],[Product ID]],_xlpm.n,PROPER(TRIM(tbl_FinancialData[[#This Row],[Product Name]])),IF(_xlpm.pid="P020","Document Scanner",IF(_xlpm.pid="P015","Network Router",SUBSTITUTE(SUBSTITUTE(_xlpm.n,"Crm","CRM"),"Ups","UPS"))))</f>
        <v>Mouse</v>
      </c>
      <c r="AJ736" s="3" t="str">
        <f>UPPER(TRIM(tbl_FinancialData[[#This Row],[Cost Center]]))</f>
        <v>CC-1003</v>
      </c>
    </row>
    <row r="737" spans="1:36" x14ac:dyDescent="0.25">
      <c r="A737" s="3" t="s">
        <v>940</v>
      </c>
      <c r="B737" s="2">
        <v>46080</v>
      </c>
      <c r="C737" t="s">
        <v>57</v>
      </c>
      <c r="D737" s="3" t="str">
        <f t="shared" si="47"/>
        <v>Q4</v>
      </c>
      <c r="E737" s="3" t="str">
        <f t="shared" si="48"/>
        <v>FY2026</v>
      </c>
      <c r="F737" s="8" t="s">
        <v>47</v>
      </c>
      <c r="G737" s="3" t="s">
        <v>35</v>
      </c>
      <c r="H737" t="s">
        <v>206</v>
      </c>
      <c r="I737" t="s">
        <v>207</v>
      </c>
      <c r="J737" s="3" t="s">
        <v>80</v>
      </c>
      <c r="K737" t="s">
        <v>50</v>
      </c>
      <c r="L737" s="3" t="s">
        <v>51</v>
      </c>
      <c r="M737" s="3" t="s">
        <v>95</v>
      </c>
      <c r="N737" t="s">
        <v>96</v>
      </c>
      <c r="O737" t="s">
        <v>43</v>
      </c>
      <c r="P737" t="s">
        <v>90</v>
      </c>
      <c r="Q737" s="3">
        <v>47753.46</v>
      </c>
      <c r="R737" s="3">
        <v>42103.18</v>
      </c>
      <c r="S737" s="3">
        <v>23411.99</v>
      </c>
      <c r="T737" s="3">
        <v>3320.06</v>
      </c>
      <c r="U737" s="3">
        <v>1548.59</v>
      </c>
      <c r="V737" s="3">
        <v>3947.64</v>
      </c>
      <c r="W737" s="3">
        <v>1911.56</v>
      </c>
      <c r="X737" s="3">
        <v>34139.85</v>
      </c>
      <c r="Y737" s="3">
        <v>24341.47</v>
      </c>
      <c r="Z737" s="3">
        <f t="shared" si="49"/>
        <v>13613.61</v>
      </c>
      <c r="AA737" s="37">
        <f t="shared" si="50"/>
        <v>0.28508112291758547</v>
      </c>
      <c r="AB737" s="3">
        <v>5650.27</v>
      </c>
      <c r="AC737" s="3">
        <v>2387.67</v>
      </c>
      <c r="AD737" s="3">
        <v>2268.29</v>
      </c>
      <c r="AE737" s="3">
        <v>47634.07</v>
      </c>
      <c r="AF737" t="str">
        <f>IF(tbl_FinancialData[[#This Row],[City]]="","Unknown",PROPER(TRIM(tbl_FinancialData[[#This Row],[City]])))</f>
        <v>Nizamabad</v>
      </c>
      <c r="AG737" t="str">
        <f>_xlfn.LET(_xlpm.city,LOWER(TRIM(tbl_FinancialData[[#This Row],[City]])),_xlpm.st,PROPER(TRIM(tbl_FinancialData[[#This Row],[State]])),IF(_xlpm.city="pune","Maharashtra",IF(_xlpm.city="jamshedpur","Jharkhand",IF(_xlpm.city="bhilai","Chhattisgarh",IF(_xlpm.city="mumbai","Maharashtra",_xlpm.st)))))</f>
        <v>Telangana</v>
      </c>
      <c r="AH737" t="str">
        <f>_xlfn.LET(_xlpm.d,PROPER(TRIM(tbl_FinancialData[[#This Row],[Department]])),IF(_xlpm.d="It","IT",_xlpm.d))</f>
        <v>Sales</v>
      </c>
      <c r="AI737" t="str">
        <f>_xlfn.LET(_xlpm.pid,tbl_FinancialData[[#This Row],[Product ID]],_xlpm.n,PROPER(TRIM(tbl_FinancialData[[#This Row],[Product Name]])),IF(_xlpm.pid="P020","Document Scanner",IF(_xlpm.pid="P015","Network Router",SUBSTITUTE(SUBSTITUTE(_xlpm.n,"Crm","CRM"),"Ups","UPS"))))</f>
        <v>Document Scanner</v>
      </c>
      <c r="AJ737" s="3" t="str">
        <f>UPPER(TRIM(tbl_FinancialData[[#This Row],[Cost Center]]))</f>
        <v>CC-1003</v>
      </c>
    </row>
    <row r="738" spans="1:36" x14ac:dyDescent="0.25">
      <c r="A738" s="3" t="s">
        <v>941</v>
      </c>
      <c r="B738" s="2">
        <v>45948</v>
      </c>
      <c r="C738" t="s">
        <v>92</v>
      </c>
      <c r="D738" s="3" t="str">
        <f t="shared" si="47"/>
        <v>Q3</v>
      </c>
      <c r="E738" s="3" t="str">
        <f t="shared" si="48"/>
        <v>FY2026</v>
      </c>
      <c r="F738" s="8" t="s">
        <v>67</v>
      </c>
      <c r="G738" s="3" t="s">
        <v>35</v>
      </c>
      <c r="H738" t="s">
        <v>68</v>
      </c>
      <c r="I738" t="s">
        <v>204</v>
      </c>
      <c r="J738" s="3" t="s">
        <v>70</v>
      </c>
      <c r="K738" t="s">
        <v>50</v>
      </c>
      <c r="L738" s="3" t="s">
        <v>40</v>
      </c>
      <c r="M738" s="3" t="s">
        <v>62</v>
      </c>
      <c r="N738" t="s">
        <v>63</v>
      </c>
      <c r="O738" t="s">
        <v>54</v>
      </c>
      <c r="P738" t="s">
        <v>55</v>
      </c>
      <c r="Q738" s="3">
        <v>4159.8</v>
      </c>
      <c r="R738" s="3">
        <v>4679.67</v>
      </c>
      <c r="S738" s="3">
        <v>2863.78</v>
      </c>
      <c r="T738" s="3">
        <v>420.78</v>
      </c>
      <c r="U738" s="3">
        <v>225</v>
      </c>
      <c r="V738" s="3">
        <v>386.75</v>
      </c>
      <c r="W738" s="3">
        <v>144.49</v>
      </c>
      <c r="X738" s="3">
        <v>4040.8</v>
      </c>
      <c r="Y738" s="3">
        <v>1296.02</v>
      </c>
      <c r="Z738" s="3">
        <f t="shared" si="49"/>
        <v>119</v>
      </c>
      <c r="AA738" s="37">
        <f t="shared" si="50"/>
        <v>2.8607144574258378E-2</v>
      </c>
      <c r="AB738" s="3">
        <v>-519.86</v>
      </c>
      <c r="AC738" s="3">
        <v>332.78</v>
      </c>
      <c r="AD738" s="3">
        <v>688.86</v>
      </c>
      <c r="AE738" s="3">
        <v>4515.88</v>
      </c>
      <c r="AF738" t="str">
        <f>IF(tbl_FinancialData[[#This Row],[City]]="","Unknown",PROPER(TRIM(tbl_FinancialData[[#This Row],[City]])))</f>
        <v>Cuttack</v>
      </c>
      <c r="AG738" t="str">
        <f>_xlfn.LET(_xlpm.city,LOWER(TRIM(tbl_FinancialData[[#This Row],[City]])),_xlpm.st,PROPER(TRIM(tbl_FinancialData[[#This Row],[State]])),IF(_xlpm.city="pune","Maharashtra",IF(_xlpm.city="jamshedpur","Jharkhand",IF(_xlpm.city="bhilai","Chhattisgarh",IF(_xlpm.city="mumbai","Maharashtra",_xlpm.st)))))</f>
        <v>Odisha</v>
      </c>
      <c r="AH738" t="str">
        <f>_xlfn.LET(_xlpm.d,PROPER(TRIM(tbl_FinancialData[[#This Row],[Department]])),IF(_xlpm.d="It","IT",_xlpm.d))</f>
        <v>Sales</v>
      </c>
      <c r="AI738" t="str">
        <f>_xlfn.LET(_xlpm.pid,tbl_FinancialData[[#This Row],[Product ID]],_xlpm.n,PROPER(TRIM(tbl_FinancialData[[#This Row],[Product Name]])),IF(_xlpm.pid="P020","Document Scanner",IF(_xlpm.pid="P015","Network Router",SUBSTITUTE(SUBSTITUTE(_xlpm.n,"Crm","CRM"),"Ups","UPS"))))</f>
        <v>Keyboard</v>
      </c>
      <c r="AJ738" s="3" t="str">
        <f>UPPER(TRIM(tbl_FinancialData[[#This Row],[Cost Center]]))</f>
        <v>CC-1002</v>
      </c>
    </row>
    <row r="739" spans="1:36" x14ac:dyDescent="0.25">
      <c r="A739" s="3" t="s">
        <v>942</v>
      </c>
      <c r="B739" s="2">
        <v>46110</v>
      </c>
      <c r="C739" t="s">
        <v>125</v>
      </c>
      <c r="D739" s="3" t="str">
        <f t="shared" si="47"/>
        <v>Q4</v>
      </c>
      <c r="E739" s="3" t="str">
        <f t="shared" si="48"/>
        <v>FY2026</v>
      </c>
      <c r="F739" s="8" t="s">
        <v>59</v>
      </c>
      <c r="G739" s="3" t="s">
        <v>35</v>
      </c>
      <c r="H739" t="s">
        <v>139</v>
      </c>
      <c r="I739" t="s">
        <v>140</v>
      </c>
      <c r="J739" s="3" t="s">
        <v>100</v>
      </c>
      <c r="K739" t="s">
        <v>50</v>
      </c>
      <c r="L739" s="3" t="s">
        <v>51</v>
      </c>
      <c r="M739" s="3" t="s">
        <v>141</v>
      </c>
      <c r="N739" t="s">
        <v>142</v>
      </c>
      <c r="O739" t="s">
        <v>54</v>
      </c>
      <c r="P739" t="s">
        <v>143</v>
      </c>
      <c r="Q739" s="3">
        <v>6918.16</v>
      </c>
      <c r="R739" s="3">
        <v>6176.15</v>
      </c>
      <c r="S739" s="3">
        <v>3586.54</v>
      </c>
      <c r="T739" s="3">
        <v>558.5</v>
      </c>
      <c r="U739" s="3">
        <v>271.55</v>
      </c>
      <c r="V739" s="3">
        <v>445.67</v>
      </c>
      <c r="W739" s="3">
        <v>305.33999999999997</v>
      </c>
      <c r="X739" s="3">
        <v>5167.59</v>
      </c>
      <c r="Y739" s="3">
        <v>3331.63</v>
      </c>
      <c r="Z739" s="3">
        <f t="shared" si="49"/>
        <v>1750.5699999999997</v>
      </c>
      <c r="AA739" s="37">
        <f t="shared" si="50"/>
        <v>0.25303982561837246</v>
      </c>
      <c r="AB739" s="3">
        <v>742.02</v>
      </c>
      <c r="AC739" s="3">
        <v>345.91</v>
      </c>
      <c r="AD739" s="3">
        <v>1183.01</v>
      </c>
      <c r="AE739" s="3">
        <v>7755.26</v>
      </c>
      <c r="AF739" t="str">
        <f>IF(tbl_FinancialData[[#This Row],[City]]="","Unknown",PROPER(TRIM(tbl_FinancialData[[#This Row],[City]])))</f>
        <v>Faridabad</v>
      </c>
      <c r="AG739" t="str">
        <f>_xlfn.LET(_xlpm.city,LOWER(TRIM(tbl_FinancialData[[#This Row],[City]])),_xlpm.st,PROPER(TRIM(tbl_FinancialData[[#This Row],[State]])),IF(_xlpm.city="pune","Maharashtra",IF(_xlpm.city="jamshedpur","Jharkhand",IF(_xlpm.city="bhilai","Chhattisgarh",IF(_xlpm.city="mumbai","Maharashtra",_xlpm.st)))))</f>
        <v>Haryana</v>
      </c>
      <c r="AH739" t="str">
        <f>_xlfn.LET(_xlpm.d,PROPER(TRIM(tbl_FinancialData[[#This Row],[Department]])),IF(_xlpm.d="It","IT",_xlpm.d))</f>
        <v>Sales</v>
      </c>
      <c r="AI739" t="str">
        <f>_xlfn.LET(_xlpm.pid,tbl_FinancialData[[#This Row],[Product ID]],_xlpm.n,PROPER(TRIM(tbl_FinancialData[[#This Row],[Product Name]])),IF(_xlpm.pid="P020","Document Scanner",IF(_xlpm.pid="P015","Network Router",SUBSTITUTE(SUBSTITUTE(_xlpm.n,"Crm","CRM"),"Ups","UPS"))))</f>
        <v>Headset</v>
      </c>
      <c r="AJ739" s="3" t="str">
        <f>UPPER(TRIM(tbl_FinancialData[[#This Row],[Cost Center]]))</f>
        <v>CC-1003</v>
      </c>
    </row>
    <row r="740" spans="1:36" x14ac:dyDescent="0.25">
      <c r="A740" s="3" t="s">
        <v>943</v>
      </c>
      <c r="B740" s="2">
        <v>45976</v>
      </c>
      <c r="C740" t="s">
        <v>147</v>
      </c>
      <c r="D740" s="3" t="str">
        <f t="shared" si="47"/>
        <v>Q3</v>
      </c>
      <c r="E740" s="3" t="str">
        <f t="shared" si="48"/>
        <v>FY2026</v>
      </c>
      <c r="F740" s="8" t="s">
        <v>85</v>
      </c>
      <c r="G740" s="3" t="s">
        <v>35</v>
      </c>
      <c r="H740" t="s">
        <v>86</v>
      </c>
      <c r="I740" t="s">
        <v>87</v>
      </c>
      <c r="J740" s="3" t="s">
        <v>38</v>
      </c>
      <c r="K740" t="s">
        <v>101</v>
      </c>
      <c r="L740" s="3" t="s">
        <v>94</v>
      </c>
      <c r="M740" s="3" t="s">
        <v>130</v>
      </c>
      <c r="N740" t="s">
        <v>131</v>
      </c>
      <c r="O740" t="s">
        <v>43</v>
      </c>
      <c r="P740" t="s">
        <v>132</v>
      </c>
      <c r="Q740" s="3">
        <v>58887.61</v>
      </c>
      <c r="R740" s="3">
        <v>62197.82</v>
      </c>
      <c r="S740" s="3">
        <v>34620.07</v>
      </c>
      <c r="T740" s="3">
        <v>6520.28</v>
      </c>
      <c r="U740" s="3">
        <v>1732.19</v>
      </c>
      <c r="V740" s="3">
        <v>5526.77</v>
      </c>
      <c r="W740" s="3">
        <v>2644.18</v>
      </c>
      <c r="X740" s="3">
        <v>51043.5</v>
      </c>
      <c r="Y740" s="3">
        <v>24267.54</v>
      </c>
      <c r="Z740" s="3">
        <f t="shared" si="49"/>
        <v>7844.1100000000006</v>
      </c>
      <c r="AA740" s="37">
        <f t="shared" si="50"/>
        <v>0.13320476072980378</v>
      </c>
      <c r="AB740" s="3">
        <v>-3310.21</v>
      </c>
      <c r="AC740" s="3">
        <v>4711.01</v>
      </c>
      <c r="AD740" s="3">
        <v>6501.19</v>
      </c>
      <c r="AE740" s="3">
        <v>60677.8</v>
      </c>
      <c r="AF740" t="str">
        <f>IF(tbl_FinancialData[[#This Row],[City]]="","Unknown",PROPER(TRIM(tbl_FinancialData[[#This Row],[City]])))</f>
        <v>Indore</v>
      </c>
      <c r="AG740" t="str">
        <f>_xlfn.LET(_xlpm.city,LOWER(TRIM(tbl_FinancialData[[#This Row],[City]])),_xlpm.st,PROPER(TRIM(tbl_FinancialData[[#This Row],[State]])),IF(_xlpm.city="pune","Maharashtra",IF(_xlpm.city="jamshedpur","Jharkhand",IF(_xlpm.city="bhilai","Chhattisgarh",IF(_xlpm.city="mumbai","Maharashtra",_xlpm.st)))))</f>
        <v>Madhya Pradesh</v>
      </c>
      <c r="AH740" t="str">
        <f>_xlfn.LET(_xlpm.d,PROPER(TRIM(tbl_FinancialData[[#This Row],[Department]])),IF(_xlpm.d="It","IT",_xlpm.d))</f>
        <v>Finance</v>
      </c>
      <c r="AI740" t="str">
        <f>_xlfn.LET(_xlpm.pid,tbl_FinancialData[[#This Row],[Product ID]],_xlpm.n,PROPER(TRIM(tbl_FinancialData[[#This Row],[Product Name]])),IF(_xlpm.pid="P020","Document Scanner",IF(_xlpm.pid="P015","Network Router",SUBSTITUTE(SUBSTITUTE(_xlpm.n,"Crm","CRM"),"Ups","UPS"))))</f>
        <v>UPS System</v>
      </c>
      <c r="AJ740" s="3" t="str">
        <f>UPPER(TRIM(tbl_FinancialData[[#This Row],[Cost Center]]))</f>
        <v>CC-1001</v>
      </c>
    </row>
    <row r="741" spans="1:36" x14ac:dyDescent="0.25">
      <c r="A741" s="3" t="s">
        <v>944</v>
      </c>
      <c r="B741" s="2">
        <v>45921</v>
      </c>
      <c r="C741" t="s">
        <v>46</v>
      </c>
      <c r="D741" s="3" t="str">
        <f t="shared" si="47"/>
        <v>Q2</v>
      </c>
      <c r="E741" s="3" t="str">
        <f t="shared" si="48"/>
        <v>FY2026</v>
      </c>
      <c r="F741" s="8" t="s">
        <v>85</v>
      </c>
      <c r="G741" s="3" t="s">
        <v>35</v>
      </c>
      <c r="H741" t="s">
        <v>178</v>
      </c>
      <c r="I741" t="s">
        <v>179</v>
      </c>
      <c r="J741" s="3" t="s">
        <v>80</v>
      </c>
      <c r="K741" t="s">
        <v>71</v>
      </c>
      <c r="L741" s="3" t="s">
        <v>81</v>
      </c>
      <c r="M741" s="3" t="s">
        <v>211</v>
      </c>
      <c r="N741" t="s">
        <v>212</v>
      </c>
      <c r="O741" t="s">
        <v>112</v>
      </c>
      <c r="P741" t="s">
        <v>113</v>
      </c>
      <c r="Q741" s="3">
        <v>31193.26</v>
      </c>
      <c r="R741" s="3">
        <v>30259.26</v>
      </c>
      <c r="S741" s="3">
        <v>20635.810000000001</v>
      </c>
      <c r="T741" s="3">
        <v>2642.86</v>
      </c>
      <c r="U741" s="3">
        <v>1912.17</v>
      </c>
      <c r="V741" s="3">
        <v>3285.16</v>
      </c>
      <c r="W741" s="3">
        <v>554.29999999999995</v>
      </c>
      <c r="X741" s="3">
        <v>29030.29</v>
      </c>
      <c r="Y741" s="3">
        <v>10557.46</v>
      </c>
      <c r="Z741" s="3">
        <f t="shared" si="49"/>
        <v>2162.9699999999975</v>
      </c>
      <c r="AA741" s="37">
        <f t="shared" si="50"/>
        <v>6.9340940959681602E-2</v>
      </c>
      <c r="AB741" s="3">
        <v>934</v>
      </c>
      <c r="AC741" s="3">
        <v>935.8</v>
      </c>
      <c r="AD741" s="3">
        <v>5446.34</v>
      </c>
      <c r="AE741" s="3">
        <v>35703.81</v>
      </c>
      <c r="AF741" t="str">
        <f>IF(tbl_FinancialData[[#This Row],[City]]="","Unknown",PROPER(TRIM(tbl_FinancialData[[#This Row],[City]])))</f>
        <v>Bilaspur</v>
      </c>
      <c r="AG741" t="str">
        <f>_xlfn.LET(_xlpm.city,LOWER(TRIM(tbl_FinancialData[[#This Row],[City]])),_xlpm.st,PROPER(TRIM(tbl_FinancialData[[#This Row],[State]])),IF(_xlpm.city="pune","Maharashtra",IF(_xlpm.city="jamshedpur","Jharkhand",IF(_xlpm.city="bhilai","Chhattisgarh",IF(_xlpm.city="mumbai","Maharashtra",_xlpm.st)))))</f>
        <v>Chhattisgarh</v>
      </c>
      <c r="AH741" t="str">
        <f>_xlfn.LET(_xlpm.d,PROPER(TRIM(tbl_FinancialData[[#This Row],[Department]])),IF(_xlpm.d="It","IT",_xlpm.d))</f>
        <v>Marketing</v>
      </c>
      <c r="AI741" t="str">
        <f>_xlfn.LET(_xlpm.pid,tbl_FinancialData[[#This Row],[Product ID]],_xlpm.n,PROPER(TRIM(tbl_FinancialData[[#This Row],[Product Name]])),IF(_xlpm.pid="P020","Document Scanner",IF(_xlpm.pid="P015","Network Router",SUBSTITUTE(SUBSTITUTE(_xlpm.n,"Crm","CRM"),"Ups","UPS"))))</f>
        <v>Office Chair</v>
      </c>
      <c r="AJ741" s="3" t="str">
        <f>UPPER(TRIM(tbl_FinancialData[[#This Row],[Cost Center]]))</f>
        <v>CC-1005</v>
      </c>
    </row>
    <row r="742" spans="1:36" x14ac:dyDescent="0.25">
      <c r="A742" s="3" t="s">
        <v>945</v>
      </c>
      <c r="B742" s="2">
        <v>45847</v>
      </c>
      <c r="C742" t="s">
        <v>32</v>
      </c>
      <c r="D742" s="3" t="str">
        <f t="shared" si="47"/>
        <v>Q2</v>
      </c>
      <c r="E742" s="3" t="str">
        <f t="shared" si="48"/>
        <v>FY2026</v>
      </c>
      <c r="F742" s="8" t="s">
        <v>59</v>
      </c>
      <c r="G742" s="3" t="s">
        <v>35</v>
      </c>
      <c r="H742" t="s">
        <v>60</v>
      </c>
      <c r="I742" t="s">
        <v>185</v>
      </c>
      <c r="J742" s="3" t="s">
        <v>70</v>
      </c>
      <c r="K742" t="s">
        <v>101</v>
      </c>
      <c r="L742" s="3" t="s">
        <v>81</v>
      </c>
      <c r="M742" s="3" t="s">
        <v>189</v>
      </c>
      <c r="N742" t="s">
        <v>190</v>
      </c>
      <c r="O742" t="s">
        <v>104</v>
      </c>
      <c r="P742" t="s">
        <v>105</v>
      </c>
      <c r="Q742" s="3">
        <v>11141.75</v>
      </c>
      <c r="R742" s="3">
        <v>12933.19</v>
      </c>
      <c r="S742" s="3">
        <v>5788.56</v>
      </c>
      <c r="T742" s="3">
        <v>594.66</v>
      </c>
      <c r="U742" s="3">
        <v>607.38</v>
      </c>
      <c r="V742" s="3">
        <v>1159.82</v>
      </c>
      <c r="W742" s="3">
        <v>412.34</v>
      </c>
      <c r="X742" s="3">
        <v>8562.75</v>
      </c>
      <c r="Y742" s="3">
        <v>5353.19</v>
      </c>
      <c r="Z742" s="3">
        <f t="shared" si="49"/>
        <v>2579</v>
      </c>
      <c r="AA742" s="37">
        <f t="shared" si="50"/>
        <v>0.23147171674108646</v>
      </c>
      <c r="AB742" s="3">
        <v>-1791.44</v>
      </c>
      <c r="AC742" s="3">
        <v>891.34</v>
      </c>
      <c r="AD742" s="3">
        <v>1230.05</v>
      </c>
      <c r="AE742" s="3">
        <v>11480.46</v>
      </c>
      <c r="AF742" t="str">
        <f>IF(tbl_FinancialData[[#This Row],[City]]="","Unknown",PROPER(TRIM(tbl_FinancialData[[#This Row],[City]])))</f>
        <v>Kanpur</v>
      </c>
      <c r="AG742" t="str">
        <f>_xlfn.LET(_xlpm.city,LOWER(TRIM(tbl_FinancialData[[#This Row],[City]])),_xlpm.st,PROPER(TRIM(tbl_FinancialData[[#This Row],[State]])),IF(_xlpm.city="pune","Maharashtra",IF(_xlpm.city="jamshedpur","Jharkhand",IF(_xlpm.city="bhilai","Chhattisgarh",IF(_xlpm.city="mumbai","Maharashtra",_xlpm.st)))))</f>
        <v>Uttar Pradesh</v>
      </c>
      <c r="AH742" t="str">
        <f>_xlfn.LET(_xlpm.d,PROPER(TRIM(tbl_FinancialData[[#This Row],[Department]])),IF(_xlpm.d="It","IT",_xlpm.d))</f>
        <v>Finance</v>
      </c>
      <c r="AI742" t="str">
        <f>_xlfn.LET(_xlpm.pid,tbl_FinancialData[[#This Row],[Product ID]],_xlpm.n,PROPER(TRIM(tbl_FinancialData[[#This Row],[Product Name]])),IF(_xlpm.pid="P020","Document Scanner",IF(_xlpm.pid="P015","Network Router",SUBSTITUTE(SUBSTITUTE(_xlpm.n,"Crm","CRM"),"Ups","UPS"))))</f>
        <v>CRM Software</v>
      </c>
      <c r="AJ742" s="3" t="str">
        <f>UPPER(TRIM(tbl_FinancialData[[#This Row],[Cost Center]]))</f>
        <v>CC-1005</v>
      </c>
    </row>
    <row r="743" spans="1:36" x14ac:dyDescent="0.25">
      <c r="A743" s="3" t="s">
        <v>946</v>
      </c>
      <c r="B743" s="2">
        <v>45901</v>
      </c>
      <c r="C743" t="s">
        <v>46</v>
      </c>
      <c r="D743" s="3" t="str">
        <f t="shared" si="47"/>
        <v>Q2</v>
      </c>
      <c r="E743" s="3" t="str">
        <f t="shared" si="48"/>
        <v>FY2026</v>
      </c>
      <c r="F743" s="8" t="s">
        <v>85</v>
      </c>
      <c r="G743" s="3" t="s">
        <v>35</v>
      </c>
      <c r="H743" t="s">
        <v>86</v>
      </c>
      <c r="I743" t="s">
        <v>181</v>
      </c>
      <c r="J743" s="3" t="s">
        <v>100</v>
      </c>
      <c r="K743" t="s">
        <v>50</v>
      </c>
      <c r="L743" s="3" t="s">
        <v>94</v>
      </c>
      <c r="M743" s="3" t="s">
        <v>141</v>
      </c>
      <c r="N743" t="s">
        <v>142</v>
      </c>
      <c r="O743" t="s">
        <v>54</v>
      </c>
      <c r="P743" t="s">
        <v>143</v>
      </c>
      <c r="Q743" s="3">
        <v>1433.48</v>
      </c>
      <c r="R743" s="3">
        <v>1642.79</v>
      </c>
      <c r="S743" s="3">
        <v>918.8</v>
      </c>
      <c r="T743" s="3">
        <v>184.29</v>
      </c>
      <c r="U743" s="3">
        <v>41.71</v>
      </c>
      <c r="V743" s="3">
        <v>160.88999999999999</v>
      </c>
      <c r="W743" s="3">
        <v>55.18</v>
      </c>
      <c r="X743" s="3">
        <v>1360.87</v>
      </c>
      <c r="Y743" s="3">
        <v>514.67999999999995</v>
      </c>
      <c r="Z743" s="3">
        <f t="shared" si="49"/>
        <v>72.610000000000127</v>
      </c>
      <c r="AA743" s="37">
        <f t="shared" si="50"/>
        <v>5.0652956441666522E-2</v>
      </c>
      <c r="AB743" s="3">
        <v>-209.32</v>
      </c>
      <c r="AC743" s="3">
        <v>28.67</v>
      </c>
      <c r="AD743" s="3">
        <v>252.87</v>
      </c>
      <c r="AE743" s="3">
        <v>1657.67</v>
      </c>
      <c r="AF743" t="str">
        <f>IF(tbl_FinancialData[[#This Row],[City]]="","Unknown",PROPER(TRIM(tbl_FinancialData[[#This Row],[City]])))</f>
        <v>Bhopal</v>
      </c>
      <c r="AG743" t="str">
        <f>_xlfn.LET(_xlpm.city,LOWER(TRIM(tbl_FinancialData[[#This Row],[City]])),_xlpm.st,PROPER(TRIM(tbl_FinancialData[[#This Row],[State]])),IF(_xlpm.city="pune","Maharashtra",IF(_xlpm.city="jamshedpur","Jharkhand",IF(_xlpm.city="bhilai","Chhattisgarh",IF(_xlpm.city="mumbai","Maharashtra",_xlpm.st)))))</f>
        <v>Madhya Pradesh</v>
      </c>
      <c r="AH743" t="str">
        <f>_xlfn.LET(_xlpm.d,PROPER(TRIM(tbl_FinancialData[[#This Row],[Department]])),IF(_xlpm.d="It","IT",_xlpm.d))</f>
        <v>Sales</v>
      </c>
      <c r="AI743" t="str">
        <f>_xlfn.LET(_xlpm.pid,tbl_FinancialData[[#This Row],[Product ID]],_xlpm.n,PROPER(TRIM(tbl_FinancialData[[#This Row],[Product Name]])),IF(_xlpm.pid="P020","Document Scanner",IF(_xlpm.pid="P015","Network Router",SUBSTITUTE(SUBSTITUTE(_xlpm.n,"Crm","CRM"),"Ups","UPS"))))</f>
        <v>Headset</v>
      </c>
      <c r="AJ743" s="3" t="str">
        <f>UPPER(TRIM(tbl_FinancialData[[#This Row],[Cost Center]]))</f>
        <v>CC-1001</v>
      </c>
    </row>
    <row r="744" spans="1:36" x14ac:dyDescent="0.25">
      <c r="A744" s="3" t="s">
        <v>947</v>
      </c>
      <c r="B744" s="2">
        <v>45875</v>
      </c>
      <c r="C744" t="s">
        <v>117</v>
      </c>
      <c r="D744" s="3" t="str">
        <f t="shared" si="47"/>
        <v>Q2</v>
      </c>
      <c r="E744" s="3" t="str">
        <f t="shared" si="48"/>
        <v>FY2026</v>
      </c>
      <c r="F744" s="8" t="s">
        <v>85</v>
      </c>
      <c r="G744" s="3" t="s">
        <v>35</v>
      </c>
      <c r="H744" t="s">
        <v>86</v>
      </c>
      <c r="I744" t="s">
        <v>87</v>
      </c>
      <c r="J744" s="3" t="s">
        <v>38</v>
      </c>
      <c r="K744" t="s">
        <v>39</v>
      </c>
      <c r="L744" s="3" t="s">
        <v>81</v>
      </c>
      <c r="M744" s="3" t="s">
        <v>141</v>
      </c>
      <c r="N744" t="s">
        <v>142</v>
      </c>
      <c r="O744" t="s">
        <v>54</v>
      </c>
      <c r="P744" t="s">
        <v>143</v>
      </c>
      <c r="Q744" s="3">
        <v>6866.45</v>
      </c>
      <c r="R744" s="3">
        <v>6604.86</v>
      </c>
      <c r="S744" s="3">
        <v>4328.25</v>
      </c>
      <c r="T744" s="3">
        <v>798.12</v>
      </c>
      <c r="U744" s="3">
        <v>487.41</v>
      </c>
      <c r="V744" s="3">
        <v>538.04</v>
      </c>
      <c r="W744" s="3">
        <v>209.16</v>
      </c>
      <c r="X744" s="3">
        <v>6360.99</v>
      </c>
      <c r="Y744" s="3">
        <v>2538.1999999999998</v>
      </c>
      <c r="Z744" s="3">
        <f t="shared" si="49"/>
        <v>505.46000000000004</v>
      </c>
      <c r="AA744" s="37">
        <f t="shared" si="50"/>
        <v>7.3613002352015969E-2</v>
      </c>
      <c r="AB744" s="3">
        <v>261.58999999999997</v>
      </c>
      <c r="AC744" s="3">
        <v>686.64</v>
      </c>
      <c r="AD744" s="3">
        <v>1112.3599999999999</v>
      </c>
      <c r="AE744" s="3">
        <v>7292.17</v>
      </c>
      <c r="AF744" t="str">
        <f>IF(tbl_FinancialData[[#This Row],[City]]="","Unknown",PROPER(TRIM(tbl_FinancialData[[#This Row],[City]])))</f>
        <v>Indore</v>
      </c>
      <c r="AG744" t="str">
        <f>_xlfn.LET(_xlpm.city,LOWER(TRIM(tbl_FinancialData[[#This Row],[City]])),_xlpm.st,PROPER(TRIM(tbl_FinancialData[[#This Row],[State]])),IF(_xlpm.city="pune","Maharashtra",IF(_xlpm.city="jamshedpur","Jharkhand",IF(_xlpm.city="bhilai","Chhattisgarh",IF(_xlpm.city="mumbai","Maharashtra",_xlpm.st)))))</f>
        <v>Madhya Pradesh</v>
      </c>
      <c r="AH744" t="str">
        <f>_xlfn.LET(_xlpm.d,PROPER(TRIM(tbl_FinancialData[[#This Row],[Department]])),IF(_xlpm.d="It","IT",_xlpm.d))</f>
        <v>Operations</v>
      </c>
      <c r="AI744" t="str">
        <f>_xlfn.LET(_xlpm.pid,tbl_FinancialData[[#This Row],[Product ID]],_xlpm.n,PROPER(TRIM(tbl_FinancialData[[#This Row],[Product Name]])),IF(_xlpm.pid="P020","Document Scanner",IF(_xlpm.pid="P015","Network Router",SUBSTITUTE(SUBSTITUTE(_xlpm.n,"Crm","CRM"),"Ups","UPS"))))</f>
        <v>Headset</v>
      </c>
      <c r="AJ744" s="3" t="str">
        <f>UPPER(TRIM(tbl_FinancialData[[#This Row],[Cost Center]]))</f>
        <v>CC-1005</v>
      </c>
    </row>
    <row r="745" spans="1:36" x14ac:dyDescent="0.25">
      <c r="A745" s="3" t="s">
        <v>948</v>
      </c>
      <c r="B745" s="2">
        <v>45963</v>
      </c>
      <c r="C745" t="s">
        <v>147</v>
      </c>
      <c r="D745" s="3" t="str">
        <f t="shared" si="47"/>
        <v>Q3</v>
      </c>
      <c r="E745" s="3" t="str">
        <f t="shared" si="48"/>
        <v>FY2026</v>
      </c>
      <c r="F745" s="8" t="s">
        <v>59</v>
      </c>
      <c r="G745" s="3" t="s">
        <v>35</v>
      </c>
      <c r="H745" t="s">
        <v>230</v>
      </c>
      <c r="I745" t="s">
        <v>231</v>
      </c>
      <c r="J745" s="3" t="s">
        <v>100</v>
      </c>
      <c r="K745" t="s">
        <v>71</v>
      </c>
      <c r="L745" s="3" t="s">
        <v>51</v>
      </c>
      <c r="M745" s="3" t="s">
        <v>130</v>
      </c>
      <c r="N745" t="s">
        <v>131</v>
      </c>
      <c r="O745" t="s">
        <v>43</v>
      </c>
      <c r="P745" t="s">
        <v>132</v>
      </c>
      <c r="Q745" s="3">
        <v>37787.949999999997</v>
      </c>
      <c r="R745" s="3">
        <v>42612.82</v>
      </c>
      <c r="S745" s="3">
        <v>26633.919999999998</v>
      </c>
      <c r="T745" s="3">
        <v>4317.2700000000004</v>
      </c>
      <c r="U745" s="3">
        <v>1992.7</v>
      </c>
      <c r="V745" s="3">
        <v>3430.89</v>
      </c>
      <c r="W745" s="3">
        <v>1510.4</v>
      </c>
      <c r="X745" s="3">
        <v>37885.18</v>
      </c>
      <c r="Y745" s="3">
        <v>11154.03</v>
      </c>
      <c r="Z745" s="3">
        <f t="shared" si="49"/>
        <v>-97.230000000003201</v>
      </c>
      <c r="AA745" s="37">
        <f t="shared" si="50"/>
        <v>-2.57304246459528E-3</v>
      </c>
      <c r="AB745" s="3">
        <v>-4824.8599999999997</v>
      </c>
      <c r="AC745" s="3">
        <v>1133.6400000000001</v>
      </c>
      <c r="AD745" s="3">
        <v>1832.72</v>
      </c>
      <c r="AE745" s="3">
        <v>38487.03</v>
      </c>
      <c r="AF745" t="str">
        <f>IF(tbl_FinancialData[[#This Row],[City]]="","Unknown",PROPER(TRIM(tbl_FinancialData[[#This Row],[City]])))</f>
        <v>Ludhiana</v>
      </c>
      <c r="AG745" t="str">
        <f>_xlfn.LET(_xlpm.city,LOWER(TRIM(tbl_FinancialData[[#This Row],[City]])),_xlpm.st,PROPER(TRIM(tbl_FinancialData[[#This Row],[State]])),IF(_xlpm.city="pune","Maharashtra",IF(_xlpm.city="jamshedpur","Jharkhand",IF(_xlpm.city="bhilai","Chhattisgarh",IF(_xlpm.city="mumbai","Maharashtra",_xlpm.st)))))</f>
        <v>Punjab</v>
      </c>
      <c r="AH745" t="str">
        <f>_xlfn.LET(_xlpm.d,PROPER(TRIM(tbl_FinancialData[[#This Row],[Department]])),IF(_xlpm.d="It","IT",_xlpm.d))</f>
        <v>Marketing</v>
      </c>
      <c r="AI745" t="str">
        <f>_xlfn.LET(_xlpm.pid,tbl_FinancialData[[#This Row],[Product ID]],_xlpm.n,PROPER(TRIM(tbl_FinancialData[[#This Row],[Product Name]])),IF(_xlpm.pid="P020","Document Scanner",IF(_xlpm.pid="P015","Network Router",SUBSTITUTE(SUBSTITUTE(_xlpm.n,"Crm","CRM"),"Ups","UPS"))))</f>
        <v>UPS System</v>
      </c>
      <c r="AJ745" s="3" t="str">
        <f>UPPER(TRIM(tbl_FinancialData[[#This Row],[Cost Center]]))</f>
        <v>CC-1003</v>
      </c>
    </row>
    <row r="746" spans="1:36" x14ac:dyDescent="0.25">
      <c r="A746" s="3" t="s">
        <v>949</v>
      </c>
      <c r="B746" s="2">
        <v>45952</v>
      </c>
      <c r="C746" t="s">
        <v>92</v>
      </c>
      <c r="D746" s="3" t="str">
        <f t="shared" si="47"/>
        <v>Q3</v>
      </c>
      <c r="E746" s="3" t="str">
        <f t="shared" si="48"/>
        <v>FY2026</v>
      </c>
      <c r="F746" s="8" t="s">
        <v>67</v>
      </c>
      <c r="G746" s="3" t="s">
        <v>35</v>
      </c>
      <c r="H746" t="s">
        <v>68</v>
      </c>
      <c r="I746" t="s">
        <v>260</v>
      </c>
      <c r="J746" s="3" t="s">
        <v>80</v>
      </c>
      <c r="K746" t="s">
        <v>50</v>
      </c>
      <c r="L746" s="3" t="s">
        <v>94</v>
      </c>
      <c r="M746" s="3" t="s">
        <v>95</v>
      </c>
      <c r="N746" t="s">
        <v>96</v>
      </c>
      <c r="O746" t="s">
        <v>43</v>
      </c>
      <c r="P746" t="s">
        <v>90</v>
      </c>
      <c r="Q746" s="3">
        <v>34759.5</v>
      </c>
      <c r="R746" s="3">
        <v>34738.199999999997</v>
      </c>
      <c r="S746" s="3">
        <v>22312.880000000001</v>
      </c>
      <c r="T746" s="3">
        <v>1892.69</v>
      </c>
      <c r="U746" s="3">
        <v>1149.01</v>
      </c>
      <c r="V746" s="3">
        <v>2778.57</v>
      </c>
      <c r="W746" s="3">
        <v>757.54</v>
      </c>
      <c r="X746" s="3">
        <v>28890.69</v>
      </c>
      <c r="Y746" s="3">
        <v>12446.62</v>
      </c>
      <c r="Z746" s="3">
        <f t="shared" si="49"/>
        <v>5868.8100000000013</v>
      </c>
      <c r="AA746" s="37">
        <f t="shared" si="50"/>
        <v>0.16884046088119797</v>
      </c>
      <c r="AB746" s="3">
        <v>21.3</v>
      </c>
      <c r="AC746" s="3">
        <v>695.19</v>
      </c>
      <c r="AD746" s="3">
        <v>1703.22</v>
      </c>
      <c r="AE746" s="3">
        <v>35767.519999999997</v>
      </c>
      <c r="AF746" t="str">
        <f>IF(tbl_FinancialData[[#This Row],[City]]="","Unknown",PROPER(TRIM(tbl_FinancialData[[#This Row],[City]])))</f>
        <v>Rourkela</v>
      </c>
      <c r="AG746" t="str">
        <f>_xlfn.LET(_xlpm.city,LOWER(TRIM(tbl_FinancialData[[#This Row],[City]])),_xlpm.st,PROPER(TRIM(tbl_FinancialData[[#This Row],[State]])),IF(_xlpm.city="pune","Maharashtra",IF(_xlpm.city="jamshedpur","Jharkhand",IF(_xlpm.city="bhilai","Chhattisgarh",IF(_xlpm.city="mumbai","Maharashtra",_xlpm.st)))))</f>
        <v>Odisha</v>
      </c>
      <c r="AH746" t="str">
        <f>_xlfn.LET(_xlpm.d,PROPER(TRIM(tbl_FinancialData[[#This Row],[Department]])),IF(_xlpm.d="It","IT",_xlpm.d))</f>
        <v>Sales</v>
      </c>
      <c r="AI746" t="str">
        <f>_xlfn.LET(_xlpm.pid,tbl_FinancialData[[#This Row],[Product ID]],_xlpm.n,PROPER(TRIM(tbl_FinancialData[[#This Row],[Product Name]])),IF(_xlpm.pid="P020","Document Scanner",IF(_xlpm.pid="P015","Network Router",SUBSTITUTE(SUBSTITUTE(_xlpm.n,"Crm","CRM"),"Ups","UPS"))))</f>
        <v>Document Scanner</v>
      </c>
      <c r="AJ746" s="3" t="str">
        <f>UPPER(TRIM(tbl_FinancialData[[#This Row],[Cost Center]]))</f>
        <v>CC-1001</v>
      </c>
    </row>
    <row r="747" spans="1:36" x14ac:dyDescent="0.25">
      <c r="A747" s="3" t="s">
        <v>950</v>
      </c>
      <c r="B747" s="2">
        <v>45751</v>
      </c>
      <c r="C747" t="s">
        <v>128</v>
      </c>
      <c r="D747" s="3" t="str">
        <f t="shared" si="47"/>
        <v>Q1</v>
      </c>
      <c r="E747" s="3" t="str">
        <f t="shared" si="48"/>
        <v>FY2026</v>
      </c>
      <c r="F747" s="8" t="s">
        <v>67</v>
      </c>
      <c r="G747" s="3" t="s">
        <v>35</v>
      </c>
      <c r="H747" t="s">
        <v>217</v>
      </c>
      <c r="I747" t="s">
        <v>218</v>
      </c>
      <c r="J747" s="3" t="s">
        <v>70</v>
      </c>
      <c r="K747" t="s">
        <v>50</v>
      </c>
      <c r="L747" s="3" t="s">
        <v>40</v>
      </c>
      <c r="M747" s="3" t="s">
        <v>110</v>
      </c>
      <c r="N747" t="s">
        <v>111</v>
      </c>
      <c r="O747" t="s">
        <v>112</v>
      </c>
      <c r="P747" t="s">
        <v>113</v>
      </c>
      <c r="Q747" s="3">
        <v>22996.68</v>
      </c>
      <c r="R747" s="3">
        <v>25078.33</v>
      </c>
      <c r="S747" s="3">
        <v>15212.76</v>
      </c>
      <c r="T747" s="3">
        <v>2584.7600000000002</v>
      </c>
      <c r="U747" s="3">
        <v>1289.24</v>
      </c>
      <c r="V747" s="3">
        <v>1710.74</v>
      </c>
      <c r="W747" s="3">
        <v>238.84</v>
      </c>
      <c r="X747" s="3">
        <v>21036.34</v>
      </c>
      <c r="Y747" s="3">
        <v>7783.93</v>
      </c>
      <c r="Z747" s="3">
        <f t="shared" si="49"/>
        <v>1960.3400000000001</v>
      </c>
      <c r="AA747" s="37">
        <f t="shared" si="50"/>
        <v>8.5244478768239595E-2</v>
      </c>
      <c r="AB747" s="3">
        <v>-2081.64</v>
      </c>
      <c r="AC747" s="3">
        <v>1839.73</v>
      </c>
      <c r="AD747" s="3">
        <v>3808.25</v>
      </c>
      <c r="AE747" s="3">
        <v>24965.200000000001</v>
      </c>
      <c r="AF747" t="str">
        <f>IF(tbl_FinancialData[[#This Row],[City]]="","Unknown",PROPER(TRIM(tbl_FinancialData[[#This Row],[City]])))</f>
        <v>Gaya</v>
      </c>
      <c r="AG747" t="str">
        <f>_xlfn.LET(_xlpm.city,LOWER(TRIM(tbl_FinancialData[[#This Row],[City]])),_xlpm.st,PROPER(TRIM(tbl_FinancialData[[#This Row],[State]])),IF(_xlpm.city="pune","Maharashtra",IF(_xlpm.city="jamshedpur","Jharkhand",IF(_xlpm.city="bhilai","Chhattisgarh",IF(_xlpm.city="mumbai","Maharashtra",_xlpm.st)))))</f>
        <v>Bihar</v>
      </c>
      <c r="AH747" t="str">
        <f>_xlfn.LET(_xlpm.d,PROPER(TRIM(tbl_FinancialData[[#This Row],[Department]])),IF(_xlpm.d="It","IT",_xlpm.d))</f>
        <v>Sales</v>
      </c>
      <c r="AI747" t="str">
        <f>_xlfn.LET(_xlpm.pid,tbl_FinancialData[[#This Row],[Product ID]],_xlpm.n,PROPER(TRIM(tbl_FinancialData[[#This Row],[Product Name]])),IF(_xlpm.pid="P020","Document Scanner",IF(_xlpm.pid="P015","Network Router",SUBSTITUTE(SUBSTITUTE(_xlpm.n,"Crm","CRM"),"Ups","UPS"))))</f>
        <v>Office Desk</v>
      </c>
      <c r="AJ747" s="3" t="str">
        <f>UPPER(TRIM(tbl_FinancialData[[#This Row],[Cost Center]]))</f>
        <v>CC-1002</v>
      </c>
    </row>
    <row r="748" spans="1:36" x14ac:dyDescent="0.25">
      <c r="A748" s="3" t="s">
        <v>951</v>
      </c>
      <c r="B748" s="2">
        <v>45976</v>
      </c>
      <c r="C748" t="s">
        <v>147</v>
      </c>
      <c r="D748" s="3" t="str">
        <f t="shared" si="47"/>
        <v>Q3</v>
      </c>
      <c r="E748" s="3" t="str">
        <f t="shared" si="48"/>
        <v>FY2026</v>
      </c>
      <c r="F748" s="8" t="s">
        <v>85</v>
      </c>
      <c r="G748" s="3" t="s">
        <v>35</v>
      </c>
      <c r="H748" t="s">
        <v>178</v>
      </c>
      <c r="I748" t="s">
        <v>249</v>
      </c>
      <c r="J748" s="3" t="s">
        <v>38</v>
      </c>
      <c r="K748" t="s">
        <v>50</v>
      </c>
      <c r="L748" s="3" t="s">
        <v>81</v>
      </c>
      <c r="M748" s="3" t="s">
        <v>171</v>
      </c>
      <c r="N748" t="s">
        <v>172</v>
      </c>
      <c r="O748" t="s">
        <v>173</v>
      </c>
      <c r="P748" t="s">
        <v>174</v>
      </c>
      <c r="Q748" s="3">
        <v>20492.77</v>
      </c>
      <c r="R748" s="3">
        <v>22548.5</v>
      </c>
      <c r="S748" s="3">
        <v>13211.69</v>
      </c>
      <c r="T748" s="3">
        <v>1546.16</v>
      </c>
      <c r="U748" s="3">
        <v>747.82</v>
      </c>
      <c r="V748" s="3">
        <v>987.59</v>
      </c>
      <c r="W748" s="3">
        <v>733.76</v>
      </c>
      <c r="X748" s="3">
        <v>17227.02</v>
      </c>
      <c r="Y748" s="3">
        <v>7281.08</v>
      </c>
      <c r="Z748" s="3">
        <f t="shared" si="49"/>
        <v>3265.75</v>
      </c>
      <c r="AA748" s="37">
        <f t="shared" si="50"/>
        <v>0.15936108198159643</v>
      </c>
      <c r="AB748" s="3">
        <v>-2055.73</v>
      </c>
      <c r="AC748" s="3">
        <v>614.78</v>
      </c>
      <c r="AD748" s="3">
        <v>2385.36</v>
      </c>
      <c r="AE748" s="3">
        <v>22263.34</v>
      </c>
      <c r="AF748" t="str">
        <f>IF(tbl_FinancialData[[#This Row],[City]]="","Unknown",PROPER(TRIM(tbl_FinancialData[[#This Row],[City]])))</f>
        <v>Bhilai</v>
      </c>
      <c r="AG748" t="str">
        <f>_xlfn.LET(_xlpm.city,LOWER(TRIM(tbl_FinancialData[[#This Row],[City]])),_xlpm.st,PROPER(TRIM(tbl_FinancialData[[#This Row],[State]])),IF(_xlpm.city="pune","Maharashtra",IF(_xlpm.city="jamshedpur","Jharkhand",IF(_xlpm.city="bhilai","Chhattisgarh",IF(_xlpm.city="mumbai","Maharashtra",_xlpm.st)))))</f>
        <v>Chhattisgarh</v>
      </c>
      <c r="AH748" t="str">
        <f>_xlfn.LET(_xlpm.d,PROPER(TRIM(tbl_FinancialData[[#This Row],[Department]])),IF(_xlpm.d="It","IT",_xlpm.d))</f>
        <v>Sales</v>
      </c>
      <c r="AI748" t="str">
        <f>_xlfn.LET(_xlpm.pid,tbl_FinancialData[[#This Row],[Product ID]],_xlpm.n,PROPER(TRIM(tbl_FinancialData[[#This Row],[Product Name]])),IF(_xlpm.pid="P020","Document Scanner",IF(_xlpm.pid="P015","Network Router",SUBSTITUTE(SUBSTITUTE(_xlpm.n,"Crm","CRM"),"Ups","UPS"))))</f>
        <v>Network Switch</v>
      </c>
      <c r="AJ748" s="3" t="str">
        <f>UPPER(TRIM(tbl_FinancialData[[#This Row],[Cost Center]]))</f>
        <v>CC-1005</v>
      </c>
    </row>
    <row r="749" spans="1:36" x14ac:dyDescent="0.25">
      <c r="A749" s="3" t="s">
        <v>952</v>
      </c>
      <c r="B749" s="2">
        <v>45922</v>
      </c>
      <c r="C749" t="s">
        <v>46</v>
      </c>
      <c r="D749" s="3" t="str">
        <f t="shared" si="47"/>
        <v>Q2</v>
      </c>
      <c r="E749" s="3" t="str">
        <f t="shared" si="48"/>
        <v>FY2026</v>
      </c>
      <c r="F749" s="8" t="s">
        <v>67</v>
      </c>
      <c r="G749" s="3" t="s">
        <v>35</v>
      </c>
      <c r="H749" t="s">
        <v>118</v>
      </c>
      <c r="I749" t="s">
        <v>209</v>
      </c>
      <c r="J749" s="3" t="s">
        <v>70</v>
      </c>
      <c r="K749" t="s">
        <v>71</v>
      </c>
      <c r="L749" s="3" t="s">
        <v>81</v>
      </c>
      <c r="M749" s="3" t="s">
        <v>171</v>
      </c>
      <c r="N749" t="s">
        <v>172</v>
      </c>
      <c r="O749" t="s">
        <v>173</v>
      </c>
      <c r="P749" t="s">
        <v>174</v>
      </c>
      <c r="Q749" s="3">
        <v>30344.31</v>
      </c>
      <c r="R749" s="3">
        <v>33115.22</v>
      </c>
      <c r="S749" s="3">
        <v>21049.72</v>
      </c>
      <c r="T749" s="3">
        <v>3740.58</v>
      </c>
      <c r="U749" s="3">
        <v>1306.3699999999999</v>
      </c>
      <c r="V749" s="3">
        <v>1669.88</v>
      </c>
      <c r="W749" s="3">
        <v>580.94000000000005</v>
      </c>
      <c r="X749" s="3">
        <v>28347.49</v>
      </c>
      <c r="Y749" s="3">
        <v>9294.59</v>
      </c>
      <c r="Z749" s="3">
        <f t="shared" si="49"/>
        <v>1996.8199999999997</v>
      </c>
      <c r="AA749" s="37">
        <f t="shared" si="50"/>
        <v>6.5805417885593701E-2</v>
      </c>
      <c r="AB749" s="3">
        <v>-2770.92</v>
      </c>
      <c r="AC749" s="3">
        <v>1517.22</v>
      </c>
      <c r="AD749" s="3">
        <v>3459.25</v>
      </c>
      <c r="AE749" s="3">
        <v>32286.34</v>
      </c>
      <c r="AF749" t="str">
        <f>IF(tbl_FinancialData[[#This Row],[City]]="","Unknown",PROPER(TRIM(tbl_FinancialData[[#This Row],[City]])))</f>
        <v>Jamshedpur</v>
      </c>
      <c r="AG749" t="str">
        <f>_xlfn.LET(_xlpm.city,LOWER(TRIM(tbl_FinancialData[[#This Row],[City]])),_xlpm.st,PROPER(TRIM(tbl_FinancialData[[#This Row],[State]])),IF(_xlpm.city="pune","Maharashtra",IF(_xlpm.city="jamshedpur","Jharkhand",IF(_xlpm.city="bhilai","Chhattisgarh",IF(_xlpm.city="mumbai","Maharashtra",_xlpm.st)))))</f>
        <v>Jharkhand</v>
      </c>
      <c r="AH749" t="str">
        <f>_xlfn.LET(_xlpm.d,PROPER(TRIM(tbl_FinancialData[[#This Row],[Department]])),IF(_xlpm.d="It","IT",_xlpm.d))</f>
        <v>Marketing</v>
      </c>
      <c r="AI749" t="str">
        <f>_xlfn.LET(_xlpm.pid,tbl_FinancialData[[#This Row],[Product ID]],_xlpm.n,PROPER(TRIM(tbl_FinancialData[[#This Row],[Product Name]])),IF(_xlpm.pid="P020","Document Scanner",IF(_xlpm.pid="P015","Network Router",SUBSTITUTE(SUBSTITUTE(_xlpm.n,"Crm","CRM"),"Ups","UPS"))))</f>
        <v>Network Switch</v>
      </c>
      <c r="AJ749" s="3" t="str">
        <f>UPPER(TRIM(tbl_FinancialData[[#This Row],[Cost Center]]))</f>
        <v>CC-1005</v>
      </c>
    </row>
    <row r="750" spans="1:36" x14ac:dyDescent="0.25">
      <c r="A750" s="3" t="s">
        <v>953</v>
      </c>
      <c r="B750" s="2">
        <v>46108</v>
      </c>
      <c r="C750" t="s">
        <v>125</v>
      </c>
      <c r="D750" s="3" t="str">
        <f t="shared" si="47"/>
        <v>Q4</v>
      </c>
      <c r="E750" s="3" t="str">
        <f t="shared" si="48"/>
        <v>FY2026</v>
      </c>
      <c r="F750" s="8" t="s">
        <v>47</v>
      </c>
      <c r="G750" s="3" t="s">
        <v>35</v>
      </c>
      <c r="H750" t="s">
        <v>214</v>
      </c>
      <c r="I750" t="s">
        <v>220</v>
      </c>
      <c r="J750" s="3" t="s">
        <v>38</v>
      </c>
      <c r="K750" t="s">
        <v>50</v>
      </c>
      <c r="L750" s="3" t="s">
        <v>40</v>
      </c>
      <c r="M750" s="3" t="s">
        <v>171</v>
      </c>
      <c r="N750" t="s">
        <v>172</v>
      </c>
      <c r="O750" t="s">
        <v>173</v>
      </c>
      <c r="P750" t="s">
        <v>174</v>
      </c>
      <c r="Q750" s="3">
        <v>8328.9699999999993</v>
      </c>
      <c r="R750" s="3">
        <v>9064.4699999999993</v>
      </c>
      <c r="S750" s="3">
        <v>5661.48</v>
      </c>
      <c r="T750" s="3">
        <v>980.39</v>
      </c>
      <c r="U750" s="3">
        <v>575.53</v>
      </c>
      <c r="V750" s="3">
        <v>968.84</v>
      </c>
      <c r="W750" s="3">
        <v>232.25</v>
      </c>
      <c r="X750" s="3">
        <v>8418.49</v>
      </c>
      <c r="Y750" s="3">
        <v>2667.48</v>
      </c>
      <c r="Z750" s="3">
        <f t="shared" si="49"/>
        <v>-89.520000000000437</v>
      </c>
      <c r="AA750" s="37">
        <f t="shared" si="50"/>
        <v>-1.0748027667286645E-2</v>
      </c>
      <c r="AB750" s="3">
        <v>-735.5</v>
      </c>
      <c r="AC750" s="3">
        <v>666.32</v>
      </c>
      <c r="AD750" s="3">
        <v>1379.28</v>
      </c>
      <c r="AE750" s="3">
        <v>9041.93</v>
      </c>
      <c r="AF750" t="str">
        <f>IF(tbl_FinancialData[[#This Row],[City]]="","Unknown",PROPER(TRIM(tbl_FinancialData[[#This Row],[City]])))</f>
        <v>Mysuru</v>
      </c>
      <c r="AG750" t="str">
        <f>_xlfn.LET(_xlpm.city,LOWER(TRIM(tbl_FinancialData[[#This Row],[City]])),_xlpm.st,PROPER(TRIM(tbl_FinancialData[[#This Row],[State]])),IF(_xlpm.city="pune","Maharashtra",IF(_xlpm.city="jamshedpur","Jharkhand",IF(_xlpm.city="bhilai","Chhattisgarh",IF(_xlpm.city="mumbai","Maharashtra",_xlpm.st)))))</f>
        <v>Karnataka</v>
      </c>
      <c r="AH750" t="str">
        <f>_xlfn.LET(_xlpm.d,PROPER(TRIM(tbl_FinancialData[[#This Row],[Department]])),IF(_xlpm.d="It","IT",_xlpm.d))</f>
        <v>Sales</v>
      </c>
      <c r="AI750" t="str">
        <f>_xlfn.LET(_xlpm.pid,tbl_FinancialData[[#This Row],[Product ID]],_xlpm.n,PROPER(TRIM(tbl_FinancialData[[#This Row],[Product Name]])),IF(_xlpm.pid="P020","Document Scanner",IF(_xlpm.pid="P015","Network Router",SUBSTITUTE(SUBSTITUTE(_xlpm.n,"Crm","CRM"),"Ups","UPS"))))</f>
        <v>Network Switch</v>
      </c>
      <c r="AJ750" s="3" t="str">
        <f>UPPER(TRIM(tbl_FinancialData[[#This Row],[Cost Center]]))</f>
        <v>CC-1002</v>
      </c>
    </row>
    <row r="751" spans="1:36" x14ac:dyDescent="0.25">
      <c r="A751" s="3" t="s">
        <v>954</v>
      </c>
      <c r="B751" s="2">
        <v>45902</v>
      </c>
      <c r="C751" t="s">
        <v>46</v>
      </c>
      <c r="D751" s="3" t="str">
        <f t="shared" si="47"/>
        <v>Q2</v>
      </c>
      <c r="E751" s="3" t="str">
        <f t="shared" si="48"/>
        <v>FY2026</v>
      </c>
      <c r="F751" s="8" t="s">
        <v>47</v>
      </c>
      <c r="G751" s="3" t="s">
        <v>35</v>
      </c>
      <c r="H751" t="s">
        <v>78</v>
      </c>
      <c r="I751" t="s">
        <v>183</v>
      </c>
      <c r="J751" s="3" t="s">
        <v>38</v>
      </c>
      <c r="K751" t="s">
        <v>71</v>
      </c>
      <c r="L751" s="3" t="s">
        <v>72</v>
      </c>
      <c r="M751" s="3" t="s">
        <v>102</v>
      </c>
      <c r="N751" t="s">
        <v>103</v>
      </c>
      <c r="O751" t="s">
        <v>104</v>
      </c>
      <c r="P751" t="s">
        <v>105</v>
      </c>
      <c r="Q751" s="3">
        <v>6604.56</v>
      </c>
      <c r="R751" s="3">
        <v>7301.6</v>
      </c>
      <c r="S751" s="3">
        <v>3320.75</v>
      </c>
      <c r="T751" s="3">
        <v>499.71</v>
      </c>
      <c r="U751" s="3">
        <v>331.32</v>
      </c>
      <c r="V751" s="3">
        <v>593.14</v>
      </c>
      <c r="W751" s="3">
        <v>102.6</v>
      </c>
      <c r="X751" s="3">
        <v>4847.5200000000004</v>
      </c>
      <c r="Y751" s="3">
        <v>3283.81</v>
      </c>
      <c r="Z751" s="3">
        <f t="shared" si="49"/>
        <v>1757.04</v>
      </c>
      <c r="AA751" s="37">
        <f t="shared" si="50"/>
        <v>0.26603437624913695</v>
      </c>
      <c r="AB751" s="3">
        <v>-697.04</v>
      </c>
      <c r="AC751" s="3">
        <v>528.36</v>
      </c>
      <c r="AD751" s="3">
        <v>729.14</v>
      </c>
      <c r="AE751" s="3">
        <v>6805.34</v>
      </c>
      <c r="AF751" t="str">
        <f>IF(tbl_FinancialData[[#This Row],[City]]="","Unknown",PROPER(TRIM(tbl_FinancialData[[#This Row],[City]])))</f>
        <v>Kozhikode</v>
      </c>
      <c r="AG751" t="str">
        <f>_xlfn.LET(_xlpm.city,LOWER(TRIM(tbl_FinancialData[[#This Row],[City]])),_xlpm.st,PROPER(TRIM(tbl_FinancialData[[#This Row],[State]])),IF(_xlpm.city="pune","Maharashtra",IF(_xlpm.city="jamshedpur","Jharkhand",IF(_xlpm.city="bhilai","Chhattisgarh",IF(_xlpm.city="mumbai","Maharashtra",_xlpm.st)))))</f>
        <v>Kerala</v>
      </c>
      <c r="AH751" t="str">
        <f>_xlfn.LET(_xlpm.d,PROPER(TRIM(tbl_FinancialData[[#This Row],[Department]])),IF(_xlpm.d="It","IT",_xlpm.d))</f>
        <v>Marketing</v>
      </c>
      <c r="AI751" t="str">
        <f>_xlfn.LET(_xlpm.pid,tbl_FinancialData[[#This Row],[Product ID]],_xlpm.n,PROPER(TRIM(tbl_FinancialData[[#This Row],[Product Name]])),IF(_xlpm.pid="P020","Document Scanner",IF(_xlpm.pid="P015","Network Router",SUBSTITUTE(SUBSTITUTE(_xlpm.n,"Crm","CRM"),"Ups","UPS"))))</f>
        <v>Accounting Software</v>
      </c>
      <c r="AJ751" s="3" t="str">
        <f>UPPER(TRIM(tbl_FinancialData[[#This Row],[Cost Center]]))</f>
        <v>CC-1004</v>
      </c>
    </row>
    <row r="752" spans="1:36" x14ac:dyDescent="0.25">
      <c r="A752" s="3" t="s">
        <v>955</v>
      </c>
      <c r="B752" s="2">
        <v>46072</v>
      </c>
      <c r="C752" t="s">
        <v>57</v>
      </c>
      <c r="D752" s="3" t="str">
        <f t="shared" si="47"/>
        <v>Q4</v>
      </c>
      <c r="E752" s="3" t="str">
        <f t="shared" si="48"/>
        <v>FY2026</v>
      </c>
      <c r="F752" s="8" t="s">
        <v>34</v>
      </c>
      <c r="G752" s="3" t="s">
        <v>35</v>
      </c>
      <c r="H752" t="s">
        <v>98</v>
      </c>
      <c r="I752" t="s">
        <v>99</v>
      </c>
      <c r="J752" s="3" t="s">
        <v>38</v>
      </c>
      <c r="K752" t="s">
        <v>50</v>
      </c>
      <c r="L752" s="3" t="s">
        <v>72</v>
      </c>
      <c r="M752" s="3" t="s">
        <v>141</v>
      </c>
      <c r="N752" t="s">
        <v>142</v>
      </c>
      <c r="O752" t="s">
        <v>54</v>
      </c>
      <c r="P752" t="s">
        <v>143</v>
      </c>
      <c r="Q752" s="3">
        <v>4364.1400000000003</v>
      </c>
      <c r="R752" s="3">
        <v>5107.5200000000004</v>
      </c>
      <c r="S752" s="3">
        <v>2853.02</v>
      </c>
      <c r="T752" s="3">
        <v>361.97</v>
      </c>
      <c r="U752" s="3">
        <v>114.52</v>
      </c>
      <c r="V752" s="3">
        <v>186.47</v>
      </c>
      <c r="W752" s="3">
        <v>148.24</v>
      </c>
      <c r="X752" s="3">
        <v>3664.22</v>
      </c>
      <c r="Y752" s="3">
        <v>1511.12</v>
      </c>
      <c r="Z752" s="3">
        <f t="shared" si="49"/>
        <v>699.92000000000053</v>
      </c>
      <c r="AA752" s="37">
        <f t="shared" si="50"/>
        <v>0.16037982282878196</v>
      </c>
      <c r="AB752" s="3">
        <v>-743.39</v>
      </c>
      <c r="AC752" s="3">
        <v>349.13</v>
      </c>
      <c r="AD752" s="3">
        <v>722.7</v>
      </c>
      <c r="AE752" s="3">
        <v>4737.71</v>
      </c>
      <c r="AF752" t="str">
        <f>IF(tbl_FinancialData[[#This Row],[City]]="","Unknown",PROPER(TRIM(tbl_FinancialData[[#This Row],[City]])))</f>
        <v>Mumbai</v>
      </c>
      <c r="AG752" t="str">
        <f>_xlfn.LET(_xlpm.city,LOWER(TRIM(tbl_FinancialData[[#This Row],[City]])),_xlpm.st,PROPER(TRIM(tbl_FinancialData[[#This Row],[State]])),IF(_xlpm.city="pune","Maharashtra",IF(_xlpm.city="jamshedpur","Jharkhand",IF(_xlpm.city="bhilai","Chhattisgarh",IF(_xlpm.city="mumbai","Maharashtra",_xlpm.st)))))</f>
        <v>Maharashtra</v>
      </c>
      <c r="AH752" t="str">
        <f>_xlfn.LET(_xlpm.d,PROPER(TRIM(tbl_FinancialData[[#This Row],[Department]])),IF(_xlpm.d="It","IT",_xlpm.d))</f>
        <v>Sales</v>
      </c>
      <c r="AI752" t="str">
        <f>_xlfn.LET(_xlpm.pid,tbl_FinancialData[[#This Row],[Product ID]],_xlpm.n,PROPER(TRIM(tbl_FinancialData[[#This Row],[Product Name]])),IF(_xlpm.pid="P020","Document Scanner",IF(_xlpm.pid="P015","Network Router",SUBSTITUTE(SUBSTITUTE(_xlpm.n,"Crm","CRM"),"Ups","UPS"))))</f>
        <v>Headset</v>
      </c>
      <c r="AJ752" s="3" t="str">
        <f>UPPER(TRIM(tbl_FinancialData[[#This Row],[Cost Center]]))</f>
        <v>CC-1004</v>
      </c>
    </row>
    <row r="753" spans="1:36" x14ac:dyDescent="0.25">
      <c r="A753" s="3" t="s">
        <v>956</v>
      </c>
      <c r="B753" s="2">
        <v>45865</v>
      </c>
      <c r="C753" t="s">
        <v>32</v>
      </c>
      <c r="D753" s="3" t="str">
        <f t="shared" si="47"/>
        <v>Q2</v>
      </c>
      <c r="E753" s="3" t="str">
        <f t="shared" si="48"/>
        <v>FY2026</v>
      </c>
      <c r="F753" s="8" t="s">
        <v>85</v>
      </c>
      <c r="G753" s="3" t="s">
        <v>35</v>
      </c>
      <c r="H753" t="s">
        <v>178</v>
      </c>
      <c r="I753" t="s">
        <v>179</v>
      </c>
      <c r="J753" s="3" t="s">
        <v>100</v>
      </c>
      <c r="K753" t="s">
        <v>160</v>
      </c>
      <c r="L753" s="3" t="s">
        <v>94</v>
      </c>
      <c r="M753" s="3" t="s">
        <v>95</v>
      </c>
      <c r="N753" t="s">
        <v>96</v>
      </c>
      <c r="O753" t="s">
        <v>43</v>
      </c>
      <c r="P753" t="s">
        <v>90</v>
      </c>
      <c r="Q753" s="3">
        <v>19485.23</v>
      </c>
      <c r="R753" s="3">
        <v>21669.599999999999</v>
      </c>
      <c r="S753" s="3">
        <v>11825.29</v>
      </c>
      <c r="T753" s="3">
        <v>2420.8000000000002</v>
      </c>
      <c r="U753" s="3">
        <v>1030.1600000000001</v>
      </c>
      <c r="V753" s="3">
        <v>2135.29</v>
      </c>
      <c r="W753" s="3">
        <v>501.03</v>
      </c>
      <c r="X753" s="3">
        <v>17912.560000000001</v>
      </c>
      <c r="Y753" s="3">
        <v>7659.94</v>
      </c>
      <c r="Z753" s="3">
        <f t="shared" si="49"/>
        <v>1572.6699999999983</v>
      </c>
      <c r="AA753" s="37">
        <f t="shared" si="50"/>
        <v>8.0710876905225049E-2</v>
      </c>
      <c r="AB753" s="3">
        <v>-2184.37</v>
      </c>
      <c r="AC753" s="3">
        <v>1948.52</v>
      </c>
      <c r="AD753" s="3">
        <v>3156.61</v>
      </c>
      <c r="AE753" s="3">
        <v>20693.310000000001</v>
      </c>
      <c r="AF753" t="str">
        <f>IF(tbl_FinancialData[[#This Row],[City]]="","Unknown",PROPER(TRIM(tbl_FinancialData[[#This Row],[City]])))</f>
        <v>Bilaspur</v>
      </c>
      <c r="AG753" t="str">
        <f>_xlfn.LET(_xlpm.city,LOWER(TRIM(tbl_FinancialData[[#This Row],[City]])),_xlpm.st,PROPER(TRIM(tbl_FinancialData[[#This Row],[State]])),IF(_xlpm.city="pune","Maharashtra",IF(_xlpm.city="jamshedpur","Jharkhand",IF(_xlpm.city="bhilai","Chhattisgarh",IF(_xlpm.city="mumbai","Maharashtra",_xlpm.st)))))</f>
        <v>Chhattisgarh</v>
      </c>
      <c r="AH753" t="str">
        <f>_xlfn.LET(_xlpm.d,PROPER(TRIM(tbl_FinancialData[[#This Row],[Department]])),IF(_xlpm.d="It","IT",_xlpm.d))</f>
        <v>IT</v>
      </c>
      <c r="AI753" t="str">
        <f>_xlfn.LET(_xlpm.pid,tbl_FinancialData[[#This Row],[Product ID]],_xlpm.n,PROPER(TRIM(tbl_FinancialData[[#This Row],[Product Name]])),IF(_xlpm.pid="P020","Document Scanner",IF(_xlpm.pid="P015","Network Router",SUBSTITUTE(SUBSTITUTE(_xlpm.n,"Crm","CRM"),"Ups","UPS"))))</f>
        <v>Document Scanner</v>
      </c>
      <c r="AJ753" s="3" t="str">
        <f>UPPER(TRIM(tbl_FinancialData[[#This Row],[Cost Center]]))</f>
        <v>CC-1001</v>
      </c>
    </row>
    <row r="754" spans="1:36" x14ac:dyDescent="0.25">
      <c r="A754" s="3" t="s">
        <v>957</v>
      </c>
      <c r="B754" s="2">
        <v>45809</v>
      </c>
      <c r="C754" t="s">
        <v>156</v>
      </c>
      <c r="D754" s="3" t="str">
        <f t="shared" si="47"/>
        <v>Q1</v>
      </c>
      <c r="E754" s="3" t="str">
        <f t="shared" si="48"/>
        <v>FY2026</v>
      </c>
      <c r="F754" s="8" t="s">
        <v>85</v>
      </c>
      <c r="G754" s="3" t="s">
        <v>35</v>
      </c>
      <c r="H754" t="s">
        <v>178</v>
      </c>
      <c r="I754" t="s">
        <v>329</v>
      </c>
      <c r="J754" s="3" t="s">
        <v>80</v>
      </c>
      <c r="K754" t="s">
        <v>39</v>
      </c>
      <c r="L754" s="3" t="s">
        <v>51</v>
      </c>
      <c r="M754" s="3" t="s">
        <v>189</v>
      </c>
      <c r="N754" t="s">
        <v>190</v>
      </c>
      <c r="O754" t="s">
        <v>104</v>
      </c>
      <c r="P754" t="s">
        <v>105</v>
      </c>
      <c r="Q754" s="3">
        <v>7143.93</v>
      </c>
      <c r="R754" s="3">
        <v>7144.4</v>
      </c>
      <c r="S754" s="3">
        <v>4418.25</v>
      </c>
      <c r="T754" s="3">
        <v>845.79</v>
      </c>
      <c r="U754" s="3">
        <v>630.99</v>
      </c>
      <c r="V754" s="3">
        <v>536.92999999999995</v>
      </c>
      <c r="W754" s="3">
        <v>86.55</v>
      </c>
      <c r="X754" s="3">
        <v>6518.52</v>
      </c>
      <c r="Y754" s="3">
        <v>2725.69</v>
      </c>
      <c r="Z754" s="3">
        <f t="shared" si="49"/>
        <v>625.40999999999985</v>
      </c>
      <c r="AA754" s="37">
        <f t="shared" si="50"/>
        <v>8.7544250853521771E-2</v>
      </c>
      <c r="AB754" s="3">
        <v>-0.47</v>
      </c>
      <c r="AC754" s="3">
        <v>357.2</v>
      </c>
      <c r="AD754" s="3">
        <v>814.41</v>
      </c>
      <c r="AE754" s="3">
        <v>7601.15</v>
      </c>
      <c r="AF754" t="str">
        <f>IF(tbl_FinancialData[[#This Row],[City]]="","Unknown",PROPER(TRIM(tbl_FinancialData[[#This Row],[City]])))</f>
        <v>Raipur</v>
      </c>
      <c r="AG754" t="str">
        <f>_xlfn.LET(_xlpm.city,LOWER(TRIM(tbl_FinancialData[[#This Row],[City]])),_xlpm.st,PROPER(TRIM(tbl_FinancialData[[#This Row],[State]])),IF(_xlpm.city="pune","Maharashtra",IF(_xlpm.city="jamshedpur","Jharkhand",IF(_xlpm.city="bhilai","Chhattisgarh",IF(_xlpm.city="mumbai","Maharashtra",_xlpm.st)))))</f>
        <v>Chhattisgarh</v>
      </c>
      <c r="AH754" t="str">
        <f>_xlfn.LET(_xlpm.d,PROPER(TRIM(tbl_FinancialData[[#This Row],[Department]])),IF(_xlpm.d="It","IT",_xlpm.d))</f>
        <v>Operations</v>
      </c>
      <c r="AI754" t="str">
        <f>_xlfn.LET(_xlpm.pid,tbl_FinancialData[[#This Row],[Product ID]],_xlpm.n,PROPER(TRIM(tbl_FinancialData[[#This Row],[Product Name]])),IF(_xlpm.pid="P020","Document Scanner",IF(_xlpm.pid="P015","Network Router",SUBSTITUTE(SUBSTITUTE(_xlpm.n,"Crm","CRM"),"Ups","UPS"))))</f>
        <v>CRM Software</v>
      </c>
      <c r="AJ754" s="3" t="str">
        <f>UPPER(TRIM(tbl_FinancialData[[#This Row],[Cost Center]]))</f>
        <v>CC-1003</v>
      </c>
    </row>
    <row r="755" spans="1:36" x14ac:dyDescent="0.25">
      <c r="A755" s="3" t="s">
        <v>958</v>
      </c>
      <c r="B755" s="2">
        <v>46089</v>
      </c>
      <c r="C755" t="s">
        <v>125</v>
      </c>
      <c r="D755" s="3" t="str">
        <f t="shared" si="47"/>
        <v>Q4</v>
      </c>
      <c r="E755" s="3" t="str">
        <f t="shared" si="48"/>
        <v>FY2026</v>
      </c>
      <c r="F755" s="8" t="s">
        <v>47</v>
      </c>
      <c r="G755" s="3" t="s">
        <v>35</v>
      </c>
      <c r="H755" t="s">
        <v>206</v>
      </c>
      <c r="I755" t="s">
        <v>344</v>
      </c>
      <c r="J755" s="3" t="s">
        <v>100</v>
      </c>
      <c r="K755" t="s">
        <v>50</v>
      </c>
      <c r="L755" s="3" t="s">
        <v>72</v>
      </c>
      <c r="M755" s="3" t="s">
        <v>186</v>
      </c>
      <c r="N755" t="s">
        <v>187</v>
      </c>
      <c r="O755" t="s">
        <v>173</v>
      </c>
      <c r="P755" t="s">
        <v>174</v>
      </c>
      <c r="Q755" s="3">
        <v>10184.89</v>
      </c>
      <c r="R755" s="3">
        <v>9856.34</v>
      </c>
      <c r="S755" s="3">
        <v>6810.71</v>
      </c>
      <c r="T755" s="3">
        <v>1122.33</v>
      </c>
      <c r="U755" s="3">
        <v>392.88</v>
      </c>
      <c r="V755" s="3">
        <v>567.74</v>
      </c>
      <c r="W755" s="3">
        <v>330.91</v>
      </c>
      <c r="X755" s="3">
        <v>9224.57</v>
      </c>
      <c r="Y755" s="3">
        <v>3374.17</v>
      </c>
      <c r="Z755" s="3">
        <f t="shared" si="49"/>
        <v>960.31999999999971</v>
      </c>
      <c r="AA755" s="37">
        <f t="shared" si="50"/>
        <v>9.4288696294216212E-2</v>
      </c>
      <c r="AB755" s="3">
        <v>328.54</v>
      </c>
      <c r="AC755" s="3">
        <v>305.55</v>
      </c>
      <c r="AD755" s="3">
        <v>1778.28</v>
      </c>
      <c r="AE755" s="3">
        <v>11657.62</v>
      </c>
      <c r="AF755" t="str">
        <f>IF(tbl_FinancialData[[#This Row],[City]]="","Unknown",PROPER(TRIM(tbl_FinancialData[[#This Row],[City]])))</f>
        <v>Hyderabad</v>
      </c>
      <c r="AG755" t="str">
        <f>_xlfn.LET(_xlpm.city,LOWER(TRIM(tbl_FinancialData[[#This Row],[City]])),_xlpm.st,PROPER(TRIM(tbl_FinancialData[[#This Row],[State]])),IF(_xlpm.city="pune","Maharashtra",IF(_xlpm.city="jamshedpur","Jharkhand",IF(_xlpm.city="bhilai","Chhattisgarh",IF(_xlpm.city="mumbai","Maharashtra",_xlpm.st)))))</f>
        <v>Telangana</v>
      </c>
      <c r="AH755" t="str">
        <f>_xlfn.LET(_xlpm.d,PROPER(TRIM(tbl_FinancialData[[#This Row],[Department]])),IF(_xlpm.d="It","IT",_xlpm.d))</f>
        <v>Sales</v>
      </c>
      <c r="AI755" t="str">
        <f>_xlfn.LET(_xlpm.pid,tbl_FinancialData[[#This Row],[Product ID]],_xlpm.n,PROPER(TRIM(tbl_FinancialData[[#This Row],[Product Name]])),IF(_xlpm.pid="P020","Document Scanner",IF(_xlpm.pid="P015","Network Router",SUBSTITUTE(SUBSTITUTE(_xlpm.n,"Crm","CRM"),"Ups","UPS"))))</f>
        <v>Network Router</v>
      </c>
      <c r="AJ755" s="3" t="str">
        <f>UPPER(TRIM(tbl_FinancialData[[#This Row],[Cost Center]]))</f>
        <v>CC-1004</v>
      </c>
    </row>
    <row r="756" spans="1:36" x14ac:dyDescent="0.25">
      <c r="A756" s="3" t="s">
        <v>959</v>
      </c>
      <c r="B756" s="2">
        <v>45953</v>
      </c>
      <c r="C756" t="s">
        <v>92</v>
      </c>
      <c r="D756" s="3" t="str">
        <f t="shared" si="47"/>
        <v>Q3</v>
      </c>
      <c r="E756" s="3" t="str">
        <f t="shared" si="48"/>
        <v>FY2026</v>
      </c>
      <c r="F756" s="8" t="s">
        <v>34</v>
      </c>
      <c r="G756" s="3" t="s">
        <v>35</v>
      </c>
      <c r="H756" t="s">
        <v>134</v>
      </c>
      <c r="I756" t="s">
        <v>154</v>
      </c>
      <c r="J756" s="3" t="s">
        <v>38</v>
      </c>
      <c r="K756" t="s">
        <v>160</v>
      </c>
      <c r="L756" s="3" t="s">
        <v>51</v>
      </c>
      <c r="M756" s="3" t="s">
        <v>52</v>
      </c>
      <c r="N756" t="s">
        <v>53</v>
      </c>
      <c r="O756" t="s">
        <v>54</v>
      </c>
      <c r="P756" t="s">
        <v>55</v>
      </c>
      <c r="Q756" s="3">
        <v>2243.56</v>
      </c>
      <c r="R756" s="3">
        <v>2196.3200000000002</v>
      </c>
      <c r="S756" s="3">
        <v>1427.1</v>
      </c>
      <c r="T756" s="3">
        <v>248.05</v>
      </c>
      <c r="U756" s="3">
        <v>165.39</v>
      </c>
      <c r="V756" s="3">
        <v>181.26</v>
      </c>
      <c r="W756" s="3">
        <v>86.1</v>
      </c>
      <c r="X756" s="3">
        <v>2107.9</v>
      </c>
      <c r="Y756" s="3">
        <v>816.46</v>
      </c>
      <c r="Z756" s="3">
        <f t="shared" si="49"/>
        <v>135.65999999999985</v>
      </c>
      <c r="AA756" s="37">
        <f t="shared" si="50"/>
        <v>6.046640161172416E-2</v>
      </c>
      <c r="AB756" s="3">
        <v>47.24</v>
      </c>
      <c r="AC756" s="3">
        <v>67.31</v>
      </c>
      <c r="AD756" s="3">
        <v>108.81</v>
      </c>
      <c r="AE756" s="3">
        <v>2285.06</v>
      </c>
      <c r="AF756" t="str">
        <f>IF(tbl_FinancialData[[#This Row],[City]]="","Unknown",PROPER(TRIM(tbl_FinancialData[[#This Row],[City]])))</f>
        <v>Udaipur</v>
      </c>
      <c r="AG756" t="str">
        <f>_xlfn.LET(_xlpm.city,LOWER(TRIM(tbl_FinancialData[[#This Row],[City]])),_xlpm.st,PROPER(TRIM(tbl_FinancialData[[#This Row],[State]])),IF(_xlpm.city="pune","Maharashtra",IF(_xlpm.city="jamshedpur","Jharkhand",IF(_xlpm.city="bhilai","Chhattisgarh",IF(_xlpm.city="mumbai","Maharashtra",_xlpm.st)))))</f>
        <v>Rajasthan</v>
      </c>
      <c r="AH756" t="str">
        <f>_xlfn.LET(_xlpm.d,PROPER(TRIM(tbl_FinancialData[[#This Row],[Department]])),IF(_xlpm.d="It","IT",_xlpm.d))</f>
        <v>IT</v>
      </c>
      <c r="AI756" t="str">
        <f>_xlfn.LET(_xlpm.pid,tbl_FinancialData[[#This Row],[Product ID]],_xlpm.n,PROPER(TRIM(tbl_FinancialData[[#This Row],[Product Name]])),IF(_xlpm.pid="P020","Document Scanner",IF(_xlpm.pid="P015","Network Router",SUBSTITUTE(SUBSTITUTE(_xlpm.n,"Crm","CRM"),"Ups","UPS"))))</f>
        <v>Mouse</v>
      </c>
      <c r="AJ756" s="3" t="str">
        <f>UPPER(TRIM(tbl_FinancialData[[#This Row],[Cost Center]]))</f>
        <v>CC-1003</v>
      </c>
    </row>
    <row r="757" spans="1:36" x14ac:dyDescent="0.25">
      <c r="A757" s="3" t="s">
        <v>960</v>
      </c>
      <c r="B757" s="2">
        <v>45913</v>
      </c>
      <c r="C757" t="s">
        <v>46</v>
      </c>
      <c r="D757" s="3" t="str">
        <f t="shared" si="47"/>
        <v>Q2</v>
      </c>
      <c r="E757" s="3" t="str">
        <f t="shared" si="48"/>
        <v>FY2026</v>
      </c>
      <c r="F757" s="8" t="s">
        <v>34</v>
      </c>
      <c r="G757" s="3" t="s">
        <v>35</v>
      </c>
      <c r="H757" t="s">
        <v>157</v>
      </c>
      <c r="I757" t="s">
        <v>158</v>
      </c>
      <c r="J757" s="3" t="s">
        <v>70</v>
      </c>
      <c r="K757" t="s">
        <v>39</v>
      </c>
      <c r="L757" s="3" t="s">
        <v>94</v>
      </c>
      <c r="M757" s="3" t="s">
        <v>41</v>
      </c>
      <c r="N757" t="s">
        <v>42</v>
      </c>
      <c r="O757" t="s">
        <v>43</v>
      </c>
      <c r="P757" t="s">
        <v>44</v>
      </c>
      <c r="Q757" s="3">
        <v>62168.92</v>
      </c>
      <c r="R757" s="3">
        <v>60889.37</v>
      </c>
      <c r="S757" s="3">
        <v>44422.05</v>
      </c>
      <c r="T757" s="3">
        <v>7402.79</v>
      </c>
      <c r="U757" s="3">
        <v>2859.64</v>
      </c>
      <c r="V757" s="3">
        <v>4793.38</v>
      </c>
      <c r="W757" s="3">
        <v>1524.86</v>
      </c>
      <c r="X757" s="3">
        <v>61002.720000000001</v>
      </c>
      <c r="Y757" s="3">
        <v>17746.87</v>
      </c>
      <c r="Z757" s="3">
        <f t="shared" si="49"/>
        <v>1166.1999999999971</v>
      </c>
      <c r="AA757" s="37">
        <f t="shared" si="50"/>
        <v>1.8758569394481957E-2</v>
      </c>
      <c r="AB757" s="3">
        <v>1279.55</v>
      </c>
      <c r="AC757" s="3">
        <v>0</v>
      </c>
      <c r="AD757" s="3">
        <v>11190.41</v>
      </c>
      <c r="AE757" s="3">
        <v>73359.33</v>
      </c>
      <c r="AF757" t="str">
        <f>IF(tbl_FinancialData[[#This Row],[City]]="","Unknown",PROPER(TRIM(tbl_FinancialData[[#This Row],[City]])))</f>
        <v>Ahmedabad</v>
      </c>
      <c r="AG757" t="str">
        <f>_xlfn.LET(_xlpm.city,LOWER(TRIM(tbl_FinancialData[[#This Row],[City]])),_xlpm.st,PROPER(TRIM(tbl_FinancialData[[#This Row],[State]])),IF(_xlpm.city="pune","Maharashtra",IF(_xlpm.city="jamshedpur","Jharkhand",IF(_xlpm.city="bhilai","Chhattisgarh",IF(_xlpm.city="mumbai","Maharashtra",_xlpm.st)))))</f>
        <v>Gujarat</v>
      </c>
      <c r="AH757" t="str">
        <f>_xlfn.LET(_xlpm.d,PROPER(TRIM(tbl_FinancialData[[#This Row],[Department]])),IF(_xlpm.d="It","IT",_xlpm.d))</f>
        <v>Operations</v>
      </c>
      <c r="AI757" t="str">
        <f>_xlfn.LET(_xlpm.pid,tbl_FinancialData[[#This Row],[Product ID]],_xlpm.n,PROPER(TRIM(tbl_FinancialData[[#This Row],[Product Name]])),IF(_xlpm.pid="P020","Document Scanner",IF(_xlpm.pid="P015","Network Router",SUBSTITUTE(SUBSTITUTE(_xlpm.n,"Crm","CRM"),"Ups","UPS"))))</f>
        <v>Conference Camera</v>
      </c>
      <c r="AJ757" s="3" t="str">
        <f>UPPER(TRIM(tbl_FinancialData[[#This Row],[Cost Center]]))</f>
        <v>CC-1001</v>
      </c>
    </row>
    <row r="758" spans="1:36" x14ac:dyDescent="0.25">
      <c r="A758" s="3" t="s">
        <v>961</v>
      </c>
      <c r="B758" s="2">
        <v>45974</v>
      </c>
      <c r="C758" t="s">
        <v>147</v>
      </c>
      <c r="D758" s="3" t="str">
        <f t="shared" si="47"/>
        <v>Q3</v>
      </c>
      <c r="E758" s="3" t="str">
        <f t="shared" si="48"/>
        <v>FY2026</v>
      </c>
      <c r="F758" s="8" t="s">
        <v>85</v>
      </c>
      <c r="G758" s="3" t="s">
        <v>35</v>
      </c>
      <c r="H758" t="s">
        <v>178</v>
      </c>
      <c r="I758" t="s">
        <v>249</v>
      </c>
      <c r="J758" s="3" t="s">
        <v>38</v>
      </c>
      <c r="K758" t="s">
        <v>50</v>
      </c>
      <c r="L758" s="3" t="s">
        <v>40</v>
      </c>
      <c r="M758" s="3" t="s">
        <v>130</v>
      </c>
      <c r="N758" t="s">
        <v>131</v>
      </c>
      <c r="O758" t="s">
        <v>43</v>
      </c>
      <c r="P758" t="s">
        <v>132</v>
      </c>
      <c r="Q758" s="3">
        <v>37023.06</v>
      </c>
      <c r="R758" s="3">
        <v>34924.28</v>
      </c>
      <c r="S758" s="3">
        <v>18431.54</v>
      </c>
      <c r="T758" s="3">
        <v>2706.87</v>
      </c>
      <c r="U758" s="3">
        <v>2435.5100000000002</v>
      </c>
      <c r="V758" s="3">
        <v>3157.88</v>
      </c>
      <c r="W758" s="3">
        <v>1163.46</v>
      </c>
      <c r="X758" s="3">
        <v>27895.25</v>
      </c>
      <c r="Y758" s="3">
        <v>18591.52</v>
      </c>
      <c r="Z758" s="3">
        <f t="shared" si="49"/>
        <v>9127.8099999999977</v>
      </c>
      <c r="AA758" s="37">
        <f t="shared" si="50"/>
        <v>0.2465439107410354</v>
      </c>
      <c r="AB758" s="3">
        <v>2098.7800000000002</v>
      </c>
      <c r="AC758" s="3">
        <v>1851.15</v>
      </c>
      <c r="AD758" s="3">
        <v>4220.63</v>
      </c>
      <c r="AE758" s="3">
        <v>39392.53</v>
      </c>
      <c r="AF758" t="str">
        <f>IF(tbl_FinancialData[[#This Row],[City]]="","Unknown",PROPER(TRIM(tbl_FinancialData[[#This Row],[City]])))</f>
        <v>Bhilai</v>
      </c>
      <c r="AG758" t="str">
        <f>_xlfn.LET(_xlpm.city,LOWER(TRIM(tbl_FinancialData[[#This Row],[City]])),_xlpm.st,PROPER(TRIM(tbl_FinancialData[[#This Row],[State]])),IF(_xlpm.city="pune","Maharashtra",IF(_xlpm.city="jamshedpur","Jharkhand",IF(_xlpm.city="bhilai","Chhattisgarh",IF(_xlpm.city="mumbai","Maharashtra",_xlpm.st)))))</f>
        <v>Chhattisgarh</v>
      </c>
      <c r="AH758" t="str">
        <f>_xlfn.LET(_xlpm.d,PROPER(TRIM(tbl_FinancialData[[#This Row],[Department]])),IF(_xlpm.d="It","IT",_xlpm.d))</f>
        <v>Sales</v>
      </c>
      <c r="AI758" t="str">
        <f>_xlfn.LET(_xlpm.pid,tbl_FinancialData[[#This Row],[Product ID]],_xlpm.n,PROPER(TRIM(tbl_FinancialData[[#This Row],[Product Name]])),IF(_xlpm.pid="P020","Document Scanner",IF(_xlpm.pid="P015","Network Router",SUBSTITUTE(SUBSTITUTE(_xlpm.n,"Crm","CRM"),"Ups","UPS"))))</f>
        <v>UPS System</v>
      </c>
      <c r="AJ758" s="3" t="str">
        <f>UPPER(TRIM(tbl_FinancialData[[#This Row],[Cost Center]]))</f>
        <v>CC-1002</v>
      </c>
    </row>
    <row r="759" spans="1:36" x14ac:dyDescent="0.25">
      <c r="A759" s="3" t="s">
        <v>962</v>
      </c>
      <c r="B759" s="2">
        <v>46009</v>
      </c>
      <c r="C759" t="s">
        <v>107</v>
      </c>
      <c r="D759" s="3" t="str">
        <f t="shared" si="47"/>
        <v>Q3</v>
      </c>
      <c r="E759" s="3" t="str">
        <f t="shared" si="48"/>
        <v>FY2026</v>
      </c>
      <c r="F759" s="8" t="s">
        <v>34</v>
      </c>
      <c r="G759" s="3" t="s">
        <v>35</v>
      </c>
      <c r="H759" t="s">
        <v>157</v>
      </c>
      <c r="I759" t="s">
        <v>166</v>
      </c>
      <c r="J759" s="3" t="s">
        <v>70</v>
      </c>
      <c r="K759" t="s">
        <v>39</v>
      </c>
      <c r="L759" s="3" t="s">
        <v>51</v>
      </c>
      <c r="M759" s="3" t="s">
        <v>110</v>
      </c>
      <c r="N759" t="s">
        <v>111</v>
      </c>
      <c r="O759" t="s">
        <v>112</v>
      </c>
      <c r="P759" t="s">
        <v>113</v>
      </c>
      <c r="Q759" s="3">
        <v>15156.7</v>
      </c>
      <c r="R759" s="3">
        <v>16715.099999999999</v>
      </c>
      <c r="S759" s="3">
        <v>9673.85</v>
      </c>
      <c r="T759" s="3">
        <v>1251.17</v>
      </c>
      <c r="U759" s="3">
        <v>637.01</v>
      </c>
      <c r="V759" s="3">
        <v>1793.89</v>
      </c>
      <c r="W759" s="3">
        <v>574.49</v>
      </c>
      <c r="X759" s="3">
        <v>13930.41</v>
      </c>
      <c r="Y759" s="3">
        <v>5482.85</v>
      </c>
      <c r="Z759" s="3">
        <f t="shared" si="49"/>
        <v>1226.2900000000009</v>
      </c>
      <c r="AA759" s="37">
        <f t="shared" si="50"/>
        <v>8.090745346942281E-2</v>
      </c>
      <c r="AB759" s="3">
        <v>-1558.4</v>
      </c>
      <c r="AC759" s="3">
        <v>303.13</v>
      </c>
      <c r="AD759" s="3">
        <v>2673.64</v>
      </c>
      <c r="AE759" s="3">
        <v>17527.21</v>
      </c>
      <c r="AF759" t="str">
        <f>IF(tbl_FinancialData[[#This Row],[City]]="","Unknown",PROPER(TRIM(tbl_FinancialData[[#This Row],[City]])))</f>
        <v>Vadodara</v>
      </c>
      <c r="AG759" t="str">
        <f>_xlfn.LET(_xlpm.city,LOWER(TRIM(tbl_FinancialData[[#This Row],[City]])),_xlpm.st,PROPER(TRIM(tbl_FinancialData[[#This Row],[State]])),IF(_xlpm.city="pune","Maharashtra",IF(_xlpm.city="jamshedpur","Jharkhand",IF(_xlpm.city="bhilai","Chhattisgarh",IF(_xlpm.city="mumbai","Maharashtra",_xlpm.st)))))</f>
        <v>Gujarat</v>
      </c>
      <c r="AH759" t="str">
        <f>_xlfn.LET(_xlpm.d,PROPER(TRIM(tbl_FinancialData[[#This Row],[Department]])),IF(_xlpm.d="It","IT",_xlpm.d))</f>
        <v>Operations</v>
      </c>
      <c r="AI759" t="str">
        <f>_xlfn.LET(_xlpm.pid,tbl_FinancialData[[#This Row],[Product ID]],_xlpm.n,PROPER(TRIM(tbl_FinancialData[[#This Row],[Product Name]])),IF(_xlpm.pid="P020","Document Scanner",IF(_xlpm.pid="P015","Network Router",SUBSTITUTE(SUBSTITUTE(_xlpm.n,"Crm","CRM"),"Ups","UPS"))))</f>
        <v>Office Desk</v>
      </c>
      <c r="AJ759" s="3" t="str">
        <f>UPPER(TRIM(tbl_FinancialData[[#This Row],[Cost Center]]))</f>
        <v>CC-1003</v>
      </c>
    </row>
    <row r="760" spans="1:36" x14ac:dyDescent="0.25">
      <c r="A760" s="3" t="s">
        <v>963</v>
      </c>
      <c r="B760" s="2">
        <v>46039</v>
      </c>
      <c r="C760" t="s">
        <v>77</v>
      </c>
      <c r="D760" s="3" t="str">
        <f t="shared" si="47"/>
        <v>Q4</v>
      </c>
      <c r="E760" s="3" t="str">
        <f t="shared" si="48"/>
        <v>FY2026</v>
      </c>
      <c r="F760" s="8" t="s">
        <v>34</v>
      </c>
      <c r="G760" s="3" t="s">
        <v>35</v>
      </c>
      <c r="H760" t="s">
        <v>36</v>
      </c>
      <c r="I760" t="s">
        <v>145</v>
      </c>
      <c r="J760" s="3" t="s">
        <v>100</v>
      </c>
      <c r="K760" t="s">
        <v>50</v>
      </c>
      <c r="L760" s="3" t="s">
        <v>72</v>
      </c>
      <c r="M760" s="3" t="s">
        <v>186</v>
      </c>
      <c r="N760" t="s">
        <v>187</v>
      </c>
      <c r="O760" t="s">
        <v>173</v>
      </c>
      <c r="P760" t="s">
        <v>174</v>
      </c>
      <c r="Q760" s="3">
        <v>38876.559999999998</v>
      </c>
      <c r="R760" s="3">
        <v>44656.53</v>
      </c>
      <c r="S760" s="3">
        <v>20867.14</v>
      </c>
      <c r="T760" s="3">
        <v>3018.13</v>
      </c>
      <c r="U760" s="3">
        <v>2874.55</v>
      </c>
      <c r="V760" s="3">
        <v>2875.5</v>
      </c>
      <c r="W760" s="3">
        <v>1528.1</v>
      </c>
      <c r="X760" s="3">
        <v>31163.42</v>
      </c>
      <c r="Y760" s="3">
        <v>18009.419999999998</v>
      </c>
      <c r="Z760" s="3">
        <f t="shared" si="49"/>
        <v>7713.1399999999994</v>
      </c>
      <c r="AA760" s="37">
        <f t="shared" si="50"/>
        <v>0.19840078443154435</v>
      </c>
      <c r="AB760" s="3">
        <v>-5779.97</v>
      </c>
      <c r="AC760" s="3">
        <v>3110.13</v>
      </c>
      <c r="AD760" s="3">
        <v>4291.97</v>
      </c>
      <c r="AE760" s="3">
        <v>40058.410000000003</v>
      </c>
      <c r="AF760" t="str">
        <f>IF(tbl_FinancialData[[#This Row],[City]]="","Unknown",PROPER(TRIM(tbl_FinancialData[[#This Row],[City]])))</f>
        <v>Panaji</v>
      </c>
      <c r="AG760" t="str">
        <f>_xlfn.LET(_xlpm.city,LOWER(TRIM(tbl_FinancialData[[#This Row],[City]])),_xlpm.st,PROPER(TRIM(tbl_FinancialData[[#This Row],[State]])),IF(_xlpm.city="pune","Maharashtra",IF(_xlpm.city="jamshedpur","Jharkhand",IF(_xlpm.city="bhilai","Chhattisgarh",IF(_xlpm.city="mumbai","Maharashtra",_xlpm.st)))))</f>
        <v>Goa</v>
      </c>
      <c r="AH760" t="str">
        <f>_xlfn.LET(_xlpm.d,PROPER(TRIM(tbl_FinancialData[[#This Row],[Department]])),IF(_xlpm.d="It","IT",_xlpm.d))</f>
        <v>Sales</v>
      </c>
      <c r="AI760" t="str">
        <f>_xlfn.LET(_xlpm.pid,tbl_FinancialData[[#This Row],[Product ID]],_xlpm.n,PROPER(TRIM(tbl_FinancialData[[#This Row],[Product Name]])),IF(_xlpm.pid="P020","Document Scanner",IF(_xlpm.pid="P015","Network Router",SUBSTITUTE(SUBSTITUTE(_xlpm.n,"Crm","CRM"),"Ups","UPS"))))</f>
        <v>Network Router</v>
      </c>
      <c r="AJ760" s="3" t="str">
        <f>UPPER(TRIM(tbl_FinancialData[[#This Row],[Cost Center]]))</f>
        <v>CC-1004</v>
      </c>
    </row>
    <row r="761" spans="1:36" x14ac:dyDescent="0.25">
      <c r="A761" s="3" t="s">
        <v>964</v>
      </c>
      <c r="B761" s="2">
        <v>45768</v>
      </c>
      <c r="C761" t="s">
        <v>128</v>
      </c>
      <c r="D761" s="3" t="str">
        <f t="shared" si="47"/>
        <v>Q1</v>
      </c>
      <c r="E761" s="3" t="str">
        <f t="shared" si="48"/>
        <v>FY2026</v>
      </c>
      <c r="F761" s="8" t="s">
        <v>34</v>
      </c>
      <c r="G761" s="3" t="s">
        <v>35</v>
      </c>
      <c r="H761" t="s">
        <v>36</v>
      </c>
      <c r="I761" t="s">
        <v>37</v>
      </c>
      <c r="J761" s="3" t="s">
        <v>38</v>
      </c>
      <c r="K761" t="s">
        <v>39</v>
      </c>
      <c r="L761" s="3" t="s">
        <v>72</v>
      </c>
      <c r="M761" s="3" t="s">
        <v>221</v>
      </c>
      <c r="N761" t="s">
        <v>222</v>
      </c>
      <c r="O761" t="s">
        <v>104</v>
      </c>
      <c r="P761" t="s">
        <v>223</v>
      </c>
      <c r="Q761" s="3">
        <v>31970.91</v>
      </c>
      <c r="R761" s="3">
        <v>32580.06</v>
      </c>
      <c r="S761" s="3">
        <v>20052.59</v>
      </c>
      <c r="T761" s="3">
        <v>2295.59</v>
      </c>
      <c r="U761" s="3">
        <v>1369.04</v>
      </c>
      <c r="V761" s="3">
        <v>1569.27</v>
      </c>
      <c r="W761" s="3">
        <v>447.33</v>
      </c>
      <c r="X761" s="3">
        <v>25733.82</v>
      </c>
      <c r="Y761" s="3">
        <v>11918.32</v>
      </c>
      <c r="Z761" s="3">
        <f t="shared" si="49"/>
        <v>6237.09</v>
      </c>
      <c r="AA761" s="37">
        <f t="shared" si="50"/>
        <v>0.19508640823798884</v>
      </c>
      <c r="AB761" s="3">
        <v>-609.16</v>
      </c>
      <c r="AC761" s="3">
        <v>959.13</v>
      </c>
      <c r="AD761" s="3">
        <v>5582.12</v>
      </c>
      <c r="AE761" s="3">
        <v>36593.9</v>
      </c>
      <c r="AF761" t="str">
        <f>IF(tbl_FinancialData[[#This Row],[City]]="","Unknown",PROPER(TRIM(tbl_FinancialData[[#This Row],[City]])))</f>
        <v>Vasco Da Gama</v>
      </c>
      <c r="AG761" t="str">
        <f>_xlfn.LET(_xlpm.city,LOWER(TRIM(tbl_FinancialData[[#This Row],[City]])),_xlpm.st,PROPER(TRIM(tbl_FinancialData[[#This Row],[State]])),IF(_xlpm.city="pune","Maharashtra",IF(_xlpm.city="jamshedpur","Jharkhand",IF(_xlpm.city="bhilai","Chhattisgarh",IF(_xlpm.city="mumbai","Maharashtra",_xlpm.st)))))</f>
        <v>Goa</v>
      </c>
      <c r="AH761" t="str">
        <f>_xlfn.LET(_xlpm.d,PROPER(TRIM(tbl_FinancialData[[#This Row],[Department]])),IF(_xlpm.d="It","IT",_xlpm.d))</f>
        <v>Operations</v>
      </c>
      <c r="AI761" t="str">
        <f>_xlfn.LET(_xlpm.pid,tbl_FinancialData[[#This Row],[Product ID]],_xlpm.n,PROPER(TRIM(tbl_FinancialData[[#This Row],[Product Name]])),IF(_xlpm.pid="P020","Document Scanner",IF(_xlpm.pid="P015","Network Router",SUBSTITUTE(SUBSTITUTE(_xlpm.n,"Crm","CRM"),"Ups","UPS"))))</f>
        <v>Cloud Software</v>
      </c>
      <c r="AJ761" s="3" t="str">
        <f>UPPER(TRIM(tbl_FinancialData[[#This Row],[Cost Center]]))</f>
        <v>CC-1004</v>
      </c>
    </row>
    <row r="762" spans="1:36" x14ac:dyDescent="0.25">
      <c r="A762" s="3" t="s">
        <v>965</v>
      </c>
      <c r="B762" s="2">
        <v>46048</v>
      </c>
      <c r="C762" t="s">
        <v>77</v>
      </c>
      <c r="D762" s="3" t="str">
        <f t="shared" si="47"/>
        <v>Q4</v>
      </c>
      <c r="E762" s="3" t="str">
        <f t="shared" si="48"/>
        <v>FY2026</v>
      </c>
      <c r="F762" s="8" t="s">
        <v>59</v>
      </c>
      <c r="G762" s="3" t="s">
        <v>35</v>
      </c>
      <c r="H762" t="s">
        <v>139</v>
      </c>
      <c r="I762" t="s">
        <v>200</v>
      </c>
      <c r="J762" s="3" t="s">
        <v>80</v>
      </c>
      <c r="K762" t="s">
        <v>39</v>
      </c>
      <c r="L762" s="3" t="s">
        <v>72</v>
      </c>
      <c r="M762" s="3" t="s">
        <v>120</v>
      </c>
      <c r="N762" t="s">
        <v>121</v>
      </c>
      <c r="O762" t="s">
        <v>43</v>
      </c>
      <c r="P762" t="s">
        <v>122</v>
      </c>
      <c r="Q762" s="3">
        <v>47627.91</v>
      </c>
      <c r="R762" s="3">
        <v>48387.44</v>
      </c>
      <c r="S762" s="3">
        <v>24647.38</v>
      </c>
      <c r="T762" s="3">
        <v>6029.8</v>
      </c>
      <c r="U762" s="3">
        <v>3601.53</v>
      </c>
      <c r="V762" s="3">
        <v>4712.2</v>
      </c>
      <c r="W762" s="3">
        <v>1626.84</v>
      </c>
      <c r="X762" s="3">
        <v>40617.74</v>
      </c>
      <c r="Y762" s="3">
        <v>22980.54</v>
      </c>
      <c r="Z762" s="3">
        <f t="shared" si="49"/>
        <v>7010.1700000000055</v>
      </c>
      <c r="AA762" s="37">
        <f t="shared" si="50"/>
        <v>0.14718617718056504</v>
      </c>
      <c r="AB762" s="3">
        <v>-759.52</v>
      </c>
      <c r="AC762" s="3">
        <v>1428.84</v>
      </c>
      <c r="AD762" s="3">
        <v>8315.83</v>
      </c>
      <c r="AE762" s="3">
        <v>54514.91</v>
      </c>
      <c r="AF762" t="str">
        <f>IF(tbl_FinancialData[[#This Row],[City]]="","Unknown",PROPER(TRIM(tbl_FinancialData[[#This Row],[City]])))</f>
        <v>Gurugram</v>
      </c>
      <c r="AG762" t="str">
        <f>_xlfn.LET(_xlpm.city,LOWER(TRIM(tbl_FinancialData[[#This Row],[City]])),_xlpm.st,PROPER(TRIM(tbl_FinancialData[[#This Row],[State]])),IF(_xlpm.city="pune","Maharashtra",IF(_xlpm.city="jamshedpur","Jharkhand",IF(_xlpm.city="bhilai","Chhattisgarh",IF(_xlpm.city="mumbai","Maharashtra",_xlpm.st)))))</f>
        <v>Haryana</v>
      </c>
      <c r="AH762" t="str">
        <f>_xlfn.LET(_xlpm.d,PROPER(TRIM(tbl_FinancialData[[#This Row],[Department]])),IF(_xlpm.d="It","IT",_xlpm.d))</f>
        <v>Operations</v>
      </c>
      <c r="AI762" t="str">
        <f>_xlfn.LET(_xlpm.pid,tbl_FinancialData[[#This Row],[Product ID]],_xlpm.n,PROPER(TRIM(tbl_FinancialData[[#This Row],[Product Name]])),IF(_xlpm.pid="P020","Document Scanner",IF(_xlpm.pid="P015","Network Router",SUBSTITUTE(SUBSTITUTE(_xlpm.n,"Crm","CRM"),"Ups","UPS"))))</f>
        <v>Projector</v>
      </c>
      <c r="AJ762" s="3" t="str">
        <f>UPPER(TRIM(tbl_FinancialData[[#This Row],[Cost Center]]))</f>
        <v>CC-1004</v>
      </c>
    </row>
    <row r="763" spans="1:36" x14ac:dyDescent="0.25">
      <c r="A763" s="3" t="s">
        <v>966</v>
      </c>
      <c r="B763" s="2">
        <v>45858</v>
      </c>
      <c r="C763" t="s">
        <v>32</v>
      </c>
      <c r="D763" s="3" t="str">
        <f t="shared" si="47"/>
        <v>Q2</v>
      </c>
      <c r="E763" s="3" t="str">
        <f t="shared" si="48"/>
        <v>FY2026</v>
      </c>
      <c r="F763" s="8" t="s">
        <v>34</v>
      </c>
      <c r="G763" s="3" t="s">
        <v>35</v>
      </c>
      <c r="H763" t="s">
        <v>36</v>
      </c>
      <c r="I763" t="s">
        <v>145</v>
      </c>
      <c r="J763" s="3" t="s">
        <v>38</v>
      </c>
      <c r="K763" t="s">
        <v>50</v>
      </c>
      <c r="L763" s="3" t="s">
        <v>40</v>
      </c>
      <c r="M763" s="3" t="s">
        <v>120</v>
      </c>
      <c r="N763" t="s">
        <v>121</v>
      </c>
      <c r="O763" t="s">
        <v>43</v>
      </c>
      <c r="P763" t="s">
        <v>122</v>
      </c>
      <c r="Q763" s="3">
        <v>45063.81</v>
      </c>
      <c r="R763" s="3">
        <v>52452.06</v>
      </c>
      <c r="S763" s="3">
        <v>24296.84</v>
      </c>
      <c r="T763" s="3">
        <v>5148.43</v>
      </c>
      <c r="U763" s="3">
        <v>2919.38</v>
      </c>
      <c r="V763" s="3">
        <v>3161.3</v>
      </c>
      <c r="W763" s="3">
        <v>452.8</v>
      </c>
      <c r="X763" s="3">
        <v>35978.74</v>
      </c>
      <c r="Y763" s="3">
        <v>20766.98</v>
      </c>
      <c r="Z763" s="3">
        <f t="shared" si="49"/>
        <v>9085.07</v>
      </c>
      <c r="AA763" s="37">
        <f t="shared" si="50"/>
        <v>0.20160456916536795</v>
      </c>
      <c r="AB763" s="3">
        <v>-7388.24</v>
      </c>
      <c r="AC763" s="3">
        <v>1351.91</v>
      </c>
      <c r="AD763" s="3">
        <v>5245.43</v>
      </c>
      <c r="AE763" s="3">
        <v>48957.33</v>
      </c>
      <c r="AF763" t="str">
        <f>IF(tbl_FinancialData[[#This Row],[City]]="","Unknown",PROPER(TRIM(tbl_FinancialData[[#This Row],[City]])))</f>
        <v>Panaji</v>
      </c>
      <c r="AG763" t="str">
        <f>_xlfn.LET(_xlpm.city,LOWER(TRIM(tbl_FinancialData[[#This Row],[City]])),_xlpm.st,PROPER(TRIM(tbl_FinancialData[[#This Row],[State]])),IF(_xlpm.city="pune","Maharashtra",IF(_xlpm.city="jamshedpur","Jharkhand",IF(_xlpm.city="bhilai","Chhattisgarh",IF(_xlpm.city="mumbai","Maharashtra",_xlpm.st)))))</f>
        <v>Goa</v>
      </c>
      <c r="AH763" t="str">
        <f>_xlfn.LET(_xlpm.d,PROPER(TRIM(tbl_FinancialData[[#This Row],[Department]])),IF(_xlpm.d="It","IT",_xlpm.d))</f>
        <v>Sales</v>
      </c>
      <c r="AI763" t="str">
        <f>_xlfn.LET(_xlpm.pid,tbl_FinancialData[[#This Row],[Product ID]],_xlpm.n,PROPER(TRIM(tbl_FinancialData[[#This Row],[Product Name]])),IF(_xlpm.pid="P020","Document Scanner",IF(_xlpm.pid="P015","Network Router",SUBSTITUTE(SUBSTITUTE(_xlpm.n,"Crm","CRM"),"Ups","UPS"))))</f>
        <v>Projector</v>
      </c>
      <c r="AJ763" s="3" t="str">
        <f>UPPER(TRIM(tbl_FinancialData[[#This Row],[Cost Center]]))</f>
        <v>CC-1002</v>
      </c>
    </row>
    <row r="764" spans="1:36" x14ac:dyDescent="0.25">
      <c r="A764" s="3" t="s">
        <v>967</v>
      </c>
      <c r="B764" s="2">
        <v>45785</v>
      </c>
      <c r="C764" t="s">
        <v>65</v>
      </c>
      <c r="D764" s="3" t="str">
        <f t="shared" si="47"/>
        <v>Q1</v>
      </c>
      <c r="E764" s="3" t="str">
        <f t="shared" si="48"/>
        <v>FY2026</v>
      </c>
      <c r="F764" s="8" t="s">
        <v>59</v>
      </c>
      <c r="G764" s="3" t="s">
        <v>35</v>
      </c>
      <c r="H764" t="s">
        <v>139</v>
      </c>
      <c r="I764" t="s">
        <v>140</v>
      </c>
      <c r="J764" s="3" t="s">
        <v>38</v>
      </c>
      <c r="K764" t="s">
        <v>160</v>
      </c>
      <c r="L764" s="3" t="s">
        <v>40</v>
      </c>
      <c r="M764" s="3" t="s">
        <v>189</v>
      </c>
      <c r="N764" t="s">
        <v>190</v>
      </c>
      <c r="O764" t="s">
        <v>104</v>
      </c>
      <c r="P764" t="s">
        <v>105</v>
      </c>
      <c r="Q764" s="3">
        <v>14547.87</v>
      </c>
      <c r="R764" s="3">
        <v>15042.77</v>
      </c>
      <c r="S764" s="3">
        <v>9809.65</v>
      </c>
      <c r="T764" s="3">
        <v>1371.74</v>
      </c>
      <c r="U764" s="3">
        <v>1164.3</v>
      </c>
      <c r="V764" s="3">
        <v>1185.42</v>
      </c>
      <c r="W764" s="3">
        <v>452.94</v>
      </c>
      <c r="X764" s="3">
        <v>13984.06</v>
      </c>
      <c r="Y764" s="3">
        <v>4738.2299999999996</v>
      </c>
      <c r="Z764" s="3">
        <f t="shared" si="49"/>
        <v>563.81000000000131</v>
      </c>
      <c r="AA764" s="37">
        <f t="shared" si="50"/>
        <v>3.8755501664504928E-2</v>
      </c>
      <c r="AB764" s="3">
        <v>-494.89</v>
      </c>
      <c r="AC764" s="3">
        <v>436.44</v>
      </c>
      <c r="AD764" s="3">
        <v>2540.06</v>
      </c>
      <c r="AE764" s="3">
        <v>16651.5</v>
      </c>
      <c r="AF764" t="str">
        <f>IF(tbl_FinancialData[[#This Row],[City]]="","Unknown",PROPER(TRIM(tbl_FinancialData[[#This Row],[City]])))</f>
        <v>Faridabad</v>
      </c>
      <c r="AG764" t="str">
        <f>_xlfn.LET(_xlpm.city,LOWER(TRIM(tbl_FinancialData[[#This Row],[City]])),_xlpm.st,PROPER(TRIM(tbl_FinancialData[[#This Row],[State]])),IF(_xlpm.city="pune","Maharashtra",IF(_xlpm.city="jamshedpur","Jharkhand",IF(_xlpm.city="bhilai","Chhattisgarh",IF(_xlpm.city="mumbai","Maharashtra",_xlpm.st)))))</f>
        <v>Haryana</v>
      </c>
      <c r="AH764" t="str">
        <f>_xlfn.LET(_xlpm.d,PROPER(TRIM(tbl_FinancialData[[#This Row],[Department]])),IF(_xlpm.d="It","IT",_xlpm.d))</f>
        <v>IT</v>
      </c>
      <c r="AI764" t="str">
        <f>_xlfn.LET(_xlpm.pid,tbl_FinancialData[[#This Row],[Product ID]],_xlpm.n,PROPER(TRIM(tbl_FinancialData[[#This Row],[Product Name]])),IF(_xlpm.pid="P020","Document Scanner",IF(_xlpm.pid="P015","Network Router",SUBSTITUTE(SUBSTITUTE(_xlpm.n,"Crm","CRM"),"Ups","UPS"))))</f>
        <v>CRM Software</v>
      </c>
      <c r="AJ764" s="3" t="str">
        <f>UPPER(TRIM(tbl_FinancialData[[#This Row],[Cost Center]]))</f>
        <v>CC-1002</v>
      </c>
    </row>
    <row r="765" spans="1:36" x14ac:dyDescent="0.25">
      <c r="A765" s="3" t="s">
        <v>968</v>
      </c>
      <c r="B765" s="2">
        <v>45876</v>
      </c>
      <c r="C765" t="s">
        <v>117</v>
      </c>
      <c r="D765" s="3" t="str">
        <f t="shared" si="47"/>
        <v>Q2</v>
      </c>
      <c r="E765" s="3" t="str">
        <f t="shared" si="48"/>
        <v>FY2026</v>
      </c>
      <c r="F765" s="8" t="s">
        <v>34</v>
      </c>
      <c r="G765" s="3" t="s">
        <v>35</v>
      </c>
      <c r="H765" t="s">
        <v>98</v>
      </c>
      <c r="I765" t="s">
        <v>149</v>
      </c>
      <c r="J765" s="3" t="s">
        <v>38</v>
      </c>
      <c r="K765" t="s">
        <v>50</v>
      </c>
      <c r="L765" s="3" t="s">
        <v>81</v>
      </c>
      <c r="M765" s="3" t="s">
        <v>161</v>
      </c>
      <c r="N765" t="s">
        <v>162</v>
      </c>
      <c r="O765" t="s">
        <v>43</v>
      </c>
      <c r="P765" t="s">
        <v>163</v>
      </c>
      <c r="Q765" s="3">
        <v>24296.69</v>
      </c>
      <c r="R765" s="3">
        <v>21769.81</v>
      </c>
      <c r="S765" s="3">
        <v>17291.86</v>
      </c>
      <c r="T765" s="3">
        <v>2870.92</v>
      </c>
      <c r="U765" s="3">
        <v>2049.6</v>
      </c>
      <c r="V765" s="3">
        <v>2618.63</v>
      </c>
      <c r="W765" s="3">
        <v>650.75</v>
      </c>
      <c r="X765" s="3">
        <v>25481.75</v>
      </c>
      <c r="Y765" s="3">
        <v>7004.83</v>
      </c>
      <c r="Z765" s="3">
        <f t="shared" si="49"/>
        <v>-1185.0600000000013</v>
      </c>
      <c r="AA765" s="37">
        <f t="shared" si="50"/>
        <v>-4.877454501004052E-2</v>
      </c>
      <c r="AB765" s="3">
        <v>2526.88</v>
      </c>
      <c r="AC765" s="3">
        <v>1943.74</v>
      </c>
      <c r="AD765" s="3">
        <v>4023.53</v>
      </c>
      <c r="AE765" s="3">
        <v>26376.49</v>
      </c>
      <c r="AF765" t="str">
        <f>IF(tbl_FinancialData[[#This Row],[City]]="","Unknown",PROPER(TRIM(tbl_FinancialData[[#This Row],[City]])))</f>
        <v>Nagpur</v>
      </c>
      <c r="AG765" t="str">
        <f>_xlfn.LET(_xlpm.city,LOWER(TRIM(tbl_FinancialData[[#This Row],[City]])),_xlpm.st,PROPER(TRIM(tbl_FinancialData[[#This Row],[State]])),IF(_xlpm.city="pune","Maharashtra",IF(_xlpm.city="jamshedpur","Jharkhand",IF(_xlpm.city="bhilai","Chhattisgarh",IF(_xlpm.city="mumbai","Maharashtra",_xlpm.st)))))</f>
        <v>Maharashtra</v>
      </c>
      <c r="AH765" t="str">
        <f>_xlfn.LET(_xlpm.d,PROPER(TRIM(tbl_FinancialData[[#This Row],[Department]])),IF(_xlpm.d="It","IT",_xlpm.d))</f>
        <v>Sales</v>
      </c>
      <c r="AI765" t="str">
        <f>_xlfn.LET(_xlpm.pid,tbl_FinancialData[[#This Row],[Product ID]],_xlpm.n,PROPER(TRIM(tbl_FinancialData[[#This Row],[Product Name]])),IF(_xlpm.pid="P020","Document Scanner",IF(_xlpm.pid="P015","Network Router",SUBSTITUTE(SUBSTITUTE(_xlpm.n,"Crm","CRM"),"Ups","UPS"))))</f>
        <v>Tablet</v>
      </c>
      <c r="AJ765" s="3" t="str">
        <f>UPPER(TRIM(tbl_FinancialData[[#This Row],[Cost Center]]))</f>
        <v>CC-1005</v>
      </c>
    </row>
    <row r="766" spans="1:36" x14ac:dyDescent="0.25">
      <c r="A766" s="3" t="s">
        <v>969</v>
      </c>
      <c r="B766" s="2">
        <v>45915</v>
      </c>
      <c r="C766" t="s">
        <v>46</v>
      </c>
      <c r="D766" s="3" t="str">
        <f t="shared" si="47"/>
        <v>Q2</v>
      </c>
      <c r="E766" s="3" t="str">
        <f t="shared" si="48"/>
        <v>FY2026</v>
      </c>
      <c r="F766" s="8" t="s">
        <v>34</v>
      </c>
      <c r="G766" s="3" t="s">
        <v>35</v>
      </c>
      <c r="H766" t="s">
        <v>98</v>
      </c>
      <c r="I766" t="s">
        <v>99</v>
      </c>
      <c r="J766" s="3" t="s">
        <v>38</v>
      </c>
      <c r="K766" t="s">
        <v>160</v>
      </c>
      <c r="L766" s="3" t="s">
        <v>94</v>
      </c>
      <c r="M766" s="3" t="s">
        <v>189</v>
      </c>
      <c r="N766" t="s">
        <v>190</v>
      </c>
      <c r="O766" t="s">
        <v>104</v>
      </c>
      <c r="P766" t="s">
        <v>105</v>
      </c>
      <c r="Q766" s="3">
        <v>34060.300000000003</v>
      </c>
      <c r="R766" s="3">
        <v>37905.18</v>
      </c>
      <c r="S766" s="3">
        <v>22220.45</v>
      </c>
      <c r="T766" s="3">
        <v>2424.46</v>
      </c>
      <c r="U766" s="3">
        <v>2227.1</v>
      </c>
      <c r="V766" s="3">
        <v>2783.38</v>
      </c>
      <c r="W766" s="3">
        <v>1368.14</v>
      </c>
      <c r="X766" s="3">
        <v>31023.52</v>
      </c>
      <c r="Y766" s="3">
        <v>11839.86</v>
      </c>
      <c r="Z766" s="3">
        <f t="shared" si="49"/>
        <v>3036.7800000000025</v>
      </c>
      <c r="AA766" s="37">
        <f t="shared" si="50"/>
        <v>8.9158932833827129E-2</v>
      </c>
      <c r="AB766" s="3">
        <v>-3844.88</v>
      </c>
      <c r="AC766" s="3">
        <v>1021.81</v>
      </c>
      <c r="AD766" s="3">
        <v>1651.92</v>
      </c>
      <c r="AE766" s="3">
        <v>34690.42</v>
      </c>
      <c r="AF766" t="str">
        <f>IF(tbl_FinancialData[[#This Row],[City]]="","Unknown",PROPER(TRIM(tbl_FinancialData[[#This Row],[City]])))</f>
        <v>Mumbai</v>
      </c>
      <c r="AG766" t="str">
        <f>_xlfn.LET(_xlpm.city,LOWER(TRIM(tbl_FinancialData[[#This Row],[City]])),_xlpm.st,PROPER(TRIM(tbl_FinancialData[[#This Row],[State]])),IF(_xlpm.city="pune","Maharashtra",IF(_xlpm.city="jamshedpur","Jharkhand",IF(_xlpm.city="bhilai","Chhattisgarh",IF(_xlpm.city="mumbai","Maharashtra",_xlpm.st)))))</f>
        <v>Maharashtra</v>
      </c>
      <c r="AH766" t="str">
        <f>_xlfn.LET(_xlpm.d,PROPER(TRIM(tbl_FinancialData[[#This Row],[Department]])),IF(_xlpm.d="It","IT",_xlpm.d))</f>
        <v>IT</v>
      </c>
      <c r="AI766" t="str">
        <f>_xlfn.LET(_xlpm.pid,tbl_FinancialData[[#This Row],[Product ID]],_xlpm.n,PROPER(TRIM(tbl_FinancialData[[#This Row],[Product Name]])),IF(_xlpm.pid="P020","Document Scanner",IF(_xlpm.pid="P015","Network Router",SUBSTITUTE(SUBSTITUTE(_xlpm.n,"Crm","CRM"),"Ups","UPS"))))</f>
        <v>CRM Software</v>
      </c>
      <c r="AJ766" s="3" t="str">
        <f>UPPER(TRIM(tbl_FinancialData[[#This Row],[Cost Center]]))</f>
        <v>CC-1001</v>
      </c>
    </row>
    <row r="767" spans="1:36" x14ac:dyDescent="0.25">
      <c r="A767" s="3" t="s">
        <v>970</v>
      </c>
      <c r="B767" s="2">
        <v>45869</v>
      </c>
      <c r="C767" t="s">
        <v>32</v>
      </c>
      <c r="D767" s="3" t="str">
        <f t="shared" si="47"/>
        <v>Q2</v>
      </c>
      <c r="E767" s="3" t="str">
        <f t="shared" si="48"/>
        <v>FY2026</v>
      </c>
      <c r="F767" s="8" t="s">
        <v>34</v>
      </c>
      <c r="G767" s="3" t="s">
        <v>35</v>
      </c>
      <c r="H767" t="s">
        <v>98</v>
      </c>
      <c r="I767" t="s">
        <v>304</v>
      </c>
      <c r="J767" s="3" t="s">
        <v>80</v>
      </c>
      <c r="K767" t="s">
        <v>50</v>
      </c>
      <c r="L767" s="3" t="s">
        <v>94</v>
      </c>
      <c r="M767" s="3" t="s">
        <v>197</v>
      </c>
      <c r="N767" t="s">
        <v>198</v>
      </c>
      <c r="O767" t="s">
        <v>43</v>
      </c>
      <c r="P767" t="s">
        <v>163</v>
      </c>
      <c r="Q767" s="3">
        <v>28323.96</v>
      </c>
      <c r="R767" s="3">
        <v>31593.46</v>
      </c>
      <c r="S767" s="3">
        <v>16895.78</v>
      </c>
      <c r="T767" s="3">
        <v>2176.36</v>
      </c>
      <c r="U767" s="3">
        <v>859.72</v>
      </c>
      <c r="V767" s="3">
        <v>2379.88</v>
      </c>
      <c r="W767" s="3">
        <v>552.16</v>
      </c>
      <c r="X767" s="3">
        <v>22863.9</v>
      </c>
      <c r="Y767" s="3">
        <v>11428.18</v>
      </c>
      <c r="Z767" s="3">
        <f t="shared" si="49"/>
        <v>5460.0599999999977</v>
      </c>
      <c r="AA767" s="37">
        <f t="shared" si="50"/>
        <v>0.1927717734384598</v>
      </c>
      <c r="AB767" s="3">
        <v>-3269.5</v>
      </c>
      <c r="AC767" s="3">
        <v>1416.2</v>
      </c>
      <c r="AD767" s="3">
        <v>4843.3999999999996</v>
      </c>
      <c r="AE767" s="3">
        <v>31751.16</v>
      </c>
      <c r="AF767" t="str">
        <f>IF(tbl_FinancialData[[#This Row],[City]]="","Unknown",PROPER(TRIM(tbl_FinancialData[[#This Row],[City]])))</f>
        <v>Pune</v>
      </c>
      <c r="AG767" t="str">
        <f>_xlfn.LET(_xlpm.city,LOWER(TRIM(tbl_FinancialData[[#This Row],[City]])),_xlpm.st,PROPER(TRIM(tbl_FinancialData[[#This Row],[State]])),IF(_xlpm.city="pune","Maharashtra",IF(_xlpm.city="jamshedpur","Jharkhand",IF(_xlpm.city="bhilai","Chhattisgarh",IF(_xlpm.city="mumbai","Maharashtra",_xlpm.st)))))</f>
        <v>Maharashtra</v>
      </c>
      <c r="AH767" t="str">
        <f>_xlfn.LET(_xlpm.d,PROPER(TRIM(tbl_FinancialData[[#This Row],[Department]])),IF(_xlpm.d="It","IT",_xlpm.d))</f>
        <v>Sales</v>
      </c>
      <c r="AI767" t="str">
        <f>_xlfn.LET(_xlpm.pid,tbl_FinancialData[[#This Row],[Product ID]],_xlpm.n,PROPER(TRIM(tbl_FinancialData[[#This Row],[Product Name]])),IF(_xlpm.pid="P020","Document Scanner",IF(_xlpm.pid="P015","Network Router",SUBSTITUTE(SUBSTITUTE(_xlpm.n,"Crm","CRM"),"Ups","UPS"))))</f>
        <v>Smartphone</v>
      </c>
      <c r="AJ767" s="3" t="str">
        <f>UPPER(TRIM(tbl_FinancialData[[#This Row],[Cost Center]]))</f>
        <v>CC-1001</v>
      </c>
    </row>
    <row r="768" spans="1:36" x14ac:dyDescent="0.25">
      <c r="A768" s="3" t="s">
        <v>971</v>
      </c>
      <c r="B768" s="2">
        <v>45847</v>
      </c>
      <c r="C768" t="s">
        <v>32</v>
      </c>
      <c r="D768" s="3" t="str">
        <f t="shared" si="47"/>
        <v>Q2</v>
      </c>
      <c r="E768" s="3" t="str">
        <f t="shared" si="48"/>
        <v>FY2026</v>
      </c>
      <c r="F768" s="8" t="s">
        <v>47</v>
      </c>
      <c r="G768" s="3" t="s">
        <v>35</v>
      </c>
      <c r="H768" t="s">
        <v>214</v>
      </c>
      <c r="I768" t="s">
        <v>321</v>
      </c>
      <c r="J768" s="3" t="s">
        <v>70</v>
      </c>
      <c r="K768" t="s">
        <v>160</v>
      </c>
      <c r="L768" s="3" t="s">
        <v>81</v>
      </c>
      <c r="M768" s="3" t="s">
        <v>130</v>
      </c>
      <c r="N768" t="s">
        <v>131</v>
      </c>
      <c r="O768" t="s">
        <v>43</v>
      </c>
      <c r="P768" t="s">
        <v>132</v>
      </c>
      <c r="Q768" s="3">
        <v>41634.980000000003</v>
      </c>
      <c r="R768" s="3">
        <v>48329.54</v>
      </c>
      <c r="S768" s="3">
        <v>20934.72</v>
      </c>
      <c r="T768" s="3">
        <v>4326.78</v>
      </c>
      <c r="U768" s="3">
        <v>1401.88</v>
      </c>
      <c r="V768" s="3">
        <v>4596.1899999999996</v>
      </c>
      <c r="W768" s="3">
        <v>1160.57</v>
      </c>
      <c r="X768" s="3">
        <v>32420.14</v>
      </c>
      <c r="Y768" s="3">
        <v>20700.259999999998</v>
      </c>
      <c r="Z768" s="3">
        <f t="shared" si="49"/>
        <v>9214.8400000000038</v>
      </c>
      <c r="AA768" s="37">
        <f t="shared" si="50"/>
        <v>0.2213244728351017</v>
      </c>
      <c r="AB768" s="3">
        <v>-6694.57</v>
      </c>
      <c r="AC768" s="3">
        <v>0</v>
      </c>
      <c r="AD768" s="3">
        <v>7494.3</v>
      </c>
      <c r="AE768" s="3">
        <v>49129.27</v>
      </c>
      <c r="AF768" t="str">
        <f>IF(tbl_FinancialData[[#This Row],[City]]="","Unknown",PROPER(TRIM(tbl_FinancialData[[#This Row],[City]])))</f>
        <v>Bengaluru</v>
      </c>
      <c r="AG768" t="str">
        <f>_xlfn.LET(_xlpm.city,LOWER(TRIM(tbl_FinancialData[[#This Row],[City]])),_xlpm.st,PROPER(TRIM(tbl_FinancialData[[#This Row],[State]])),IF(_xlpm.city="pune","Maharashtra",IF(_xlpm.city="jamshedpur","Jharkhand",IF(_xlpm.city="bhilai","Chhattisgarh",IF(_xlpm.city="mumbai","Maharashtra",_xlpm.st)))))</f>
        <v>Karnataka</v>
      </c>
      <c r="AH768" t="str">
        <f>_xlfn.LET(_xlpm.d,PROPER(TRIM(tbl_FinancialData[[#This Row],[Department]])),IF(_xlpm.d="It","IT",_xlpm.d))</f>
        <v>IT</v>
      </c>
      <c r="AI768" t="str">
        <f>_xlfn.LET(_xlpm.pid,tbl_FinancialData[[#This Row],[Product ID]],_xlpm.n,PROPER(TRIM(tbl_FinancialData[[#This Row],[Product Name]])),IF(_xlpm.pid="P020","Document Scanner",IF(_xlpm.pid="P015","Network Router",SUBSTITUTE(SUBSTITUTE(_xlpm.n,"Crm","CRM"),"Ups","UPS"))))</f>
        <v>UPS System</v>
      </c>
      <c r="AJ768" s="3" t="str">
        <f>UPPER(TRIM(tbl_FinancialData[[#This Row],[Cost Center]]))</f>
        <v>CC-1005</v>
      </c>
    </row>
    <row r="769" spans="1:36" x14ac:dyDescent="0.25">
      <c r="A769" s="3" t="s">
        <v>972</v>
      </c>
      <c r="B769" s="2">
        <v>45979</v>
      </c>
      <c r="C769" t="s">
        <v>147</v>
      </c>
      <c r="D769" s="3" t="str">
        <f t="shared" si="47"/>
        <v>Q3</v>
      </c>
      <c r="E769" s="3" t="str">
        <f t="shared" si="48"/>
        <v>FY2026</v>
      </c>
      <c r="F769" s="8" t="s">
        <v>34</v>
      </c>
      <c r="G769" s="3" t="s">
        <v>35</v>
      </c>
      <c r="H769" t="s">
        <v>36</v>
      </c>
      <c r="I769" t="s">
        <v>145</v>
      </c>
      <c r="J769" s="3" t="s">
        <v>80</v>
      </c>
      <c r="K769" t="s">
        <v>71</v>
      </c>
      <c r="L769" s="3" t="s">
        <v>81</v>
      </c>
      <c r="M769" s="3" t="s">
        <v>82</v>
      </c>
      <c r="N769" t="s">
        <v>83</v>
      </c>
      <c r="O769" t="s">
        <v>43</v>
      </c>
      <c r="P769" t="s">
        <v>75</v>
      </c>
      <c r="Q769" s="3">
        <v>43184.25</v>
      </c>
      <c r="R769" s="3">
        <v>45271.47</v>
      </c>
      <c r="S769" s="3">
        <v>26257.84</v>
      </c>
      <c r="T769" s="3">
        <v>5004.03</v>
      </c>
      <c r="U769" s="3">
        <v>3835.29</v>
      </c>
      <c r="V769" s="3">
        <v>3147.41</v>
      </c>
      <c r="W769" s="3">
        <v>1585.67</v>
      </c>
      <c r="X769" s="3">
        <v>39830.239999999998</v>
      </c>
      <c r="Y769" s="3">
        <v>16926.41</v>
      </c>
      <c r="Z769" s="3">
        <f t="shared" si="49"/>
        <v>3354.010000000002</v>
      </c>
      <c r="AA769" s="37">
        <f t="shared" si="50"/>
        <v>7.7667436623305997E-2</v>
      </c>
      <c r="AB769" s="3">
        <v>-2087.23</v>
      </c>
      <c r="AC769" s="3">
        <v>0</v>
      </c>
      <c r="AD769" s="3">
        <v>7773.16</v>
      </c>
      <c r="AE769" s="3">
        <v>50957.41</v>
      </c>
      <c r="AF769" t="str">
        <f>IF(tbl_FinancialData[[#This Row],[City]]="","Unknown",PROPER(TRIM(tbl_FinancialData[[#This Row],[City]])))</f>
        <v>Panaji</v>
      </c>
      <c r="AG769" t="str">
        <f>_xlfn.LET(_xlpm.city,LOWER(TRIM(tbl_FinancialData[[#This Row],[City]])),_xlpm.st,PROPER(TRIM(tbl_FinancialData[[#This Row],[State]])),IF(_xlpm.city="pune","Maharashtra",IF(_xlpm.city="jamshedpur","Jharkhand",IF(_xlpm.city="bhilai","Chhattisgarh",IF(_xlpm.city="mumbai","Maharashtra",_xlpm.st)))))</f>
        <v>Goa</v>
      </c>
      <c r="AH769" t="str">
        <f>_xlfn.LET(_xlpm.d,PROPER(TRIM(tbl_FinancialData[[#This Row],[Department]])),IF(_xlpm.d="It","IT",_xlpm.d))</f>
        <v>Marketing</v>
      </c>
      <c r="AI769" t="str">
        <f>_xlfn.LET(_xlpm.pid,tbl_FinancialData[[#This Row],[Product ID]],_xlpm.n,PROPER(TRIM(tbl_FinancialData[[#This Row],[Product Name]])),IF(_xlpm.pid="P020","Document Scanner",IF(_xlpm.pid="P015","Network Router",SUBSTITUTE(SUBSTITUTE(_xlpm.n,"Crm","CRM"),"Ups","UPS"))))</f>
        <v>Business Laptop</v>
      </c>
      <c r="AJ769" s="3" t="str">
        <f>UPPER(TRIM(tbl_FinancialData[[#This Row],[Cost Center]]))</f>
        <v>CC-1005</v>
      </c>
    </row>
    <row r="770" spans="1:36" x14ac:dyDescent="0.25">
      <c r="A770" s="3" t="s">
        <v>973</v>
      </c>
      <c r="B770" s="2">
        <v>45812</v>
      </c>
      <c r="C770" t="s">
        <v>156</v>
      </c>
      <c r="D770" s="3" t="str">
        <f t="shared" ref="D770:D833" si="51">"Q"&amp;INT(MOD(MONTH(B770)-4,12)/3)+1</f>
        <v>Q1</v>
      </c>
      <c r="E770" s="3" t="str">
        <f t="shared" ref="E770:E833" si="52">"FY"&amp; (YEAR(B770)+(MONTH(B770)&gt;=4))</f>
        <v>FY2026</v>
      </c>
      <c r="F770" s="8" t="s">
        <v>59</v>
      </c>
      <c r="G770" s="3" t="s">
        <v>35</v>
      </c>
      <c r="H770" t="s">
        <v>230</v>
      </c>
      <c r="I770" t="s">
        <v>363</v>
      </c>
      <c r="J770" s="3" t="s">
        <v>100</v>
      </c>
      <c r="K770" t="s">
        <v>39</v>
      </c>
      <c r="L770" s="3" t="s">
        <v>40</v>
      </c>
      <c r="M770" s="3" t="s">
        <v>62</v>
      </c>
      <c r="N770" t="s">
        <v>63</v>
      </c>
      <c r="O770" t="s">
        <v>54</v>
      </c>
      <c r="P770" t="s">
        <v>55</v>
      </c>
      <c r="Q770" s="3">
        <v>9927.4500000000007</v>
      </c>
      <c r="R770" s="3">
        <v>9718.11</v>
      </c>
      <c r="S770" s="3">
        <v>5696.17</v>
      </c>
      <c r="T770" s="3">
        <v>1084.72</v>
      </c>
      <c r="U770" s="3">
        <v>636.30999999999995</v>
      </c>
      <c r="V770" s="3">
        <v>930.51</v>
      </c>
      <c r="W770" s="3">
        <v>234.49</v>
      </c>
      <c r="X770" s="3">
        <v>8582.2000000000007</v>
      </c>
      <c r="Y770" s="3">
        <v>4231.28</v>
      </c>
      <c r="Z770" s="3">
        <f t="shared" si="49"/>
        <v>1345.25</v>
      </c>
      <c r="AA770" s="37">
        <f t="shared" si="50"/>
        <v>0.13550811134782847</v>
      </c>
      <c r="AB770" s="3">
        <v>209.33</v>
      </c>
      <c r="AC770" s="3">
        <v>297.82</v>
      </c>
      <c r="AD770" s="3">
        <v>1733.33</v>
      </c>
      <c r="AE770" s="3">
        <v>11362.95</v>
      </c>
      <c r="AF770" t="str">
        <f>IF(tbl_FinancialData[[#This Row],[City]]="","Unknown",PROPER(TRIM(tbl_FinancialData[[#This Row],[City]])))</f>
        <v>Jalandhar</v>
      </c>
      <c r="AG770" t="str">
        <f>_xlfn.LET(_xlpm.city,LOWER(TRIM(tbl_FinancialData[[#This Row],[City]])),_xlpm.st,PROPER(TRIM(tbl_FinancialData[[#This Row],[State]])),IF(_xlpm.city="pune","Maharashtra",IF(_xlpm.city="jamshedpur","Jharkhand",IF(_xlpm.city="bhilai","Chhattisgarh",IF(_xlpm.city="mumbai","Maharashtra",_xlpm.st)))))</f>
        <v>Punjab</v>
      </c>
      <c r="AH770" t="str">
        <f>_xlfn.LET(_xlpm.d,PROPER(TRIM(tbl_FinancialData[[#This Row],[Department]])),IF(_xlpm.d="It","IT",_xlpm.d))</f>
        <v>Operations</v>
      </c>
      <c r="AI770" t="str">
        <f>_xlfn.LET(_xlpm.pid,tbl_FinancialData[[#This Row],[Product ID]],_xlpm.n,PROPER(TRIM(tbl_FinancialData[[#This Row],[Product Name]])),IF(_xlpm.pid="P020","Document Scanner",IF(_xlpm.pid="P015","Network Router",SUBSTITUTE(SUBSTITUTE(_xlpm.n,"Crm","CRM"),"Ups","UPS"))))</f>
        <v>Keyboard</v>
      </c>
      <c r="AJ770" s="3" t="str">
        <f>UPPER(TRIM(tbl_FinancialData[[#This Row],[Cost Center]]))</f>
        <v>CC-1002</v>
      </c>
    </row>
    <row r="771" spans="1:36" x14ac:dyDescent="0.25">
      <c r="A771" s="3" t="s">
        <v>974</v>
      </c>
      <c r="B771" s="2">
        <v>45783</v>
      </c>
      <c r="C771" t="s">
        <v>65</v>
      </c>
      <c r="D771" s="3" t="str">
        <f t="shared" si="51"/>
        <v>Q1</v>
      </c>
      <c r="E771" s="3" t="str">
        <f t="shared" si="52"/>
        <v>FY2026</v>
      </c>
      <c r="F771" s="8" t="s">
        <v>34</v>
      </c>
      <c r="G771" s="3" t="s">
        <v>35</v>
      </c>
      <c r="H771" t="s">
        <v>134</v>
      </c>
      <c r="I771" t="s">
        <v>154</v>
      </c>
      <c r="J771" s="3" t="s">
        <v>38</v>
      </c>
      <c r="K771" t="s">
        <v>71</v>
      </c>
      <c r="L771" s="3" t="s">
        <v>40</v>
      </c>
      <c r="M771" s="3" t="s">
        <v>197</v>
      </c>
      <c r="N771" t="s">
        <v>198</v>
      </c>
      <c r="O771" t="s">
        <v>43</v>
      </c>
      <c r="P771" t="s">
        <v>163</v>
      </c>
      <c r="Q771" s="3">
        <v>25358.94</v>
      </c>
      <c r="R771" s="3">
        <v>22402.84</v>
      </c>
      <c r="S771" s="3">
        <v>14773.82</v>
      </c>
      <c r="T771" s="3">
        <v>2100.41</v>
      </c>
      <c r="U771" s="3">
        <v>2263.17</v>
      </c>
      <c r="V771" s="3">
        <v>1967.45</v>
      </c>
      <c r="W771" s="3">
        <v>481.18</v>
      </c>
      <c r="X771" s="3">
        <v>21586.02</v>
      </c>
      <c r="Y771" s="3">
        <v>10585.12</v>
      </c>
      <c r="Z771" s="3">
        <f t="shared" ref="Z771:Z834" si="53">Q771-X771</f>
        <v>3772.9199999999983</v>
      </c>
      <c r="AA771" s="37">
        <f t="shared" ref="AA771:AA834" si="54">Z771/Q771</f>
        <v>0.14878066669979101</v>
      </c>
      <c r="AB771" s="3">
        <v>2956.1</v>
      </c>
      <c r="AC771" s="3">
        <v>2028.72</v>
      </c>
      <c r="AD771" s="3">
        <v>2799.63</v>
      </c>
      <c r="AE771" s="3">
        <v>26129.85</v>
      </c>
      <c r="AF771" t="str">
        <f>IF(tbl_FinancialData[[#This Row],[City]]="","Unknown",PROPER(TRIM(tbl_FinancialData[[#This Row],[City]])))</f>
        <v>Udaipur</v>
      </c>
      <c r="AG771" t="str">
        <f>_xlfn.LET(_xlpm.city,LOWER(TRIM(tbl_FinancialData[[#This Row],[City]])),_xlpm.st,PROPER(TRIM(tbl_FinancialData[[#This Row],[State]])),IF(_xlpm.city="pune","Maharashtra",IF(_xlpm.city="jamshedpur","Jharkhand",IF(_xlpm.city="bhilai","Chhattisgarh",IF(_xlpm.city="mumbai","Maharashtra",_xlpm.st)))))</f>
        <v>Rajasthan</v>
      </c>
      <c r="AH771" t="str">
        <f>_xlfn.LET(_xlpm.d,PROPER(TRIM(tbl_FinancialData[[#This Row],[Department]])),IF(_xlpm.d="It","IT",_xlpm.d))</f>
        <v>Marketing</v>
      </c>
      <c r="AI771" t="str">
        <f>_xlfn.LET(_xlpm.pid,tbl_FinancialData[[#This Row],[Product ID]],_xlpm.n,PROPER(TRIM(tbl_FinancialData[[#This Row],[Product Name]])),IF(_xlpm.pid="P020","Document Scanner",IF(_xlpm.pid="P015","Network Router",SUBSTITUTE(SUBSTITUTE(_xlpm.n,"Crm","CRM"),"Ups","UPS"))))</f>
        <v>Smartphone</v>
      </c>
      <c r="AJ771" s="3" t="str">
        <f>UPPER(TRIM(tbl_FinancialData[[#This Row],[Cost Center]]))</f>
        <v>CC-1002</v>
      </c>
    </row>
    <row r="772" spans="1:36" x14ac:dyDescent="0.25">
      <c r="A772" s="3" t="s">
        <v>975</v>
      </c>
      <c r="B772" s="2">
        <v>46021</v>
      </c>
      <c r="C772" t="s">
        <v>107</v>
      </c>
      <c r="D772" s="3" t="str">
        <f t="shared" si="51"/>
        <v>Q3</v>
      </c>
      <c r="E772" s="3" t="str">
        <f t="shared" si="52"/>
        <v>FY2026</v>
      </c>
      <c r="F772" s="8" t="s">
        <v>67</v>
      </c>
      <c r="G772" s="3" t="s">
        <v>35</v>
      </c>
      <c r="H772" t="s">
        <v>118</v>
      </c>
      <c r="I772" t="s">
        <v>119</v>
      </c>
      <c r="J772" s="3" t="s">
        <v>38</v>
      </c>
      <c r="K772" t="s">
        <v>50</v>
      </c>
      <c r="L772" s="3" t="s">
        <v>51</v>
      </c>
      <c r="M772" s="3" t="s">
        <v>197</v>
      </c>
      <c r="N772" t="s">
        <v>198</v>
      </c>
      <c r="O772" t="s">
        <v>43</v>
      </c>
      <c r="P772" t="s">
        <v>163</v>
      </c>
      <c r="Q772" s="3">
        <v>55585.41</v>
      </c>
      <c r="R772" s="3">
        <v>57338.3</v>
      </c>
      <c r="S772" s="3">
        <v>39470.410000000003</v>
      </c>
      <c r="T772" s="3">
        <v>3545.89</v>
      </c>
      <c r="U772" s="3">
        <v>3989.82</v>
      </c>
      <c r="V772" s="3">
        <v>4955.91</v>
      </c>
      <c r="W772" s="3">
        <v>1878.15</v>
      </c>
      <c r="X772" s="3">
        <v>53840.18</v>
      </c>
      <c r="Y772" s="3">
        <v>16115</v>
      </c>
      <c r="Z772" s="3">
        <f t="shared" si="53"/>
        <v>1745.2300000000032</v>
      </c>
      <c r="AA772" s="37">
        <f t="shared" si="54"/>
        <v>3.1397267736263945E-2</v>
      </c>
      <c r="AB772" s="3">
        <v>-1752.89</v>
      </c>
      <c r="AC772" s="3">
        <v>1667.56</v>
      </c>
      <c r="AD772" s="3">
        <v>6470.14</v>
      </c>
      <c r="AE772" s="3">
        <v>60387.99</v>
      </c>
      <c r="AF772" t="str">
        <f>IF(tbl_FinancialData[[#This Row],[City]]="","Unknown",PROPER(TRIM(tbl_FinancialData[[#This Row],[City]])))</f>
        <v>Ranchi</v>
      </c>
      <c r="AG772" t="str">
        <f>_xlfn.LET(_xlpm.city,LOWER(TRIM(tbl_FinancialData[[#This Row],[City]])),_xlpm.st,PROPER(TRIM(tbl_FinancialData[[#This Row],[State]])),IF(_xlpm.city="pune","Maharashtra",IF(_xlpm.city="jamshedpur","Jharkhand",IF(_xlpm.city="bhilai","Chhattisgarh",IF(_xlpm.city="mumbai","Maharashtra",_xlpm.st)))))</f>
        <v>Jharkhand</v>
      </c>
      <c r="AH772" t="str">
        <f>_xlfn.LET(_xlpm.d,PROPER(TRIM(tbl_FinancialData[[#This Row],[Department]])),IF(_xlpm.d="It","IT",_xlpm.d))</f>
        <v>Sales</v>
      </c>
      <c r="AI772" t="str">
        <f>_xlfn.LET(_xlpm.pid,tbl_FinancialData[[#This Row],[Product ID]],_xlpm.n,PROPER(TRIM(tbl_FinancialData[[#This Row],[Product Name]])),IF(_xlpm.pid="P020","Document Scanner",IF(_xlpm.pid="P015","Network Router",SUBSTITUTE(SUBSTITUTE(_xlpm.n,"Crm","CRM"),"Ups","UPS"))))</f>
        <v>Smartphone</v>
      </c>
      <c r="AJ772" s="3" t="str">
        <f>UPPER(TRIM(tbl_FinancialData[[#This Row],[Cost Center]]))</f>
        <v>CC-1003</v>
      </c>
    </row>
    <row r="773" spans="1:36" x14ac:dyDescent="0.25">
      <c r="A773" s="3" t="s">
        <v>976</v>
      </c>
      <c r="B773" s="2">
        <v>46104</v>
      </c>
      <c r="C773" t="s">
        <v>125</v>
      </c>
      <c r="D773" s="3" t="str">
        <f t="shared" si="51"/>
        <v>Q4</v>
      </c>
      <c r="E773" s="3" t="str">
        <f t="shared" si="52"/>
        <v>FY2026</v>
      </c>
      <c r="F773" s="8" t="s">
        <v>67</v>
      </c>
      <c r="G773" s="3" t="s">
        <v>35</v>
      </c>
      <c r="H773" t="s">
        <v>168</v>
      </c>
      <c r="I773" t="s">
        <v>278</v>
      </c>
      <c r="J773" s="3" t="s">
        <v>70</v>
      </c>
      <c r="K773" t="s">
        <v>50</v>
      </c>
      <c r="L773" s="3" t="s">
        <v>81</v>
      </c>
      <c r="M773" s="3" t="s">
        <v>186</v>
      </c>
      <c r="N773" t="s">
        <v>187</v>
      </c>
      <c r="O773" t="s">
        <v>173</v>
      </c>
      <c r="P773" t="s">
        <v>174</v>
      </c>
      <c r="Q773" s="3">
        <v>42591.15</v>
      </c>
      <c r="R773" s="3">
        <v>48789.51</v>
      </c>
      <c r="S773" s="3">
        <v>20527.580000000002</v>
      </c>
      <c r="T773" s="3">
        <v>4315.2</v>
      </c>
      <c r="U773" s="3">
        <v>1253.69</v>
      </c>
      <c r="V773" s="3">
        <v>2632.45</v>
      </c>
      <c r="W773" s="3">
        <v>1287.99</v>
      </c>
      <c r="X773" s="3">
        <v>30016.92</v>
      </c>
      <c r="Y773" s="3">
        <v>22063.57</v>
      </c>
      <c r="Z773" s="3">
        <f t="shared" si="53"/>
        <v>12574.230000000003</v>
      </c>
      <c r="AA773" s="37">
        <f t="shared" si="54"/>
        <v>0.29523105152126683</v>
      </c>
      <c r="AB773" s="3">
        <v>-6198.35</v>
      </c>
      <c r="AC773" s="3">
        <v>2129.56</v>
      </c>
      <c r="AD773" s="3">
        <v>7283.09</v>
      </c>
      <c r="AE773" s="3">
        <v>47744.68</v>
      </c>
      <c r="AF773" t="str">
        <f>IF(tbl_FinancialData[[#This Row],[City]]="","Unknown",PROPER(TRIM(tbl_FinancialData[[#This Row],[City]])))</f>
        <v>Siliguri</v>
      </c>
      <c r="AG773" t="str">
        <f>_xlfn.LET(_xlpm.city,LOWER(TRIM(tbl_FinancialData[[#This Row],[City]])),_xlpm.st,PROPER(TRIM(tbl_FinancialData[[#This Row],[State]])),IF(_xlpm.city="pune","Maharashtra",IF(_xlpm.city="jamshedpur","Jharkhand",IF(_xlpm.city="bhilai","Chhattisgarh",IF(_xlpm.city="mumbai","Maharashtra",_xlpm.st)))))</f>
        <v>West Bengal</v>
      </c>
      <c r="AH773" t="str">
        <f>_xlfn.LET(_xlpm.d,PROPER(TRIM(tbl_FinancialData[[#This Row],[Department]])),IF(_xlpm.d="It","IT",_xlpm.d))</f>
        <v>Sales</v>
      </c>
      <c r="AI773" t="str">
        <f>_xlfn.LET(_xlpm.pid,tbl_FinancialData[[#This Row],[Product ID]],_xlpm.n,PROPER(TRIM(tbl_FinancialData[[#This Row],[Product Name]])),IF(_xlpm.pid="P020","Document Scanner",IF(_xlpm.pid="P015","Network Router",SUBSTITUTE(SUBSTITUTE(_xlpm.n,"Crm","CRM"),"Ups","UPS"))))</f>
        <v>Network Router</v>
      </c>
      <c r="AJ773" s="3" t="str">
        <f>UPPER(TRIM(tbl_FinancialData[[#This Row],[Cost Center]]))</f>
        <v>CC-1005</v>
      </c>
    </row>
    <row r="774" spans="1:36" x14ac:dyDescent="0.25">
      <c r="A774" s="3" t="s">
        <v>977</v>
      </c>
      <c r="B774" s="2">
        <v>45968</v>
      </c>
      <c r="C774" t="s">
        <v>147</v>
      </c>
      <c r="D774" s="3" t="str">
        <f t="shared" si="51"/>
        <v>Q3</v>
      </c>
      <c r="E774" s="3" t="str">
        <f t="shared" si="52"/>
        <v>FY2026</v>
      </c>
      <c r="F774" s="8" t="s">
        <v>34</v>
      </c>
      <c r="G774" s="3" t="s">
        <v>35</v>
      </c>
      <c r="H774" t="s">
        <v>134</v>
      </c>
      <c r="I774" t="s">
        <v>154</v>
      </c>
      <c r="J774" s="3" t="s">
        <v>100</v>
      </c>
      <c r="K774" t="s">
        <v>50</v>
      </c>
      <c r="L774" s="3" t="s">
        <v>94</v>
      </c>
      <c r="M774" s="3" t="s">
        <v>161</v>
      </c>
      <c r="N774" t="s">
        <v>162</v>
      </c>
      <c r="O774" t="s">
        <v>43</v>
      </c>
      <c r="P774" t="s">
        <v>163</v>
      </c>
      <c r="Q774" s="3">
        <v>62873.24</v>
      </c>
      <c r="R774" s="3">
        <v>63039.49</v>
      </c>
      <c r="S774" s="3">
        <v>40632.93</v>
      </c>
      <c r="T774" s="3">
        <v>4149.72</v>
      </c>
      <c r="U774" s="3">
        <v>5549.39</v>
      </c>
      <c r="V774" s="3">
        <v>4275.37</v>
      </c>
      <c r="W774" s="3">
        <v>2490.12</v>
      </c>
      <c r="X774" s="3">
        <v>57097.53</v>
      </c>
      <c r="Y774" s="3">
        <v>22240.3</v>
      </c>
      <c r="Z774" s="3">
        <f t="shared" si="53"/>
        <v>5775.7099999999991</v>
      </c>
      <c r="AA774" s="37">
        <f t="shared" si="54"/>
        <v>9.1862770234204555E-2</v>
      </c>
      <c r="AB774" s="3">
        <v>-166.25</v>
      </c>
      <c r="AC774" s="3">
        <v>6287.32</v>
      </c>
      <c r="AD774" s="3">
        <v>10185.459999999999</v>
      </c>
      <c r="AE774" s="3">
        <v>66771.38</v>
      </c>
      <c r="AF774" t="str">
        <f>IF(tbl_FinancialData[[#This Row],[City]]="","Unknown",PROPER(TRIM(tbl_FinancialData[[#This Row],[City]])))</f>
        <v>Udaipur</v>
      </c>
      <c r="AG774" t="str">
        <f>_xlfn.LET(_xlpm.city,LOWER(TRIM(tbl_FinancialData[[#This Row],[City]])),_xlpm.st,PROPER(TRIM(tbl_FinancialData[[#This Row],[State]])),IF(_xlpm.city="pune","Maharashtra",IF(_xlpm.city="jamshedpur","Jharkhand",IF(_xlpm.city="bhilai","Chhattisgarh",IF(_xlpm.city="mumbai","Maharashtra",_xlpm.st)))))</f>
        <v>Rajasthan</v>
      </c>
      <c r="AH774" t="str">
        <f>_xlfn.LET(_xlpm.d,PROPER(TRIM(tbl_FinancialData[[#This Row],[Department]])),IF(_xlpm.d="It","IT",_xlpm.d))</f>
        <v>Sales</v>
      </c>
      <c r="AI774" t="str">
        <f>_xlfn.LET(_xlpm.pid,tbl_FinancialData[[#This Row],[Product ID]],_xlpm.n,PROPER(TRIM(tbl_FinancialData[[#This Row],[Product Name]])),IF(_xlpm.pid="P020","Document Scanner",IF(_xlpm.pid="P015","Network Router",SUBSTITUTE(SUBSTITUTE(_xlpm.n,"Crm","CRM"),"Ups","UPS"))))</f>
        <v>Tablet</v>
      </c>
      <c r="AJ774" s="3" t="str">
        <f>UPPER(TRIM(tbl_FinancialData[[#This Row],[Cost Center]]))</f>
        <v>CC-1001</v>
      </c>
    </row>
    <row r="775" spans="1:36" x14ac:dyDescent="0.25">
      <c r="A775" s="3" t="s">
        <v>978</v>
      </c>
      <c r="B775" s="2">
        <v>45861</v>
      </c>
      <c r="C775" t="s">
        <v>32</v>
      </c>
      <c r="D775" s="3" t="str">
        <f t="shared" si="51"/>
        <v>Q2</v>
      </c>
      <c r="E775" s="3" t="str">
        <f t="shared" si="52"/>
        <v>FY2026</v>
      </c>
      <c r="F775" s="8" t="s">
        <v>34</v>
      </c>
      <c r="G775" s="3" t="s">
        <v>35</v>
      </c>
      <c r="H775" t="s">
        <v>134</v>
      </c>
      <c r="I775" t="s">
        <v>154</v>
      </c>
      <c r="J775" s="3" t="s">
        <v>38</v>
      </c>
      <c r="K775" t="s">
        <v>50</v>
      </c>
      <c r="L775" s="3" t="s">
        <v>72</v>
      </c>
      <c r="M775" s="3" t="s">
        <v>62</v>
      </c>
      <c r="N775" t="s">
        <v>63</v>
      </c>
      <c r="O775" t="s">
        <v>54</v>
      </c>
      <c r="P775" t="s">
        <v>55</v>
      </c>
      <c r="Q775" s="3">
        <v>10808.67</v>
      </c>
      <c r="R775" s="3">
        <v>10243.89</v>
      </c>
      <c r="S775" s="3">
        <v>6607.29</v>
      </c>
      <c r="T775" s="3">
        <v>1366.24</v>
      </c>
      <c r="U775" s="3">
        <v>619.17999999999995</v>
      </c>
      <c r="V775" s="3">
        <v>772.67</v>
      </c>
      <c r="W775" s="3">
        <v>290.89999999999998</v>
      </c>
      <c r="X775" s="3">
        <v>9656.2800000000007</v>
      </c>
      <c r="Y775" s="3">
        <v>4201.3900000000003</v>
      </c>
      <c r="Z775" s="3">
        <f t="shared" si="53"/>
        <v>1152.3899999999994</v>
      </c>
      <c r="AA775" s="37">
        <f t="shared" si="54"/>
        <v>0.10661718786862763</v>
      </c>
      <c r="AB775" s="3">
        <v>564.78</v>
      </c>
      <c r="AC775" s="3">
        <v>864.69</v>
      </c>
      <c r="AD775" s="3">
        <v>1193.28</v>
      </c>
      <c r="AE775" s="3">
        <v>11137.26</v>
      </c>
      <c r="AF775" t="str">
        <f>IF(tbl_FinancialData[[#This Row],[City]]="","Unknown",PROPER(TRIM(tbl_FinancialData[[#This Row],[City]])))</f>
        <v>Udaipur</v>
      </c>
      <c r="AG775" t="str">
        <f>_xlfn.LET(_xlpm.city,LOWER(TRIM(tbl_FinancialData[[#This Row],[City]])),_xlpm.st,PROPER(TRIM(tbl_FinancialData[[#This Row],[State]])),IF(_xlpm.city="pune","Maharashtra",IF(_xlpm.city="jamshedpur","Jharkhand",IF(_xlpm.city="bhilai","Chhattisgarh",IF(_xlpm.city="mumbai","Maharashtra",_xlpm.st)))))</f>
        <v>Rajasthan</v>
      </c>
      <c r="AH775" t="str">
        <f>_xlfn.LET(_xlpm.d,PROPER(TRIM(tbl_FinancialData[[#This Row],[Department]])),IF(_xlpm.d="It","IT",_xlpm.d))</f>
        <v>Sales</v>
      </c>
      <c r="AI775" t="str">
        <f>_xlfn.LET(_xlpm.pid,tbl_FinancialData[[#This Row],[Product ID]],_xlpm.n,PROPER(TRIM(tbl_FinancialData[[#This Row],[Product Name]])),IF(_xlpm.pid="P020","Document Scanner",IF(_xlpm.pid="P015","Network Router",SUBSTITUTE(SUBSTITUTE(_xlpm.n,"Crm","CRM"),"Ups","UPS"))))</f>
        <v>Keyboard</v>
      </c>
      <c r="AJ775" s="3" t="str">
        <f>UPPER(TRIM(tbl_FinancialData[[#This Row],[Cost Center]]))</f>
        <v>CC-1004</v>
      </c>
    </row>
    <row r="776" spans="1:36" x14ac:dyDescent="0.25">
      <c r="A776" s="3" t="s">
        <v>979</v>
      </c>
      <c r="B776" s="2">
        <v>45965</v>
      </c>
      <c r="C776" t="s">
        <v>147</v>
      </c>
      <c r="D776" s="3" t="str">
        <f t="shared" si="51"/>
        <v>Q3</v>
      </c>
      <c r="E776" s="3" t="str">
        <f t="shared" si="52"/>
        <v>FY2026</v>
      </c>
      <c r="F776" s="8" t="s">
        <v>34</v>
      </c>
      <c r="G776" s="3" t="s">
        <v>35</v>
      </c>
      <c r="H776" t="s">
        <v>98</v>
      </c>
      <c r="I776" t="s">
        <v>149</v>
      </c>
      <c r="J776" s="3" t="s">
        <v>80</v>
      </c>
      <c r="K776" t="s">
        <v>39</v>
      </c>
      <c r="L776" s="3" t="s">
        <v>40</v>
      </c>
      <c r="M776" s="3" t="s">
        <v>82</v>
      </c>
      <c r="N776" t="s">
        <v>83</v>
      </c>
      <c r="O776" t="s">
        <v>43</v>
      </c>
      <c r="P776" t="s">
        <v>75</v>
      </c>
      <c r="Q776" s="3">
        <v>31892.58</v>
      </c>
      <c r="R776" s="3">
        <v>36110.910000000003</v>
      </c>
      <c r="S776" s="3">
        <v>15692.25</v>
      </c>
      <c r="T776" s="3">
        <v>2606.54</v>
      </c>
      <c r="U776" s="3">
        <v>1564.34</v>
      </c>
      <c r="V776" s="3">
        <v>2002.34</v>
      </c>
      <c r="W776" s="3">
        <v>1336.66</v>
      </c>
      <c r="X776" s="3">
        <v>23202.14</v>
      </c>
      <c r="Y776" s="3">
        <v>16200.33</v>
      </c>
      <c r="Z776" s="3">
        <f t="shared" si="53"/>
        <v>8690.4400000000023</v>
      </c>
      <c r="AA776" s="37">
        <f t="shared" si="54"/>
        <v>0.27249096811860318</v>
      </c>
      <c r="AB776" s="3">
        <v>-4218.33</v>
      </c>
      <c r="AC776" s="3">
        <v>1594.63</v>
      </c>
      <c r="AD776" s="3">
        <v>1514.9</v>
      </c>
      <c r="AE776" s="3">
        <v>31812.85</v>
      </c>
      <c r="AF776" t="str">
        <f>IF(tbl_FinancialData[[#This Row],[City]]="","Unknown",PROPER(TRIM(tbl_FinancialData[[#This Row],[City]])))</f>
        <v>Nagpur</v>
      </c>
      <c r="AG776" t="str">
        <f>_xlfn.LET(_xlpm.city,LOWER(TRIM(tbl_FinancialData[[#This Row],[City]])),_xlpm.st,PROPER(TRIM(tbl_FinancialData[[#This Row],[State]])),IF(_xlpm.city="pune","Maharashtra",IF(_xlpm.city="jamshedpur","Jharkhand",IF(_xlpm.city="bhilai","Chhattisgarh",IF(_xlpm.city="mumbai","Maharashtra",_xlpm.st)))))</f>
        <v>Maharashtra</v>
      </c>
      <c r="AH776" t="str">
        <f>_xlfn.LET(_xlpm.d,PROPER(TRIM(tbl_FinancialData[[#This Row],[Department]])),IF(_xlpm.d="It","IT",_xlpm.d))</f>
        <v>Operations</v>
      </c>
      <c r="AI776" t="str">
        <f>_xlfn.LET(_xlpm.pid,tbl_FinancialData[[#This Row],[Product ID]],_xlpm.n,PROPER(TRIM(tbl_FinancialData[[#This Row],[Product Name]])),IF(_xlpm.pid="P020","Document Scanner",IF(_xlpm.pid="P015","Network Router",SUBSTITUTE(SUBSTITUTE(_xlpm.n,"Crm","CRM"),"Ups","UPS"))))</f>
        <v>Business Laptop</v>
      </c>
      <c r="AJ776" s="3" t="str">
        <f>UPPER(TRIM(tbl_FinancialData[[#This Row],[Cost Center]]))</f>
        <v>CC-1002</v>
      </c>
    </row>
    <row r="777" spans="1:36" x14ac:dyDescent="0.25">
      <c r="A777" s="3" t="s">
        <v>980</v>
      </c>
      <c r="B777" s="2">
        <v>45945</v>
      </c>
      <c r="C777" t="s">
        <v>92</v>
      </c>
      <c r="D777" s="3" t="str">
        <f t="shared" si="51"/>
        <v>Q3</v>
      </c>
      <c r="E777" s="3" t="str">
        <f t="shared" si="52"/>
        <v>FY2026</v>
      </c>
      <c r="F777" s="8" t="s">
        <v>67</v>
      </c>
      <c r="G777" s="3" t="s">
        <v>35</v>
      </c>
      <c r="H777" t="s">
        <v>118</v>
      </c>
      <c r="I777" t="s">
        <v>227</v>
      </c>
      <c r="J777" s="3" t="s">
        <v>70</v>
      </c>
      <c r="K777" t="s">
        <v>71</v>
      </c>
      <c r="L777" s="3" t="s">
        <v>94</v>
      </c>
      <c r="M777" s="3" t="s">
        <v>186</v>
      </c>
      <c r="N777" t="s">
        <v>187</v>
      </c>
      <c r="O777" t="s">
        <v>173</v>
      </c>
      <c r="P777" t="s">
        <v>174</v>
      </c>
      <c r="Q777" s="3">
        <v>21197.72</v>
      </c>
      <c r="R777" s="3">
        <v>19961.650000000001</v>
      </c>
      <c r="S777" s="3">
        <v>14019.54</v>
      </c>
      <c r="T777" s="3">
        <v>1825.27</v>
      </c>
      <c r="U777" s="3">
        <v>1850.64</v>
      </c>
      <c r="V777" s="3">
        <v>1290.19</v>
      </c>
      <c r="W777" s="3">
        <v>718.52</v>
      </c>
      <c r="X777" s="3">
        <v>19704.16</v>
      </c>
      <c r="Y777" s="3">
        <v>7178.17</v>
      </c>
      <c r="Z777" s="3">
        <f t="shared" si="53"/>
        <v>1493.5600000000013</v>
      </c>
      <c r="AA777" s="37">
        <f t="shared" si="54"/>
        <v>7.0458521010750272E-2</v>
      </c>
      <c r="AB777" s="3">
        <v>1236.06</v>
      </c>
      <c r="AC777" s="3">
        <v>2119.77</v>
      </c>
      <c r="AD777" s="3">
        <v>3434.03</v>
      </c>
      <c r="AE777" s="3">
        <v>22511.98</v>
      </c>
      <c r="AF777" t="str">
        <f>IF(tbl_FinancialData[[#This Row],[City]]="","Unknown",PROPER(TRIM(tbl_FinancialData[[#This Row],[City]])))</f>
        <v>Dhanbad</v>
      </c>
      <c r="AG777" t="str">
        <f>_xlfn.LET(_xlpm.city,LOWER(TRIM(tbl_FinancialData[[#This Row],[City]])),_xlpm.st,PROPER(TRIM(tbl_FinancialData[[#This Row],[State]])),IF(_xlpm.city="pune","Maharashtra",IF(_xlpm.city="jamshedpur","Jharkhand",IF(_xlpm.city="bhilai","Chhattisgarh",IF(_xlpm.city="mumbai","Maharashtra",_xlpm.st)))))</f>
        <v>Jharkhand</v>
      </c>
      <c r="AH777" t="str">
        <f>_xlfn.LET(_xlpm.d,PROPER(TRIM(tbl_FinancialData[[#This Row],[Department]])),IF(_xlpm.d="It","IT",_xlpm.d))</f>
        <v>Marketing</v>
      </c>
      <c r="AI777" t="str">
        <f>_xlfn.LET(_xlpm.pid,tbl_FinancialData[[#This Row],[Product ID]],_xlpm.n,PROPER(TRIM(tbl_FinancialData[[#This Row],[Product Name]])),IF(_xlpm.pid="P020","Document Scanner",IF(_xlpm.pid="P015","Network Router",SUBSTITUTE(SUBSTITUTE(_xlpm.n,"Crm","CRM"),"Ups","UPS"))))</f>
        <v>Network Router</v>
      </c>
      <c r="AJ777" s="3" t="str">
        <f>UPPER(TRIM(tbl_FinancialData[[#This Row],[Cost Center]]))</f>
        <v>CC-1001</v>
      </c>
    </row>
    <row r="778" spans="1:36" x14ac:dyDescent="0.25">
      <c r="A778" s="3" t="s">
        <v>981</v>
      </c>
      <c r="B778" s="2">
        <v>45946</v>
      </c>
      <c r="C778" t="s">
        <v>92</v>
      </c>
      <c r="D778" s="3" t="str">
        <f t="shared" si="51"/>
        <v>Q3</v>
      </c>
      <c r="E778" s="3" t="str">
        <f t="shared" si="52"/>
        <v>FY2026</v>
      </c>
      <c r="F778" s="8" t="s">
        <v>47</v>
      </c>
      <c r="G778" s="3" t="s">
        <v>35</v>
      </c>
      <c r="H778" t="s">
        <v>78</v>
      </c>
      <c r="I778" t="s">
        <v>183</v>
      </c>
      <c r="J778" s="3" t="s">
        <v>38</v>
      </c>
      <c r="K778" t="s">
        <v>50</v>
      </c>
      <c r="L778" s="3" t="s">
        <v>40</v>
      </c>
      <c r="M778" s="3" t="s">
        <v>171</v>
      </c>
      <c r="N778" t="s">
        <v>172</v>
      </c>
      <c r="O778" t="s">
        <v>173</v>
      </c>
      <c r="P778" t="s">
        <v>174</v>
      </c>
      <c r="Q778" s="3">
        <v>29684.29</v>
      </c>
      <c r="R778" s="3">
        <v>29784.27</v>
      </c>
      <c r="S778" s="3">
        <v>16163.43</v>
      </c>
      <c r="T778" s="3">
        <v>3855.87</v>
      </c>
      <c r="U778" s="3">
        <v>880.47</v>
      </c>
      <c r="V778" s="3">
        <v>1290.82</v>
      </c>
      <c r="W778" s="3">
        <v>522.55999999999995</v>
      </c>
      <c r="X778" s="3">
        <v>22713.15</v>
      </c>
      <c r="Y778" s="3">
        <v>13520.86</v>
      </c>
      <c r="Z778" s="3">
        <f t="shared" si="53"/>
        <v>6971.1399999999994</v>
      </c>
      <c r="AA778" s="37">
        <f t="shared" si="54"/>
        <v>0.23484274004869241</v>
      </c>
      <c r="AB778" s="3">
        <v>-99.98</v>
      </c>
      <c r="AC778" s="3">
        <v>2968.43</v>
      </c>
      <c r="AD778" s="3">
        <v>4808.8599999999997</v>
      </c>
      <c r="AE778" s="3">
        <v>31524.720000000001</v>
      </c>
      <c r="AF778" t="str">
        <f>IF(tbl_FinancialData[[#This Row],[City]]="","Unknown",PROPER(TRIM(tbl_FinancialData[[#This Row],[City]])))</f>
        <v>Kozhikode</v>
      </c>
      <c r="AG778" t="str">
        <f>_xlfn.LET(_xlpm.city,LOWER(TRIM(tbl_FinancialData[[#This Row],[City]])),_xlpm.st,PROPER(TRIM(tbl_FinancialData[[#This Row],[State]])),IF(_xlpm.city="pune","Maharashtra",IF(_xlpm.city="jamshedpur","Jharkhand",IF(_xlpm.city="bhilai","Chhattisgarh",IF(_xlpm.city="mumbai","Maharashtra",_xlpm.st)))))</f>
        <v>Kerala</v>
      </c>
      <c r="AH778" t="str">
        <f>_xlfn.LET(_xlpm.d,PROPER(TRIM(tbl_FinancialData[[#This Row],[Department]])),IF(_xlpm.d="It","IT",_xlpm.d))</f>
        <v>Sales</v>
      </c>
      <c r="AI778" t="str">
        <f>_xlfn.LET(_xlpm.pid,tbl_FinancialData[[#This Row],[Product ID]],_xlpm.n,PROPER(TRIM(tbl_FinancialData[[#This Row],[Product Name]])),IF(_xlpm.pid="P020","Document Scanner",IF(_xlpm.pid="P015","Network Router",SUBSTITUTE(SUBSTITUTE(_xlpm.n,"Crm","CRM"),"Ups","UPS"))))</f>
        <v>Network Switch</v>
      </c>
      <c r="AJ778" s="3" t="str">
        <f>UPPER(TRIM(tbl_FinancialData[[#This Row],[Cost Center]]))</f>
        <v>CC-1002</v>
      </c>
    </row>
    <row r="779" spans="1:36" x14ac:dyDescent="0.25">
      <c r="A779" s="3" t="s">
        <v>982</v>
      </c>
      <c r="B779" s="2">
        <v>45759</v>
      </c>
      <c r="C779" t="s">
        <v>128</v>
      </c>
      <c r="D779" s="3" t="str">
        <f t="shared" si="51"/>
        <v>Q1</v>
      </c>
      <c r="E779" s="3" t="str">
        <f t="shared" si="52"/>
        <v>FY2026</v>
      </c>
      <c r="F779" s="8" t="s">
        <v>67</v>
      </c>
      <c r="G779" s="3" t="s">
        <v>35</v>
      </c>
      <c r="H779" t="s">
        <v>118</v>
      </c>
      <c r="I779" t="s">
        <v>209</v>
      </c>
      <c r="J779" s="3" t="s">
        <v>70</v>
      </c>
      <c r="K779" t="s">
        <v>101</v>
      </c>
      <c r="L779" s="3" t="s">
        <v>94</v>
      </c>
      <c r="M779" s="3" t="s">
        <v>41</v>
      </c>
      <c r="N779" t="s">
        <v>42</v>
      </c>
      <c r="O779" t="s">
        <v>43</v>
      </c>
      <c r="P779" t="s">
        <v>44</v>
      </c>
      <c r="Q779" s="3">
        <v>22792.01</v>
      </c>
      <c r="R779" s="3">
        <v>24945.87</v>
      </c>
      <c r="S779" s="3">
        <v>14717.47</v>
      </c>
      <c r="T779" s="3">
        <v>2136.08</v>
      </c>
      <c r="U779" s="3">
        <v>1608.27</v>
      </c>
      <c r="V779" s="3">
        <v>2617.7800000000002</v>
      </c>
      <c r="W779" s="3">
        <v>758.94</v>
      </c>
      <c r="X779" s="3">
        <v>21838.54</v>
      </c>
      <c r="Y779" s="3">
        <v>8074.54</v>
      </c>
      <c r="Z779" s="3">
        <f t="shared" si="53"/>
        <v>953.46999999999753</v>
      </c>
      <c r="AA779" s="37">
        <f t="shared" si="54"/>
        <v>4.1833519729062844E-2</v>
      </c>
      <c r="AB779" s="3">
        <v>-2153.86</v>
      </c>
      <c r="AC779" s="3">
        <v>455.84</v>
      </c>
      <c r="AD779" s="3">
        <v>2680.34</v>
      </c>
      <c r="AE779" s="3">
        <v>25016.51</v>
      </c>
      <c r="AF779" t="str">
        <f>IF(tbl_FinancialData[[#This Row],[City]]="","Unknown",PROPER(TRIM(tbl_FinancialData[[#This Row],[City]])))</f>
        <v>Jamshedpur</v>
      </c>
      <c r="AG779" t="str">
        <f>_xlfn.LET(_xlpm.city,LOWER(TRIM(tbl_FinancialData[[#This Row],[City]])),_xlpm.st,PROPER(TRIM(tbl_FinancialData[[#This Row],[State]])),IF(_xlpm.city="pune","Maharashtra",IF(_xlpm.city="jamshedpur","Jharkhand",IF(_xlpm.city="bhilai","Chhattisgarh",IF(_xlpm.city="mumbai","Maharashtra",_xlpm.st)))))</f>
        <v>Jharkhand</v>
      </c>
      <c r="AH779" t="str">
        <f>_xlfn.LET(_xlpm.d,PROPER(TRIM(tbl_FinancialData[[#This Row],[Department]])),IF(_xlpm.d="It","IT",_xlpm.d))</f>
        <v>Finance</v>
      </c>
      <c r="AI779" t="str">
        <f>_xlfn.LET(_xlpm.pid,tbl_FinancialData[[#This Row],[Product ID]],_xlpm.n,PROPER(TRIM(tbl_FinancialData[[#This Row],[Product Name]])),IF(_xlpm.pid="P020","Document Scanner",IF(_xlpm.pid="P015","Network Router",SUBSTITUTE(SUBSTITUTE(_xlpm.n,"Crm","CRM"),"Ups","UPS"))))</f>
        <v>Conference Camera</v>
      </c>
      <c r="AJ779" s="3" t="str">
        <f>UPPER(TRIM(tbl_FinancialData[[#This Row],[Cost Center]]))</f>
        <v>CC-1001</v>
      </c>
    </row>
    <row r="780" spans="1:36" x14ac:dyDescent="0.25">
      <c r="A780" s="3" t="s">
        <v>983</v>
      </c>
      <c r="B780" s="2">
        <v>45757</v>
      </c>
      <c r="C780" t="s">
        <v>128</v>
      </c>
      <c r="D780" s="3" t="str">
        <f t="shared" si="51"/>
        <v>Q1</v>
      </c>
      <c r="E780" s="3" t="str">
        <f t="shared" si="52"/>
        <v>FY2026</v>
      </c>
      <c r="F780" s="8" t="s">
        <v>67</v>
      </c>
      <c r="G780" s="3" t="s">
        <v>35</v>
      </c>
      <c r="H780" t="s">
        <v>168</v>
      </c>
      <c r="I780" t="s">
        <v>278</v>
      </c>
      <c r="J780" s="3" t="s">
        <v>100</v>
      </c>
      <c r="K780" t="s">
        <v>71</v>
      </c>
      <c r="L780" s="3" t="s">
        <v>40</v>
      </c>
      <c r="M780" s="3" t="s">
        <v>95</v>
      </c>
      <c r="N780" t="s">
        <v>96</v>
      </c>
      <c r="O780" t="s">
        <v>43</v>
      </c>
      <c r="P780" t="s">
        <v>90</v>
      </c>
      <c r="Q780" s="3">
        <v>28814.23</v>
      </c>
      <c r="R780" s="3">
        <v>28107.97</v>
      </c>
      <c r="S780" s="3">
        <v>16375.85</v>
      </c>
      <c r="T780" s="3">
        <v>2306.5</v>
      </c>
      <c r="U780" s="3">
        <v>2554.6</v>
      </c>
      <c r="V780" s="3">
        <v>1853.1</v>
      </c>
      <c r="W780" s="3">
        <v>555.62</v>
      </c>
      <c r="X780" s="3">
        <v>23645.68</v>
      </c>
      <c r="Y780" s="3">
        <v>12438.38</v>
      </c>
      <c r="Z780" s="3">
        <f t="shared" si="53"/>
        <v>5168.5499999999993</v>
      </c>
      <c r="AA780" s="37">
        <f t="shared" si="54"/>
        <v>0.1793749130204069</v>
      </c>
      <c r="AB780" s="3">
        <v>706.26</v>
      </c>
      <c r="AC780" s="3">
        <v>0</v>
      </c>
      <c r="AD780" s="3">
        <v>3457.71</v>
      </c>
      <c r="AE780" s="3">
        <v>32271.94</v>
      </c>
      <c r="AF780" t="str">
        <f>IF(tbl_FinancialData[[#This Row],[City]]="","Unknown",PROPER(TRIM(tbl_FinancialData[[#This Row],[City]])))</f>
        <v>Siliguri</v>
      </c>
      <c r="AG780" t="str">
        <f>_xlfn.LET(_xlpm.city,LOWER(TRIM(tbl_FinancialData[[#This Row],[City]])),_xlpm.st,PROPER(TRIM(tbl_FinancialData[[#This Row],[State]])),IF(_xlpm.city="pune","Maharashtra",IF(_xlpm.city="jamshedpur","Jharkhand",IF(_xlpm.city="bhilai","Chhattisgarh",IF(_xlpm.city="mumbai","Maharashtra",_xlpm.st)))))</f>
        <v>West Bengal</v>
      </c>
      <c r="AH780" t="str">
        <f>_xlfn.LET(_xlpm.d,PROPER(TRIM(tbl_FinancialData[[#This Row],[Department]])),IF(_xlpm.d="It","IT",_xlpm.d))</f>
        <v>Marketing</v>
      </c>
      <c r="AI780" t="str">
        <f>_xlfn.LET(_xlpm.pid,tbl_FinancialData[[#This Row],[Product ID]],_xlpm.n,PROPER(TRIM(tbl_FinancialData[[#This Row],[Product Name]])),IF(_xlpm.pid="P020","Document Scanner",IF(_xlpm.pid="P015","Network Router",SUBSTITUTE(SUBSTITUTE(_xlpm.n,"Crm","CRM"),"Ups","UPS"))))</f>
        <v>Document Scanner</v>
      </c>
      <c r="AJ780" s="3" t="str">
        <f>UPPER(TRIM(tbl_FinancialData[[#This Row],[Cost Center]]))</f>
        <v>CC-1002</v>
      </c>
    </row>
    <row r="781" spans="1:36" x14ac:dyDescent="0.25">
      <c r="A781" s="3" t="s">
        <v>984</v>
      </c>
      <c r="B781" s="2">
        <v>46016</v>
      </c>
      <c r="C781" t="s">
        <v>107</v>
      </c>
      <c r="D781" s="3" t="str">
        <f t="shared" si="51"/>
        <v>Q3</v>
      </c>
      <c r="E781" s="3" t="str">
        <f t="shared" si="52"/>
        <v>FY2026</v>
      </c>
      <c r="F781" s="8" t="s">
        <v>47</v>
      </c>
      <c r="G781" s="3" t="s">
        <v>35</v>
      </c>
      <c r="H781" t="s">
        <v>78</v>
      </c>
      <c r="I781" t="s">
        <v>79</v>
      </c>
      <c r="J781" s="3" t="s">
        <v>100</v>
      </c>
      <c r="K781" t="s">
        <v>39</v>
      </c>
      <c r="L781" s="3" t="s">
        <v>72</v>
      </c>
      <c r="M781" s="3" t="s">
        <v>110</v>
      </c>
      <c r="N781" t="s">
        <v>111</v>
      </c>
      <c r="O781" t="s">
        <v>112</v>
      </c>
      <c r="P781" t="s">
        <v>113</v>
      </c>
      <c r="Q781" s="3">
        <v>21776.29</v>
      </c>
      <c r="R781" s="3">
        <v>24891.56</v>
      </c>
      <c r="S781" s="3">
        <v>14538.14</v>
      </c>
      <c r="T781" s="3">
        <v>1115.67</v>
      </c>
      <c r="U781" s="3">
        <v>1700.64</v>
      </c>
      <c r="V781" s="3">
        <v>1394.6</v>
      </c>
      <c r="W781" s="3">
        <v>331.84</v>
      </c>
      <c r="X781" s="3">
        <v>19080.89</v>
      </c>
      <c r="Y781" s="3">
        <v>7238.15</v>
      </c>
      <c r="Z781" s="3">
        <f t="shared" si="53"/>
        <v>2695.4000000000015</v>
      </c>
      <c r="AA781" s="37">
        <f t="shared" si="54"/>
        <v>0.12377682332481801</v>
      </c>
      <c r="AB781" s="3">
        <v>-3115.26</v>
      </c>
      <c r="AC781" s="3">
        <v>435.53</v>
      </c>
      <c r="AD781" s="3">
        <v>2560.89</v>
      </c>
      <c r="AE781" s="3">
        <v>23901.66</v>
      </c>
      <c r="AF781" t="str">
        <f>IF(tbl_FinancialData[[#This Row],[City]]="","Unknown",PROPER(TRIM(tbl_FinancialData[[#This Row],[City]])))</f>
        <v>Kochi</v>
      </c>
      <c r="AG781" t="str">
        <f>_xlfn.LET(_xlpm.city,LOWER(TRIM(tbl_FinancialData[[#This Row],[City]])),_xlpm.st,PROPER(TRIM(tbl_FinancialData[[#This Row],[State]])),IF(_xlpm.city="pune","Maharashtra",IF(_xlpm.city="jamshedpur","Jharkhand",IF(_xlpm.city="bhilai","Chhattisgarh",IF(_xlpm.city="mumbai","Maharashtra",_xlpm.st)))))</f>
        <v>Kerala</v>
      </c>
      <c r="AH781" t="str">
        <f>_xlfn.LET(_xlpm.d,PROPER(TRIM(tbl_FinancialData[[#This Row],[Department]])),IF(_xlpm.d="It","IT",_xlpm.d))</f>
        <v>Operations</v>
      </c>
      <c r="AI781" t="str">
        <f>_xlfn.LET(_xlpm.pid,tbl_FinancialData[[#This Row],[Product ID]],_xlpm.n,PROPER(TRIM(tbl_FinancialData[[#This Row],[Product Name]])),IF(_xlpm.pid="P020","Document Scanner",IF(_xlpm.pid="P015","Network Router",SUBSTITUTE(SUBSTITUTE(_xlpm.n,"Crm","CRM"),"Ups","UPS"))))</f>
        <v>Office Desk</v>
      </c>
      <c r="AJ781" s="3" t="str">
        <f>UPPER(TRIM(tbl_FinancialData[[#This Row],[Cost Center]]))</f>
        <v>CC-1004</v>
      </c>
    </row>
    <row r="782" spans="1:36" x14ac:dyDescent="0.25">
      <c r="A782" s="3" t="s">
        <v>985</v>
      </c>
      <c r="B782" s="2">
        <v>45989</v>
      </c>
      <c r="C782" t="s">
        <v>147</v>
      </c>
      <c r="D782" s="3" t="str">
        <f t="shared" si="51"/>
        <v>Q3</v>
      </c>
      <c r="E782" s="3" t="str">
        <f t="shared" si="52"/>
        <v>FY2026</v>
      </c>
      <c r="F782" s="8" t="s">
        <v>85</v>
      </c>
      <c r="G782" s="3" t="s">
        <v>35</v>
      </c>
      <c r="H782" t="s">
        <v>86</v>
      </c>
      <c r="I782" t="s">
        <v>262</v>
      </c>
      <c r="J782" s="3" t="s">
        <v>70</v>
      </c>
      <c r="K782" t="s">
        <v>71</v>
      </c>
      <c r="L782" s="3" t="s">
        <v>51</v>
      </c>
      <c r="M782" s="3" t="s">
        <v>161</v>
      </c>
      <c r="N782" t="s">
        <v>162</v>
      </c>
      <c r="O782" t="s">
        <v>43</v>
      </c>
      <c r="P782" t="s">
        <v>163</v>
      </c>
      <c r="Q782" s="3">
        <v>25982.99</v>
      </c>
      <c r="R782" s="3">
        <v>23930.55</v>
      </c>
      <c r="S782" s="3">
        <v>15909.89</v>
      </c>
      <c r="T782" s="3">
        <v>2557.56</v>
      </c>
      <c r="U782" s="3">
        <v>1841.09</v>
      </c>
      <c r="V782" s="3">
        <v>2453.2399999999998</v>
      </c>
      <c r="W782" s="3">
        <v>525.67999999999995</v>
      </c>
      <c r="X782" s="3">
        <v>23287.46</v>
      </c>
      <c r="Y782" s="3">
        <v>10073.1</v>
      </c>
      <c r="Z782" s="3">
        <f t="shared" si="53"/>
        <v>2695.5300000000025</v>
      </c>
      <c r="AA782" s="37">
        <f t="shared" si="54"/>
        <v>0.10374210204445301</v>
      </c>
      <c r="AB782" s="3">
        <v>2052.4299999999998</v>
      </c>
      <c r="AC782" s="3">
        <v>779.49</v>
      </c>
      <c r="AD782" s="3">
        <v>4536.63</v>
      </c>
      <c r="AE782" s="3">
        <v>29740.13</v>
      </c>
      <c r="AF782" t="str">
        <f>IF(tbl_FinancialData[[#This Row],[City]]="","Unknown",PROPER(TRIM(tbl_FinancialData[[#This Row],[City]])))</f>
        <v>Gwalior</v>
      </c>
      <c r="AG782" t="str">
        <f>_xlfn.LET(_xlpm.city,LOWER(TRIM(tbl_FinancialData[[#This Row],[City]])),_xlpm.st,PROPER(TRIM(tbl_FinancialData[[#This Row],[State]])),IF(_xlpm.city="pune","Maharashtra",IF(_xlpm.city="jamshedpur","Jharkhand",IF(_xlpm.city="bhilai","Chhattisgarh",IF(_xlpm.city="mumbai","Maharashtra",_xlpm.st)))))</f>
        <v>Madhya Pradesh</v>
      </c>
      <c r="AH782" t="str">
        <f>_xlfn.LET(_xlpm.d,PROPER(TRIM(tbl_FinancialData[[#This Row],[Department]])),IF(_xlpm.d="It","IT",_xlpm.d))</f>
        <v>Marketing</v>
      </c>
      <c r="AI782" t="str">
        <f>_xlfn.LET(_xlpm.pid,tbl_FinancialData[[#This Row],[Product ID]],_xlpm.n,PROPER(TRIM(tbl_FinancialData[[#This Row],[Product Name]])),IF(_xlpm.pid="P020","Document Scanner",IF(_xlpm.pid="P015","Network Router",SUBSTITUTE(SUBSTITUTE(_xlpm.n,"Crm","CRM"),"Ups","UPS"))))</f>
        <v>Tablet</v>
      </c>
      <c r="AJ782" s="3" t="str">
        <f>UPPER(TRIM(tbl_FinancialData[[#This Row],[Cost Center]]))</f>
        <v>CC-1003</v>
      </c>
    </row>
    <row r="783" spans="1:36" x14ac:dyDescent="0.25">
      <c r="A783" s="3" t="s">
        <v>986</v>
      </c>
      <c r="B783" s="2">
        <v>45879</v>
      </c>
      <c r="C783" t="s">
        <v>117</v>
      </c>
      <c r="D783" s="3" t="str">
        <f t="shared" si="51"/>
        <v>Q2</v>
      </c>
      <c r="E783" s="3" t="str">
        <f t="shared" si="52"/>
        <v>FY2026</v>
      </c>
      <c r="F783" s="8" t="s">
        <v>67</v>
      </c>
      <c r="G783" s="3" t="s">
        <v>35</v>
      </c>
      <c r="H783" t="s">
        <v>217</v>
      </c>
      <c r="I783" t="s">
        <v>241</v>
      </c>
      <c r="J783" s="3" t="s">
        <v>100</v>
      </c>
      <c r="K783" t="s">
        <v>50</v>
      </c>
      <c r="L783" s="3" t="s">
        <v>40</v>
      </c>
      <c r="M783" s="3" t="s">
        <v>161</v>
      </c>
      <c r="N783" t="s">
        <v>162</v>
      </c>
      <c r="O783" t="s">
        <v>43</v>
      </c>
      <c r="P783" t="s">
        <v>163</v>
      </c>
      <c r="Q783" s="3">
        <v>51232.18</v>
      </c>
      <c r="R783" s="3">
        <v>46079.839999999997</v>
      </c>
      <c r="S783" s="3">
        <v>33675.86</v>
      </c>
      <c r="T783" s="3">
        <v>3428.57</v>
      </c>
      <c r="U783" s="3">
        <v>2590.98</v>
      </c>
      <c r="V783" s="3">
        <v>2312.15</v>
      </c>
      <c r="W783" s="3">
        <v>918.05</v>
      </c>
      <c r="X783" s="3">
        <v>42925.62</v>
      </c>
      <c r="Y783" s="3">
        <v>17556.310000000001</v>
      </c>
      <c r="Z783" s="3">
        <f t="shared" si="53"/>
        <v>8306.5599999999977</v>
      </c>
      <c r="AA783" s="37">
        <f t="shared" si="54"/>
        <v>0.16213559524501978</v>
      </c>
      <c r="AB783" s="3">
        <v>5152.33</v>
      </c>
      <c r="AC783" s="3">
        <v>4098.57</v>
      </c>
      <c r="AD783" s="3">
        <v>8484.0499999999993</v>
      </c>
      <c r="AE783" s="3">
        <v>55617.65</v>
      </c>
      <c r="AF783" t="str">
        <f>IF(tbl_FinancialData[[#This Row],[City]]="","Unknown",PROPER(TRIM(tbl_FinancialData[[#This Row],[City]])))</f>
        <v>Muzaffarpur</v>
      </c>
      <c r="AG783" t="str">
        <f>_xlfn.LET(_xlpm.city,LOWER(TRIM(tbl_FinancialData[[#This Row],[City]])),_xlpm.st,PROPER(TRIM(tbl_FinancialData[[#This Row],[State]])),IF(_xlpm.city="pune","Maharashtra",IF(_xlpm.city="jamshedpur","Jharkhand",IF(_xlpm.city="bhilai","Chhattisgarh",IF(_xlpm.city="mumbai","Maharashtra",_xlpm.st)))))</f>
        <v>Bihar</v>
      </c>
      <c r="AH783" t="str">
        <f>_xlfn.LET(_xlpm.d,PROPER(TRIM(tbl_FinancialData[[#This Row],[Department]])),IF(_xlpm.d="It","IT",_xlpm.d))</f>
        <v>Sales</v>
      </c>
      <c r="AI783" t="str">
        <f>_xlfn.LET(_xlpm.pid,tbl_FinancialData[[#This Row],[Product ID]],_xlpm.n,PROPER(TRIM(tbl_FinancialData[[#This Row],[Product Name]])),IF(_xlpm.pid="P020","Document Scanner",IF(_xlpm.pid="P015","Network Router",SUBSTITUTE(SUBSTITUTE(_xlpm.n,"Crm","CRM"),"Ups","UPS"))))</f>
        <v>Tablet</v>
      </c>
      <c r="AJ783" s="3" t="str">
        <f>UPPER(TRIM(tbl_FinancialData[[#This Row],[Cost Center]]))</f>
        <v>CC-1002</v>
      </c>
    </row>
    <row r="784" spans="1:36" x14ac:dyDescent="0.25">
      <c r="A784" s="3" t="s">
        <v>987</v>
      </c>
      <c r="B784" s="2">
        <v>45959</v>
      </c>
      <c r="C784" t="s">
        <v>92</v>
      </c>
      <c r="D784" s="3" t="str">
        <f t="shared" si="51"/>
        <v>Q3</v>
      </c>
      <c r="E784" s="3" t="str">
        <f t="shared" si="52"/>
        <v>FY2026</v>
      </c>
      <c r="F784" s="8" t="s">
        <v>34</v>
      </c>
      <c r="G784" s="3" t="s">
        <v>35</v>
      </c>
      <c r="H784" t="s">
        <v>157</v>
      </c>
      <c r="I784" t="s">
        <v>194</v>
      </c>
      <c r="J784" s="3" t="s">
        <v>38</v>
      </c>
      <c r="K784" t="s">
        <v>50</v>
      </c>
      <c r="L784" s="3" t="s">
        <v>40</v>
      </c>
      <c r="M784" s="3" t="s">
        <v>95</v>
      </c>
      <c r="N784" t="s">
        <v>96</v>
      </c>
      <c r="O784" t="s">
        <v>43</v>
      </c>
      <c r="P784" t="s">
        <v>90</v>
      </c>
      <c r="Q784" s="3">
        <v>58972.46</v>
      </c>
      <c r="R784" s="3">
        <v>60950.51</v>
      </c>
      <c r="S784" s="3">
        <v>38468.629999999997</v>
      </c>
      <c r="T784" s="3">
        <v>4415.91</v>
      </c>
      <c r="U784" s="3">
        <v>2647.5</v>
      </c>
      <c r="V784" s="3">
        <v>5508.42</v>
      </c>
      <c r="W784" s="3">
        <v>2045.71</v>
      </c>
      <c r="X784" s="3">
        <v>53086.17</v>
      </c>
      <c r="Y784" s="3">
        <v>20503.84</v>
      </c>
      <c r="Z784" s="3">
        <f t="shared" si="53"/>
        <v>5886.2900000000009</v>
      </c>
      <c r="AA784" s="37">
        <f t="shared" si="54"/>
        <v>9.9814218365657473E-2</v>
      </c>
      <c r="AB784" s="3">
        <v>-1978.05</v>
      </c>
      <c r="AC784" s="3">
        <v>5897.25</v>
      </c>
      <c r="AD784" s="3">
        <v>2653.76</v>
      </c>
      <c r="AE784" s="3">
        <v>55728.98</v>
      </c>
      <c r="AF784" t="str">
        <f>IF(tbl_FinancialData[[#This Row],[City]]="","Unknown",PROPER(TRIM(tbl_FinancialData[[#This Row],[City]])))</f>
        <v>Surat</v>
      </c>
      <c r="AG784" t="str">
        <f>_xlfn.LET(_xlpm.city,LOWER(TRIM(tbl_FinancialData[[#This Row],[City]])),_xlpm.st,PROPER(TRIM(tbl_FinancialData[[#This Row],[State]])),IF(_xlpm.city="pune","Maharashtra",IF(_xlpm.city="jamshedpur","Jharkhand",IF(_xlpm.city="bhilai","Chhattisgarh",IF(_xlpm.city="mumbai","Maharashtra",_xlpm.st)))))</f>
        <v>Gujarat</v>
      </c>
      <c r="AH784" t="str">
        <f>_xlfn.LET(_xlpm.d,PROPER(TRIM(tbl_FinancialData[[#This Row],[Department]])),IF(_xlpm.d="It","IT",_xlpm.d))</f>
        <v>Sales</v>
      </c>
      <c r="AI784" t="str">
        <f>_xlfn.LET(_xlpm.pid,tbl_FinancialData[[#This Row],[Product ID]],_xlpm.n,PROPER(TRIM(tbl_FinancialData[[#This Row],[Product Name]])),IF(_xlpm.pid="P020","Document Scanner",IF(_xlpm.pid="P015","Network Router",SUBSTITUTE(SUBSTITUTE(_xlpm.n,"Crm","CRM"),"Ups","UPS"))))</f>
        <v>Document Scanner</v>
      </c>
      <c r="AJ784" s="3" t="str">
        <f>UPPER(TRIM(tbl_FinancialData[[#This Row],[Cost Center]]))</f>
        <v>CC-1002</v>
      </c>
    </row>
    <row r="785" spans="1:36" x14ac:dyDescent="0.25">
      <c r="A785" s="3" t="s">
        <v>988</v>
      </c>
      <c r="B785" s="2">
        <v>45913</v>
      </c>
      <c r="C785" t="s">
        <v>46</v>
      </c>
      <c r="D785" s="3" t="str">
        <f t="shared" si="51"/>
        <v>Q2</v>
      </c>
      <c r="E785" s="3" t="str">
        <f t="shared" si="52"/>
        <v>FY2026</v>
      </c>
      <c r="F785" s="8" t="s">
        <v>47</v>
      </c>
      <c r="G785" s="3" t="s">
        <v>35</v>
      </c>
      <c r="H785" t="s">
        <v>206</v>
      </c>
      <c r="I785" t="s">
        <v>296</v>
      </c>
      <c r="J785" s="3" t="s">
        <v>38</v>
      </c>
      <c r="K785" t="s">
        <v>50</v>
      </c>
      <c r="L785" s="3" t="s">
        <v>81</v>
      </c>
      <c r="M785" s="3" t="s">
        <v>161</v>
      </c>
      <c r="N785" t="s">
        <v>162</v>
      </c>
      <c r="O785" t="s">
        <v>43</v>
      </c>
      <c r="P785" t="s">
        <v>163</v>
      </c>
      <c r="Q785" s="3">
        <v>78645.42</v>
      </c>
      <c r="R785" s="3">
        <v>70892.58</v>
      </c>
      <c r="S785" s="3">
        <v>54216.51</v>
      </c>
      <c r="T785" s="3">
        <v>7916.78</v>
      </c>
      <c r="U785" s="3">
        <v>6518.81</v>
      </c>
      <c r="V785" s="3">
        <v>5295.73</v>
      </c>
      <c r="W785" s="3">
        <v>2065.08</v>
      </c>
      <c r="X785" s="3">
        <v>76012.92</v>
      </c>
      <c r="Y785" s="3">
        <v>24428.91</v>
      </c>
      <c r="Z785" s="3">
        <f t="shared" si="53"/>
        <v>2632.5</v>
      </c>
      <c r="AA785" s="37">
        <f t="shared" si="54"/>
        <v>3.3473023603917434E-2</v>
      </c>
      <c r="AB785" s="3">
        <v>7752.84</v>
      </c>
      <c r="AC785" s="3">
        <v>6291.63</v>
      </c>
      <c r="AD785" s="3">
        <v>8682.4500000000007</v>
      </c>
      <c r="AE785" s="3">
        <v>81036.240000000005</v>
      </c>
      <c r="AF785" t="str">
        <f>IF(tbl_FinancialData[[#This Row],[City]]="","Unknown",PROPER(TRIM(tbl_FinancialData[[#This Row],[City]])))</f>
        <v>Warangal</v>
      </c>
      <c r="AG785" t="str">
        <f>_xlfn.LET(_xlpm.city,LOWER(TRIM(tbl_FinancialData[[#This Row],[City]])),_xlpm.st,PROPER(TRIM(tbl_FinancialData[[#This Row],[State]])),IF(_xlpm.city="pune","Maharashtra",IF(_xlpm.city="jamshedpur","Jharkhand",IF(_xlpm.city="bhilai","Chhattisgarh",IF(_xlpm.city="mumbai","Maharashtra",_xlpm.st)))))</f>
        <v>Telangana</v>
      </c>
      <c r="AH785" t="str">
        <f>_xlfn.LET(_xlpm.d,PROPER(TRIM(tbl_FinancialData[[#This Row],[Department]])),IF(_xlpm.d="It","IT",_xlpm.d))</f>
        <v>Sales</v>
      </c>
      <c r="AI785" t="str">
        <f>_xlfn.LET(_xlpm.pid,tbl_FinancialData[[#This Row],[Product ID]],_xlpm.n,PROPER(TRIM(tbl_FinancialData[[#This Row],[Product Name]])),IF(_xlpm.pid="P020","Document Scanner",IF(_xlpm.pid="P015","Network Router",SUBSTITUTE(SUBSTITUTE(_xlpm.n,"Crm","CRM"),"Ups","UPS"))))</f>
        <v>Tablet</v>
      </c>
      <c r="AJ785" s="3" t="str">
        <f>UPPER(TRIM(tbl_FinancialData[[#This Row],[Cost Center]]))</f>
        <v>CC-1005</v>
      </c>
    </row>
    <row r="786" spans="1:36" x14ac:dyDescent="0.25">
      <c r="A786" s="3" t="s">
        <v>989</v>
      </c>
      <c r="B786" s="2">
        <v>45919</v>
      </c>
      <c r="C786" t="s">
        <v>46</v>
      </c>
      <c r="D786" s="3" t="str">
        <f t="shared" si="51"/>
        <v>Q2</v>
      </c>
      <c r="E786" s="3" t="str">
        <f t="shared" si="52"/>
        <v>FY2026</v>
      </c>
      <c r="F786" s="8" t="s">
        <v>59</v>
      </c>
      <c r="G786" s="3" t="s">
        <v>35</v>
      </c>
      <c r="H786" t="s">
        <v>230</v>
      </c>
      <c r="I786" t="s">
        <v>231</v>
      </c>
      <c r="J786" s="3" t="s">
        <v>70</v>
      </c>
      <c r="K786" t="s">
        <v>50</v>
      </c>
      <c r="L786" s="3" t="s">
        <v>94</v>
      </c>
      <c r="M786" s="3" t="s">
        <v>211</v>
      </c>
      <c r="N786" t="s">
        <v>212</v>
      </c>
      <c r="O786" t="s">
        <v>112</v>
      </c>
      <c r="P786" t="s">
        <v>113</v>
      </c>
      <c r="Q786" s="3">
        <v>27547.66</v>
      </c>
      <c r="R786" s="3">
        <v>28913.02</v>
      </c>
      <c r="S786" s="3">
        <v>15891.78</v>
      </c>
      <c r="T786" s="3">
        <v>2250.58</v>
      </c>
      <c r="U786" s="3">
        <v>1034.95</v>
      </c>
      <c r="V786" s="3">
        <v>2285.5300000000002</v>
      </c>
      <c r="W786" s="3">
        <v>1094.44</v>
      </c>
      <c r="X786" s="3">
        <v>22557.279999999999</v>
      </c>
      <c r="Y786" s="3">
        <v>11655.88</v>
      </c>
      <c r="Z786" s="3">
        <f t="shared" si="53"/>
        <v>4990.380000000001</v>
      </c>
      <c r="AA786" s="37">
        <f t="shared" si="54"/>
        <v>0.18115440658117607</v>
      </c>
      <c r="AB786" s="3">
        <v>-1365.36</v>
      </c>
      <c r="AC786" s="3">
        <v>0</v>
      </c>
      <c r="AD786" s="3">
        <v>4958.58</v>
      </c>
      <c r="AE786" s="3">
        <v>32506.23</v>
      </c>
      <c r="AF786" t="str">
        <f>IF(tbl_FinancialData[[#This Row],[City]]="","Unknown",PROPER(TRIM(tbl_FinancialData[[#This Row],[City]])))</f>
        <v>Ludhiana</v>
      </c>
      <c r="AG786" t="str">
        <f>_xlfn.LET(_xlpm.city,LOWER(TRIM(tbl_FinancialData[[#This Row],[City]])),_xlpm.st,PROPER(TRIM(tbl_FinancialData[[#This Row],[State]])),IF(_xlpm.city="pune","Maharashtra",IF(_xlpm.city="jamshedpur","Jharkhand",IF(_xlpm.city="bhilai","Chhattisgarh",IF(_xlpm.city="mumbai","Maharashtra",_xlpm.st)))))</f>
        <v>Punjab</v>
      </c>
      <c r="AH786" t="str">
        <f>_xlfn.LET(_xlpm.d,PROPER(TRIM(tbl_FinancialData[[#This Row],[Department]])),IF(_xlpm.d="It","IT",_xlpm.d))</f>
        <v>Sales</v>
      </c>
      <c r="AI786" t="str">
        <f>_xlfn.LET(_xlpm.pid,tbl_FinancialData[[#This Row],[Product ID]],_xlpm.n,PROPER(TRIM(tbl_FinancialData[[#This Row],[Product Name]])),IF(_xlpm.pid="P020","Document Scanner",IF(_xlpm.pid="P015","Network Router",SUBSTITUTE(SUBSTITUTE(_xlpm.n,"Crm","CRM"),"Ups","UPS"))))</f>
        <v>Office Chair</v>
      </c>
      <c r="AJ786" s="3" t="str">
        <f>UPPER(TRIM(tbl_FinancialData[[#This Row],[Cost Center]]))</f>
        <v>CC-1001</v>
      </c>
    </row>
    <row r="787" spans="1:36" x14ac:dyDescent="0.25">
      <c r="A787" s="3" t="s">
        <v>990</v>
      </c>
      <c r="B787" s="2">
        <v>45880</v>
      </c>
      <c r="C787" t="s">
        <v>117</v>
      </c>
      <c r="D787" s="3" t="str">
        <f t="shared" si="51"/>
        <v>Q2</v>
      </c>
      <c r="E787" s="3" t="str">
        <f t="shared" si="52"/>
        <v>FY2026</v>
      </c>
      <c r="F787" s="8" t="s">
        <v>34</v>
      </c>
      <c r="G787" s="3" t="s">
        <v>35</v>
      </c>
      <c r="H787" t="s">
        <v>134</v>
      </c>
      <c r="I787" t="s">
        <v>135</v>
      </c>
      <c r="J787" s="3" t="s">
        <v>100</v>
      </c>
      <c r="K787" t="s">
        <v>101</v>
      </c>
      <c r="L787" s="3" t="s">
        <v>81</v>
      </c>
      <c r="M787" s="3" t="s">
        <v>110</v>
      </c>
      <c r="N787" t="s">
        <v>111</v>
      </c>
      <c r="O787" t="s">
        <v>112</v>
      </c>
      <c r="P787" t="s">
        <v>113</v>
      </c>
      <c r="Q787" s="3">
        <v>26073.84</v>
      </c>
      <c r="R787" s="3">
        <v>29680.880000000001</v>
      </c>
      <c r="S787" s="3">
        <v>15559.36</v>
      </c>
      <c r="T787" s="3">
        <v>1584.16</v>
      </c>
      <c r="U787" s="3">
        <v>1142.33</v>
      </c>
      <c r="V787" s="3">
        <v>2424.7199999999998</v>
      </c>
      <c r="W787" s="3">
        <v>820.26</v>
      </c>
      <c r="X787" s="3">
        <v>21530.84</v>
      </c>
      <c r="Y787" s="3">
        <v>10514.48</v>
      </c>
      <c r="Z787" s="3">
        <f t="shared" si="53"/>
        <v>4543</v>
      </c>
      <c r="AA787" s="37">
        <f t="shared" si="54"/>
        <v>0.17423593916354477</v>
      </c>
      <c r="AB787" s="3">
        <v>-3607.03</v>
      </c>
      <c r="AC787" s="3">
        <v>1303.69</v>
      </c>
      <c r="AD787" s="3">
        <v>4458.63</v>
      </c>
      <c r="AE787" s="3">
        <v>29228.78</v>
      </c>
      <c r="AF787" t="str">
        <f>IF(tbl_FinancialData[[#This Row],[City]]="","Unknown",PROPER(TRIM(tbl_FinancialData[[#This Row],[City]])))</f>
        <v>Jodhpur</v>
      </c>
      <c r="AG787" t="str">
        <f>_xlfn.LET(_xlpm.city,LOWER(TRIM(tbl_FinancialData[[#This Row],[City]])),_xlpm.st,PROPER(TRIM(tbl_FinancialData[[#This Row],[State]])),IF(_xlpm.city="pune","Maharashtra",IF(_xlpm.city="jamshedpur","Jharkhand",IF(_xlpm.city="bhilai","Chhattisgarh",IF(_xlpm.city="mumbai","Maharashtra",_xlpm.st)))))</f>
        <v>Rajasthan</v>
      </c>
      <c r="AH787" t="str">
        <f>_xlfn.LET(_xlpm.d,PROPER(TRIM(tbl_FinancialData[[#This Row],[Department]])),IF(_xlpm.d="It","IT",_xlpm.d))</f>
        <v>Finance</v>
      </c>
      <c r="AI787" t="str">
        <f>_xlfn.LET(_xlpm.pid,tbl_FinancialData[[#This Row],[Product ID]],_xlpm.n,PROPER(TRIM(tbl_FinancialData[[#This Row],[Product Name]])),IF(_xlpm.pid="P020","Document Scanner",IF(_xlpm.pid="P015","Network Router",SUBSTITUTE(SUBSTITUTE(_xlpm.n,"Crm","CRM"),"Ups","UPS"))))</f>
        <v>Office Desk</v>
      </c>
      <c r="AJ787" s="3" t="str">
        <f>UPPER(TRIM(tbl_FinancialData[[#This Row],[Cost Center]]))</f>
        <v>CC-1005</v>
      </c>
    </row>
    <row r="788" spans="1:36" x14ac:dyDescent="0.25">
      <c r="A788" s="3" t="s">
        <v>991</v>
      </c>
      <c r="B788" s="2">
        <v>45758</v>
      </c>
      <c r="C788" t="s">
        <v>128</v>
      </c>
      <c r="D788" s="3" t="str">
        <f t="shared" si="51"/>
        <v>Q1</v>
      </c>
      <c r="E788" s="3" t="str">
        <f t="shared" si="52"/>
        <v>FY2026</v>
      </c>
      <c r="F788" s="8" t="s">
        <v>47</v>
      </c>
      <c r="G788" s="3" t="s">
        <v>35</v>
      </c>
      <c r="H788" t="s">
        <v>206</v>
      </c>
      <c r="I788" t="s">
        <v>296</v>
      </c>
      <c r="J788" s="3" t="s">
        <v>100</v>
      </c>
      <c r="K788" t="s">
        <v>50</v>
      </c>
      <c r="L788" s="3" t="s">
        <v>81</v>
      </c>
      <c r="M788" s="3" t="s">
        <v>82</v>
      </c>
      <c r="N788" t="s">
        <v>83</v>
      </c>
      <c r="O788" t="s">
        <v>43</v>
      </c>
      <c r="P788" t="s">
        <v>75</v>
      </c>
      <c r="Q788" s="3">
        <v>59282.01</v>
      </c>
      <c r="R788" s="3">
        <v>66024.22</v>
      </c>
      <c r="S788" s="3">
        <v>38767.43</v>
      </c>
      <c r="T788" s="3">
        <v>3246.41</v>
      </c>
      <c r="U788" s="3">
        <v>3722.79</v>
      </c>
      <c r="V788" s="3">
        <v>2988.71</v>
      </c>
      <c r="W788" s="3">
        <v>2599.88</v>
      </c>
      <c r="X788" s="3">
        <v>51325.23</v>
      </c>
      <c r="Y788" s="3">
        <v>20514.57</v>
      </c>
      <c r="Z788" s="3">
        <f t="shared" si="53"/>
        <v>7956.7799999999988</v>
      </c>
      <c r="AA788" s="37">
        <f t="shared" si="54"/>
        <v>0.13421913325813342</v>
      </c>
      <c r="AB788" s="3">
        <v>-6742.22</v>
      </c>
      <c r="AC788" s="3">
        <v>4742.5600000000004</v>
      </c>
      <c r="AD788" s="3">
        <v>2726.97</v>
      </c>
      <c r="AE788" s="3">
        <v>57266.42</v>
      </c>
      <c r="AF788" t="str">
        <f>IF(tbl_FinancialData[[#This Row],[City]]="","Unknown",PROPER(TRIM(tbl_FinancialData[[#This Row],[City]])))</f>
        <v>Warangal</v>
      </c>
      <c r="AG788" t="str">
        <f>_xlfn.LET(_xlpm.city,LOWER(TRIM(tbl_FinancialData[[#This Row],[City]])),_xlpm.st,PROPER(TRIM(tbl_FinancialData[[#This Row],[State]])),IF(_xlpm.city="pune","Maharashtra",IF(_xlpm.city="jamshedpur","Jharkhand",IF(_xlpm.city="bhilai","Chhattisgarh",IF(_xlpm.city="mumbai","Maharashtra",_xlpm.st)))))</f>
        <v>Telangana</v>
      </c>
      <c r="AH788" t="str">
        <f>_xlfn.LET(_xlpm.d,PROPER(TRIM(tbl_FinancialData[[#This Row],[Department]])),IF(_xlpm.d="It","IT",_xlpm.d))</f>
        <v>Sales</v>
      </c>
      <c r="AI788" t="str">
        <f>_xlfn.LET(_xlpm.pid,tbl_FinancialData[[#This Row],[Product ID]],_xlpm.n,PROPER(TRIM(tbl_FinancialData[[#This Row],[Product Name]])),IF(_xlpm.pid="P020","Document Scanner",IF(_xlpm.pid="P015","Network Router",SUBSTITUTE(SUBSTITUTE(_xlpm.n,"Crm","CRM"),"Ups","UPS"))))</f>
        <v>Business Laptop</v>
      </c>
      <c r="AJ788" s="3" t="str">
        <f>UPPER(TRIM(tbl_FinancialData[[#This Row],[Cost Center]]))</f>
        <v>CC-1005</v>
      </c>
    </row>
    <row r="789" spans="1:36" x14ac:dyDescent="0.25">
      <c r="A789" s="3" t="s">
        <v>992</v>
      </c>
      <c r="B789" s="2">
        <v>46035</v>
      </c>
      <c r="C789" t="s">
        <v>77</v>
      </c>
      <c r="D789" s="3" t="str">
        <f t="shared" si="51"/>
        <v>Q4</v>
      </c>
      <c r="E789" s="3" t="str">
        <f t="shared" si="52"/>
        <v>FY2026</v>
      </c>
      <c r="F789" s="8" t="s">
        <v>34</v>
      </c>
      <c r="G789" s="3" t="s">
        <v>35</v>
      </c>
      <c r="H789" t="s">
        <v>98</v>
      </c>
      <c r="I789" t="s">
        <v>149</v>
      </c>
      <c r="J789" s="3" t="s">
        <v>80</v>
      </c>
      <c r="K789" t="s">
        <v>50</v>
      </c>
      <c r="L789" s="3" t="s">
        <v>51</v>
      </c>
      <c r="M789" s="3" t="s">
        <v>41</v>
      </c>
      <c r="N789" t="s">
        <v>42</v>
      </c>
      <c r="O789" t="s">
        <v>43</v>
      </c>
      <c r="P789" t="s">
        <v>44</v>
      </c>
      <c r="Q789" s="3">
        <v>72344.210000000006</v>
      </c>
      <c r="R789" s="3">
        <v>80083.460000000006</v>
      </c>
      <c r="S789" s="3">
        <v>49004.62</v>
      </c>
      <c r="T789" s="3">
        <v>4870.16</v>
      </c>
      <c r="U789" s="3">
        <v>3048.02</v>
      </c>
      <c r="V789" s="3">
        <v>4100.63</v>
      </c>
      <c r="W789" s="3">
        <v>2660.62</v>
      </c>
      <c r="X789" s="3">
        <v>63684.05</v>
      </c>
      <c r="Y789" s="3">
        <v>23339.59</v>
      </c>
      <c r="Z789" s="3">
        <f t="shared" si="53"/>
        <v>8660.1600000000035</v>
      </c>
      <c r="AA789" s="37">
        <f t="shared" si="54"/>
        <v>0.11970771399673868</v>
      </c>
      <c r="AB789" s="3">
        <v>-7739.25</v>
      </c>
      <c r="AC789" s="3">
        <v>7234.42</v>
      </c>
      <c r="AD789" s="3">
        <v>11719.76</v>
      </c>
      <c r="AE789" s="3">
        <v>76829.55</v>
      </c>
      <c r="AF789" t="str">
        <f>IF(tbl_FinancialData[[#This Row],[City]]="","Unknown",PROPER(TRIM(tbl_FinancialData[[#This Row],[City]])))</f>
        <v>Nagpur</v>
      </c>
      <c r="AG789" t="str">
        <f>_xlfn.LET(_xlpm.city,LOWER(TRIM(tbl_FinancialData[[#This Row],[City]])),_xlpm.st,PROPER(TRIM(tbl_FinancialData[[#This Row],[State]])),IF(_xlpm.city="pune","Maharashtra",IF(_xlpm.city="jamshedpur","Jharkhand",IF(_xlpm.city="bhilai","Chhattisgarh",IF(_xlpm.city="mumbai","Maharashtra",_xlpm.st)))))</f>
        <v>Maharashtra</v>
      </c>
      <c r="AH789" t="str">
        <f>_xlfn.LET(_xlpm.d,PROPER(TRIM(tbl_FinancialData[[#This Row],[Department]])),IF(_xlpm.d="It","IT",_xlpm.d))</f>
        <v>Sales</v>
      </c>
      <c r="AI789" t="str">
        <f>_xlfn.LET(_xlpm.pid,tbl_FinancialData[[#This Row],[Product ID]],_xlpm.n,PROPER(TRIM(tbl_FinancialData[[#This Row],[Product Name]])),IF(_xlpm.pid="P020","Document Scanner",IF(_xlpm.pid="P015","Network Router",SUBSTITUTE(SUBSTITUTE(_xlpm.n,"Crm","CRM"),"Ups","UPS"))))</f>
        <v>Conference Camera</v>
      </c>
      <c r="AJ789" s="3" t="str">
        <f>UPPER(TRIM(tbl_FinancialData[[#This Row],[Cost Center]]))</f>
        <v>CC-1003</v>
      </c>
    </row>
    <row r="790" spans="1:36" x14ac:dyDescent="0.25">
      <c r="A790" s="3" t="s">
        <v>993</v>
      </c>
      <c r="B790" s="2">
        <v>45819</v>
      </c>
      <c r="C790" t="s">
        <v>156</v>
      </c>
      <c r="D790" s="3" t="str">
        <f t="shared" si="51"/>
        <v>Q1</v>
      </c>
      <c r="E790" s="3" t="str">
        <f t="shared" si="52"/>
        <v>FY2026</v>
      </c>
      <c r="F790" s="8" t="s">
        <v>67</v>
      </c>
      <c r="G790" s="3" t="s">
        <v>35</v>
      </c>
      <c r="H790" t="s">
        <v>217</v>
      </c>
      <c r="I790" t="s">
        <v>284</v>
      </c>
      <c r="J790" s="3" t="s">
        <v>70</v>
      </c>
      <c r="K790" t="s">
        <v>101</v>
      </c>
      <c r="L790" s="3" t="s">
        <v>40</v>
      </c>
      <c r="M790" s="3" t="s">
        <v>120</v>
      </c>
      <c r="N790" t="s">
        <v>121</v>
      </c>
      <c r="O790" t="s">
        <v>43</v>
      </c>
      <c r="P790" t="s">
        <v>122</v>
      </c>
      <c r="Q790" s="3">
        <v>22736.95</v>
      </c>
      <c r="R790" s="3">
        <v>22999.08</v>
      </c>
      <c r="S790" s="3">
        <v>13927.1</v>
      </c>
      <c r="T790" s="3">
        <v>2151.21</v>
      </c>
      <c r="U790" s="3">
        <v>978.36</v>
      </c>
      <c r="V790" s="3">
        <v>1775.11</v>
      </c>
      <c r="W790" s="3">
        <v>602</v>
      </c>
      <c r="X790" s="3">
        <v>19433.77</v>
      </c>
      <c r="Y790" s="3">
        <v>8809.85</v>
      </c>
      <c r="Z790" s="3">
        <f t="shared" si="53"/>
        <v>3303.1800000000003</v>
      </c>
      <c r="AA790" s="37">
        <f t="shared" si="54"/>
        <v>0.14527806060179577</v>
      </c>
      <c r="AB790" s="3">
        <v>-262.13</v>
      </c>
      <c r="AC790" s="3">
        <v>682.11</v>
      </c>
      <c r="AD790" s="3">
        <v>3969.87</v>
      </c>
      <c r="AE790" s="3">
        <v>26024.720000000001</v>
      </c>
      <c r="AF790" t="str">
        <f>IF(tbl_FinancialData[[#This Row],[City]]="","Unknown",PROPER(TRIM(tbl_FinancialData[[#This Row],[City]])))</f>
        <v>Patna</v>
      </c>
      <c r="AG790" t="str">
        <f>_xlfn.LET(_xlpm.city,LOWER(TRIM(tbl_FinancialData[[#This Row],[City]])),_xlpm.st,PROPER(TRIM(tbl_FinancialData[[#This Row],[State]])),IF(_xlpm.city="pune","Maharashtra",IF(_xlpm.city="jamshedpur","Jharkhand",IF(_xlpm.city="bhilai","Chhattisgarh",IF(_xlpm.city="mumbai","Maharashtra",_xlpm.st)))))</f>
        <v>Bihar</v>
      </c>
      <c r="AH790" t="str">
        <f>_xlfn.LET(_xlpm.d,PROPER(TRIM(tbl_FinancialData[[#This Row],[Department]])),IF(_xlpm.d="It","IT",_xlpm.d))</f>
        <v>Finance</v>
      </c>
      <c r="AI790" t="str">
        <f>_xlfn.LET(_xlpm.pid,tbl_FinancialData[[#This Row],[Product ID]],_xlpm.n,PROPER(TRIM(tbl_FinancialData[[#This Row],[Product Name]])),IF(_xlpm.pid="P020","Document Scanner",IF(_xlpm.pid="P015","Network Router",SUBSTITUTE(SUBSTITUTE(_xlpm.n,"Crm","CRM"),"Ups","UPS"))))</f>
        <v>Projector</v>
      </c>
      <c r="AJ790" s="3" t="str">
        <f>UPPER(TRIM(tbl_FinancialData[[#This Row],[Cost Center]]))</f>
        <v>CC-1002</v>
      </c>
    </row>
    <row r="791" spans="1:36" x14ac:dyDescent="0.25">
      <c r="A791" s="3" t="s">
        <v>994</v>
      </c>
      <c r="B791" s="2">
        <v>46054</v>
      </c>
      <c r="C791" t="s">
        <v>57</v>
      </c>
      <c r="D791" s="3" t="str">
        <f t="shared" si="51"/>
        <v>Q4</v>
      </c>
      <c r="E791" s="3" t="str">
        <f t="shared" si="52"/>
        <v>FY2026</v>
      </c>
      <c r="F791" s="8" t="s">
        <v>34</v>
      </c>
      <c r="G791" s="3" t="s">
        <v>35</v>
      </c>
      <c r="H791" t="s">
        <v>98</v>
      </c>
      <c r="I791" t="s">
        <v>304</v>
      </c>
      <c r="J791" s="3" t="s">
        <v>100</v>
      </c>
      <c r="K791" t="s">
        <v>160</v>
      </c>
      <c r="L791" s="3" t="s">
        <v>51</v>
      </c>
      <c r="M791" s="3" t="s">
        <v>88</v>
      </c>
      <c r="N791" t="s">
        <v>89</v>
      </c>
      <c r="O791" t="s">
        <v>43</v>
      </c>
      <c r="P791" t="s">
        <v>90</v>
      </c>
      <c r="Q791" s="3">
        <v>17810.2</v>
      </c>
      <c r="R791" s="3">
        <v>17162.12</v>
      </c>
      <c r="S791" s="3">
        <v>12435.91</v>
      </c>
      <c r="T791" s="3">
        <v>1815.56</v>
      </c>
      <c r="U791" s="3">
        <v>539.84</v>
      </c>
      <c r="V791" s="3">
        <v>905.3</v>
      </c>
      <c r="W791" s="3">
        <v>275.14</v>
      </c>
      <c r="X791" s="3">
        <v>15971.75</v>
      </c>
      <c r="Y791" s="3">
        <v>5374.29</v>
      </c>
      <c r="Z791" s="3">
        <f t="shared" si="53"/>
        <v>1838.4500000000007</v>
      </c>
      <c r="AA791" s="37">
        <f t="shared" si="54"/>
        <v>0.10322455671469162</v>
      </c>
      <c r="AB791" s="3">
        <v>648.07000000000005</v>
      </c>
      <c r="AC791" s="3">
        <v>890.51</v>
      </c>
      <c r="AD791" s="3">
        <v>3045.54</v>
      </c>
      <c r="AE791" s="3">
        <v>19965.23</v>
      </c>
      <c r="AF791" t="str">
        <f>IF(tbl_FinancialData[[#This Row],[City]]="","Unknown",PROPER(TRIM(tbl_FinancialData[[#This Row],[City]])))</f>
        <v>Pune</v>
      </c>
      <c r="AG791" t="str">
        <f>_xlfn.LET(_xlpm.city,LOWER(TRIM(tbl_FinancialData[[#This Row],[City]])),_xlpm.st,PROPER(TRIM(tbl_FinancialData[[#This Row],[State]])),IF(_xlpm.city="pune","Maharashtra",IF(_xlpm.city="jamshedpur","Jharkhand",IF(_xlpm.city="bhilai","Chhattisgarh",IF(_xlpm.city="mumbai","Maharashtra",_xlpm.st)))))</f>
        <v>Maharashtra</v>
      </c>
      <c r="AH791" t="str">
        <f>_xlfn.LET(_xlpm.d,PROPER(TRIM(tbl_FinancialData[[#This Row],[Department]])),IF(_xlpm.d="It","IT",_xlpm.d))</f>
        <v>IT</v>
      </c>
      <c r="AI791" t="str">
        <f>_xlfn.LET(_xlpm.pid,tbl_FinancialData[[#This Row],[Product ID]],_xlpm.n,PROPER(TRIM(tbl_FinancialData[[#This Row],[Product Name]])),IF(_xlpm.pid="P020","Document Scanner",IF(_xlpm.pid="P015","Network Router",SUBSTITUTE(SUBSTITUTE(_xlpm.n,"Crm","CRM"),"Ups","UPS"))))</f>
        <v>Printer</v>
      </c>
      <c r="AJ791" s="3" t="str">
        <f>UPPER(TRIM(tbl_FinancialData[[#This Row],[Cost Center]]))</f>
        <v>CC-1003</v>
      </c>
    </row>
    <row r="792" spans="1:36" x14ac:dyDescent="0.25">
      <c r="A792" s="3" t="s">
        <v>995</v>
      </c>
      <c r="B792" s="2">
        <v>46012</v>
      </c>
      <c r="C792" t="s">
        <v>107</v>
      </c>
      <c r="D792" s="3" t="str">
        <f t="shared" si="51"/>
        <v>Q3</v>
      </c>
      <c r="E792" s="3" t="str">
        <f t="shared" si="52"/>
        <v>FY2026</v>
      </c>
      <c r="F792" s="8" t="s">
        <v>85</v>
      </c>
      <c r="G792" s="3" t="s">
        <v>35</v>
      </c>
      <c r="H792" t="s">
        <v>60</v>
      </c>
      <c r="I792" t="s">
        <v>185</v>
      </c>
      <c r="J792" s="3" t="s">
        <v>38</v>
      </c>
      <c r="K792" t="s">
        <v>50</v>
      </c>
      <c r="L792" s="3" t="s">
        <v>94</v>
      </c>
      <c r="M792" s="3" t="s">
        <v>82</v>
      </c>
      <c r="N792" t="s">
        <v>83</v>
      </c>
      <c r="O792" t="s">
        <v>43</v>
      </c>
      <c r="P792" t="s">
        <v>75</v>
      </c>
      <c r="Q792" s="3">
        <v>36809.15</v>
      </c>
      <c r="R792" s="3">
        <v>35560.25</v>
      </c>
      <c r="S792" s="3">
        <v>20513.29</v>
      </c>
      <c r="T792" s="3">
        <v>3497.74</v>
      </c>
      <c r="U792" s="3">
        <v>1586.52</v>
      </c>
      <c r="V792" s="3">
        <v>1754.03</v>
      </c>
      <c r="W792" s="3">
        <v>580.48</v>
      </c>
      <c r="X792" s="3">
        <v>27932.06</v>
      </c>
      <c r="Y792" s="3">
        <v>16295.86</v>
      </c>
      <c r="Z792" s="3">
        <f t="shared" si="53"/>
        <v>8877.09</v>
      </c>
      <c r="AA792" s="37">
        <f t="shared" si="54"/>
        <v>0.24116530808236539</v>
      </c>
      <c r="AB792" s="3">
        <v>1248.9000000000001</v>
      </c>
      <c r="AC792" s="3">
        <v>0</v>
      </c>
      <c r="AD792" s="3">
        <v>6625.65</v>
      </c>
      <c r="AE792" s="3">
        <v>43434.79</v>
      </c>
      <c r="AF792" t="str">
        <f>IF(tbl_FinancialData[[#This Row],[City]]="","Unknown",PROPER(TRIM(tbl_FinancialData[[#This Row],[City]])))</f>
        <v>Kanpur</v>
      </c>
      <c r="AG792" t="str">
        <f>_xlfn.LET(_xlpm.city,LOWER(TRIM(tbl_FinancialData[[#This Row],[City]])),_xlpm.st,PROPER(TRIM(tbl_FinancialData[[#This Row],[State]])),IF(_xlpm.city="pune","Maharashtra",IF(_xlpm.city="jamshedpur","Jharkhand",IF(_xlpm.city="bhilai","Chhattisgarh",IF(_xlpm.city="mumbai","Maharashtra",_xlpm.st)))))</f>
        <v>Uttar Pradesh</v>
      </c>
      <c r="AH792" t="str">
        <f>_xlfn.LET(_xlpm.d,PROPER(TRIM(tbl_FinancialData[[#This Row],[Department]])),IF(_xlpm.d="It","IT",_xlpm.d))</f>
        <v>Sales</v>
      </c>
      <c r="AI792" t="str">
        <f>_xlfn.LET(_xlpm.pid,tbl_FinancialData[[#This Row],[Product ID]],_xlpm.n,PROPER(TRIM(tbl_FinancialData[[#This Row],[Product Name]])),IF(_xlpm.pid="P020","Document Scanner",IF(_xlpm.pid="P015","Network Router",SUBSTITUTE(SUBSTITUTE(_xlpm.n,"Crm","CRM"),"Ups","UPS"))))</f>
        <v>Business Laptop</v>
      </c>
      <c r="AJ792" s="3" t="str">
        <f>UPPER(TRIM(tbl_FinancialData[[#This Row],[Cost Center]]))</f>
        <v>CC-1001</v>
      </c>
    </row>
    <row r="793" spans="1:36" x14ac:dyDescent="0.25">
      <c r="A793" s="3" t="s">
        <v>996</v>
      </c>
      <c r="B793" s="2">
        <v>45963</v>
      </c>
      <c r="C793" t="s">
        <v>147</v>
      </c>
      <c r="D793" s="3" t="str">
        <f t="shared" si="51"/>
        <v>Q3</v>
      </c>
      <c r="E793" s="3" t="str">
        <f t="shared" si="52"/>
        <v>FY2026</v>
      </c>
      <c r="F793" s="8" t="s">
        <v>67</v>
      </c>
      <c r="G793" s="3" t="s">
        <v>35</v>
      </c>
      <c r="H793" t="s">
        <v>168</v>
      </c>
      <c r="I793" t="s">
        <v>169</v>
      </c>
      <c r="J793" s="3" t="s">
        <v>100</v>
      </c>
      <c r="K793" t="s">
        <v>160</v>
      </c>
      <c r="L793" s="3" t="s">
        <v>72</v>
      </c>
      <c r="M793" s="3" t="s">
        <v>141</v>
      </c>
      <c r="N793" t="s">
        <v>142</v>
      </c>
      <c r="O793" t="s">
        <v>54</v>
      </c>
      <c r="P793" t="s">
        <v>143</v>
      </c>
      <c r="Q793" s="3">
        <v>1902.52</v>
      </c>
      <c r="R793" s="3">
        <v>1811.75</v>
      </c>
      <c r="S793" s="3">
        <v>1225.56</v>
      </c>
      <c r="T793" s="3">
        <v>108.1</v>
      </c>
      <c r="U793" s="3">
        <v>77.819999999999993</v>
      </c>
      <c r="V793" s="3">
        <v>206.28</v>
      </c>
      <c r="W793" s="3">
        <v>57.84</v>
      </c>
      <c r="X793" s="3">
        <v>1675.61</v>
      </c>
      <c r="Y793" s="3">
        <v>676.96</v>
      </c>
      <c r="Z793" s="3">
        <f t="shared" si="53"/>
        <v>226.91000000000008</v>
      </c>
      <c r="AA793" s="37">
        <f t="shared" si="54"/>
        <v>0.11926812858734735</v>
      </c>
      <c r="AB793" s="3">
        <v>90.77</v>
      </c>
      <c r="AC793" s="3">
        <v>0</v>
      </c>
      <c r="AD793" s="3">
        <v>95.13</v>
      </c>
      <c r="AE793" s="3">
        <v>1997.65</v>
      </c>
      <c r="AF793" t="str">
        <f>IF(tbl_FinancialData[[#This Row],[City]]="","Unknown",PROPER(TRIM(tbl_FinancialData[[#This Row],[City]])))</f>
        <v>Kolkata</v>
      </c>
      <c r="AG793" t="str">
        <f>_xlfn.LET(_xlpm.city,LOWER(TRIM(tbl_FinancialData[[#This Row],[City]])),_xlpm.st,PROPER(TRIM(tbl_FinancialData[[#This Row],[State]])),IF(_xlpm.city="pune","Maharashtra",IF(_xlpm.city="jamshedpur","Jharkhand",IF(_xlpm.city="bhilai","Chhattisgarh",IF(_xlpm.city="mumbai","Maharashtra",_xlpm.st)))))</f>
        <v>West Bengal</v>
      </c>
      <c r="AH793" t="str">
        <f>_xlfn.LET(_xlpm.d,PROPER(TRIM(tbl_FinancialData[[#This Row],[Department]])),IF(_xlpm.d="It","IT",_xlpm.d))</f>
        <v>IT</v>
      </c>
      <c r="AI793" t="str">
        <f>_xlfn.LET(_xlpm.pid,tbl_FinancialData[[#This Row],[Product ID]],_xlpm.n,PROPER(TRIM(tbl_FinancialData[[#This Row],[Product Name]])),IF(_xlpm.pid="P020","Document Scanner",IF(_xlpm.pid="P015","Network Router",SUBSTITUTE(SUBSTITUTE(_xlpm.n,"Crm","CRM"),"Ups","UPS"))))</f>
        <v>Headset</v>
      </c>
      <c r="AJ793" s="3" t="str">
        <f>UPPER(TRIM(tbl_FinancialData[[#This Row],[Cost Center]]))</f>
        <v>CC-1004</v>
      </c>
    </row>
    <row r="794" spans="1:36" x14ac:dyDescent="0.25">
      <c r="A794" s="3" t="s">
        <v>997</v>
      </c>
      <c r="B794" s="2">
        <v>45908</v>
      </c>
      <c r="C794" t="s">
        <v>46</v>
      </c>
      <c r="D794" s="3" t="str">
        <f t="shared" si="51"/>
        <v>Q2</v>
      </c>
      <c r="E794" s="3" t="str">
        <f t="shared" si="52"/>
        <v>FY2026</v>
      </c>
      <c r="F794" s="8" t="s">
        <v>85</v>
      </c>
      <c r="G794" s="3" t="s">
        <v>35</v>
      </c>
      <c r="H794" t="s">
        <v>178</v>
      </c>
      <c r="I794" t="s">
        <v>179</v>
      </c>
      <c r="J794" s="3" t="s">
        <v>38</v>
      </c>
      <c r="K794" t="s">
        <v>71</v>
      </c>
      <c r="L794" s="3" t="s">
        <v>81</v>
      </c>
      <c r="M794" s="3" t="s">
        <v>52</v>
      </c>
      <c r="N794" t="s">
        <v>53</v>
      </c>
      <c r="O794" t="s">
        <v>54</v>
      </c>
      <c r="P794" t="s">
        <v>55</v>
      </c>
      <c r="Q794" s="3">
        <v>3100.53</v>
      </c>
      <c r="R794" s="3">
        <v>3397.12</v>
      </c>
      <c r="S794" s="3">
        <v>2140.13</v>
      </c>
      <c r="T794" s="3">
        <v>262.95</v>
      </c>
      <c r="U794" s="3">
        <v>185.41</v>
      </c>
      <c r="V794" s="3">
        <v>355.14</v>
      </c>
      <c r="W794" s="3">
        <v>42.67</v>
      </c>
      <c r="X794" s="3">
        <v>2986.3</v>
      </c>
      <c r="Y794" s="3">
        <v>960.39</v>
      </c>
      <c r="Z794" s="3">
        <f t="shared" si="53"/>
        <v>114.23000000000002</v>
      </c>
      <c r="AA794" s="37">
        <f t="shared" si="54"/>
        <v>3.6842088288131389E-2</v>
      </c>
      <c r="AB794" s="3">
        <v>-296.58999999999997</v>
      </c>
      <c r="AC794" s="3">
        <v>248.04</v>
      </c>
      <c r="AD794" s="3">
        <v>142.62</v>
      </c>
      <c r="AE794" s="3">
        <v>2995.11</v>
      </c>
      <c r="AF794" t="str">
        <f>IF(tbl_FinancialData[[#This Row],[City]]="","Unknown",PROPER(TRIM(tbl_FinancialData[[#This Row],[City]])))</f>
        <v>Bilaspur</v>
      </c>
      <c r="AG794" t="str">
        <f>_xlfn.LET(_xlpm.city,LOWER(TRIM(tbl_FinancialData[[#This Row],[City]])),_xlpm.st,PROPER(TRIM(tbl_FinancialData[[#This Row],[State]])),IF(_xlpm.city="pune","Maharashtra",IF(_xlpm.city="jamshedpur","Jharkhand",IF(_xlpm.city="bhilai","Chhattisgarh",IF(_xlpm.city="mumbai","Maharashtra",_xlpm.st)))))</f>
        <v>Chhattisgarh</v>
      </c>
      <c r="AH794" t="str">
        <f>_xlfn.LET(_xlpm.d,PROPER(TRIM(tbl_FinancialData[[#This Row],[Department]])),IF(_xlpm.d="It","IT",_xlpm.d))</f>
        <v>Marketing</v>
      </c>
      <c r="AI794" t="str">
        <f>_xlfn.LET(_xlpm.pid,tbl_FinancialData[[#This Row],[Product ID]],_xlpm.n,PROPER(TRIM(tbl_FinancialData[[#This Row],[Product Name]])),IF(_xlpm.pid="P020","Document Scanner",IF(_xlpm.pid="P015","Network Router",SUBSTITUTE(SUBSTITUTE(_xlpm.n,"Crm","CRM"),"Ups","UPS"))))</f>
        <v>Mouse</v>
      </c>
      <c r="AJ794" s="3" t="str">
        <f>UPPER(TRIM(tbl_FinancialData[[#This Row],[Cost Center]]))</f>
        <v>CC-1005</v>
      </c>
    </row>
    <row r="795" spans="1:36" x14ac:dyDescent="0.25">
      <c r="A795" s="3" t="s">
        <v>998</v>
      </c>
      <c r="B795" s="2">
        <v>45867</v>
      </c>
      <c r="C795" t="s">
        <v>32</v>
      </c>
      <c r="D795" s="3" t="str">
        <f t="shared" si="51"/>
        <v>Q2</v>
      </c>
      <c r="E795" s="3" t="str">
        <f t="shared" si="52"/>
        <v>FY2026</v>
      </c>
      <c r="F795" s="8" t="s">
        <v>59</v>
      </c>
      <c r="G795" s="3" t="s">
        <v>35</v>
      </c>
      <c r="H795" t="s">
        <v>254</v>
      </c>
      <c r="I795" t="s">
        <v>200</v>
      </c>
      <c r="J795" s="3" t="s">
        <v>38</v>
      </c>
      <c r="K795" t="s">
        <v>39</v>
      </c>
      <c r="L795" s="3" t="s">
        <v>94</v>
      </c>
      <c r="M795" s="3" t="s">
        <v>110</v>
      </c>
      <c r="N795" t="s">
        <v>111</v>
      </c>
      <c r="O795" t="s">
        <v>112</v>
      </c>
      <c r="P795" t="s">
        <v>113</v>
      </c>
      <c r="Q795" s="3">
        <v>30930.58</v>
      </c>
      <c r="R795" s="3">
        <v>33911.1</v>
      </c>
      <c r="S795" s="3">
        <v>15965.08</v>
      </c>
      <c r="T795" s="3">
        <v>3731.88</v>
      </c>
      <c r="U795" s="3">
        <v>1109.0999999999999</v>
      </c>
      <c r="V795" s="3">
        <v>1788.49</v>
      </c>
      <c r="W795" s="3">
        <v>447.93</v>
      </c>
      <c r="X795" s="3">
        <v>23042.48</v>
      </c>
      <c r="Y795" s="3">
        <v>14965.51</v>
      </c>
      <c r="Z795" s="3">
        <f t="shared" si="53"/>
        <v>7888.1000000000022</v>
      </c>
      <c r="AA795" s="37">
        <f t="shared" si="54"/>
        <v>0.25502593226509174</v>
      </c>
      <c r="AB795" s="3">
        <v>-2980.52</v>
      </c>
      <c r="AC795" s="3">
        <v>927.92</v>
      </c>
      <c r="AD795" s="3">
        <v>5400.48</v>
      </c>
      <c r="AE795" s="3">
        <v>35403.15</v>
      </c>
      <c r="AF795" t="str">
        <f>IF(tbl_FinancialData[[#This Row],[City]]="","Unknown",PROPER(TRIM(tbl_FinancialData[[#This Row],[City]])))</f>
        <v>Gurugram</v>
      </c>
      <c r="AG795" t="str">
        <f>_xlfn.LET(_xlpm.city,LOWER(TRIM(tbl_FinancialData[[#This Row],[City]])),_xlpm.st,PROPER(TRIM(tbl_FinancialData[[#This Row],[State]])),IF(_xlpm.city="pune","Maharashtra",IF(_xlpm.city="jamshedpur","Jharkhand",IF(_xlpm.city="bhilai","Chhattisgarh",IF(_xlpm.city="mumbai","Maharashtra",_xlpm.st)))))</f>
        <v>Delhi</v>
      </c>
      <c r="AH795" t="str">
        <f>_xlfn.LET(_xlpm.d,PROPER(TRIM(tbl_FinancialData[[#This Row],[Department]])),IF(_xlpm.d="It","IT",_xlpm.d))</f>
        <v>Operations</v>
      </c>
      <c r="AI795" t="str">
        <f>_xlfn.LET(_xlpm.pid,tbl_FinancialData[[#This Row],[Product ID]],_xlpm.n,PROPER(TRIM(tbl_FinancialData[[#This Row],[Product Name]])),IF(_xlpm.pid="P020","Document Scanner",IF(_xlpm.pid="P015","Network Router",SUBSTITUTE(SUBSTITUTE(_xlpm.n,"Crm","CRM"),"Ups","UPS"))))</f>
        <v>Office Desk</v>
      </c>
      <c r="AJ795" s="3" t="str">
        <f>UPPER(TRIM(tbl_FinancialData[[#This Row],[Cost Center]]))</f>
        <v>CC-1001</v>
      </c>
    </row>
    <row r="796" spans="1:36" x14ac:dyDescent="0.25">
      <c r="A796" s="3" t="s">
        <v>999</v>
      </c>
      <c r="B796" s="2">
        <v>45881</v>
      </c>
      <c r="C796" t="s">
        <v>117</v>
      </c>
      <c r="D796" s="3" t="str">
        <f t="shared" si="51"/>
        <v>Q2</v>
      </c>
      <c r="E796" s="3" t="str">
        <f t="shared" si="52"/>
        <v>FY2026</v>
      </c>
      <c r="F796" s="8" t="s">
        <v>67</v>
      </c>
      <c r="G796" s="3" t="s">
        <v>35</v>
      </c>
      <c r="H796" t="s">
        <v>118</v>
      </c>
      <c r="I796" t="s">
        <v>209</v>
      </c>
      <c r="J796" s="3" t="s">
        <v>38</v>
      </c>
      <c r="K796" t="s">
        <v>39</v>
      </c>
      <c r="L796" s="3" t="s">
        <v>51</v>
      </c>
      <c r="M796" s="3" t="s">
        <v>235</v>
      </c>
      <c r="N796" t="s">
        <v>236</v>
      </c>
      <c r="O796" t="s">
        <v>104</v>
      </c>
      <c r="P796" t="s">
        <v>237</v>
      </c>
      <c r="Q796" s="3">
        <v>11706.91</v>
      </c>
      <c r="R796" s="3">
        <v>11101.46</v>
      </c>
      <c r="S796" s="3">
        <v>8393.33</v>
      </c>
      <c r="T796" s="3">
        <v>1109.71</v>
      </c>
      <c r="U796" s="3">
        <v>822.02</v>
      </c>
      <c r="V796" s="3">
        <v>579.16999999999996</v>
      </c>
      <c r="W796" s="3">
        <v>219.77</v>
      </c>
      <c r="X796" s="3">
        <v>11124</v>
      </c>
      <c r="Y796" s="3">
        <v>3313.58</v>
      </c>
      <c r="Z796" s="3">
        <f t="shared" si="53"/>
        <v>582.90999999999985</v>
      </c>
      <c r="AA796" s="37">
        <f t="shared" si="54"/>
        <v>4.9791960474625661E-2</v>
      </c>
      <c r="AB796" s="3">
        <v>605.44000000000005</v>
      </c>
      <c r="AC796" s="3">
        <v>0</v>
      </c>
      <c r="AD796" s="3">
        <v>1404.83</v>
      </c>
      <c r="AE796" s="3">
        <v>13111.74</v>
      </c>
      <c r="AF796" t="str">
        <f>IF(tbl_FinancialData[[#This Row],[City]]="","Unknown",PROPER(TRIM(tbl_FinancialData[[#This Row],[City]])))</f>
        <v>Jamshedpur</v>
      </c>
      <c r="AG796" t="str">
        <f>_xlfn.LET(_xlpm.city,LOWER(TRIM(tbl_FinancialData[[#This Row],[City]])),_xlpm.st,PROPER(TRIM(tbl_FinancialData[[#This Row],[State]])),IF(_xlpm.city="pune","Maharashtra",IF(_xlpm.city="jamshedpur","Jharkhand",IF(_xlpm.city="bhilai","Chhattisgarh",IF(_xlpm.city="mumbai","Maharashtra",_xlpm.st)))))</f>
        <v>Jharkhand</v>
      </c>
      <c r="AH796" t="str">
        <f>_xlfn.LET(_xlpm.d,PROPER(TRIM(tbl_FinancialData[[#This Row],[Department]])),IF(_xlpm.d="It","IT",_xlpm.d))</f>
        <v>Operations</v>
      </c>
      <c r="AI796" t="str">
        <f>_xlfn.LET(_xlpm.pid,tbl_FinancialData[[#This Row],[Product ID]],_xlpm.n,PROPER(TRIM(tbl_FinancialData[[#This Row],[Product Name]])),IF(_xlpm.pid="P020","Document Scanner",IF(_xlpm.pid="P015","Network Router",SUBSTITUTE(SUBSTITUTE(_xlpm.n,"Crm","CRM"),"Ups","UPS"))))</f>
        <v>Data Storage</v>
      </c>
      <c r="AJ796" s="3" t="str">
        <f>UPPER(TRIM(tbl_FinancialData[[#This Row],[Cost Center]]))</f>
        <v>CC-1003</v>
      </c>
    </row>
    <row r="797" spans="1:36" x14ac:dyDescent="0.25">
      <c r="A797" s="3" t="s">
        <v>1000</v>
      </c>
      <c r="B797" s="2">
        <v>45967</v>
      </c>
      <c r="C797" t="s">
        <v>147</v>
      </c>
      <c r="D797" s="3" t="str">
        <f t="shared" si="51"/>
        <v>Q3</v>
      </c>
      <c r="E797" s="3" t="str">
        <f t="shared" si="52"/>
        <v>FY2026</v>
      </c>
      <c r="F797" s="8" t="s">
        <v>59</v>
      </c>
      <c r="G797" s="3" t="s">
        <v>35</v>
      </c>
      <c r="H797" t="s">
        <v>254</v>
      </c>
      <c r="I797" t="s">
        <v>255</v>
      </c>
      <c r="J797" s="3" t="s">
        <v>100</v>
      </c>
      <c r="K797" t="s">
        <v>71</v>
      </c>
      <c r="L797" s="3" t="s">
        <v>40</v>
      </c>
      <c r="M797" s="3" t="s">
        <v>120</v>
      </c>
      <c r="N797" t="s">
        <v>121</v>
      </c>
      <c r="O797" t="s">
        <v>43</v>
      </c>
      <c r="P797" t="s">
        <v>122</v>
      </c>
      <c r="Q797" s="3">
        <v>66027.490000000005</v>
      </c>
      <c r="R797" s="3">
        <v>67539.38</v>
      </c>
      <c r="S797" s="3">
        <v>32485.25</v>
      </c>
      <c r="T797" s="3">
        <v>6522.95</v>
      </c>
      <c r="U797" s="3">
        <v>3396.26</v>
      </c>
      <c r="V797" s="3">
        <v>4313.0600000000004</v>
      </c>
      <c r="W797" s="3">
        <v>2140.2399999999998</v>
      </c>
      <c r="X797" s="3">
        <v>48857.77</v>
      </c>
      <c r="Y797" s="3">
        <v>33542.239999999998</v>
      </c>
      <c r="Z797" s="3">
        <f t="shared" si="53"/>
        <v>17169.720000000008</v>
      </c>
      <c r="AA797" s="37">
        <f t="shared" si="54"/>
        <v>0.26003896255938258</v>
      </c>
      <c r="AB797" s="3">
        <v>-1511.89</v>
      </c>
      <c r="AC797" s="3">
        <v>1980.82</v>
      </c>
      <c r="AD797" s="3">
        <v>3202.33</v>
      </c>
      <c r="AE797" s="3">
        <v>67249</v>
      </c>
      <c r="AF797" t="str">
        <f>IF(tbl_FinancialData[[#This Row],[City]]="","Unknown",PROPER(TRIM(tbl_FinancialData[[#This Row],[City]])))</f>
        <v>Noida</v>
      </c>
      <c r="AG797" t="str">
        <f>_xlfn.LET(_xlpm.city,LOWER(TRIM(tbl_FinancialData[[#This Row],[City]])),_xlpm.st,PROPER(TRIM(tbl_FinancialData[[#This Row],[State]])),IF(_xlpm.city="pune","Maharashtra",IF(_xlpm.city="jamshedpur","Jharkhand",IF(_xlpm.city="bhilai","Chhattisgarh",IF(_xlpm.city="mumbai","Maharashtra",_xlpm.st)))))</f>
        <v>Delhi</v>
      </c>
      <c r="AH797" t="str">
        <f>_xlfn.LET(_xlpm.d,PROPER(TRIM(tbl_FinancialData[[#This Row],[Department]])),IF(_xlpm.d="It","IT",_xlpm.d))</f>
        <v>Marketing</v>
      </c>
      <c r="AI797" t="str">
        <f>_xlfn.LET(_xlpm.pid,tbl_FinancialData[[#This Row],[Product ID]],_xlpm.n,PROPER(TRIM(tbl_FinancialData[[#This Row],[Product Name]])),IF(_xlpm.pid="P020","Document Scanner",IF(_xlpm.pid="P015","Network Router",SUBSTITUTE(SUBSTITUTE(_xlpm.n,"Crm","CRM"),"Ups","UPS"))))</f>
        <v>Projector</v>
      </c>
      <c r="AJ797" s="3" t="str">
        <f>UPPER(TRIM(tbl_FinancialData[[#This Row],[Cost Center]]))</f>
        <v>CC-1002</v>
      </c>
    </row>
    <row r="798" spans="1:36" x14ac:dyDescent="0.25">
      <c r="A798" s="3" t="s">
        <v>1001</v>
      </c>
      <c r="B798" s="2">
        <v>45993</v>
      </c>
      <c r="C798" t="s">
        <v>107</v>
      </c>
      <c r="D798" s="3" t="str">
        <f t="shared" si="51"/>
        <v>Q3</v>
      </c>
      <c r="E798" s="3" t="str">
        <f t="shared" si="52"/>
        <v>FY2026</v>
      </c>
      <c r="F798" s="8" t="s">
        <v>59</v>
      </c>
      <c r="G798" s="3" t="s">
        <v>35</v>
      </c>
      <c r="H798" t="s">
        <v>139</v>
      </c>
      <c r="I798" t="s">
        <v>200</v>
      </c>
      <c r="J798" s="3" t="s">
        <v>80</v>
      </c>
      <c r="K798" t="s">
        <v>39</v>
      </c>
      <c r="L798" s="3" t="s">
        <v>40</v>
      </c>
      <c r="M798" s="3" t="s">
        <v>102</v>
      </c>
      <c r="N798" t="s">
        <v>103</v>
      </c>
      <c r="O798" t="s">
        <v>104</v>
      </c>
      <c r="P798" t="s">
        <v>105</v>
      </c>
      <c r="Q798" s="3">
        <v>14323.38</v>
      </c>
      <c r="R798" s="3">
        <v>16487.98</v>
      </c>
      <c r="S798" s="3">
        <v>9993.5400000000009</v>
      </c>
      <c r="T798" s="3">
        <v>1516.25</v>
      </c>
      <c r="U798" s="3">
        <v>1220.3800000000001</v>
      </c>
      <c r="V798" s="3">
        <v>1502.76</v>
      </c>
      <c r="W798" s="3">
        <v>558.6</v>
      </c>
      <c r="X798" s="3">
        <v>14791.53</v>
      </c>
      <c r="Y798" s="3">
        <v>4329.84</v>
      </c>
      <c r="Z798" s="3">
        <f t="shared" si="53"/>
        <v>-468.15000000000146</v>
      </c>
      <c r="AA798" s="37">
        <f t="shared" si="54"/>
        <v>-3.2684324509997045E-2</v>
      </c>
      <c r="AB798" s="3">
        <v>-2164.6</v>
      </c>
      <c r="AC798" s="3">
        <v>716.17</v>
      </c>
      <c r="AD798" s="3">
        <v>1632.87</v>
      </c>
      <c r="AE798" s="3">
        <v>15240.08</v>
      </c>
      <c r="AF798" t="str">
        <f>IF(tbl_FinancialData[[#This Row],[City]]="","Unknown",PROPER(TRIM(tbl_FinancialData[[#This Row],[City]])))</f>
        <v>Gurugram</v>
      </c>
      <c r="AG798" t="str">
        <f>_xlfn.LET(_xlpm.city,LOWER(TRIM(tbl_FinancialData[[#This Row],[City]])),_xlpm.st,PROPER(TRIM(tbl_FinancialData[[#This Row],[State]])),IF(_xlpm.city="pune","Maharashtra",IF(_xlpm.city="jamshedpur","Jharkhand",IF(_xlpm.city="bhilai","Chhattisgarh",IF(_xlpm.city="mumbai","Maharashtra",_xlpm.st)))))</f>
        <v>Haryana</v>
      </c>
      <c r="AH798" t="str">
        <f>_xlfn.LET(_xlpm.d,PROPER(TRIM(tbl_FinancialData[[#This Row],[Department]])),IF(_xlpm.d="It","IT",_xlpm.d))</f>
        <v>Operations</v>
      </c>
      <c r="AI798" t="str">
        <f>_xlfn.LET(_xlpm.pid,tbl_FinancialData[[#This Row],[Product ID]],_xlpm.n,PROPER(TRIM(tbl_FinancialData[[#This Row],[Product Name]])),IF(_xlpm.pid="P020","Document Scanner",IF(_xlpm.pid="P015","Network Router",SUBSTITUTE(SUBSTITUTE(_xlpm.n,"Crm","CRM"),"Ups","UPS"))))</f>
        <v>Accounting Software</v>
      </c>
      <c r="AJ798" s="3" t="str">
        <f>UPPER(TRIM(tbl_FinancialData[[#This Row],[Cost Center]]))</f>
        <v>CC-1002</v>
      </c>
    </row>
    <row r="799" spans="1:36" x14ac:dyDescent="0.25">
      <c r="A799" s="3" t="s">
        <v>1002</v>
      </c>
      <c r="B799" s="2">
        <v>45950</v>
      </c>
      <c r="C799" t="s">
        <v>92</v>
      </c>
      <c r="D799" s="3" t="str">
        <f t="shared" si="51"/>
        <v>Q3</v>
      </c>
      <c r="E799" s="3" t="str">
        <f t="shared" si="52"/>
        <v>FY2026</v>
      </c>
      <c r="F799" s="8" t="s">
        <v>47</v>
      </c>
      <c r="G799" s="3" t="s">
        <v>35</v>
      </c>
      <c r="H799" t="s">
        <v>206</v>
      </c>
      <c r="I799" t="s">
        <v>207</v>
      </c>
      <c r="J799" s="3" t="s">
        <v>100</v>
      </c>
      <c r="K799" t="s">
        <v>160</v>
      </c>
      <c r="L799" s="3" t="s">
        <v>40</v>
      </c>
      <c r="M799" s="3" t="s">
        <v>41</v>
      </c>
      <c r="N799" t="s">
        <v>42</v>
      </c>
      <c r="O799" t="s">
        <v>43</v>
      </c>
      <c r="P799" t="s">
        <v>44</v>
      </c>
      <c r="Q799" s="3">
        <v>31940.94</v>
      </c>
      <c r="R799" s="3">
        <v>36954.160000000003</v>
      </c>
      <c r="S799" s="3">
        <v>21066.37</v>
      </c>
      <c r="T799" s="3">
        <v>3299.95</v>
      </c>
      <c r="U799" s="3">
        <v>2008.35</v>
      </c>
      <c r="V799" s="3">
        <v>2524.48</v>
      </c>
      <c r="W799" s="3">
        <v>527.98</v>
      </c>
      <c r="X799" s="3">
        <v>29427.13</v>
      </c>
      <c r="Y799" s="3">
        <v>10874.57</v>
      </c>
      <c r="Z799" s="3">
        <f t="shared" si="53"/>
        <v>2513.8099999999977</v>
      </c>
      <c r="AA799" s="37">
        <f t="shared" si="54"/>
        <v>7.8701816540151848E-2</v>
      </c>
      <c r="AB799" s="3">
        <v>-5013.22</v>
      </c>
      <c r="AC799" s="3">
        <v>2555.2800000000002</v>
      </c>
      <c r="AD799" s="3">
        <v>1469.28</v>
      </c>
      <c r="AE799" s="3">
        <v>30854.95</v>
      </c>
      <c r="AF799" t="str">
        <f>IF(tbl_FinancialData[[#This Row],[City]]="","Unknown",PROPER(TRIM(tbl_FinancialData[[#This Row],[City]])))</f>
        <v>Nizamabad</v>
      </c>
      <c r="AG799" t="str">
        <f>_xlfn.LET(_xlpm.city,LOWER(TRIM(tbl_FinancialData[[#This Row],[City]])),_xlpm.st,PROPER(TRIM(tbl_FinancialData[[#This Row],[State]])),IF(_xlpm.city="pune","Maharashtra",IF(_xlpm.city="jamshedpur","Jharkhand",IF(_xlpm.city="bhilai","Chhattisgarh",IF(_xlpm.city="mumbai","Maharashtra",_xlpm.st)))))</f>
        <v>Telangana</v>
      </c>
      <c r="AH799" t="str">
        <f>_xlfn.LET(_xlpm.d,PROPER(TRIM(tbl_FinancialData[[#This Row],[Department]])),IF(_xlpm.d="It","IT",_xlpm.d))</f>
        <v>IT</v>
      </c>
      <c r="AI799" t="str">
        <f>_xlfn.LET(_xlpm.pid,tbl_FinancialData[[#This Row],[Product ID]],_xlpm.n,PROPER(TRIM(tbl_FinancialData[[#This Row],[Product Name]])),IF(_xlpm.pid="P020","Document Scanner",IF(_xlpm.pid="P015","Network Router",SUBSTITUTE(SUBSTITUTE(_xlpm.n,"Crm","CRM"),"Ups","UPS"))))</f>
        <v>Conference Camera</v>
      </c>
      <c r="AJ799" s="3" t="str">
        <f>UPPER(TRIM(tbl_FinancialData[[#This Row],[Cost Center]]))</f>
        <v>CC-1002</v>
      </c>
    </row>
    <row r="800" spans="1:36" x14ac:dyDescent="0.25">
      <c r="A800" s="3" t="s">
        <v>1003</v>
      </c>
      <c r="B800" s="2">
        <v>45947</v>
      </c>
      <c r="C800" t="s">
        <v>92</v>
      </c>
      <c r="D800" s="3" t="str">
        <f t="shared" si="51"/>
        <v>Q3</v>
      </c>
      <c r="E800" s="3" t="str">
        <f t="shared" si="52"/>
        <v>FY2026</v>
      </c>
      <c r="F800" s="8" t="s">
        <v>59</v>
      </c>
      <c r="G800" s="3" t="s">
        <v>35</v>
      </c>
      <c r="H800" t="s">
        <v>139</v>
      </c>
      <c r="I800" t="s">
        <v>140</v>
      </c>
      <c r="J800" s="3" t="s">
        <v>38</v>
      </c>
      <c r="K800" t="s">
        <v>50</v>
      </c>
      <c r="L800" s="3" t="s">
        <v>94</v>
      </c>
      <c r="M800" s="3" t="s">
        <v>186</v>
      </c>
      <c r="N800" t="s">
        <v>187</v>
      </c>
      <c r="O800" t="s">
        <v>173</v>
      </c>
      <c r="P800" t="s">
        <v>174</v>
      </c>
      <c r="Q800" s="3">
        <v>37210.300000000003</v>
      </c>
      <c r="R800" s="3">
        <v>40858.6</v>
      </c>
      <c r="S800" s="3">
        <v>24945.599999999999</v>
      </c>
      <c r="T800" s="3">
        <v>3857.91</v>
      </c>
      <c r="U800" s="3">
        <v>2550.36</v>
      </c>
      <c r="V800" s="3">
        <v>3475.03</v>
      </c>
      <c r="W800" s="3">
        <v>1041.57</v>
      </c>
      <c r="X800" s="3">
        <v>35870.47</v>
      </c>
      <c r="Y800" s="3">
        <v>12264.7</v>
      </c>
      <c r="Z800" s="3">
        <f t="shared" si="53"/>
        <v>1339.8300000000017</v>
      </c>
      <c r="AA800" s="37">
        <f t="shared" si="54"/>
        <v>3.600696581322918E-2</v>
      </c>
      <c r="AB800" s="3">
        <v>-3648.31</v>
      </c>
      <c r="AC800" s="3">
        <v>1116.31</v>
      </c>
      <c r="AD800" s="3">
        <v>6496.92</v>
      </c>
      <c r="AE800" s="3">
        <v>42590.9</v>
      </c>
      <c r="AF800" t="str">
        <f>IF(tbl_FinancialData[[#This Row],[City]]="","Unknown",PROPER(TRIM(tbl_FinancialData[[#This Row],[City]])))</f>
        <v>Faridabad</v>
      </c>
      <c r="AG800" t="str">
        <f>_xlfn.LET(_xlpm.city,LOWER(TRIM(tbl_FinancialData[[#This Row],[City]])),_xlpm.st,PROPER(TRIM(tbl_FinancialData[[#This Row],[State]])),IF(_xlpm.city="pune","Maharashtra",IF(_xlpm.city="jamshedpur","Jharkhand",IF(_xlpm.city="bhilai","Chhattisgarh",IF(_xlpm.city="mumbai","Maharashtra",_xlpm.st)))))</f>
        <v>Haryana</v>
      </c>
      <c r="AH800" t="str">
        <f>_xlfn.LET(_xlpm.d,PROPER(TRIM(tbl_FinancialData[[#This Row],[Department]])),IF(_xlpm.d="It","IT",_xlpm.d))</f>
        <v>Sales</v>
      </c>
      <c r="AI800" t="str">
        <f>_xlfn.LET(_xlpm.pid,tbl_FinancialData[[#This Row],[Product ID]],_xlpm.n,PROPER(TRIM(tbl_FinancialData[[#This Row],[Product Name]])),IF(_xlpm.pid="P020","Document Scanner",IF(_xlpm.pid="P015","Network Router",SUBSTITUTE(SUBSTITUTE(_xlpm.n,"Crm","CRM"),"Ups","UPS"))))</f>
        <v>Network Router</v>
      </c>
      <c r="AJ800" s="3" t="str">
        <f>UPPER(TRIM(tbl_FinancialData[[#This Row],[Cost Center]]))</f>
        <v>CC-1001</v>
      </c>
    </row>
    <row r="801" spans="1:36" x14ac:dyDescent="0.25">
      <c r="A801" s="3" t="s">
        <v>1004</v>
      </c>
      <c r="B801" s="2">
        <v>45912</v>
      </c>
      <c r="C801" t="s">
        <v>46</v>
      </c>
      <c r="D801" s="3" t="str">
        <f t="shared" si="51"/>
        <v>Q2</v>
      </c>
      <c r="E801" s="3" t="str">
        <f t="shared" si="52"/>
        <v>FY2026</v>
      </c>
      <c r="F801" s="8" t="s">
        <v>67</v>
      </c>
      <c r="G801" s="3" t="s">
        <v>35</v>
      </c>
      <c r="H801" t="s">
        <v>168</v>
      </c>
      <c r="I801" t="s">
        <v>278</v>
      </c>
      <c r="J801" s="3" t="s">
        <v>38</v>
      </c>
      <c r="K801" t="s">
        <v>50</v>
      </c>
      <c r="L801" s="3" t="s">
        <v>94</v>
      </c>
      <c r="M801" s="3" t="s">
        <v>73</v>
      </c>
      <c r="N801" t="s">
        <v>74</v>
      </c>
      <c r="O801" t="s">
        <v>43</v>
      </c>
      <c r="P801" t="s">
        <v>75</v>
      </c>
      <c r="Q801" s="3">
        <v>62458.83</v>
      </c>
      <c r="R801" s="3">
        <v>66450.69</v>
      </c>
      <c r="S801" s="3">
        <v>42280.55</v>
      </c>
      <c r="T801" s="3">
        <v>4836.41</v>
      </c>
      <c r="U801" s="3">
        <v>2347.59</v>
      </c>
      <c r="V801" s="3">
        <v>3489.73</v>
      </c>
      <c r="W801" s="3">
        <v>2226.14</v>
      </c>
      <c r="X801" s="3">
        <v>55180.42</v>
      </c>
      <c r="Y801" s="3">
        <v>20178.28</v>
      </c>
      <c r="Z801" s="3">
        <f t="shared" si="53"/>
        <v>7278.4100000000035</v>
      </c>
      <c r="AA801" s="37">
        <f t="shared" si="54"/>
        <v>0.1165313215121065</v>
      </c>
      <c r="AB801" s="3">
        <v>-3991.85</v>
      </c>
      <c r="AC801" s="3">
        <v>3122.94</v>
      </c>
      <c r="AD801" s="3">
        <v>2966.79</v>
      </c>
      <c r="AE801" s="3">
        <v>62302.68</v>
      </c>
      <c r="AF801" t="str">
        <f>IF(tbl_FinancialData[[#This Row],[City]]="","Unknown",PROPER(TRIM(tbl_FinancialData[[#This Row],[City]])))</f>
        <v>Siliguri</v>
      </c>
      <c r="AG801" t="str">
        <f>_xlfn.LET(_xlpm.city,LOWER(TRIM(tbl_FinancialData[[#This Row],[City]])),_xlpm.st,PROPER(TRIM(tbl_FinancialData[[#This Row],[State]])),IF(_xlpm.city="pune","Maharashtra",IF(_xlpm.city="jamshedpur","Jharkhand",IF(_xlpm.city="bhilai","Chhattisgarh",IF(_xlpm.city="mumbai","Maharashtra",_xlpm.st)))))</f>
        <v>West Bengal</v>
      </c>
      <c r="AH801" t="str">
        <f>_xlfn.LET(_xlpm.d,PROPER(TRIM(tbl_FinancialData[[#This Row],[Department]])),IF(_xlpm.d="It","IT",_xlpm.d))</f>
        <v>Sales</v>
      </c>
      <c r="AI801" t="str">
        <f>_xlfn.LET(_xlpm.pid,tbl_FinancialData[[#This Row],[Product ID]],_xlpm.n,PROPER(TRIM(tbl_FinancialData[[#This Row],[Product Name]])),IF(_xlpm.pid="P020","Document Scanner",IF(_xlpm.pid="P015","Network Router",SUBSTITUTE(SUBSTITUTE(_xlpm.n,"Crm","CRM"),"Ups","UPS"))))</f>
        <v>Monitor</v>
      </c>
      <c r="AJ801" s="3" t="str">
        <f>UPPER(TRIM(tbl_FinancialData[[#This Row],[Cost Center]]))</f>
        <v>CC-1001</v>
      </c>
    </row>
    <row r="802" spans="1:36" x14ac:dyDescent="0.25">
      <c r="A802" s="3" t="s">
        <v>1005</v>
      </c>
      <c r="B802" s="2">
        <v>45965</v>
      </c>
      <c r="C802" t="s">
        <v>147</v>
      </c>
      <c r="D802" s="3" t="str">
        <f t="shared" si="51"/>
        <v>Q3</v>
      </c>
      <c r="E802" s="3" t="str">
        <f t="shared" si="52"/>
        <v>FY2026</v>
      </c>
      <c r="F802" s="8" t="s">
        <v>59</v>
      </c>
      <c r="G802" s="3" t="s">
        <v>35</v>
      </c>
      <c r="H802" t="s">
        <v>254</v>
      </c>
      <c r="I802" t="s">
        <v>255</v>
      </c>
      <c r="J802" s="3" t="s">
        <v>38</v>
      </c>
      <c r="K802" t="s">
        <v>50</v>
      </c>
      <c r="L802" s="3" t="s">
        <v>94</v>
      </c>
      <c r="M802" s="3" t="s">
        <v>186</v>
      </c>
      <c r="N802" t="s">
        <v>187</v>
      </c>
      <c r="O802" t="s">
        <v>173</v>
      </c>
      <c r="P802" t="s">
        <v>174</v>
      </c>
      <c r="Q802" s="3">
        <v>30760.17</v>
      </c>
      <c r="R802" s="3">
        <v>31038.1</v>
      </c>
      <c r="S802" s="3">
        <v>19866.689999999999</v>
      </c>
      <c r="T802" s="3">
        <v>2820.33</v>
      </c>
      <c r="U802" s="3">
        <v>2722.29</v>
      </c>
      <c r="V802" s="3">
        <v>1630.19</v>
      </c>
      <c r="W802" s="3">
        <v>954.28</v>
      </c>
      <c r="X802" s="3">
        <v>27993.79</v>
      </c>
      <c r="Y802" s="3">
        <v>10893.48</v>
      </c>
      <c r="Z802" s="3">
        <f t="shared" si="53"/>
        <v>2766.3799999999974</v>
      </c>
      <c r="AA802" s="37">
        <f t="shared" si="54"/>
        <v>8.9933833265550794E-2</v>
      </c>
      <c r="AB802" s="3">
        <v>-277.93</v>
      </c>
      <c r="AC802" s="3">
        <v>922.81</v>
      </c>
      <c r="AD802" s="3">
        <v>1491.87</v>
      </c>
      <c r="AE802" s="3">
        <v>31329.23</v>
      </c>
      <c r="AF802" t="str">
        <f>IF(tbl_FinancialData[[#This Row],[City]]="","Unknown",PROPER(TRIM(tbl_FinancialData[[#This Row],[City]])))</f>
        <v>Noida</v>
      </c>
      <c r="AG802" t="str">
        <f>_xlfn.LET(_xlpm.city,LOWER(TRIM(tbl_FinancialData[[#This Row],[City]])),_xlpm.st,PROPER(TRIM(tbl_FinancialData[[#This Row],[State]])),IF(_xlpm.city="pune","Maharashtra",IF(_xlpm.city="jamshedpur","Jharkhand",IF(_xlpm.city="bhilai","Chhattisgarh",IF(_xlpm.city="mumbai","Maharashtra",_xlpm.st)))))</f>
        <v>Delhi</v>
      </c>
      <c r="AH802" t="str">
        <f>_xlfn.LET(_xlpm.d,PROPER(TRIM(tbl_FinancialData[[#This Row],[Department]])),IF(_xlpm.d="It","IT",_xlpm.d))</f>
        <v>Sales</v>
      </c>
      <c r="AI802" t="str">
        <f>_xlfn.LET(_xlpm.pid,tbl_FinancialData[[#This Row],[Product ID]],_xlpm.n,PROPER(TRIM(tbl_FinancialData[[#This Row],[Product Name]])),IF(_xlpm.pid="P020","Document Scanner",IF(_xlpm.pid="P015","Network Router",SUBSTITUTE(SUBSTITUTE(_xlpm.n,"Crm","CRM"),"Ups","UPS"))))</f>
        <v>Network Router</v>
      </c>
      <c r="AJ802" s="3" t="str">
        <f>UPPER(TRIM(tbl_FinancialData[[#This Row],[Cost Center]]))</f>
        <v>CC-1001</v>
      </c>
    </row>
    <row r="803" spans="1:36" x14ac:dyDescent="0.25">
      <c r="A803" s="3" t="s">
        <v>1006</v>
      </c>
      <c r="B803" s="2">
        <v>45876</v>
      </c>
      <c r="C803" t="s">
        <v>117</v>
      </c>
      <c r="D803" s="3" t="str">
        <f t="shared" si="51"/>
        <v>Q2</v>
      </c>
      <c r="E803" s="3" t="str">
        <f t="shared" si="52"/>
        <v>FY2026</v>
      </c>
      <c r="F803" s="8" t="s">
        <v>47</v>
      </c>
      <c r="G803" s="3" t="s">
        <v>35</v>
      </c>
      <c r="H803" t="s">
        <v>206</v>
      </c>
      <c r="I803" t="s">
        <v>207</v>
      </c>
      <c r="J803" s="3" t="s">
        <v>38</v>
      </c>
      <c r="K803" t="s">
        <v>101</v>
      </c>
      <c r="L803" s="3" t="s">
        <v>94</v>
      </c>
      <c r="M803" s="3" t="s">
        <v>82</v>
      </c>
      <c r="N803" t="s">
        <v>83</v>
      </c>
      <c r="O803" t="s">
        <v>43</v>
      </c>
      <c r="P803" t="s">
        <v>75</v>
      </c>
      <c r="Q803" s="3">
        <v>24205.5</v>
      </c>
      <c r="R803" s="3">
        <v>21684.43</v>
      </c>
      <c r="S803" s="3">
        <v>16365.35</v>
      </c>
      <c r="T803" s="3">
        <v>2807.73</v>
      </c>
      <c r="U803" s="3">
        <v>978.14</v>
      </c>
      <c r="V803" s="3">
        <v>1594.97</v>
      </c>
      <c r="W803" s="3">
        <v>649.82000000000005</v>
      </c>
      <c r="X803" s="3">
        <v>22396.02</v>
      </c>
      <c r="Y803" s="3">
        <v>7840.15</v>
      </c>
      <c r="Z803" s="3">
        <f t="shared" si="53"/>
        <v>1809.4799999999996</v>
      </c>
      <c r="AA803" s="37">
        <f t="shared" si="54"/>
        <v>7.4754911073929467E-2</v>
      </c>
      <c r="AB803" s="3">
        <v>2521.0700000000002</v>
      </c>
      <c r="AC803" s="3">
        <v>1210.27</v>
      </c>
      <c r="AD803" s="3">
        <v>2759.43</v>
      </c>
      <c r="AE803" s="3">
        <v>25754.65</v>
      </c>
      <c r="AF803" t="str">
        <f>IF(tbl_FinancialData[[#This Row],[City]]="","Unknown",PROPER(TRIM(tbl_FinancialData[[#This Row],[City]])))</f>
        <v>Nizamabad</v>
      </c>
      <c r="AG803" t="str">
        <f>_xlfn.LET(_xlpm.city,LOWER(TRIM(tbl_FinancialData[[#This Row],[City]])),_xlpm.st,PROPER(TRIM(tbl_FinancialData[[#This Row],[State]])),IF(_xlpm.city="pune","Maharashtra",IF(_xlpm.city="jamshedpur","Jharkhand",IF(_xlpm.city="bhilai","Chhattisgarh",IF(_xlpm.city="mumbai","Maharashtra",_xlpm.st)))))</f>
        <v>Telangana</v>
      </c>
      <c r="AH803" t="str">
        <f>_xlfn.LET(_xlpm.d,PROPER(TRIM(tbl_FinancialData[[#This Row],[Department]])),IF(_xlpm.d="It","IT",_xlpm.d))</f>
        <v>Finance</v>
      </c>
      <c r="AI803" t="str">
        <f>_xlfn.LET(_xlpm.pid,tbl_FinancialData[[#This Row],[Product ID]],_xlpm.n,PROPER(TRIM(tbl_FinancialData[[#This Row],[Product Name]])),IF(_xlpm.pid="P020","Document Scanner",IF(_xlpm.pid="P015","Network Router",SUBSTITUTE(SUBSTITUTE(_xlpm.n,"Crm","CRM"),"Ups","UPS"))))</f>
        <v>Business Laptop</v>
      </c>
      <c r="AJ803" s="3" t="str">
        <f>UPPER(TRIM(tbl_FinancialData[[#This Row],[Cost Center]]))</f>
        <v>CC-1001</v>
      </c>
    </row>
    <row r="804" spans="1:36" x14ac:dyDescent="0.25">
      <c r="A804" s="3" t="s">
        <v>1007</v>
      </c>
      <c r="B804" s="2">
        <v>45861</v>
      </c>
      <c r="C804" t="s">
        <v>32</v>
      </c>
      <c r="D804" s="3" t="str">
        <f t="shared" si="51"/>
        <v>Q2</v>
      </c>
      <c r="E804" s="3" t="str">
        <f t="shared" si="52"/>
        <v>FY2026</v>
      </c>
      <c r="F804" s="8" t="s">
        <v>59</v>
      </c>
      <c r="G804" s="3" t="s">
        <v>35</v>
      </c>
      <c r="H804" t="s">
        <v>60</v>
      </c>
      <c r="I804" t="s">
        <v>61</v>
      </c>
      <c r="J804" s="3" t="s">
        <v>80</v>
      </c>
      <c r="K804" t="s">
        <v>50</v>
      </c>
      <c r="L804" s="3" t="s">
        <v>72</v>
      </c>
      <c r="M804" s="3" t="s">
        <v>110</v>
      </c>
      <c r="N804" t="s">
        <v>111</v>
      </c>
      <c r="O804" t="s">
        <v>112</v>
      </c>
      <c r="P804" t="s">
        <v>113</v>
      </c>
      <c r="Q804" s="3">
        <v>28893.42</v>
      </c>
      <c r="R804" s="3">
        <v>27162.59</v>
      </c>
      <c r="S804" s="3">
        <v>16740.45</v>
      </c>
      <c r="T804" s="3">
        <v>2863.9</v>
      </c>
      <c r="U804" s="3">
        <v>1123.3</v>
      </c>
      <c r="V804" s="3">
        <v>1829.39</v>
      </c>
      <c r="W804" s="3">
        <v>1153.1099999999999</v>
      </c>
      <c r="X804" s="3">
        <v>23710.15</v>
      </c>
      <c r="Y804" s="3">
        <v>12152.97</v>
      </c>
      <c r="Z804" s="3">
        <f t="shared" si="53"/>
        <v>5183.2699999999968</v>
      </c>
      <c r="AA804" s="37">
        <f t="shared" si="54"/>
        <v>0.17939274755290294</v>
      </c>
      <c r="AB804" s="3">
        <v>1730.83</v>
      </c>
      <c r="AC804" s="3">
        <v>2889.34</v>
      </c>
      <c r="AD804" s="3">
        <v>3120.49</v>
      </c>
      <c r="AE804" s="3">
        <v>29124.57</v>
      </c>
      <c r="AF804" t="str">
        <f>IF(tbl_FinancialData[[#This Row],[City]]="","Unknown",PROPER(TRIM(tbl_FinancialData[[#This Row],[City]])))</f>
        <v>Lucknow</v>
      </c>
      <c r="AG804" t="str">
        <f>_xlfn.LET(_xlpm.city,LOWER(TRIM(tbl_FinancialData[[#This Row],[City]])),_xlpm.st,PROPER(TRIM(tbl_FinancialData[[#This Row],[State]])),IF(_xlpm.city="pune","Maharashtra",IF(_xlpm.city="jamshedpur","Jharkhand",IF(_xlpm.city="bhilai","Chhattisgarh",IF(_xlpm.city="mumbai","Maharashtra",_xlpm.st)))))</f>
        <v>Uttar Pradesh</v>
      </c>
      <c r="AH804" t="str">
        <f>_xlfn.LET(_xlpm.d,PROPER(TRIM(tbl_FinancialData[[#This Row],[Department]])),IF(_xlpm.d="It","IT",_xlpm.d))</f>
        <v>Sales</v>
      </c>
      <c r="AI804" t="str">
        <f>_xlfn.LET(_xlpm.pid,tbl_FinancialData[[#This Row],[Product ID]],_xlpm.n,PROPER(TRIM(tbl_FinancialData[[#This Row],[Product Name]])),IF(_xlpm.pid="P020","Document Scanner",IF(_xlpm.pid="P015","Network Router",SUBSTITUTE(SUBSTITUTE(_xlpm.n,"Crm","CRM"),"Ups","UPS"))))</f>
        <v>Office Desk</v>
      </c>
      <c r="AJ804" s="3" t="str">
        <f>UPPER(TRIM(tbl_FinancialData[[#This Row],[Cost Center]]))</f>
        <v>CC-1004</v>
      </c>
    </row>
    <row r="805" spans="1:36" x14ac:dyDescent="0.25">
      <c r="A805" s="3" t="s">
        <v>1008</v>
      </c>
      <c r="B805" s="2">
        <v>45961</v>
      </c>
      <c r="C805" t="s">
        <v>92</v>
      </c>
      <c r="D805" s="3" t="str">
        <f t="shared" si="51"/>
        <v>Q3</v>
      </c>
      <c r="E805" s="3" t="str">
        <f t="shared" si="52"/>
        <v>FY2026</v>
      </c>
      <c r="F805" s="8" t="s">
        <v>59</v>
      </c>
      <c r="G805" s="3" t="s">
        <v>35</v>
      </c>
      <c r="H805" t="s">
        <v>230</v>
      </c>
      <c r="I805" t="s">
        <v>363</v>
      </c>
      <c r="J805" s="3" t="s">
        <v>100</v>
      </c>
      <c r="K805" t="s">
        <v>50</v>
      </c>
      <c r="L805" s="3" t="s">
        <v>81</v>
      </c>
      <c r="M805" s="3" t="s">
        <v>41</v>
      </c>
      <c r="N805" t="s">
        <v>42</v>
      </c>
      <c r="O805" t="s">
        <v>43</v>
      </c>
      <c r="P805" t="s">
        <v>44</v>
      </c>
      <c r="Q805" s="3">
        <v>35563.589999999997</v>
      </c>
      <c r="R805" s="3">
        <v>34502.99</v>
      </c>
      <c r="S805" s="3">
        <v>22674.97</v>
      </c>
      <c r="T805" s="3">
        <v>4392.3900000000003</v>
      </c>
      <c r="U805" s="3">
        <v>1815.12</v>
      </c>
      <c r="V805" s="3">
        <v>1969.78</v>
      </c>
      <c r="W805" s="3">
        <v>692.61</v>
      </c>
      <c r="X805" s="3">
        <v>31544.87</v>
      </c>
      <c r="Y805" s="3">
        <v>12888.63</v>
      </c>
      <c r="Z805" s="3">
        <f t="shared" si="53"/>
        <v>4018.7199999999975</v>
      </c>
      <c r="AA805" s="37">
        <f t="shared" si="54"/>
        <v>0.11300096531311934</v>
      </c>
      <c r="AB805" s="3">
        <v>1060.5999999999999</v>
      </c>
      <c r="AC805" s="3">
        <v>2845.09</v>
      </c>
      <c r="AD805" s="3">
        <v>3926.22</v>
      </c>
      <c r="AE805" s="3">
        <v>36644.730000000003</v>
      </c>
      <c r="AF805" t="str">
        <f>IF(tbl_FinancialData[[#This Row],[City]]="","Unknown",PROPER(TRIM(tbl_FinancialData[[#This Row],[City]])))</f>
        <v>Jalandhar</v>
      </c>
      <c r="AG805" t="str">
        <f>_xlfn.LET(_xlpm.city,LOWER(TRIM(tbl_FinancialData[[#This Row],[City]])),_xlpm.st,PROPER(TRIM(tbl_FinancialData[[#This Row],[State]])),IF(_xlpm.city="pune","Maharashtra",IF(_xlpm.city="jamshedpur","Jharkhand",IF(_xlpm.city="bhilai","Chhattisgarh",IF(_xlpm.city="mumbai","Maharashtra",_xlpm.st)))))</f>
        <v>Punjab</v>
      </c>
      <c r="AH805" t="str">
        <f>_xlfn.LET(_xlpm.d,PROPER(TRIM(tbl_FinancialData[[#This Row],[Department]])),IF(_xlpm.d="It","IT",_xlpm.d))</f>
        <v>Sales</v>
      </c>
      <c r="AI805" t="str">
        <f>_xlfn.LET(_xlpm.pid,tbl_FinancialData[[#This Row],[Product ID]],_xlpm.n,PROPER(TRIM(tbl_FinancialData[[#This Row],[Product Name]])),IF(_xlpm.pid="P020","Document Scanner",IF(_xlpm.pid="P015","Network Router",SUBSTITUTE(SUBSTITUTE(_xlpm.n,"Crm","CRM"),"Ups","UPS"))))</f>
        <v>Conference Camera</v>
      </c>
      <c r="AJ805" s="3" t="str">
        <f>UPPER(TRIM(tbl_FinancialData[[#This Row],[Cost Center]]))</f>
        <v>CC-1005</v>
      </c>
    </row>
    <row r="806" spans="1:36" x14ac:dyDescent="0.25">
      <c r="A806" s="3" t="s">
        <v>1009</v>
      </c>
      <c r="B806" s="2">
        <v>45820</v>
      </c>
      <c r="C806" t="s">
        <v>156</v>
      </c>
      <c r="D806" s="3" t="str">
        <f t="shared" si="51"/>
        <v>Q1</v>
      </c>
      <c r="E806" s="3" t="str">
        <f t="shared" si="52"/>
        <v>FY2026</v>
      </c>
      <c r="F806" s="8" t="s">
        <v>85</v>
      </c>
      <c r="G806" s="3" t="s">
        <v>35</v>
      </c>
      <c r="H806" t="s">
        <v>60</v>
      </c>
      <c r="I806" t="s">
        <v>61</v>
      </c>
      <c r="J806" s="3" t="s">
        <v>80</v>
      </c>
      <c r="K806" t="s">
        <v>160</v>
      </c>
      <c r="L806" s="3" t="s">
        <v>81</v>
      </c>
      <c r="M806" s="3" t="s">
        <v>120</v>
      </c>
      <c r="N806" t="s">
        <v>121</v>
      </c>
      <c r="O806" t="s">
        <v>43</v>
      </c>
      <c r="P806" t="s">
        <v>122</v>
      </c>
      <c r="Q806" s="3">
        <v>45220.99</v>
      </c>
      <c r="R806" s="3">
        <v>50680.31</v>
      </c>
      <c r="S806" s="3">
        <v>28981.98</v>
      </c>
      <c r="T806" s="3">
        <v>2719.26</v>
      </c>
      <c r="U806" s="3">
        <v>2148.87</v>
      </c>
      <c r="V806" s="3">
        <v>3035.51</v>
      </c>
      <c r="W806" s="3">
        <v>1347.46</v>
      </c>
      <c r="X806" s="3">
        <v>38233.08</v>
      </c>
      <c r="Y806" s="3">
        <v>16239.01</v>
      </c>
      <c r="Z806" s="3">
        <f t="shared" si="53"/>
        <v>6987.9099999999962</v>
      </c>
      <c r="AA806" s="37">
        <f t="shared" si="54"/>
        <v>0.15452801895756807</v>
      </c>
      <c r="AB806" s="3">
        <v>-5459.33</v>
      </c>
      <c r="AC806" s="3">
        <v>904.42</v>
      </c>
      <c r="AD806" s="3">
        <v>2215.83</v>
      </c>
      <c r="AE806" s="3">
        <v>46532.4</v>
      </c>
      <c r="AF806" t="str">
        <f>IF(tbl_FinancialData[[#This Row],[City]]="","Unknown",PROPER(TRIM(tbl_FinancialData[[#This Row],[City]])))</f>
        <v>Lucknow</v>
      </c>
      <c r="AG806" t="str">
        <f>_xlfn.LET(_xlpm.city,LOWER(TRIM(tbl_FinancialData[[#This Row],[City]])),_xlpm.st,PROPER(TRIM(tbl_FinancialData[[#This Row],[State]])),IF(_xlpm.city="pune","Maharashtra",IF(_xlpm.city="jamshedpur","Jharkhand",IF(_xlpm.city="bhilai","Chhattisgarh",IF(_xlpm.city="mumbai","Maharashtra",_xlpm.st)))))</f>
        <v>Uttar Pradesh</v>
      </c>
      <c r="AH806" t="str">
        <f>_xlfn.LET(_xlpm.d,PROPER(TRIM(tbl_FinancialData[[#This Row],[Department]])),IF(_xlpm.d="It","IT",_xlpm.d))</f>
        <v>IT</v>
      </c>
      <c r="AI806" t="str">
        <f>_xlfn.LET(_xlpm.pid,tbl_FinancialData[[#This Row],[Product ID]],_xlpm.n,PROPER(TRIM(tbl_FinancialData[[#This Row],[Product Name]])),IF(_xlpm.pid="P020","Document Scanner",IF(_xlpm.pid="P015","Network Router",SUBSTITUTE(SUBSTITUTE(_xlpm.n,"Crm","CRM"),"Ups","UPS"))))</f>
        <v>Projector</v>
      </c>
      <c r="AJ806" s="3" t="str">
        <f>UPPER(TRIM(tbl_FinancialData[[#This Row],[Cost Center]]))</f>
        <v>CC-1005</v>
      </c>
    </row>
    <row r="807" spans="1:36" x14ac:dyDescent="0.25">
      <c r="A807" s="3" t="s">
        <v>1010</v>
      </c>
      <c r="B807" s="2">
        <v>46084</v>
      </c>
      <c r="C807" t="s">
        <v>125</v>
      </c>
      <c r="D807" s="3" t="str">
        <f t="shared" si="51"/>
        <v>Q4</v>
      </c>
      <c r="E807" s="3" t="str">
        <f t="shared" si="52"/>
        <v>FY2026</v>
      </c>
      <c r="F807" s="8" t="s">
        <v>47</v>
      </c>
      <c r="G807" s="3" t="s">
        <v>35</v>
      </c>
      <c r="H807" t="s">
        <v>48</v>
      </c>
      <c r="I807" t="s">
        <v>49</v>
      </c>
      <c r="J807" s="3" t="s">
        <v>38</v>
      </c>
      <c r="K807" t="s">
        <v>160</v>
      </c>
      <c r="L807" s="3" t="s">
        <v>40</v>
      </c>
      <c r="M807" s="3" t="s">
        <v>41</v>
      </c>
      <c r="N807" t="s">
        <v>42</v>
      </c>
      <c r="O807" t="s">
        <v>43</v>
      </c>
      <c r="P807" t="s">
        <v>44</v>
      </c>
      <c r="Q807" s="3">
        <v>30999.040000000001</v>
      </c>
      <c r="R807" s="3">
        <v>30998.67</v>
      </c>
      <c r="S807" s="3">
        <v>20309.91</v>
      </c>
      <c r="T807" s="3">
        <v>2867.46</v>
      </c>
      <c r="U807" s="3">
        <v>2444.5700000000002</v>
      </c>
      <c r="V807" s="3">
        <v>2295.1799999999998</v>
      </c>
      <c r="W807" s="3">
        <v>377.03</v>
      </c>
      <c r="X807" s="3">
        <v>28294.15</v>
      </c>
      <c r="Y807" s="3">
        <v>10689.13</v>
      </c>
      <c r="Z807" s="3">
        <f t="shared" si="53"/>
        <v>2704.8899999999994</v>
      </c>
      <c r="AA807" s="37">
        <f t="shared" si="54"/>
        <v>8.7257218288050192E-2</v>
      </c>
      <c r="AB807" s="3">
        <v>0.37</v>
      </c>
      <c r="AC807" s="3">
        <v>1549.95</v>
      </c>
      <c r="AD807" s="3">
        <v>1472.45</v>
      </c>
      <c r="AE807" s="3">
        <v>30921.55</v>
      </c>
      <c r="AF807" t="str">
        <f>IF(tbl_FinancialData[[#This Row],[City]]="","Unknown",PROPER(TRIM(tbl_FinancialData[[#This Row],[City]])))</f>
        <v>Chennai</v>
      </c>
      <c r="AG807" t="str">
        <f>_xlfn.LET(_xlpm.city,LOWER(TRIM(tbl_FinancialData[[#This Row],[City]])),_xlpm.st,PROPER(TRIM(tbl_FinancialData[[#This Row],[State]])),IF(_xlpm.city="pune","Maharashtra",IF(_xlpm.city="jamshedpur","Jharkhand",IF(_xlpm.city="bhilai","Chhattisgarh",IF(_xlpm.city="mumbai","Maharashtra",_xlpm.st)))))</f>
        <v>Tamil Nadu</v>
      </c>
      <c r="AH807" t="str">
        <f>_xlfn.LET(_xlpm.d,PROPER(TRIM(tbl_FinancialData[[#This Row],[Department]])),IF(_xlpm.d="It","IT",_xlpm.d))</f>
        <v>IT</v>
      </c>
      <c r="AI807" t="str">
        <f>_xlfn.LET(_xlpm.pid,tbl_FinancialData[[#This Row],[Product ID]],_xlpm.n,PROPER(TRIM(tbl_FinancialData[[#This Row],[Product Name]])),IF(_xlpm.pid="P020","Document Scanner",IF(_xlpm.pid="P015","Network Router",SUBSTITUTE(SUBSTITUTE(_xlpm.n,"Crm","CRM"),"Ups","UPS"))))</f>
        <v>Conference Camera</v>
      </c>
      <c r="AJ807" s="3" t="str">
        <f>UPPER(TRIM(tbl_FinancialData[[#This Row],[Cost Center]]))</f>
        <v>CC-1002</v>
      </c>
    </row>
    <row r="808" spans="1:36" x14ac:dyDescent="0.25">
      <c r="A808" s="3" t="s">
        <v>1011</v>
      </c>
      <c r="B808" s="2">
        <v>46047</v>
      </c>
      <c r="C808" t="s">
        <v>77</v>
      </c>
      <c r="D808" s="3" t="str">
        <f t="shared" si="51"/>
        <v>Q4</v>
      </c>
      <c r="E808" s="3" t="str">
        <f t="shared" si="52"/>
        <v>FY2026</v>
      </c>
      <c r="F808" s="8" t="s">
        <v>67</v>
      </c>
      <c r="G808" s="3" t="s">
        <v>35</v>
      </c>
      <c r="H808" t="s">
        <v>168</v>
      </c>
      <c r="I808" t="s">
        <v>169</v>
      </c>
      <c r="J808" s="3" t="s">
        <v>38</v>
      </c>
      <c r="K808" t="s">
        <v>39</v>
      </c>
      <c r="L808" s="3" t="s">
        <v>40</v>
      </c>
      <c r="M808" s="3" t="s">
        <v>120</v>
      </c>
      <c r="N808" t="s">
        <v>121</v>
      </c>
      <c r="O808" t="s">
        <v>43</v>
      </c>
      <c r="P808" t="s">
        <v>122</v>
      </c>
      <c r="Q808" s="3">
        <v>33542.5</v>
      </c>
      <c r="R808" s="3">
        <v>38237.86</v>
      </c>
      <c r="S808" s="3">
        <v>22498.13</v>
      </c>
      <c r="T808" s="3">
        <v>4260.54</v>
      </c>
      <c r="U808" s="3">
        <v>995.29</v>
      </c>
      <c r="V808" s="3">
        <v>2061.73</v>
      </c>
      <c r="W808" s="3">
        <v>429.59</v>
      </c>
      <c r="X808" s="3">
        <v>30245.279999999999</v>
      </c>
      <c r="Y808" s="3">
        <v>11044.37</v>
      </c>
      <c r="Z808" s="3">
        <f t="shared" si="53"/>
        <v>3297.2200000000012</v>
      </c>
      <c r="AA808" s="37">
        <f t="shared" si="54"/>
        <v>9.8299768949839786E-2</v>
      </c>
      <c r="AB808" s="3">
        <v>-4695.3599999999997</v>
      </c>
      <c r="AC808" s="3">
        <v>1677.13</v>
      </c>
      <c r="AD808" s="3">
        <v>1593.27</v>
      </c>
      <c r="AE808" s="3">
        <v>33458.639999999999</v>
      </c>
      <c r="AF808" t="str">
        <f>IF(tbl_FinancialData[[#This Row],[City]]="","Unknown",PROPER(TRIM(tbl_FinancialData[[#This Row],[City]])))</f>
        <v>Kolkata</v>
      </c>
      <c r="AG808" t="str">
        <f>_xlfn.LET(_xlpm.city,LOWER(TRIM(tbl_FinancialData[[#This Row],[City]])),_xlpm.st,PROPER(TRIM(tbl_FinancialData[[#This Row],[State]])),IF(_xlpm.city="pune","Maharashtra",IF(_xlpm.city="jamshedpur","Jharkhand",IF(_xlpm.city="bhilai","Chhattisgarh",IF(_xlpm.city="mumbai","Maharashtra",_xlpm.st)))))</f>
        <v>West Bengal</v>
      </c>
      <c r="AH808" t="str">
        <f>_xlfn.LET(_xlpm.d,PROPER(TRIM(tbl_FinancialData[[#This Row],[Department]])),IF(_xlpm.d="It","IT",_xlpm.d))</f>
        <v>Operations</v>
      </c>
      <c r="AI808" t="str">
        <f>_xlfn.LET(_xlpm.pid,tbl_FinancialData[[#This Row],[Product ID]],_xlpm.n,PROPER(TRIM(tbl_FinancialData[[#This Row],[Product Name]])),IF(_xlpm.pid="P020","Document Scanner",IF(_xlpm.pid="P015","Network Router",SUBSTITUTE(SUBSTITUTE(_xlpm.n,"Crm","CRM"),"Ups","UPS"))))</f>
        <v>Projector</v>
      </c>
      <c r="AJ808" s="3" t="str">
        <f>UPPER(TRIM(tbl_FinancialData[[#This Row],[Cost Center]]))</f>
        <v>CC-1002</v>
      </c>
    </row>
    <row r="809" spans="1:36" x14ac:dyDescent="0.25">
      <c r="A809" s="3" t="s">
        <v>1012</v>
      </c>
      <c r="B809" s="2">
        <v>45828</v>
      </c>
      <c r="C809" t="s">
        <v>156</v>
      </c>
      <c r="D809" s="3" t="str">
        <f t="shared" si="51"/>
        <v>Q1</v>
      </c>
      <c r="E809" s="3" t="str">
        <f t="shared" si="52"/>
        <v>FY2026</v>
      </c>
      <c r="F809" s="8" t="s">
        <v>34</v>
      </c>
      <c r="G809" s="3" t="s">
        <v>35</v>
      </c>
      <c r="H809" t="s">
        <v>157</v>
      </c>
      <c r="I809" t="s">
        <v>194</v>
      </c>
      <c r="J809" s="3" t="s">
        <v>70</v>
      </c>
      <c r="K809" t="s">
        <v>71</v>
      </c>
      <c r="L809" s="3" t="s">
        <v>72</v>
      </c>
      <c r="M809" s="3" t="s">
        <v>120</v>
      </c>
      <c r="N809" t="s">
        <v>121</v>
      </c>
      <c r="O809" t="s">
        <v>43</v>
      </c>
      <c r="P809" t="s">
        <v>122</v>
      </c>
      <c r="Q809" s="3">
        <v>48376.9</v>
      </c>
      <c r="R809" s="3">
        <v>48307.61</v>
      </c>
      <c r="S809" s="3">
        <v>27091.8</v>
      </c>
      <c r="T809" s="3">
        <v>3729.03</v>
      </c>
      <c r="U809" s="3">
        <v>1827.63</v>
      </c>
      <c r="V809" s="3">
        <v>5266.07</v>
      </c>
      <c r="W809" s="3">
        <v>732.04</v>
      </c>
      <c r="X809" s="3">
        <v>38646.58</v>
      </c>
      <c r="Y809" s="3">
        <v>21285.09</v>
      </c>
      <c r="Z809" s="3">
        <f t="shared" si="53"/>
        <v>9730.32</v>
      </c>
      <c r="AA809" s="37">
        <f t="shared" si="54"/>
        <v>0.20113566598934615</v>
      </c>
      <c r="AB809" s="3">
        <v>69.290000000000006</v>
      </c>
      <c r="AC809" s="3">
        <v>3870.15</v>
      </c>
      <c r="AD809" s="3">
        <v>5340.81</v>
      </c>
      <c r="AE809" s="3">
        <v>49847.56</v>
      </c>
      <c r="AF809" t="str">
        <f>IF(tbl_FinancialData[[#This Row],[City]]="","Unknown",PROPER(TRIM(tbl_FinancialData[[#This Row],[City]])))</f>
        <v>Surat</v>
      </c>
      <c r="AG809" t="str">
        <f>_xlfn.LET(_xlpm.city,LOWER(TRIM(tbl_FinancialData[[#This Row],[City]])),_xlpm.st,PROPER(TRIM(tbl_FinancialData[[#This Row],[State]])),IF(_xlpm.city="pune","Maharashtra",IF(_xlpm.city="jamshedpur","Jharkhand",IF(_xlpm.city="bhilai","Chhattisgarh",IF(_xlpm.city="mumbai","Maharashtra",_xlpm.st)))))</f>
        <v>Gujarat</v>
      </c>
      <c r="AH809" t="str">
        <f>_xlfn.LET(_xlpm.d,PROPER(TRIM(tbl_FinancialData[[#This Row],[Department]])),IF(_xlpm.d="It","IT",_xlpm.d))</f>
        <v>Marketing</v>
      </c>
      <c r="AI809" t="str">
        <f>_xlfn.LET(_xlpm.pid,tbl_FinancialData[[#This Row],[Product ID]],_xlpm.n,PROPER(TRIM(tbl_FinancialData[[#This Row],[Product Name]])),IF(_xlpm.pid="P020","Document Scanner",IF(_xlpm.pid="P015","Network Router",SUBSTITUTE(SUBSTITUTE(_xlpm.n,"Crm","CRM"),"Ups","UPS"))))</f>
        <v>Projector</v>
      </c>
      <c r="AJ809" s="3" t="str">
        <f>UPPER(TRIM(tbl_FinancialData[[#This Row],[Cost Center]]))</f>
        <v>CC-1004</v>
      </c>
    </row>
    <row r="810" spans="1:36" x14ac:dyDescent="0.25">
      <c r="A810" s="3" t="s">
        <v>1013</v>
      </c>
      <c r="B810" s="2">
        <v>45772</v>
      </c>
      <c r="C810" t="s">
        <v>128</v>
      </c>
      <c r="D810" s="3" t="str">
        <f t="shared" si="51"/>
        <v>Q1</v>
      </c>
      <c r="E810" s="3" t="str">
        <f t="shared" si="52"/>
        <v>FY2026</v>
      </c>
      <c r="F810" s="8" t="s">
        <v>34</v>
      </c>
      <c r="G810" s="3" t="s">
        <v>35</v>
      </c>
      <c r="H810" t="s">
        <v>98</v>
      </c>
      <c r="I810" t="s">
        <v>304</v>
      </c>
      <c r="J810" s="3" t="s">
        <v>38</v>
      </c>
      <c r="K810" t="s">
        <v>39</v>
      </c>
      <c r="L810" s="3" t="s">
        <v>72</v>
      </c>
      <c r="M810" s="3" t="s">
        <v>171</v>
      </c>
      <c r="N810" t="s">
        <v>172</v>
      </c>
      <c r="O810" t="s">
        <v>173</v>
      </c>
      <c r="P810" t="s">
        <v>174</v>
      </c>
      <c r="Q810" s="3">
        <v>45948.24</v>
      </c>
      <c r="R810" s="3">
        <v>42040.959999999999</v>
      </c>
      <c r="S810" s="3">
        <v>31423.56</v>
      </c>
      <c r="T810" s="3">
        <v>4134.6899999999996</v>
      </c>
      <c r="U810" s="3">
        <v>2306.23</v>
      </c>
      <c r="V810" s="3">
        <v>4091.5</v>
      </c>
      <c r="W810" s="3">
        <v>549.49</v>
      </c>
      <c r="X810" s="3">
        <v>42505.46</v>
      </c>
      <c r="Y810" s="3">
        <v>14524.67</v>
      </c>
      <c r="Z810" s="3">
        <f t="shared" si="53"/>
        <v>3442.7799999999988</v>
      </c>
      <c r="AA810" s="37">
        <f t="shared" si="54"/>
        <v>7.492735303898472E-2</v>
      </c>
      <c r="AB810" s="3">
        <v>3907.28</v>
      </c>
      <c r="AC810" s="3">
        <v>1378.45</v>
      </c>
      <c r="AD810" s="3">
        <v>8022.56</v>
      </c>
      <c r="AE810" s="3">
        <v>52592.35</v>
      </c>
      <c r="AF810" t="str">
        <f>IF(tbl_FinancialData[[#This Row],[City]]="","Unknown",PROPER(TRIM(tbl_FinancialData[[#This Row],[City]])))</f>
        <v>Pune</v>
      </c>
      <c r="AG810" t="str">
        <f>_xlfn.LET(_xlpm.city,LOWER(TRIM(tbl_FinancialData[[#This Row],[City]])),_xlpm.st,PROPER(TRIM(tbl_FinancialData[[#This Row],[State]])),IF(_xlpm.city="pune","Maharashtra",IF(_xlpm.city="jamshedpur","Jharkhand",IF(_xlpm.city="bhilai","Chhattisgarh",IF(_xlpm.city="mumbai","Maharashtra",_xlpm.st)))))</f>
        <v>Maharashtra</v>
      </c>
      <c r="AH810" t="str">
        <f>_xlfn.LET(_xlpm.d,PROPER(TRIM(tbl_FinancialData[[#This Row],[Department]])),IF(_xlpm.d="It","IT",_xlpm.d))</f>
        <v>Operations</v>
      </c>
      <c r="AI810" t="str">
        <f>_xlfn.LET(_xlpm.pid,tbl_FinancialData[[#This Row],[Product ID]],_xlpm.n,PROPER(TRIM(tbl_FinancialData[[#This Row],[Product Name]])),IF(_xlpm.pid="P020","Document Scanner",IF(_xlpm.pid="P015","Network Router",SUBSTITUTE(SUBSTITUTE(_xlpm.n,"Crm","CRM"),"Ups","UPS"))))</f>
        <v>Network Switch</v>
      </c>
      <c r="AJ810" s="3" t="str">
        <f>UPPER(TRIM(tbl_FinancialData[[#This Row],[Cost Center]]))</f>
        <v>CC-1004</v>
      </c>
    </row>
    <row r="811" spans="1:36" x14ac:dyDescent="0.25">
      <c r="A811" s="3" t="s">
        <v>1014</v>
      </c>
      <c r="B811" s="2">
        <v>45880</v>
      </c>
      <c r="C811" t="s">
        <v>117</v>
      </c>
      <c r="D811" s="3" t="str">
        <f t="shared" si="51"/>
        <v>Q2</v>
      </c>
      <c r="E811" s="3" t="str">
        <f t="shared" si="52"/>
        <v>FY2026</v>
      </c>
      <c r="F811" s="8" t="s">
        <v>67</v>
      </c>
      <c r="G811" s="3" t="s">
        <v>35</v>
      </c>
      <c r="H811" t="s">
        <v>68</v>
      </c>
      <c r="I811" t="s">
        <v>204</v>
      </c>
      <c r="J811" s="3" t="s">
        <v>70</v>
      </c>
      <c r="K811" t="s">
        <v>39</v>
      </c>
      <c r="L811" s="3" t="s">
        <v>51</v>
      </c>
      <c r="M811" s="3" t="s">
        <v>95</v>
      </c>
      <c r="N811" t="s">
        <v>96</v>
      </c>
      <c r="O811" t="s">
        <v>43</v>
      </c>
      <c r="P811" t="s">
        <v>90</v>
      </c>
      <c r="Q811" s="3">
        <v>22575.119999999999</v>
      </c>
      <c r="R811" s="3">
        <v>23692.59</v>
      </c>
      <c r="S811" s="3">
        <v>15611.92</v>
      </c>
      <c r="T811" s="3">
        <v>2557.52</v>
      </c>
      <c r="U811" s="3">
        <v>1376.33</v>
      </c>
      <c r="V811" s="3">
        <v>1036.42</v>
      </c>
      <c r="W811" s="3">
        <v>451.65</v>
      </c>
      <c r="X811" s="3">
        <v>21033.83</v>
      </c>
      <c r="Y811" s="3">
        <v>6963.21</v>
      </c>
      <c r="Z811" s="3">
        <f t="shared" si="53"/>
        <v>1541.2899999999972</v>
      </c>
      <c r="AA811" s="37">
        <f t="shared" si="54"/>
        <v>6.8273834203317521E-2</v>
      </c>
      <c r="AB811" s="3">
        <v>-1117.47</v>
      </c>
      <c r="AC811" s="3">
        <v>677.25</v>
      </c>
      <c r="AD811" s="3">
        <v>3941.62</v>
      </c>
      <c r="AE811" s="3">
        <v>25839.49</v>
      </c>
      <c r="AF811" t="str">
        <f>IF(tbl_FinancialData[[#This Row],[City]]="","Unknown",PROPER(TRIM(tbl_FinancialData[[#This Row],[City]])))</f>
        <v>Cuttack</v>
      </c>
      <c r="AG811" t="str">
        <f>_xlfn.LET(_xlpm.city,LOWER(TRIM(tbl_FinancialData[[#This Row],[City]])),_xlpm.st,PROPER(TRIM(tbl_FinancialData[[#This Row],[State]])),IF(_xlpm.city="pune","Maharashtra",IF(_xlpm.city="jamshedpur","Jharkhand",IF(_xlpm.city="bhilai","Chhattisgarh",IF(_xlpm.city="mumbai","Maharashtra",_xlpm.st)))))</f>
        <v>Odisha</v>
      </c>
      <c r="AH811" t="str">
        <f>_xlfn.LET(_xlpm.d,PROPER(TRIM(tbl_FinancialData[[#This Row],[Department]])),IF(_xlpm.d="It","IT",_xlpm.d))</f>
        <v>Operations</v>
      </c>
      <c r="AI811" t="str">
        <f>_xlfn.LET(_xlpm.pid,tbl_FinancialData[[#This Row],[Product ID]],_xlpm.n,PROPER(TRIM(tbl_FinancialData[[#This Row],[Product Name]])),IF(_xlpm.pid="P020","Document Scanner",IF(_xlpm.pid="P015","Network Router",SUBSTITUTE(SUBSTITUTE(_xlpm.n,"Crm","CRM"),"Ups","UPS"))))</f>
        <v>Document Scanner</v>
      </c>
      <c r="AJ811" s="3" t="str">
        <f>UPPER(TRIM(tbl_FinancialData[[#This Row],[Cost Center]]))</f>
        <v>CC-1003</v>
      </c>
    </row>
    <row r="812" spans="1:36" x14ac:dyDescent="0.25">
      <c r="A812" s="3" t="s">
        <v>1015</v>
      </c>
      <c r="B812" s="2">
        <v>45967</v>
      </c>
      <c r="C812" t="s">
        <v>147</v>
      </c>
      <c r="D812" s="3" t="str">
        <f t="shared" si="51"/>
        <v>Q3</v>
      </c>
      <c r="E812" s="3" t="str">
        <f t="shared" si="52"/>
        <v>FY2026</v>
      </c>
      <c r="F812" s="8" t="s">
        <v>34</v>
      </c>
      <c r="G812" s="3" t="s">
        <v>35</v>
      </c>
      <c r="H812" t="s">
        <v>134</v>
      </c>
      <c r="I812" t="s">
        <v>176</v>
      </c>
      <c r="J812" s="3" t="s">
        <v>80</v>
      </c>
      <c r="K812" t="s">
        <v>71</v>
      </c>
      <c r="L812" s="3" t="s">
        <v>72</v>
      </c>
      <c r="M812" s="3" t="s">
        <v>62</v>
      </c>
      <c r="N812" t="s">
        <v>63</v>
      </c>
      <c r="O812" t="s">
        <v>54</v>
      </c>
      <c r="P812" t="s">
        <v>55</v>
      </c>
      <c r="Q812" s="3">
        <v>8953.24</v>
      </c>
      <c r="R812" s="3">
        <v>9423.4500000000007</v>
      </c>
      <c r="S812" s="3">
        <v>4704.28</v>
      </c>
      <c r="T812" s="3">
        <v>879.81</v>
      </c>
      <c r="U812" s="3">
        <v>242.06</v>
      </c>
      <c r="V812" s="3">
        <v>443.25</v>
      </c>
      <c r="W812" s="3">
        <v>187.27</v>
      </c>
      <c r="X812" s="3">
        <v>6456.67</v>
      </c>
      <c r="Y812" s="3">
        <v>4248.96</v>
      </c>
      <c r="Z812" s="3">
        <f t="shared" si="53"/>
        <v>2496.5699999999997</v>
      </c>
      <c r="AA812" s="37">
        <f t="shared" si="54"/>
        <v>0.2788454235561651</v>
      </c>
      <c r="AB812" s="3">
        <v>-470.21</v>
      </c>
      <c r="AC812" s="3">
        <v>268.60000000000002</v>
      </c>
      <c r="AD812" s="3">
        <v>434.23</v>
      </c>
      <c r="AE812" s="3">
        <v>9118.8799999999992</v>
      </c>
      <c r="AF812" t="str">
        <f>IF(tbl_FinancialData[[#This Row],[City]]="","Unknown",PROPER(TRIM(tbl_FinancialData[[#This Row],[City]])))</f>
        <v>Jaipur</v>
      </c>
      <c r="AG812" t="str">
        <f>_xlfn.LET(_xlpm.city,LOWER(TRIM(tbl_FinancialData[[#This Row],[City]])),_xlpm.st,PROPER(TRIM(tbl_FinancialData[[#This Row],[State]])),IF(_xlpm.city="pune","Maharashtra",IF(_xlpm.city="jamshedpur","Jharkhand",IF(_xlpm.city="bhilai","Chhattisgarh",IF(_xlpm.city="mumbai","Maharashtra",_xlpm.st)))))</f>
        <v>Rajasthan</v>
      </c>
      <c r="AH812" t="str">
        <f>_xlfn.LET(_xlpm.d,PROPER(TRIM(tbl_FinancialData[[#This Row],[Department]])),IF(_xlpm.d="It","IT",_xlpm.d))</f>
        <v>Marketing</v>
      </c>
      <c r="AI812" t="str">
        <f>_xlfn.LET(_xlpm.pid,tbl_FinancialData[[#This Row],[Product ID]],_xlpm.n,PROPER(TRIM(tbl_FinancialData[[#This Row],[Product Name]])),IF(_xlpm.pid="P020","Document Scanner",IF(_xlpm.pid="P015","Network Router",SUBSTITUTE(SUBSTITUTE(_xlpm.n,"Crm","CRM"),"Ups","UPS"))))</f>
        <v>Keyboard</v>
      </c>
      <c r="AJ812" s="3" t="str">
        <f>UPPER(TRIM(tbl_FinancialData[[#This Row],[Cost Center]]))</f>
        <v>CC-1004</v>
      </c>
    </row>
    <row r="813" spans="1:36" x14ac:dyDescent="0.25">
      <c r="A813" s="3" t="s">
        <v>1016</v>
      </c>
      <c r="B813" s="2">
        <v>45826</v>
      </c>
      <c r="C813" t="s">
        <v>156</v>
      </c>
      <c r="D813" s="3" t="str">
        <f t="shared" si="51"/>
        <v>Q1</v>
      </c>
      <c r="E813" s="3" t="str">
        <f t="shared" si="52"/>
        <v>FY2026</v>
      </c>
      <c r="F813" s="8" t="s">
        <v>85</v>
      </c>
      <c r="G813" s="3" t="s">
        <v>35</v>
      </c>
      <c r="H813" t="s">
        <v>178</v>
      </c>
      <c r="I813" t="s">
        <v>179</v>
      </c>
      <c r="J813" s="3" t="s">
        <v>38</v>
      </c>
      <c r="K813" t="s">
        <v>39</v>
      </c>
      <c r="L813" s="3" t="s">
        <v>81</v>
      </c>
      <c r="M813" s="3" t="s">
        <v>141</v>
      </c>
      <c r="N813" t="s">
        <v>142</v>
      </c>
      <c r="O813" t="s">
        <v>54</v>
      </c>
      <c r="P813" t="s">
        <v>143</v>
      </c>
      <c r="Q813" s="3">
        <v>1363.48</v>
      </c>
      <c r="R813" s="3">
        <v>1464.72</v>
      </c>
      <c r="S813" s="3">
        <v>699.09</v>
      </c>
      <c r="T813" s="3">
        <v>132.46</v>
      </c>
      <c r="U813" s="3">
        <v>84.41</v>
      </c>
      <c r="V813" s="3">
        <v>160.46</v>
      </c>
      <c r="W813" s="3">
        <v>55.79</v>
      </c>
      <c r="X813" s="3">
        <v>1132.21</v>
      </c>
      <c r="Y813" s="3">
        <v>664.39</v>
      </c>
      <c r="Z813" s="3">
        <f t="shared" si="53"/>
        <v>231.26999999999998</v>
      </c>
      <c r="AA813" s="37">
        <f t="shared" si="54"/>
        <v>0.16961744946753893</v>
      </c>
      <c r="AB813" s="3">
        <v>-101.24</v>
      </c>
      <c r="AC813" s="3">
        <v>136.35</v>
      </c>
      <c r="AD813" s="3">
        <v>61.36</v>
      </c>
      <c r="AE813" s="3">
        <v>1288.49</v>
      </c>
      <c r="AF813" t="str">
        <f>IF(tbl_FinancialData[[#This Row],[City]]="","Unknown",PROPER(TRIM(tbl_FinancialData[[#This Row],[City]])))</f>
        <v>Bilaspur</v>
      </c>
      <c r="AG813" t="str">
        <f>_xlfn.LET(_xlpm.city,LOWER(TRIM(tbl_FinancialData[[#This Row],[City]])),_xlpm.st,PROPER(TRIM(tbl_FinancialData[[#This Row],[State]])),IF(_xlpm.city="pune","Maharashtra",IF(_xlpm.city="jamshedpur","Jharkhand",IF(_xlpm.city="bhilai","Chhattisgarh",IF(_xlpm.city="mumbai","Maharashtra",_xlpm.st)))))</f>
        <v>Chhattisgarh</v>
      </c>
      <c r="AH813" t="str">
        <f>_xlfn.LET(_xlpm.d,PROPER(TRIM(tbl_FinancialData[[#This Row],[Department]])),IF(_xlpm.d="It","IT",_xlpm.d))</f>
        <v>Operations</v>
      </c>
      <c r="AI813" t="str">
        <f>_xlfn.LET(_xlpm.pid,tbl_FinancialData[[#This Row],[Product ID]],_xlpm.n,PROPER(TRIM(tbl_FinancialData[[#This Row],[Product Name]])),IF(_xlpm.pid="P020","Document Scanner",IF(_xlpm.pid="P015","Network Router",SUBSTITUTE(SUBSTITUTE(_xlpm.n,"Crm","CRM"),"Ups","UPS"))))</f>
        <v>Headset</v>
      </c>
      <c r="AJ813" s="3" t="str">
        <f>UPPER(TRIM(tbl_FinancialData[[#This Row],[Cost Center]]))</f>
        <v>CC-1005</v>
      </c>
    </row>
    <row r="814" spans="1:36" x14ac:dyDescent="0.25">
      <c r="A814" s="3" t="s">
        <v>1017</v>
      </c>
      <c r="B814" s="2">
        <v>45967</v>
      </c>
      <c r="C814" t="s">
        <v>147</v>
      </c>
      <c r="D814" s="3" t="str">
        <f t="shared" si="51"/>
        <v>Q3</v>
      </c>
      <c r="E814" s="3" t="str">
        <f t="shared" si="52"/>
        <v>FY2026</v>
      </c>
      <c r="F814" s="8" t="s">
        <v>34</v>
      </c>
      <c r="G814" s="3" t="s">
        <v>35</v>
      </c>
      <c r="H814" t="s">
        <v>134</v>
      </c>
      <c r="I814" t="s">
        <v>135</v>
      </c>
      <c r="J814" s="3" t="s">
        <v>100</v>
      </c>
      <c r="K814" t="s">
        <v>50</v>
      </c>
      <c r="L814" s="3" t="s">
        <v>94</v>
      </c>
      <c r="M814" s="3" t="s">
        <v>211</v>
      </c>
      <c r="N814" t="s">
        <v>212</v>
      </c>
      <c r="O814" t="s">
        <v>112</v>
      </c>
      <c r="P814" t="s">
        <v>113</v>
      </c>
      <c r="Q814" s="3">
        <v>13890.45</v>
      </c>
      <c r="R814" s="3">
        <v>12989.26</v>
      </c>
      <c r="S814" s="3">
        <v>8372.56</v>
      </c>
      <c r="T814" s="3">
        <v>798.16</v>
      </c>
      <c r="U814" s="3">
        <v>1178.71</v>
      </c>
      <c r="V814" s="3">
        <v>937.84</v>
      </c>
      <c r="W814" s="3">
        <v>580.41</v>
      </c>
      <c r="X814" s="3">
        <v>11867.68</v>
      </c>
      <c r="Y814" s="3">
        <v>5517.89</v>
      </c>
      <c r="Z814" s="3">
        <f t="shared" si="53"/>
        <v>2022.7700000000004</v>
      </c>
      <c r="AA814" s="37">
        <f t="shared" si="54"/>
        <v>0.14562307196671095</v>
      </c>
      <c r="AB814" s="3">
        <v>901.19</v>
      </c>
      <c r="AC814" s="3">
        <v>1389.05</v>
      </c>
      <c r="AD814" s="3">
        <v>625.07000000000005</v>
      </c>
      <c r="AE814" s="3">
        <v>13126.48</v>
      </c>
      <c r="AF814" t="str">
        <f>IF(tbl_FinancialData[[#This Row],[City]]="","Unknown",PROPER(TRIM(tbl_FinancialData[[#This Row],[City]])))</f>
        <v>Jodhpur</v>
      </c>
      <c r="AG814" t="str">
        <f>_xlfn.LET(_xlpm.city,LOWER(TRIM(tbl_FinancialData[[#This Row],[City]])),_xlpm.st,PROPER(TRIM(tbl_FinancialData[[#This Row],[State]])),IF(_xlpm.city="pune","Maharashtra",IF(_xlpm.city="jamshedpur","Jharkhand",IF(_xlpm.city="bhilai","Chhattisgarh",IF(_xlpm.city="mumbai","Maharashtra",_xlpm.st)))))</f>
        <v>Rajasthan</v>
      </c>
      <c r="AH814" t="str">
        <f>_xlfn.LET(_xlpm.d,PROPER(TRIM(tbl_FinancialData[[#This Row],[Department]])),IF(_xlpm.d="It","IT",_xlpm.d))</f>
        <v>Sales</v>
      </c>
      <c r="AI814" t="str">
        <f>_xlfn.LET(_xlpm.pid,tbl_FinancialData[[#This Row],[Product ID]],_xlpm.n,PROPER(TRIM(tbl_FinancialData[[#This Row],[Product Name]])),IF(_xlpm.pid="P020","Document Scanner",IF(_xlpm.pid="P015","Network Router",SUBSTITUTE(SUBSTITUTE(_xlpm.n,"Crm","CRM"),"Ups","UPS"))))</f>
        <v>Office Chair</v>
      </c>
      <c r="AJ814" s="3" t="str">
        <f>UPPER(TRIM(tbl_FinancialData[[#This Row],[Cost Center]]))</f>
        <v>CC-1001</v>
      </c>
    </row>
    <row r="815" spans="1:36" x14ac:dyDescent="0.25">
      <c r="A815" s="3" t="s">
        <v>1018</v>
      </c>
      <c r="B815" s="2">
        <v>45826</v>
      </c>
      <c r="C815" t="s">
        <v>156</v>
      </c>
      <c r="D815" s="3" t="str">
        <f t="shared" si="51"/>
        <v>Q1</v>
      </c>
      <c r="E815" s="3" t="str">
        <f t="shared" si="52"/>
        <v>FY2026</v>
      </c>
      <c r="F815" s="8" t="s">
        <v>47</v>
      </c>
      <c r="G815" s="3" t="s">
        <v>35</v>
      </c>
      <c r="H815" t="s">
        <v>206</v>
      </c>
      <c r="I815" t="s">
        <v>296</v>
      </c>
      <c r="J815" s="3" t="s">
        <v>100</v>
      </c>
      <c r="K815" t="s">
        <v>39</v>
      </c>
      <c r="L815" s="3" t="s">
        <v>51</v>
      </c>
      <c r="M815" s="3" t="s">
        <v>82</v>
      </c>
      <c r="N815" t="s">
        <v>83</v>
      </c>
      <c r="O815" t="s">
        <v>43</v>
      </c>
      <c r="P815" t="s">
        <v>75</v>
      </c>
      <c r="Q815" s="3">
        <v>47341.81</v>
      </c>
      <c r="R815" s="3">
        <v>51501.87</v>
      </c>
      <c r="S815" s="3">
        <v>32581.99</v>
      </c>
      <c r="T815" s="3">
        <v>3754.99</v>
      </c>
      <c r="U815" s="3">
        <v>1316.52</v>
      </c>
      <c r="V815" s="3">
        <v>5583.75</v>
      </c>
      <c r="W815" s="3">
        <v>501.87</v>
      </c>
      <c r="X815" s="3">
        <v>43739.12</v>
      </c>
      <c r="Y815" s="3">
        <v>14759.83</v>
      </c>
      <c r="Z815" s="3">
        <f t="shared" si="53"/>
        <v>3602.6899999999951</v>
      </c>
      <c r="AA815" s="37">
        <f t="shared" si="54"/>
        <v>7.6099540765340298E-2</v>
      </c>
      <c r="AB815" s="3">
        <v>-4160.0600000000004</v>
      </c>
      <c r="AC815" s="3">
        <v>4734.18</v>
      </c>
      <c r="AD815" s="3">
        <v>5112.92</v>
      </c>
      <c r="AE815" s="3">
        <v>47720.55</v>
      </c>
      <c r="AF815" t="str">
        <f>IF(tbl_FinancialData[[#This Row],[City]]="","Unknown",PROPER(TRIM(tbl_FinancialData[[#This Row],[City]])))</f>
        <v>Warangal</v>
      </c>
      <c r="AG815" t="str">
        <f>_xlfn.LET(_xlpm.city,LOWER(TRIM(tbl_FinancialData[[#This Row],[City]])),_xlpm.st,PROPER(TRIM(tbl_FinancialData[[#This Row],[State]])),IF(_xlpm.city="pune","Maharashtra",IF(_xlpm.city="jamshedpur","Jharkhand",IF(_xlpm.city="bhilai","Chhattisgarh",IF(_xlpm.city="mumbai","Maharashtra",_xlpm.st)))))</f>
        <v>Telangana</v>
      </c>
      <c r="AH815" t="str">
        <f>_xlfn.LET(_xlpm.d,PROPER(TRIM(tbl_FinancialData[[#This Row],[Department]])),IF(_xlpm.d="It","IT",_xlpm.d))</f>
        <v>Operations</v>
      </c>
      <c r="AI815" t="str">
        <f>_xlfn.LET(_xlpm.pid,tbl_FinancialData[[#This Row],[Product ID]],_xlpm.n,PROPER(TRIM(tbl_FinancialData[[#This Row],[Product Name]])),IF(_xlpm.pid="P020","Document Scanner",IF(_xlpm.pid="P015","Network Router",SUBSTITUTE(SUBSTITUTE(_xlpm.n,"Crm","CRM"),"Ups","UPS"))))</f>
        <v>Business Laptop</v>
      </c>
      <c r="AJ815" s="3" t="str">
        <f>UPPER(TRIM(tbl_FinancialData[[#This Row],[Cost Center]]))</f>
        <v>CC-1003</v>
      </c>
    </row>
    <row r="816" spans="1:36" x14ac:dyDescent="0.25">
      <c r="A816" s="3" t="s">
        <v>1019</v>
      </c>
      <c r="B816" s="2">
        <v>45997</v>
      </c>
      <c r="C816" t="s">
        <v>107</v>
      </c>
      <c r="D816" s="3" t="str">
        <f t="shared" si="51"/>
        <v>Q3</v>
      </c>
      <c r="E816" s="3" t="str">
        <f t="shared" si="52"/>
        <v>FY2026</v>
      </c>
      <c r="F816" s="8" t="s">
        <v>47</v>
      </c>
      <c r="G816" s="3" t="s">
        <v>35</v>
      </c>
      <c r="H816" t="s">
        <v>48</v>
      </c>
      <c r="I816" t="s">
        <v>265</v>
      </c>
      <c r="J816" s="3" t="s">
        <v>70</v>
      </c>
      <c r="K816" t="s">
        <v>39</v>
      </c>
      <c r="L816" s="3" t="s">
        <v>94</v>
      </c>
      <c r="M816" s="3" t="s">
        <v>186</v>
      </c>
      <c r="N816" t="s">
        <v>187</v>
      </c>
      <c r="O816" t="s">
        <v>173</v>
      </c>
      <c r="P816" t="s">
        <v>174</v>
      </c>
      <c r="Q816" s="3">
        <v>16408.46</v>
      </c>
      <c r="R816" s="3">
        <v>16480.98</v>
      </c>
      <c r="S816" s="3">
        <v>8018.43</v>
      </c>
      <c r="T816" s="3">
        <v>1242.3499999999999</v>
      </c>
      <c r="U816" s="3">
        <v>1224.58</v>
      </c>
      <c r="V816" s="3">
        <v>1916.78</v>
      </c>
      <c r="W816" s="3">
        <v>322.67</v>
      </c>
      <c r="X816" s="3">
        <v>12724.8</v>
      </c>
      <c r="Y816" s="3">
        <v>8390.0300000000007</v>
      </c>
      <c r="Z816" s="3">
        <f t="shared" si="53"/>
        <v>3683.66</v>
      </c>
      <c r="AA816" s="37">
        <f t="shared" si="54"/>
        <v>0.22449760672238589</v>
      </c>
      <c r="AB816" s="3">
        <v>-72.52</v>
      </c>
      <c r="AC816" s="3">
        <v>328.17</v>
      </c>
      <c r="AD816" s="3">
        <v>1929.63</v>
      </c>
      <c r="AE816" s="3">
        <v>18009.919999999998</v>
      </c>
      <c r="AF816" t="str">
        <f>IF(tbl_FinancialData[[#This Row],[City]]="","Unknown",PROPER(TRIM(tbl_FinancialData[[#This Row],[City]])))</f>
        <v>Madurai</v>
      </c>
      <c r="AG816" t="str">
        <f>_xlfn.LET(_xlpm.city,LOWER(TRIM(tbl_FinancialData[[#This Row],[City]])),_xlpm.st,PROPER(TRIM(tbl_FinancialData[[#This Row],[State]])),IF(_xlpm.city="pune","Maharashtra",IF(_xlpm.city="jamshedpur","Jharkhand",IF(_xlpm.city="bhilai","Chhattisgarh",IF(_xlpm.city="mumbai","Maharashtra",_xlpm.st)))))</f>
        <v>Tamil Nadu</v>
      </c>
      <c r="AH816" t="str">
        <f>_xlfn.LET(_xlpm.d,PROPER(TRIM(tbl_FinancialData[[#This Row],[Department]])),IF(_xlpm.d="It","IT",_xlpm.d))</f>
        <v>Operations</v>
      </c>
      <c r="AI816" t="str">
        <f>_xlfn.LET(_xlpm.pid,tbl_FinancialData[[#This Row],[Product ID]],_xlpm.n,PROPER(TRIM(tbl_FinancialData[[#This Row],[Product Name]])),IF(_xlpm.pid="P020","Document Scanner",IF(_xlpm.pid="P015","Network Router",SUBSTITUTE(SUBSTITUTE(_xlpm.n,"Crm","CRM"),"Ups","UPS"))))</f>
        <v>Network Router</v>
      </c>
      <c r="AJ816" s="3" t="str">
        <f>UPPER(TRIM(tbl_FinancialData[[#This Row],[Cost Center]]))</f>
        <v>CC-1001</v>
      </c>
    </row>
    <row r="817" spans="1:36" x14ac:dyDescent="0.25">
      <c r="A817" s="3" t="s">
        <v>1020</v>
      </c>
      <c r="B817" s="2">
        <v>45778</v>
      </c>
      <c r="C817" t="s">
        <v>65</v>
      </c>
      <c r="D817" s="3" t="str">
        <f t="shared" si="51"/>
        <v>Q1</v>
      </c>
      <c r="E817" s="3" t="str">
        <f t="shared" si="52"/>
        <v>FY2026</v>
      </c>
      <c r="F817" s="8" t="s">
        <v>85</v>
      </c>
      <c r="G817" s="3" t="s">
        <v>35</v>
      </c>
      <c r="H817" t="s">
        <v>60</v>
      </c>
      <c r="I817" t="s">
        <v>108</v>
      </c>
      <c r="J817" s="3" t="s">
        <v>100</v>
      </c>
      <c r="K817" t="s">
        <v>39</v>
      </c>
      <c r="L817" s="3" t="s">
        <v>51</v>
      </c>
      <c r="M817" s="3" t="s">
        <v>102</v>
      </c>
      <c r="N817" t="s">
        <v>103</v>
      </c>
      <c r="O817" t="s">
        <v>104</v>
      </c>
      <c r="P817" t="s">
        <v>105</v>
      </c>
      <c r="Q817" s="3">
        <v>13925.04</v>
      </c>
      <c r="R817" s="3">
        <v>12724.23</v>
      </c>
      <c r="S817" s="3">
        <v>8955.7199999999993</v>
      </c>
      <c r="T817" s="3">
        <v>986.21</v>
      </c>
      <c r="U817" s="3">
        <v>778.58</v>
      </c>
      <c r="V817" s="3">
        <v>890.55</v>
      </c>
      <c r="W817" s="3">
        <v>296.79000000000002</v>
      </c>
      <c r="X817" s="3">
        <v>11907.85</v>
      </c>
      <c r="Y817" s="3">
        <v>4969.32</v>
      </c>
      <c r="Z817" s="3">
        <f t="shared" si="53"/>
        <v>2017.1900000000005</v>
      </c>
      <c r="AA817" s="37">
        <f t="shared" si="54"/>
        <v>0.14486062517594206</v>
      </c>
      <c r="AB817" s="3">
        <v>1200.81</v>
      </c>
      <c r="AC817" s="3">
        <v>278.5</v>
      </c>
      <c r="AD817" s="3">
        <v>2456.38</v>
      </c>
      <c r="AE817" s="3">
        <v>16102.92</v>
      </c>
      <c r="AF817" t="str">
        <f>IF(tbl_FinancialData[[#This Row],[City]]="","Unknown",PROPER(TRIM(tbl_FinancialData[[#This Row],[City]])))</f>
        <v>Agra</v>
      </c>
      <c r="AG817" t="str">
        <f>_xlfn.LET(_xlpm.city,LOWER(TRIM(tbl_FinancialData[[#This Row],[City]])),_xlpm.st,PROPER(TRIM(tbl_FinancialData[[#This Row],[State]])),IF(_xlpm.city="pune","Maharashtra",IF(_xlpm.city="jamshedpur","Jharkhand",IF(_xlpm.city="bhilai","Chhattisgarh",IF(_xlpm.city="mumbai","Maharashtra",_xlpm.st)))))</f>
        <v>Uttar Pradesh</v>
      </c>
      <c r="AH817" t="str">
        <f>_xlfn.LET(_xlpm.d,PROPER(TRIM(tbl_FinancialData[[#This Row],[Department]])),IF(_xlpm.d="It","IT",_xlpm.d))</f>
        <v>Operations</v>
      </c>
      <c r="AI817" t="str">
        <f>_xlfn.LET(_xlpm.pid,tbl_FinancialData[[#This Row],[Product ID]],_xlpm.n,PROPER(TRIM(tbl_FinancialData[[#This Row],[Product Name]])),IF(_xlpm.pid="P020","Document Scanner",IF(_xlpm.pid="P015","Network Router",SUBSTITUTE(SUBSTITUTE(_xlpm.n,"Crm","CRM"),"Ups","UPS"))))</f>
        <v>Accounting Software</v>
      </c>
      <c r="AJ817" s="3" t="str">
        <f>UPPER(TRIM(tbl_FinancialData[[#This Row],[Cost Center]]))</f>
        <v>CC-1003</v>
      </c>
    </row>
    <row r="818" spans="1:36" x14ac:dyDescent="0.25">
      <c r="A818" s="3" t="s">
        <v>1021</v>
      </c>
      <c r="B818" s="2">
        <v>46055</v>
      </c>
      <c r="C818" t="s">
        <v>57</v>
      </c>
      <c r="D818" s="3" t="str">
        <f t="shared" si="51"/>
        <v>Q4</v>
      </c>
      <c r="E818" s="3" t="str">
        <f t="shared" si="52"/>
        <v>FY2026</v>
      </c>
      <c r="F818" s="8" t="s">
        <v>34</v>
      </c>
      <c r="G818" s="3" t="s">
        <v>35</v>
      </c>
      <c r="H818" t="s">
        <v>36</v>
      </c>
      <c r="I818" t="s">
        <v>145</v>
      </c>
      <c r="J818" s="3" t="s">
        <v>38</v>
      </c>
      <c r="K818" t="s">
        <v>101</v>
      </c>
      <c r="L818" s="3" t="s">
        <v>72</v>
      </c>
      <c r="M818" s="3" t="s">
        <v>62</v>
      </c>
      <c r="N818" t="s">
        <v>63</v>
      </c>
      <c r="O818" t="s">
        <v>54</v>
      </c>
      <c r="P818" t="s">
        <v>55</v>
      </c>
      <c r="Q818" s="3">
        <v>10829.93</v>
      </c>
      <c r="R818" s="3">
        <v>10914.41</v>
      </c>
      <c r="S818" s="3">
        <v>6874.11</v>
      </c>
      <c r="T818" s="3">
        <v>694.91</v>
      </c>
      <c r="U818" s="3">
        <v>665.33</v>
      </c>
      <c r="V818" s="3">
        <v>1283.42</v>
      </c>
      <c r="W818" s="3">
        <v>304.77</v>
      </c>
      <c r="X818" s="3">
        <v>9822.52</v>
      </c>
      <c r="Y818" s="3">
        <v>3955.83</v>
      </c>
      <c r="Z818" s="3">
        <f t="shared" si="53"/>
        <v>1007.4099999999999</v>
      </c>
      <c r="AA818" s="37">
        <f t="shared" si="54"/>
        <v>9.3020915185970721E-2</v>
      </c>
      <c r="AB818" s="3">
        <v>-84.48</v>
      </c>
      <c r="AC818" s="3">
        <v>866.39</v>
      </c>
      <c r="AD818" s="3">
        <v>1195.6199999999999</v>
      </c>
      <c r="AE818" s="3">
        <v>11159.16</v>
      </c>
      <c r="AF818" t="str">
        <f>IF(tbl_FinancialData[[#This Row],[City]]="","Unknown",PROPER(TRIM(tbl_FinancialData[[#This Row],[City]])))</f>
        <v>Panaji</v>
      </c>
      <c r="AG818" t="str">
        <f>_xlfn.LET(_xlpm.city,LOWER(TRIM(tbl_FinancialData[[#This Row],[City]])),_xlpm.st,PROPER(TRIM(tbl_FinancialData[[#This Row],[State]])),IF(_xlpm.city="pune","Maharashtra",IF(_xlpm.city="jamshedpur","Jharkhand",IF(_xlpm.city="bhilai","Chhattisgarh",IF(_xlpm.city="mumbai","Maharashtra",_xlpm.st)))))</f>
        <v>Goa</v>
      </c>
      <c r="AH818" t="str">
        <f>_xlfn.LET(_xlpm.d,PROPER(TRIM(tbl_FinancialData[[#This Row],[Department]])),IF(_xlpm.d="It","IT",_xlpm.d))</f>
        <v>Finance</v>
      </c>
      <c r="AI818" t="str">
        <f>_xlfn.LET(_xlpm.pid,tbl_FinancialData[[#This Row],[Product ID]],_xlpm.n,PROPER(TRIM(tbl_FinancialData[[#This Row],[Product Name]])),IF(_xlpm.pid="P020","Document Scanner",IF(_xlpm.pid="P015","Network Router",SUBSTITUTE(SUBSTITUTE(_xlpm.n,"Crm","CRM"),"Ups","UPS"))))</f>
        <v>Keyboard</v>
      </c>
      <c r="AJ818" s="3" t="str">
        <f>UPPER(TRIM(tbl_FinancialData[[#This Row],[Cost Center]]))</f>
        <v>CC-1004</v>
      </c>
    </row>
    <row r="819" spans="1:36" x14ac:dyDescent="0.25">
      <c r="A819" s="3" t="s">
        <v>1022</v>
      </c>
      <c r="B819" s="2">
        <v>45814</v>
      </c>
      <c r="C819" t="s">
        <v>156</v>
      </c>
      <c r="D819" s="3" t="str">
        <f t="shared" si="51"/>
        <v>Q1</v>
      </c>
      <c r="E819" s="3" t="str">
        <f t="shared" si="52"/>
        <v>FY2026</v>
      </c>
      <c r="F819" s="8" t="s">
        <v>34</v>
      </c>
      <c r="G819" s="3" t="s">
        <v>35</v>
      </c>
      <c r="H819" t="s">
        <v>157</v>
      </c>
      <c r="I819" t="s">
        <v>166</v>
      </c>
      <c r="J819" s="3" t="s">
        <v>38</v>
      </c>
      <c r="K819" t="s">
        <v>71</v>
      </c>
      <c r="L819" s="3" t="s">
        <v>72</v>
      </c>
      <c r="M819" s="3" t="s">
        <v>161</v>
      </c>
      <c r="N819" t="s">
        <v>162</v>
      </c>
      <c r="O819" t="s">
        <v>43</v>
      </c>
      <c r="P819" t="s">
        <v>163</v>
      </c>
      <c r="Q819" s="3">
        <v>32417.98</v>
      </c>
      <c r="R819" s="3">
        <v>32591.3</v>
      </c>
      <c r="S819" s="3">
        <v>16850.650000000001</v>
      </c>
      <c r="T819" s="3">
        <v>2020.26</v>
      </c>
      <c r="U819" s="3">
        <v>2301.19</v>
      </c>
      <c r="V819" s="3">
        <v>3824.47</v>
      </c>
      <c r="W819" s="3">
        <v>588.66</v>
      </c>
      <c r="X819" s="3">
        <v>25585.23</v>
      </c>
      <c r="Y819" s="3">
        <v>15567.32</v>
      </c>
      <c r="Z819" s="3">
        <f t="shared" si="53"/>
        <v>6832.75</v>
      </c>
      <c r="AA819" s="37">
        <f t="shared" si="54"/>
        <v>0.21077038112800367</v>
      </c>
      <c r="AB819" s="3">
        <v>-173.32</v>
      </c>
      <c r="AC819" s="3">
        <v>1620.9</v>
      </c>
      <c r="AD819" s="3">
        <v>1539.85</v>
      </c>
      <c r="AE819" s="3">
        <v>32336.93</v>
      </c>
      <c r="AF819" t="str">
        <f>IF(tbl_FinancialData[[#This Row],[City]]="","Unknown",PROPER(TRIM(tbl_FinancialData[[#This Row],[City]])))</f>
        <v>Vadodara</v>
      </c>
      <c r="AG819" t="str">
        <f>_xlfn.LET(_xlpm.city,LOWER(TRIM(tbl_FinancialData[[#This Row],[City]])),_xlpm.st,PROPER(TRIM(tbl_FinancialData[[#This Row],[State]])),IF(_xlpm.city="pune","Maharashtra",IF(_xlpm.city="jamshedpur","Jharkhand",IF(_xlpm.city="bhilai","Chhattisgarh",IF(_xlpm.city="mumbai","Maharashtra",_xlpm.st)))))</f>
        <v>Gujarat</v>
      </c>
      <c r="AH819" t="str">
        <f>_xlfn.LET(_xlpm.d,PROPER(TRIM(tbl_FinancialData[[#This Row],[Department]])),IF(_xlpm.d="It","IT",_xlpm.d))</f>
        <v>Marketing</v>
      </c>
      <c r="AI819" t="str">
        <f>_xlfn.LET(_xlpm.pid,tbl_FinancialData[[#This Row],[Product ID]],_xlpm.n,PROPER(TRIM(tbl_FinancialData[[#This Row],[Product Name]])),IF(_xlpm.pid="P020","Document Scanner",IF(_xlpm.pid="P015","Network Router",SUBSTITUTE(SUBSTITUTE(_xlpm.n,"Crm","CRM"),"Ups","UPS"))))</f>
        <v>Tablet</v>
      </c>
      <c r="AJ819" s="3" t="str">
        <f>UPPER(TRIM(tbl_FinancialData[[#This Row],[Cost Center]]))</f>
        <v>CC-1004</v>
      </c>
    </row>
    <row r="820" spans="1:36" x14ac:dyDescent="0.25">
      <c r="A820" s="3" t="s">
        <v>1023</v>
      </c>
      <c r="B820" s="2">
        <v>45775</v>
      </c>
      <c r="C820" t="s">
        <v>128</v>
      </c>
      <c r="D820" s="3" t="str">
        <f t="shared" si="51"/>
        <v>Q1</v>
      </c>
      <c r="E820" s="3" t="str">
        <f t="shared" si="52"/>
        <v>FY2026</v>
      </c>
      <c r="F820" s="8" t="s">
        <v>67</v>
      </c>
      <c r="G820" s="3" t="s">
        <v>35</v>
      </c>
      <c r="H820" t="s">
        <v>168</v>
      </c>
      <c r="I820" t="s">
        <v>169</v>
      </c>
      <c r="J820" s="3" t="s">
        <v>38</v>
      </c>
      <c r="K820" t="s">
        <v>71</v>
      </c>
      <c r="L820" s="3" t="s">
        <v>40</v>
      </c>
      <c r="M820" s="3" t="s">
        <v>120</v>
      </c>
      <c r="N820" t="s">
        <v>121</v>
      </c>
      <c r="O820" t="s">
        <v>43</v>
      </c>
      <c r="P820" t="s">
        <v>122</v>
      </c>
      <c r="Q820" s="3">
        <v>70525.3</v>
      </c>
      <c r="R820" s="3">
        <v>79347.350000000006</v>
      </c>
      <c r="S820" s="3">
        <v>44914.36</v>
      </c>
      <c r="T820" s="3">
        <v>8262.02</v>
      </c>
      <c r="U820" s="3">
        <v>6092.8</v>
      </c>
      <c r="V820" s="3">
        <v>4360.84</v>
      </c>
      <c r="W820" s="3">
        <v>1124.04</v>
      </c>
      <c r="X820" s="3">
        <v>64754.07</v>
      </c>
      <c r="Y820" s="3">
        <v>25610.94</v>
      </c>
      <c r="Z820" s="3">
        <f t="shared" si="53"/>
        <v>5771.2300000000032</v>
      </c>
      <c r="AA820" s="37">
        <f t="shared" si="54"/>
        <v>8.183205176014853E-2</v>
      </c>
      <c r="AB820" s="3">
        <v>-8822.0499999999993</v>
      </c>
      <c r="AC820" s="3">
        <v>2115.7600000000002</v>
      </c>
      <c r="AD820" s="3">
        <v>12313.72</v>
      </c>
      <c r="AE820" s="3">
        <v>80723.259999999995</v>
      </c>
      <c r="AF820" t="str">
        <f>IF(tbl_FinancialData[[#This Row],[City]]="","Unknown",PROPER(TRIM(tbl_FinancialData[[#This Row],[City]])))</f>
        <v>Kolkata</v>
      </c>
      <c r="AG820" t="str">
        <f>_xlfn.LET(_xlpm.city,LOWER(TRIM(tbl_FinancialData[[#This Row],[City]])),_xlpm.st,PROPER(TRIM(tbl_FinancialData[[#This Row],[State]])),IF(_xlpm.city="pune","Maharashtra",IF(_xlpm.city="jamshedpur","Jharkhand",IF(_xlpm.city="bhilai","Chhattisgarh",IF(_xlpm.city="mumbai","Maharashtra",_xlpm.st)))))</f>
        <v>West Bengal</v>
      </c>
      <c r="AH820" t="str">
        <f>_xlfn.LET(_xlpm.d,PROPER(TRIM(tbl_FinancialData[[#This Row],[Department]])),IF(_xlpm.d="It","IT",_xlpm.d))</f>
        <v>Marketing</v>
      </c>
      <c r="AI820" t="str">
        <f>_xlfn.LET(_xlpm.pid,tbl_FinancialData[[#This Row],[Product ID]],_xlpm.n,PROPER(TRIM(tbl_FinancialData[[#This Row],[Product Name]])),IF(_xlpm.pid="P020","Document Scanner",IF(_xlpm.pid="P015","Network Router",SUBSTITUTE(SUBSTITUTE(_xlpm.n,"Crm","CRM"),"Ups","UPS"))))</f>
        <v>Projector</v>
      </c>
      <c r="AJ820" s="3" t="str">
        <f>UPPER(TRIM(tbl_FinancialData[[#This Row],[Cost Center]]))</f>
        <v>CC-1002</v>
      </c>
    </row>
    <row r="821" spans="1:36" x14ac:dyDescent="0.25">
      <c r="A821" s="3" t="s">
        <v>1024</v>
      </c>
      <c r="B821" s="2">
        <v>45923</v>
      </c>
      <c r="C821" t="s">
        <v>46</v>
      </c>
      <c r="D821" s="3" t="str">
        <f t="shared" si="51"/>
        <v>Q2</v>
      </c>
      <c r="E821" s="3" t="str">
        <f t="shared" si="52"/>
        <v>FY2026</v>
      </c>
      <c r="F821" s="8" t="s">
        <v>34</v>
      </c>
      <c r="G821" s="3" t="s">
        <v>35</v>
      </c>
      <c r="H821" t="s">
        <v>157</v>
      </c>
      <c r="I821" t="s">
        <v>166</v>
      </c>
      <c r="J821" s="3" t="s">
        <v>100</v>
      </c>
      <c r="K821" t="s">
        <v>160</v>
      </c>
      <c r="L821" s="3" t="s">
        <v>94</v>
      </c>
      <c r="M821" s="3" t="s">
        <v>235</v>
      </c>
      <c r="N821" t="s">
        <v>236</v>
      </c>
      <c r="O821" t="s">
        <v>104</v>
      </c>
      <c r="P821" t="s">
        <v>237</v>
      </c>
      <c r="Q821" s="3">
        <v>11236.66</v>
      </c>
      <c r="R821" s="3">
        <v>10246.620000000001</v>
      </c>
      <c r="S821" s="3">
        <v>7838.9</v>
      </c>
      <c r="T821" s="3">
        <v>1458.65</v>
      </c>
      <c r="U821" s="3">
        <v>400.78</v>
      </c>
      <c r="V821" s="3">
        <v>498.48</v>
      </c>
      <c r="W821" s="3">
        <v>242.04</v>
      </c>
      <c r="X821" s="3">
        <v>10438.86</v>
      </c>
      <c r="Y821" s="3">
        <v>3397.76</v>
      </c>
      <c r="Z821" s="3">
        <f t="shared" si="53"/>
        <v>797.79999999999927</v>
      </c>
      <c r="AA821" s="37">
        <f t="shared" si="54"/>
        <v>7.0999745475968767E-2</v>
      </c>
      <c r="AB821" s="3">
        <v>990.04</v>
      </c>
      <c r="AC821" s="3">
        <v>337.1</v>
      </c>
      <c r="AD821" s="3">
        <v>544.98</v>
      </c>
      <c r="AE821" s="3">
        <v>11444.54</v>
      </c>
      <c r="AF821" t="str">
        <f>IF(tbl_FinancialData[[#This Row],[City]]="","Unknown",PROPER(TRIM(tbl_FinancialData[[#This Row],[City]])))</f>
        <v>Vadodara</v>
      </c>
      <c r="AG821" t="str">
        <f>_xlfn.LET(_xlpm.city,LOWER(TRIM(tbl_FinancialData[[#This Row],[City]])),_xlpm.st,PROPER(TRIM(tbl_FinancialData[[#This Row],[State]])),IF(_xlpm.city="pune","Maharashtra",IF(_xlpm.city="jamshedpur","Jharkhand",IF(_xlpm.city="bhilai","Chhattisgarh",IF(_xlpm.city="mumbai","Maharashtra",_xlpm.st)))))</f>
        <v>Gujarat</v>
      </c>
      <c r="AH821" t="str">
        <f>_xlfn.LET(_xlpm.d,PROPER(TRIM(tbl_FinancialData[[#This Row],[Department]])),IF(_xlpm.d="It","IT",_xlpm.d))</f>
        <v>IT</v>
      </c>
      <c r="AI821" t="str">
        <f>_xlfn.LET(_xlpm.pid,tbl_FinancialData[[#This Row],[Product ID]],_xlpm.n,PROPER(TRIM(tbl_FinancialData[[#This Row],[Product Name]])),IF(_xlpm.pid="P020","Document Scanner",IF(_xlpm.pid="P015","Network Router",SUBSTITUTE(SUBSTITUTE(_xlpm.n,"Crm","CRM"),"Ups","UPS"))))</f>
        <v>Data Storage</v>
      </c>
      <c r="AJ821" s="3" t="str">
        <f>UPPER(TRIM(tbl_FinancialData[[#This Row],[Cost Center]]))</f>
        <v>CC-1001</v>
      </c>
    </row>
    <row r="822" spans="1:36" x14ac:dyDescent="0.25">
      <c r="A822" s="3" t="s">
        <v>1025</v>
      </c>
      <c r="B822" s="2">
        <v>45941</v>
      </c>
      <c r="C822" t="s">
        <v>92</v>
      </c>
      <c r="D822" s="3" t="str">
        <f t="shared" si="51"/>
        <v>Q3</v>
      </c>
      <c r="E822" s="3" t="str">
        <f t="shared" si="52"/>
        <v>FY2026</v>
      </c>
      <c r="F822" s="8" t="s">
        <v>34</v>
      </c>
      <c r="G822" s="3" t="s">
        <v>35</v>
      </c>
      <c r="H822" t="s">
        <v>98</v>
      </c>
      <c r="I822" t="s">
        <v>149</v>
      </c>
      <c r="J822" s="3" t="s">
        <v>80</v>
      </c>
      <c r="K822" t="s">
        <v>71</v>
      </c>
      <c r="L822" s="3" t="s">
        <v>40</v>
      </c>
      <c r="M822" s="3" t="s">
        <v>82</v>
      </c>
      <c r="N822" t="s">
        <v>83</v>
      </c>
      <c r="O822" t="s">
        <v>43</v>
      </c>
      <c r="P822" t="s">
        <v>75</v>
      </c>
      <c r="Q822" s="3">
        <v>46893.38</v>
      </c>
      <c r="R822" s="3">
        <v>54905.58</v>
      </c>
      <c r="S822" s="3">
        <v>24463.03</v>
      </c>
      <c r="T822" s="3">
        <v>3181.29</v>
      </c>
      <c r="U822" s="3">
        <v>2774.49</v>
      </c>
      <c r="V822" s="3">
        <v>2218.06</v>
      </c>
      <c r="W822" s="3">
        <v>1185.26</v>
      </c>
      <c r="X822" s="3">
        <v>33822.14</v>
      </c>
      <c r="Y822" s="3">
        <v>22430.35</v>
      </c>
      <c r="Z822" s="3">
        <f t="shared" si="53"/>
        <v>13071.239999999998</v>
      </c>
      <c r="AA822" s="37">
        <f t="shared" si="54"/>
        <v>0.27874382268883152</v>
      </c>
      <c r="AB822" s="3">
        <v>-8012.19</v>
      </c>
      <c r="AC822" s="3">
        <v>2344.67</v>
      </c>
      <c r="AD822" s="3">
        <v>5345.85</v>
      </c>
      <c r="AE822" s="3">
        <v>49894.559999999998</v>
      </c>
      <c r="AF822" t="str">
        <f>IF(tbl_FinancialData[[#This Row],[City]]="","Unknown",PROPER(TRIM(tbl_FinancialData[[#This Row],[City]])))</f>
        <v>Nagpur</v>
      </c>
      <c r="AG822" t="str">
        <f>_xlfn.LET(_xlpm.city,LOWER(TRIM(tbl_FinancialData[[#This Row],[City]])),_xlpm.st,PROPER(TRIM(tbl_FinancialData[[#This Row],[State]])),IF(_xlpm.city="pune","Maharashtra",IF(_xlpm.city="jamshedpur","Jharkhand",IF(_xlpm.city="bhilai","Chhattisgarh",IF(_xlpm.city="mumbai","Maharashtra",_xlpm.st)))))</f>
        <v>Maharashtra</v>
      </c>
      <c r="AH822" t="str">
        <f>_xlfn.LET(_xlpm.d,PROPER(TRIM(tbl_FinancialData[[#This Row],[Department]])),IF(_xlpm.d="It","IT",_xlpm.d))</f>
        <v>Marketing</v>
      </c>
      <c r="AI822" t="str">
        <f>_xlfn.LET(_xlpm.pid,tbl_FinancialData[[#This Row],[Product ID]],_xlpm.n,PROPER(TRIM(tbl_FinancialData[[#This Row],[Product Name]])),IF(_xlpm.pid="P020","Document Scanner",IF(_xlpm.pid="P015","Network Router",SUBSTITUTE(SUBSTITUTE(_xlpm.n,"Crm","CRM"),"Ups","UPS"))))</f>
        <v>Business Laptop</v>
      </c>
      <c r="AJ822" s="3" t="str">
        <f>UPPER(TRIM(tbl_FinancialData[[#This Row],[Cost Center]]))</f>
        <v>CC-1002</v>
      </c>
    </row>
    <row r="823" spans="1:36" x14ac:dyDescent="0.25">
      <c r="A823" s="3" t="s">
        <v>1026</v>
      </c>
      <c r="B823" s="2">
        <v>45948</v>
      </c>
      <c r="C823" t="s">
        <v>92</v>
      </c>
      <c r="D823" s="3" t="str">
        <f t="shared" si="51"/>
        <v>Q3</v>
      </c>
      <c r="E823" s="3" t="str">
        <f t="shared" si="52"/>
        <v>FY2026</v>
      </c>
      <c r="F823" s="8" t="s">
        <v>59</v>
      </c>
      <c r="G823" s="3" t="s">
        <v>35</v>
      </c>
      <c r="H823" t="s">
        <v>230</v>
      </c>
      <c r="I823" t="s">
        <v>363</v>
      </c>
      <c r="J823" s="3" t="s">
        <v>70</v>
      </c>
      <c r="K823" t="s">
        <v>160</v>
      </c>
      <c r="L823" s="3" t="s">
        <v>1027</v>
      </c>
      <c r="M823" s="3" t="s">
        <v>88</v>
      </c>
      <c r="N823" t="s">
        <v>89</v>
      </c>
      <c r="O823" t="s">
        <v>43</v>
      </c>
      <c r="P823" t="s">
        <v>90</v>
      </c>
      <c r="Q823" s="3">
        <v>22834.47</v>
      </c>
      <c r="R823" s="3">
        <v>20813.2</v>
      </c>
      <c r="S823" s="3">
        <v>11083.01</v>
      </c>
      <c r="T823" s="3">
        <v>1455.04</v>
      </c>
      <c r="U823" s="3">
        <v>1409.23</v>
      </c>
      <c r="V823" s="3">
        <v>2198.21</v>
      </c>
      <c r="W823" s="3">
        <v>390.17</v>
      </c>
      <c r="X823" s="3">
        <v>16535.66</v>
      </c>
      <c r="Y823" s="3">
        <v>11751.46</v>
      </c>
      <c r="Z823" s="3">
        <f t="shared" si="53"/>
        <v>6298.8100000000013</v>
      </c>
      <c r="AA823" s="37">
        <f t="shared" si="54"/>
        <v>0.2758465600471568</v>
      </c>
      <c r="AB823" s="3">
        <v>2021.27</v>
      </c>
      <c r="AC823" s="3">
        <v>1141.72</v>
      </c>
      <c r="AD823" s="3">
        <v>1084.6400000000001</v>
      </c>
      <c r="AE823" s="3">
        <v>22777.38</v>
      </c>
      <c r="AF823" t="str">
        <f>IF(tbl_FinancialData[[#This Row],[City]]="","Unknown",PROPER(TRIM(tbl_FinancialData[[#This Row],[City]])))</f>
        <v>Jalandhar</v>
      </c>
      <c r="AG823" t="str">
        <f>_xlfn.LET(_xlpm.city,LOWER(TRIM(tbl_FinancialData[[#This Row],[City]])),_xlpm.st,PROPER(TRIM(tbl_FinancialData[[#This Row],[State]])),IF(_xlpm.city="pune","Maharashtra",IF(_xlpm.city="jamshedpur","Jharkhand",IF(_xlpm.city="bhilai","Chhattisgarh",IF(_xlpm.city="mumbai","Maharashtra",_xlpm.st)))))</f>
        <v>Punjab</v>
      </c>
      <c r="AH823" t="str">
        <f>_xlfn.LET(_xlpm.d,PROPER(TRIM(tbl_FinancialData[[#This Row],[Department]])),IF(_xlpm.d="It","IT",_xlpm.d))</f>
        <v>IT</v>
      </c>
      <c r="AI823" t="str">
        <f>_xlfn.LET(_xlpm.pid,tbl_FinancialData[[#This Row],[Product ID]],_xlpm.n,PROPER(TRIM(tbl_FinancialData[[#This Row],[Product Name]])),IF(_xlpm.pid="P020","Document Scanner",IF(_xlpm.pid="P015","Network Router",SUBSTITUTE(SUBSTITUTE(_xlpm.n,"Crm","CRM"),"Ups","UPS"))))</f>
        <v>Printer</v>
      </c>
      <c r="AJ823" s="3" t="str">
        <f>UPPER(TRIM(tbl_FinancialData[[#This Row],[Cost Center]]))</f>
        <v>CC-1003</v>
      </c>
    </row>
    <row r="824" spans="1:36" x14ac:dyDescent="0.25">
      <c r="A824" s="3" t="s">
        <v>1028</v>
      </c>
      <c r="B824" s="2">
        <v>45909</v>
      </c>
      <c r="C824" t="s">
        <v>46</v>
      </c>
      <c r="D824" s="3" t="str">
        <f t="shared" si="51"/>
        <v>Q2</v>
      </c>
      <c r="E824" s="3" t="str">
        <f t="shared" si="52"/>
        <v>FY2026</v>
      </c>
      <c r="F824" s="8" t="s">
        <v>67</v>
      </c>
      <c r="G824" s="3" t="s">
        <v>35</v>
      </c>
      <c r="H824" t="s">
        <v>217</v>
      </c>
      <c r="I824" t="s">
        <v>284</v>
      </c>
      <c r="J824" s="3" t="s">
        <v>100</v>
      </c>
      <c r="K824" t="s">
        <v>39</v>
      </c>
      <c r="L824" s="3" t="s">
        <v>81</v>
      </c>
      <c r="M824" s="3" t="s">
        <v>41</v>
      </c>
      <c r="N824" t="s">
        <v>42</v>
      </c>
      <c r="O824" t="s">
        <v>43</v>
      </c>
      <c r="P824" t="s">
        <v>44</v>
      </c>
      <c r="Q824" s="3">
        <v>47090.05</v>
      </c>
      <c r="R824" s="3">
        <v>54902.95</v>
      </c>
      <c r="S824" s="3">
        <v>25788.31</v>
      </c>
      <c r="T824" s="3">
        <v>3793.71</v>
      </c>
      <c r="U824" s="3">
        <v>1457.74</v>
      </c>
      <c r="V824" s="3">
        <v>2306.56</v>
      </c>
      <c r="W824" s="3">
        <v>1668.68</v>
      </c>
      <c r="X824" s="3">
        <v>35014.99</v>
      </c>
      <c r="Y824" s="3">
        <v>21301.74</v>
      </c>
      <c r="Z824" s="3">
        <f t="shared" si="53"/>
        <v>12075.060000000005</v>
      </c>
      <c r="AA824" s="37">
        <f t="shared" si="54"/>
        <v>0.2564248710714897</v>
      </c>
      <c r="AB824" s="3">
        <v>-7812.9</v>
      </c>
      <c r="AC824" s="3">
        <v>4709.01</v>
      </c>
      <c r="AD824" s="3">
        <v>7628.59</v>
      </c>
      <c r="AE824" s="3">
        <v>50009.63</v>
      </c>
      <c r="AF824" t="str">
        <f>IF(tbl_FinancialData[[#This Row],[City]]="","Unknown",PROPER(TRIM(tbl_FinancialData[[#This Row],[City]])))</f>
        <v>Patna</v>
      </c>
      <c r="AG824" t="str">
        <f>_xlfn.LET(_xlpm.city,LOWER(TRIM(tbl_FinancialData[[#This Row],[City]])),_xlpm.st,PROPER(TRIM(tbl_FinancialData[[#This Row],[State]])),IF(_xlpm.city="pune","Maharashtra",IF(_xlpm.city="jamshedpur","Jharkhand",IF(_xlpm.city="bhilai","Chhattisgarh",IF(_xlpm.city="mumbai","Maharashtra",_xlpm.st)))))</f>
        <v>Bihar</v>
      </c>
      <c r="AH824" t="str">
        <f>_xlfn.LET(_xlpm.d,PROPER(TRIM(tbl_FinancialData[[#This Row],[Department]])),IF(_xlpm.d="It","IT",_xlpm.d))</f>
        <v>Operations</v>
      </c>
      <c r="AI824" t="str">
        <f>_xlfn.LET(_xlpm.pid,tbl_FinancialData[[#This Row],[Product ID]],_xlpm.n,PROPER(TRIM(tbl_FinancialData[[#This Row],[Product Name]])),IF(_xlpm.pid="P020","Document Scanner",IF(_xlpm.pid="P015","Network Router",SUBSTITUTE(SUBSTITUTE(_xlpm.n,"Crm","CRM"),"Ups","UPS"))))</f>
        <v>Conference Camera</v>
      </c>
      <c r="AJ824" s="3" t="str">
        <f>UPPER(TRIM(tbl_FinancialData[[#This Row],[Cost Center]]))</f>
        <v>CC-1005</v>
      </c>
    </row>
    <row r="825" spans="1:36" x14ac:dyDescent="0.25">
      <c r="A825" s="3" t="s">
        <v>1029</v>
      </c>
      <c r="B825" s="2">
        <v>45834</v>
      </c>
      <c r="C825" t="s">
        <v>156</v>
      </c>
      <c r="D825" s="3" t="str">
        <f t="shared" si="51"/>
        <v>Q1</v>
      </c>
      <c r="E825" s="3" t="str">
        <f t="shared" si="52"/>
        <v>FY2026</v>
      </c>
      <c r="F825" s="8" t="s">
        <v>34</v>
      </c>
      <c r="G825" s="3" t="s">
        <v>35</v>
      </c>
      <c r="H825" t="s">
        <v>134</v>
      </c>
      <c r="I825" t="s">
        <v>154</v>
      </c>
      <c r="J825" s="3" t="s">
        <v>70</v>
      </c>
      <c r="K825" t="s">
        <v>50</v>
      </c>
      <c r="L825" s="3" t="s">
        <v>81</v>
      </c>
      <c r="M825" s="3" t="s">
        <v>130</v>
      </c>
      <c r="N825" t="s">
        <v>131</v>
      </c>
      <c r="O825" t="s">
        <v>43</v>
      </c>
      <c r="P825" t="s">
        <v>132</v>
      </c>
      <c r="Q825" s="3">
        <v>30855.87</v>
      </c>
      <c r="R825" s="3">
        <v>27730.03</v>
      </c>
      <c r="S825" s="3">
        <v>16140.3</v>
      </c>
      <c r="T825" s="3">
        <v>1850.12</v>
      </c>
      <c r="U825" s="3">
        <v>2606.31</v>
      </c>
      <c r="V825" s="3">
        <v>1580.48</v>
      </c>
      <c r="W825" s="3">
        <v>889.2</v>
      </c>
      <c r="X825" s="3">
        <v>23066.400000000001</v>
      </c>
      <c r="Y825" s="3">
        <v>14715.57</v>
      </c>
      <c r="Z825" s="3">
        <f t="shared" si="53"/>
        <v>7789.4699999999975</v>
      </c>
      <c r="AA825" s="37">
        <f t="shared" si="54"/>
        <v>0.25244694121410277</v>
      </c>
      <c r="AB825" s="3">
        <v>3125.84</v>
      </c>
      <c r="AC825" s="3">
        <v>1542.79</v>
      </c>
      <c r="AD825" s="3">
        <v>3517.57</v>
      </c>
      <c r="AE825" s="3">
        <v>32830.65</v>
      </c>
      <c r="AF825" t="str">
        <f>IF(tbl_FinancialData[[#This Row],[City]]="","Unknown",PROPER(TRIM(tbl_FinancialData[[#This Row],[City]])))</f>
        <v>Udaipur</v>
      </c>
      <c r="AG825" t="str">
        <f>_xlfn.LET(_xlpm.city,LOWER(TRIM(tbl_FinancialData[[#This Row],[City]])),_xlpm.st,PROPER(TRIM(tbl_FinancialData[[#This Row],[State]])),IF(_xlpm.city="pune","Maharashtra",IF(_xlpm.city="jamshedpur","Jharkhand",IF(_xlpm.city="bhilai","Chhattisgarh",IF(_xlpm.city="mumbai","Maharashtra",_xlpm.st)))))</f>
        <v>Rajasthan</v>
      </c>
      <c r="AH825" t="str">
        <f>_xlfn.LET(_xlpm.d,PROPER(TRIM(tbl_FinancialData[[#This Row],[Department]])),IF(_xlpm.d="It","IT",_xlpm.d))</f>
        <v>Sales</v>
      </c>
      <c r="AI825" t="str">
        <f>_xlfn.LET(_xlpm.pid,tbl_FinancialData[[#This Row],[Product ID]],_xlpm.n,PROPER(TRIM(tbl_FinancialData[[#This Row],[Product Name]])),IF(_xlpm.pid="P020","Document Scanner",IF(_xlpm.pid="P015","Network Router",SUBSTITUTE(SUBSTITUTE(_xlpm.n,"Crm","CRM"),"Ups","UPS"))))</f>
        <v>UPS System</v>
      </c>
      <c r="AJ825" s="3" t="str">
        <f>UPPER(TRIM(tbl_FinancialData[[#This Row],[Cost Center]]))</f>
        <v>CC-1005</v>
      </c>
    </row>
    <row r="826" spans="1:36" x14ac:dyDescent="0.25">
      <c r="A826" s="3" t="s">
        <v>1030</v>
      </c>
      <c r="B826" s="2">
        <v>46061</v>
      </c>
      <c r="C826" t="s">
        <v>57</v>
      </c>
      <c r="D826" s="3" t="str">
        <f t="shared" si="51"/>
        <v>Q4</v>
      </c>
      <c r="E826" s="3" t="str">
        <f t="shared" si="52"/>
        <v>FY2026</v>
      </c>
      <c r="F826" s="8" t="s">
        <v>67</v>
      </c>
      <c r="G826" s="3" t="s">
        <v>35</v>
      </c>
      <c r="H826" t="s">
        <v>118</v>
      </c>
      <c r="I826" t="s">
        <v>119</v>
      </c>
      <c r="J826" s="3" t="s">
        <v>70</v>
      </c>
      <c r="K826" t="s">
        <v>101</v>
      </c>
      <c r="L826" s="3" t="s">
        <v>40</v>
      </c>
      <c r="M826" s="3" t="s">
        <v>52</v>
      </c>
      <c r="N826" t="s">
        <v>53</v>
      </c>
      <c r="O826" t="s">
        <v>54</v>
      </c>
      <c r="P826" t="s">
        <v>55</v>
      </c>
      <c r="Q826" s="3">
        <v>7061.37</v>
      </c>
      <c r="R826" s="3">
        <v>7133.9</v>
      </c>
      <c r="S826" s="3">
        <v>4045.88</v>
      </c>
      <c r="T826" s="3">
        <v>828.55</v>
      </c>
      <c r="U826" s="3">
        <v>277.22000000000003</v>
      </c>
      <c r="V826" s="3">
        <v>697.22</v>
      </c>
      <c r="W826" s="3">
        <v>257.82</v>
      </c>
      <c r="X826" s="3">
        <v>6106.7</v>
      </c>
      <c r="Y826" s="3">
        <v>3015.49</v>
      </c>
      <c r="Z826" s="3">
        <f t="shared" si="53"/>
        <v>954.67000000000007</v>
      </c>
      <c r="AA826" s="37">
        <f t="shared" si="54"/>
        <v>0.1351961446574815</v>
      </c>
      <c r="AB826" s="3">
        <v>-72.53</v>
      </c>
      <c r="AC826" s="3">
        <v>211.84</v>
      </c>
      <c r="AD826" s="3">
        <v>821.94</v>
      </c>
      <c r="AE826" s="3">
        <v>7671.47</v>
      </c>
      <c r="AF826" t="str">
        <f>IF(tbl_FinancialData[[#This Row],[City]]="","Unknown",PROPER(TRIM(tbl_FinancialData[[#This Row],[City]])))</f>
        <v>Ranchi</v>
      </c>
      <c r="AG826" t="str">
        <f>_xlfn.LET(_xlpm.city,LOWER(TRIM(tbl_FinancialData[[#This Row],[City]])),_xlpm.st,PROPER(TRIM(tbl_FinancialData[[#This Row],[State]])),IF(_xlpm.city="pune","Maharashtra",IF(_xlpm.city="jamshedpur","Jharkhand",IF(_xlpm.city="bhilai","Chhattisgarh",IF(_xlpm.city="mumbai","Maharashtra",_xlpm.st)))))</f>
        <v>Jharkhand</v>
      </c>
      <c r="AH826" t="str">
        <f>_xlfn.LET(_xlpm.d,PROPER(TRIM(tbl_FinancialData[[#This Row],[Department]])),IF(_xlpm.d="It","IT",_xlpm.d))</f>
        <v>Finance</v>
      </c>
      <c r="AI826" t="str">
        <f>_xlfn.LET(_xlpm.pid,tbl_FinancialData[[#This Row],[Product ID]],_xlpm.n,PROPER(TRIM(tbl_FinancialData[[#This Row],[Product Name]])),IF(_xlpm.pid="P020","Document Scanner",IF(_xlpm.pid="P015","Network Router",SUBSTITUTE(SUBSTITUTE(_xlpm.n,"Crm","CRM"),"Ups","UPS"))))</f>
        <v>Mouse</v>
      </c>
      <c r="AJ826" s="3" t="str">
        <f>UPPER(TRIM(tbl_FinancialData[[#This Row],[Cost Center]]))</f>
        <v>CC-1002</v>
      </c>
    </row>
    <row r="827" spans="1:36" x14ac:dyDescent="0.25">
      <c r="A827" s="3" t="s">
        <v>1031</v>
      </c>
      <c r="B827" s="2">
        <v>45791</v>
      </c>
      <c r="C827" t="s">
        <v>65</v>
      </c>
      <c r="D827" s="3" t="str">
        <f t="shared" si="51"/>
        <v>Q1</v>
      </c>
      <c r="E827" s="3" t="str">
        <f t="shared" si="52"/>
        <v>FY2026</v>
      </c>
      <c r="F827" s="8" t="s">
        <v>59</v>
      </c>
      <c r="G827" s="3" t="s">
        <v>35</v>
      </c>
      <c r="H827" t="s">
        <v>230</v>
      </c>
      <c r="I827" t="s">
        <v>301</v>
      </c>
      <c r="J827" s="3" t="s">
        <v>80</v>
      </c>
      <c r="K827" t="s">
        <v>50</v>
      </c>
      <c r="L827" s="3" t="s">
        <v>40</v>
      </c>
      <c r="M827" s="3" t="s">
        <v>189</v>
      </c>
      <c r="N827" t="s">
        <v>190</v>
      </c>
      <c r="O827" t="s">
        <v>104</v>
      </c>
      <c r="P827" t="s">
        <v>105</v>
      </c>
      <c r="Q827" s="3">
        <v>20902.45</v>
      </c>
      <c r="R827" s="3">
        <v>19871.8</v>
      </c>
      <c r="S827" s="3">
        <v>14724.5</v>
      </c>
      <c r="T827" s="3">
        <v>2641.92</v>
      </c>
      <c r="U827" s="3">
        <v>1825.39</v>
      </c>
      <c r="V827" s="3">
        <v>2236.67</v>
      </c>
      <c r="W827" s="3">
        <v>475.19</v>
      </c>
      <c r="X827" s="3">
        <v>21903.66</v>
      </c>
      <c r="Y827" s="3">
        <v>6177.95</v>
      </c>
      <c r="Z827" s="3">
        <f t="shared" si="53"/>
        <v>-1001.2099999999991</v>
      </c>
      <c r="AA827" s="37">
        <f t="shared" si="54"/>
        <v>-4.7899169714554948E-2</v>
      </c>
      <c r="AB827" s="3">
        <v>1030.6400000000001</v>
      </c>
      <c r="AC827" s="3">
        <v>0</v>
      </c>
      <c r="AD827" s="3">
        <v>2508.29</v>
      </c>
      <c r="AE827" s="3">
        <v>23410.74</v>
      </c>
      <c r="AF827" t="str">
        <f>IF(tbl_FinancialData[[#This Row],[City]]="","Unknown",PROPER(TRIM(tbl_FinancialData[[#This Row],[City]])))</f>
        <v>Amritsar</v>
      </c>
      <c r="AG827" t="str">
        <f>_xlfn.LET(_xlpm.city,LOWER(TRIM(tbl_FinancialData[[#This Row],[City]])),_xlpm.st,PROPER(TRIM(tbl_FinancialData[[#This Row],[State]])),IF(_xlpm.city="pune","Maharashtra",IF(_xlpm.city="jamshedpur","Jharkhand",IF(_xlpm.city="bhilai","Chhattisgarh",IF(_xlpm.city="mumbai","Maharashtra",_xlpm.st)))))</f>
        <v>Punjab</v>
      </c>
      <c r="AH827" t="str">
        <f>_xlfn.LET(_xlpm.d,PROPER(TRIM(tbl_FinancialData[[#This Row],[Department]])),IF(_xlpm.d="It","IT",_xlpm.d))</f>
        <v>Sales</v>
      </c>
      <c r="AI827" t="str">
        <f>_xlfn.LET(_xlpm.pid,tbl_FinancialData[[#This Row],[Product ID]],_xlpm.n,PROPER(TRIM(tbl_FinancialData[[#This Row],[Product Name]])),IF(_xlpm.pid="P020","Document Scanner",IF(_xlpm.pid="P015","Network Router",SUBSTITUTE(SUBSTITUTE(_xlpm.n,"Crm","CRM"),"Ups","UPS"))))</f>
        <v>CRM Software</v>
      </c>
      <c r="AJ827" s="3" t="str">
        <f>UPPER(TRIM(tbl_FinancialData[[#This Row],[Cost Center]]))</f>
        <v>CC-1002</v>
      </c>
    </row>
    <row r="828" spans="1:36" x14ac:dyDescent="0.25">
      <c r="A828" s="3" t="s">
        <v>1032</v>
      </c>
      <c r="B828" s="2">
        <v>46073</v>
      </c>
      <c r="C828" t="s">
        <v>57</v>
      </c>
      <c r="D828" s="3" t="str">
        <f t="shared" si="51"/>
        <v>Q4</v>
      </c>
      <c r="E828" s="3" t="str">
        <f t="shared" si="52"/>
        <v>FY2026</v>
      </c>
      <c r="F828" s="8" t="s">
        <v>59</v>
      </c>
      <c r="G828" s="3" t="s">
        <v>35</v>
      </c>
      <c r="H828" t="s">
        <v>60</v>
      </c>
      <c r="I828" t="s">
        <v>108</v>
      </c>
      <c r="J828" s="3" t="s">
        <v>100</v>
      </c>
      <c r="K828" t="s">
        <v>50</v>
      </c>
      <c r="L828" s="3" t="s">
        <v>51</v>
      </c>
      <c r="M828" s="3" t="s">
        <v>110</v>
      </c>
      <c r="N828" t="s">
        <v>111</v>
      </c>
      <c r="O828" t="s">
        <v>112</v>
      </c>
      <c r="P828" t="s">
        <v>113</v>
      </c>
      <c r="Q828" s="3">
        <v>17410.009999999998</v>
      </c>
      <c r="R828" s="3">
        <v>15840.75</v>
      </c>
      <c r="S828" s="3">
        <v>9637.1200000000008</v>
      </c>
      <c r="T828" s="3">
        <v>1568.11</v>
      </c>
      <c r="U828" s="3">
        <v>697.45</v>
      </c>
      <c r="V828" s="3">
        <v>1451.12</v>
      </c>
      <c r="W828" s="3">
        <v>308.01</v>
      </c>
      <c r="X828" s="3">
        <v>13661.81</v>
      </c>
      <c r="Y828" s="3">
        <v>7772.89</v>
      </c>
      <c r="Z828" s="3">
        <f t="shared" si="53"/>
        <v>3748.1999999999989</v>
      </c>
      <c r="AA828" s="37">
        <f t="shared" si="54"/>
        <v>0.2152899395232972</v>
      </c>
      <c r="AB828" s="3">
        <v>1569.26</v>
      </c>
      <c r="AC828" s="3">
        <v>870.5</v>
      </c>
      <c r="AD828" s="3">
        <v>2977.11</v>
      </c>
      <c r="AE828" s="3">
        <v>19516.62</v>
      </c>
      <c r="AF828" t="str">
        <f>IF(tbl_FinancialData[[#This Row],[City]]="","Unknown",PROPER(TRIM(tbl_FinancialData[[#This Row],[City]])))</f>
        <v>Agra</v>
      </c>
      <c r="AG828" t="str">
        <f>_xlfn.LET(_xlpm.city,LOWER(TRIM(tbl_FinancialData[[#This Row],[City]])),_xlpm.st,PROPER(TRIM(tbl_FinancialData[[#This Row],[State]])),IF(_xlpm.city="pune","Maharashtra",IF(_xlpm.city="jamshedpur","Jharkhand",IF(_xlpm.city="bhilai","Chhattisgarh",IF(_xlpm.city="mumbai","Maharashtra",_xlpm.st)))))</f>
        <v>Uttar Pradesh</v>
      </c>
      <c r="AH828" t="str">
        <f>_xlfn.LET(_xlpm.d,PROPER(TRIM(tbl_FinancialData[[#This Row],[Department]])),IF(_xlpm.d="It","IT",_xlpm.d))</f>
        <v>Sales</v>
      </c>
      <c r="AI828" t="str">
        <f>_xlfn.LET(_xlpm.pid,tbl_FinancialData[[#This Row],[Product ID]],_xlpm.n,PROPER(TRIM(tbl_FinancialData[[#This Row],[Product Name]])),IF(_xlpm.pid="P020","Document Scanner",IF(_xlpm.pid="P015","Network Router",SUBSTITUTE(SUBSTITUTE(_xlpm.n,"Crm","CRM"),"Ups","UPS"))))</f>
        <v>Office Desk</v>
      </c>
      <c r="AJ828" s="3" t="str">
        <f>UPPER(TRIM(tbl_FinancialData[[#This Row],[Cost Center]]))</f>
        <v>CC-1003</v>
      </c>
    </row>
    <row r="829" spans="1:36" x14ac:dyDescent="0.25">
      <c r="A829" s="3" t="s">
        <v>1033</v>
      </c>
      <c r="B829" s="2">
        <v>46087</v>
      </c>
      <c r="C829" t="s">
        <v>125</v>
      </c>
      <c r="D829" s="3" t="str">
        <f t="shared" si="51"/>
        <v>Q4</v>
      </c>
      <c r="E829" s="3" t="str">
        <f t="shared" si="52"/>
        <v>FY2026</v>
      </c>
      <c r="F829" s="8" t="s">
        <v>34</v>
      </c>
      <c r="G829" s="3" t="s">
        <v>35</v>
      </c>
      <c r="H829" t="s">
        <v>98</v>
      </c>
      <c r="I829" t="s">
        <v>99</v>
      </c>
      <c r="J829" s="3" t="s">
        <v>80</v>
      </c>
      <c r="K829" t="s">
        <v>39</v>
      </c>
      <c r="L829" s="3" t="s">
        <v>40</v>
      </c>
      <c r="M829" s="3" t="s">
        <v>197</v>
      </c>
      <c r="N829" t="s">
        <v>198</v>
      </c>
      <c r="O829" t="s">
        <v>43</v>
      </c>
      <c r="P829" t="s">
        <v>163</v>
      </c>
      <c r="Q829" s="3">
        <v>35786.089999999997</v>
      </c>
      <c r="R829" s="3">
        <v>33629.22</v>
      </c>
      <c r="S829" s="3">
        <v>25256.21</v>
      </c>
      <c r="T829" s="3">
        <v>3969.51</v>
      </c>
      <c r="U829" s="3">
        <v>2514.15</v>
      </c>
      <c r="V829" s="3">
        <v>2115.4699999999998</v>
      </c>
      <c r="W829" s="3">
        <v>506.38</v>
      </c>
      <c r="X829" s="3">
        <v>34361.71</v>
      </c>
      <c r="Y829" s="3">
        <v>10529.88</v>
      </c>
      <c r="Z829" s="3">
        <f t="shared" si="53"/>
        <v>1424.3799999999974</v>
      </c>
      <c r="AA829" s="37">
        <f t="shared" si="54"/>
        <v>3.9802616044390365E-2</v>
      </c>
      <c r="AB829" s="3">
        <v>2156.87</v>
      </c>
      <c r="AC829" s="3">
        <v>2862.89</v>
      </c>
      <c r="AD829" s="3">
        <v>1646.16</v>
      </c>
      <c r="AE829" s="3">
        <v>34569.360000000001</v>
      </c>
      <c r="AF829" t="str">
        <f>IF(tbl_FinancialData[[#This Row],[City]]="","Unknown",PROPER(TRIM(tbl_FinancialData[[#This Row],[City]])))</f>
        <v>Mumbai</v>
      </c>
      <c r="AG829" t="str">
        <f>_xlfn.LET(_xlpm.city,LOWER(TRIM(tbl_FinancialData[[#This Row],[City]])),_xlpm.st,PROPER(TRIM(tbl_FinancialData[[#This Row],[State]])),IF(_xlpm.city="pune","Maharashtra",IF(_xlpm.city="jamshedpur","Jharkhand",IF(_xlpm.city="bhilai","Chhattisgarh",IF(_xlpm.city="mumbai","Maharashtra",_xlpm.st)))))</f>
        <v>Maharashtra</v>
      </c>
      <c r="AH829" t="str">
        <f>_xlfn.LET(_xlpm.d,PROPER(TRIM(tbl_FinancialData[[#This Row],[Department]])),IF(_xlpm.d="It","IT",_xlpm.d))</f>
        <v>Operations</v>
      </c>
      <c r="AI829" t="str">
        <f>_xlfn.LET(_xlpm.pid,tbl_FinancialData[[#This Row],[Product ID]],_xlpm.n,PROPER(TRIM(tbl_FinancialData[[#This Row],[Product Name]])),IF(_xlpm.pid="P020","Document Scanner",IF(_xlpm.pid="P015","Network Router",SUBSTITUTE(SUBSTITUTE(_xlpm.n,"Crm","CRM"),"Ups","UPS"))))</f>
        <v>Smartphone</v>
      </c>
      <c r="AJ829" s="3" t="str">
        <f>UPPER(TRIM(tbl_FinancialData[[#This Row],[Cost Center]]))</f>
        <v>CC-1002</v>
      </c>
    </row>
    <row r="830" spans="1:36" x14ac:dyDescent="0.25">
      <c r="A830" s="3" t="s">
        <v>1034</v>
      </c>
      <c r="B830" s="2">
        <v>46022</v>
      </c>
      <c r="C830" t="s">
        <v>107</v>
      </c>
      <c r="D830" s="3" t="str">
        <f t="shared" si="51"/>
        <v>Q3</v>
      </c>
      <c r="E830" s="3" t="str">
        <f t="shared" si="52"/>
        <v>FY2026</v>
      </c>
      <c r="F830" s="8" t="s">
        <v>47</v>
      </c>
      <c r="G830" s="3" t="s">
        <v>35</v>
      </c>
      <c r="H830" t="s">
        <v>78</v>
      </c>
      <c r="I830" t="s">
        <v>183</v>
      </c>
      <c r="J830" s="3" t="s">
        <v>100</v>
      </c>
      <c r="K830" t="s">
        <v>50</v>
      </c>
      <c r="L830" s="3" t="s">
        <v>72</v>
      </c>
      <c r="M830" s="3" t="s">
        <v>197</v>
      </c>
      <c r="N830" t="s">
        <v>198</v>
      </c>
      <c r="O830" t="s">
        <v>43</v>
      </c>
      <c r="P830" t="s">
        <v>163</v>
      </c>
      <c r="Q830" s="3">
        <v>38813.83</v>
      </c>
      <c r="R830" s="3">
        <v>42615.31</v>
      </c>
      <c r="S830" s="3">
        <v>20563.189999999999</v>
      </c>
      <c r="T830" s="3">
        <v>3285.22</v>
      </c>
      <c r="U830" s="3">
        <v>2601.67</v>
      </c>
      <c r="V830" s="3">
        <v>2396.92</v>
      </c>
      <c r="W830" s="3">
        <v>909.94</v>
      </c>
      <c r="X830" s="3">
        <v>29756.94</v>
      </c>
      <c r="Y830" s="3">
        <v>18250.64</v>
      </c>
      <c r="Z830" s="3">
        <f t="shared" si="53"/>
        <v>9056.8900000000031</v>
      </c>
      <c r="AA830" s="37">
        <f t="shared" si="54"/>
        <v>0.23334182686944324</v>
      </c>
      <c r="AB830" s="3">
        <v>-3801.48</v>
      </c>
      <c r="AC830" s="3">
        <v>1940.69</v>
      </c>
      <c r="AD830" s="3">
        <v>6637.16</v>
      </c>
      <c r="AE830" s="3">
        <v>43510.3</v>
      </c>
      <c r="AF830" t="str">
        <f>IF(tbl_FinancialData[[#This Row],[City]]="","Unknown",PROPER(TRIM(tbl_FinancialData[[#This Row],[City]])))</f>
        <v>Kozhikode</v>
      </c>
      <c r="AG830" t="str">
        <f>_xlfn.LET(_xlpm.city,LOWER(TRIM(tbl_FinancialData[[#This Row],[City]])),_xlpm.st,PROPER(TRIM(tbl_FinancialData[[#This Row],[State]])),IF(_xlpm.city="pune","Maharashtra",IF(_xlpm.city="jamshedpur","Jharkhand",IF(_xlpm.city="bhilai","Chhattisgarh",IF(_xlpm.city="mumbai","Maharashtra",_xlpm.st)))))</f>
        <v>Kerala</v>
      </c>
      <c r="AH830" t="str">
        <f>_xlfn.LET(_xlpm.d,PROPER(TRIM(tbl_FinancialData[[#This Row],[Department]])),IF(_xlpm.d="It","IT",_xlpm.d))</f>
        <v>Sales</v>
      </c>
      <c r="AI830" t="str">
        <f>_xlfn.LET(_xlpm.pid,tbl_FinancialData[[#This Row],[Product ID]],_xlpm.n,PROPER(TRIM(tbl_FinancialData[[#This Row],[Product Name]])),IF(_xlpm.pid="P020","Document Scanner",IF(_xlpm.pid="P015","Network Router",SUBSTITUTE(SUBSTITUTE(_xlpm.n,"Crm","CRM"),"Ups","UPS"))))</f>
        <v>Smartphone</v>
      </c>
      <c r="AJ830" s="3" t="str">
        <f>UPPER(TRIM(tbl_FinancialData[[#This Row],[Cost Center]]))</f>
        <v>CC-1004</v>
      </c>
    </row>
    <row r="831" spans="1:36" x14ac:dyDescent="0.25">
      <c r="A831" s="3" t="s">
        <v>1035</v>
      </c>
      <c r="B831" s="2">
        <v>45936</v>
      </c>
      <c r="C831" t="s">
        <v>92</v>
      </c>
      <c r="D831" s="3" t="str">
        <f t="shared" si="51"/>
        <v>Q3</v>
      </c>
      <c r="E831" s="3" t="str">
        <f t="shared" si="52"/>
        <v>FY2026</v>
      </c>
      <c r="F831" s="8" t="s">
        <v>59</v>
      </c>
      <c r="G831" s="3" t="s">
        <v>35</v>
      </c>
      <c r="H831" t="s">
        <v>230</v>
      </c>
      <c r="I831" t="s">
        <v>301</v>
      </c>
      <c r="J831" s="3" t="s">
        <v>80</v>
      </c>
      <c r="K831" t="s">
        <v>101</v>
      </c>
      <c r="L831" s="3" t="s">
        <v>81</v>
      </c>
      <c r="M831" s="3" t="s">
        <v>161</v>
      </c>
      <c r="N831" t="s">
        <v>162</v>
      </c>
      <c r="O831" t="s">
        <v>43</v>
      </c>
      <c r="P831" t="s">
        <v>163</v>
      </c>
      <c r="Q831" s="3">
        <v>28789.4</v>
      </c>
      <c r="R831" s="3">
        <v>30350.6</v>
      </c>
      <c r="S831" s="3">
        <v>17160.88</v>
      </c>
      <c r="T831" s="3">
        <v>3118.09</v>
      </c>
      <c r="U831" s="3">
        <v>1545.66</v>
      </c>
      <c r="V831" s="3">
        <v>1931.51</v>
      </c>
      <c r="W831" s="3">
        <v>583.61</v>
      </c>
      <c r="X831" s="3">
        <v>24339.75</v>
      </c>
      <c r="Y831" s="3">
        <v>11628.52</v>
      </c>
      <c r="Z831" s="3">
        <f t="shared" si="53"/>
        <v>4449.6500000000015</v>
      </c>
      <c r="AA831" s="37">
        <f t="shared" si="54"/>
        <v>0.15455862227069689</v>
      </c>
      <c r="AB831" s="3">
        <v>-1561.2</v>
      </c>
      <c r="AC831" s="3">
        <v>575.79</v>
      </c>
      <c r="AD831" s="3">
        <v>3385.63</v>
      </c>
      <c r="AE831" s="3">
        <v>31599.25</v>
      </c>
      <c r="AF831" t="str">
        <f>IF(tbl_FinancialData[[#This Row],[City]]="","Unknown",PROPER(TRIM(tbl_FinancialData[[#This Row],[City]])))</f>
        <v>Amritsar</v>
      </c>
      <c r="AG831" t="str">
        <f>_xlfn.LET(_xlpm.city,LOWER(TRIM(tbl_FinancialData[[#This Row],[City]])),_xlpm.st,PROPER(TRIM(tbl_FinancialData[[#This Row],[State]])),IF(_xlpm.city="pune","Maharashtra",IF(_xlpm.city="jamshedpur","Jharkhand",IF(_xlpm.city="bhilai","Chhattisgarh",IF(_xlpm.city="mumbai","Maharashtra",_xlpm.st)))))</f>
        <v>Punjab</v>
      </c>
      <c r="AH831" t="str">
        <f>_xlfn.LET(_xlpm.d,PROPER(TRIM(tbl_FinancialData[[#This Row],[Department]])),IF(_xlpm.d="It","IT",_xlpm.d))</f>
        <v>Finance</v>
      </c>
      <c r="AI831" t="str">
        <f>_xlfn.LET(_xlpm.pid,tbl_FinancialData[[#This Row],[Product ID]],_xlpm.n,PROPER(TRIM(tbl_FinancialData[[#This Row],[Product Name]])),IF(_xlpm.pid="P020","Document Scanner",IF(_xlpm.pid="P015","Network Router",SUBSTITUTE(SUBSTITUTE(_xlpm.n,"Crm","CRM"),"Ups","UPS"))))</f>
        <v>Tablet</v>
      </c>
      <c r="AJ831" s="3" t="str">
        <f>UPPER(TRIM(tbl_FinancialData[[#This Row],[Cost Center]]))</f>
        <v>CC-1005</v>
      </c>
    </row>
    <row r="832" spans="1:36" x14ac:dyDescent="0.25">
      <c r="A832" s="3" t="s">
        <v>1036</v>
      </c>
      <c r="B832" s="2">
        <v>45967</v>
      </c>
      <c r="C832" t="s">
        <v>147</v>
      </c>
      <c r="D832" s="3" t="str">
        <f t="shared" si="51"/>
        <v>Q3</v>
      </c>
      <c r="E832" s="3" t="str">
        <f t="shared" si="52"/>
        <v>FY2026</v>
      </c>
      <c r="F832" s="8" t="s">
        <v>59</v>
      </c>
      <c r="G832" s="3" t="s">
        <v>35</v>
      </c>
      <c r="H832" t="s">
        <v>230</v>
      </c>
      <c r="I832" t="s">
        <v>363</v>
      </c>
      <c r="J832" s="3" t="s">
        <v>38</v>
      </c>
      <c r="K832" t="s">
        <v>50</v>
      </c>
      <c r="L832" s="3" t="s">
        <v>51</v>
      </c>
      <c r="M832" s="3" t="s">
        <v>41</v>
      </c>
      <c r="N832" t="s">
        <v>42</v>
      </c>
      <c r="O832" t="s">
        <v>43</v>
      </c>
      <c r="P832" t="s">
        <v>44</v>
      </c>
      <c r="Q832" s="3">
        <v>58306.87</v>
      </c>
      <c r="R832" s="3">
        <v>61476.18</v>
      </c>
      <c r="S832" s="3">
        <v>41402.980000000003</v>
      </c>
      <c r="T832" s="3">
        <v>3015.35</v>
      </c>
      <c r="U832" s="3">
        <v>4257.13</v>
      </c>
      <c r="V832" s="3">
        <v>6804.58</v>
      </c>
      <c r="W832" s="3">
        <v>2342.7399999999998</v>
      </c>
      <c r="X832" s="3">
        <v>57822.78</v>
      </c>
      <c r="Y832" s="3">
        <v>16903.89</v>
      </c>
      <c r="Z832" s="3">
        <f t="shared" si="53"/>
        <v>484.09000000000378</v>
      </c>
      <c r="AA832" s="37">
        <f t="shared" si="54"/>
        <v>8.3024521810209292E-3</v>
      </c>
      <c r="AB832" s="3">
        <v>-3169.31</v>
      </c>
      <c r="AC832" s="3">
        <v>0</v>
      </c>
      <c r="AD832" s="3">
        <v>6996.82</v>
      </c>
      <c r="AE832" s="3">
        <v>65303.7</v>
      </c>
      <c r="AF832" t="str">
        <f>IF(tbl_FinancialData[[#This Row],[City]]="","Unknown",PROPER(TRIM(tbl_FinancialData[[#This Row],[City]])))</f>
        <v>Jalandhar</v>
      </c>
      <c r="AG832" t="str">
        <f>_xlfn.LET(_xlpm.city,LOWER(TRIM(tbl_FinancialData[[#This Row],[City]])),_xlpm.st,PROPER(TRIM(tbl_FinancialData[[#This Row],[State]])),IF(_xlpm.city="pune","Maharashtra",IF(_xlpm.city="jamshedpur","Jharkhand",IF(_xlpm.city="bhilai","Chhattisgarh",IF(_xlpm.city="mumbai","Maharashtra",_xlpm.st)))))</f>
        <v>Punjab</v>
      </c>
      <c r="AH832" t="str">
        <f>_xlfn.LET(_xlpm.d,PROPER(TRIM(tbl_FinancialData[[#This Row],[Department]])),IF(_xlpm.d="It","IT",_xlpm.d))</f>
        <v>Sales</v>
      </c>
      <c r="AI832" t="str">
        <f>_xlfn.LET(_xlpm.pid,tbl_FinancialData[[#This Row],[Product ID]],_xlpm.n,PROPER(TRIM(tbl_FinancialData[[#This Row],[Product Name]])),IF(_xlpm.pid="P020","Document Scanner",IF(_xlpm.pid="P015","Network Router",SUBSTITUTE(SUBSTITUTE(_xlpm.n,"Crm","CRM"),"Ups","UPS"))))</f>
        <v>Conference Camera</v>
      </c>
      <c r="AJ832" s="3" t="str">
        <f>UPPER(TRIM(tbl_FinancialData[[#This Row],[Cost Center]]))</f>
        <v>CC-1003</v>
      </c>
    </row>
    <row r="833" spans="1:36" x14ac:dyDescent="0.25">
      <c r="A833" s="3" t="s">
        <v>1037</v>
      </c>
      <c r="B833" s="2">
        <v>46050</v>
      </c>
      <c r="C833" t="s">
        <v>77</v>
      </c>
      <c r="D833" s="3" t="str">
        <f t="shared" si="51"/>
        <v>Q4</v>
      </c>
      <c r="E833" s="3" t="str">
        <f t="shared" si="52"/>
        <v>FY2026</v>
      </c>
      <c r="F833" s="8" t="s">
        <v>34</v>
      </c>
      <c r="G833" s="3" t="s">
        <v>35</v>
      </c>
      <c r="H833" t="s">
        <v>157</v>
      </c>
      <c r="I833" t="s">
        <v>166</v>
      </c>
      <c r="J833" s="3" t="s">
        <v>70</v>
      </c>
      <c r="K833" t="s">
        <v>160</v>
      </c>
      <c r="L833" s="3" t="s">
        <v>40</v>
      </c>
      <c r="M833" s="3" t="s">
        <v>211</v>
      </c>
      <c r="N833" t="s">
        <v>212</v>
      </c>
      <c r="O833" t="s">
        <v>112</v>
      </c>
      <c r="P833" t="s">
        <v>113</v>
      </c>
      <c r="Q833" s="3">
        <v>14400.13</v>
      </c>
      <c r="R833" s="3">
        <v>13425.73</v>
      </c>
      <c r="S833" s="3">
        <v>8131.62</v>
      </c>
      <c r="T833" s="3">
        <v>1152.5999999999999</v>
      </c>
      <c r="U833" s="3">
        <v>778.67</v>
      </c>
      <c r="V833" s="3">
        <v>1486.28</v>
      </c>
      <c r="W833" s="3">
        <v>548.29</v>
      </c>
      <c r="X833" s="3">
        <v>12097.45</v>
      </c>
      <c r="Y833" s="3">
        <v>6268.51</v>
      </c>
      <c r="Z833" s="3">
        <f t="shared" si="53"/>
        <v>2302.6799999999985</v>
      </c>
      <c r="AA833" s="37">
        <f t="shared" si="54"/>
        <v>0.15990688972946762</v>
      </c>
      <c r="AB833" s="3">
        <v>974.4</v>
      </c>
      <c r="AC833" s="3">
        <v>720.01</v>
      </c>
      <c r="AD833" s="3">
        <v>684.01</v>
      </c>
      <c r="AE833" s="3">
        <v>14364.13</v>
      </c>
      <c r="AF833" t="str">
        <f>IF(tbl_FinancialData[[#This Row],[City]]="","Unknown",PROPER(TRIM(tbl_FinancialData[[#This Row],[City]])))</f>
        <v>Vadodara</v>
      </c>
      <c r="AG833" t="str">
        <f>_xlfn.LET(_xlpm.city,LOWER(TRIM(tbl_FinancialData[[#This Row],[City]])),_xlpm.st,PROPER(TRIM(tbl_FinancialData[[#This Row],[State]])),IF(_xlpm.city="pune","Maharashtra",IF(_xlpm.city="jamshedpur","Jharkhand",IF(_xlpm.city="bhilai","Chhattisgarh",IF(_xlpm.city="mumbai","Maharashtra",_xlpm.st)))))</f>
        <v>Gujarat</v>
      </c>
      <c r="AH833" t="str">
        <f>_xlfn.LET(_xlpm.d,PROPER(TRIM(tbl_FinancialData[[#This Row],[Department]])),IF(_xlpm.d="It","IT",_xlpm.d))</f>
        <v>IT</v>
      </c>
      <c r="AI833" t="str">
        <f>_xlfn.LET(_xlpm.pid,tbl_FinancialData[[#This Row],[Product ID]],_xlpm.n,PROPER(TRIM(tbl_FinancialData[[#This Row],[Product Name]])),IF(_xlpm.pid="P020","Document Scanner",IF(_xlpm.pid="P015","Network Router",SUBSTITUTE(SUBSTITUTE(_xlpm.n,"Crm","CRM"),"Ups","UPS"))))</f>
        <v>Office Chair</v>
      </c>
      <c r="AJ833" s="3" t="str">
        <f>UPPER(TRIM(tbl_FinancialData[[#This Row],[Cost Center]]))</f>
        <v>CC-1002</v>
      </c>
    </row>
    <row r="834" spans="1:36" x14ac:dyDescent="0.25">
      <c r="A834" s="3" t="s">
        <v>1038</v>
      </c>
      <c r="B834" s="2">
        <v>45826</v>
      </c>
      <c r="C834" t="s">
        <v>156</v>
      </c>
      <c r="D834" s="3" t="str">
        <f t="shared" ref="D834:D897" si="55">"Q"&amp;INT(MOD(MONTH(B834)-4,12)/3)+1</f>
        <v>Q1</v>
      </c>
      <c r="E834" s="3" t="str">
        <f t="shared" ref="E834:E897" si="56">"FY"&amp; (YEAR(B834)+(MONTH(B834)&gt;=4))</f>
        <v>FY2026</v>
      </c>
      <c r="F834" s="8" t="s">
        <v>47</v>
      </c>
      <c r="G834" s="3" t="s">
        <v>35</v>
      </c>
      <c r="H834" t="s">
        <v>48</v>
      </c>
      <c r="I834" t="s">
        <v>126</v>
      </c>
      <c r="J834" s="3" t="s">
        <v>100</v>
      </c>
      <c r="K834" t="s">
        <v>160</v>
      </c>
      <c r="L834" s="3" t="s">
        <v>51</v>
      </c>
      <c r="M834" s="3" t="s">
        <v>235</v>
      </c>
      <c r="N834" t="s">
        <v>236</v>
      </c>
      <c r="O834" t="s">
        <v>104</v>
      </c>
      <c r="P834" t="s">
        <v>237</v>
      </c>
      <c r="Q834" s="3">
        <v>10979.12</v>
      </c>
      <c r="R834" s="3">
        <v>12860.57</v>
      </c>
      <c r="S834" s="3">
        <v>7186.25</v>
      </c>
      <c r="T834" s="3">
        <v>856.07</v>
      </c>
      <c r="U834" s="3">
        <v>340.74</v>
      </c>
      <c r="V834" s="3">
        <v>893.09</v>
      </c>
      <c r="W834" s="3">
        <v>191.81</v>
      </c>
      <c r="X834" s="3">
        <v>9467.9599999999991</v>
      </c>
      <c r="Y834" s="3">
        <v>3792.87</v>
      </c>
      <c r="Z834" s="3">
        <f t="shared" si="53"/>
        <v>1511.1600000000017</v>
      </c>
      <c r="AA834" s="37">
        <f t="shared" si="54"/>
        <v>0.13763944651301757</v>
      </c>
      <c r="AB834" s="3">
        <v>-1881.44</v>
      </c>
      <c r="AC834" s="3">
        <v>548.96</v>
      </c>
      <c r="AD834" s="3">
        <v>1877.43</v>
      </c>
      <c r="AE834" s="3">
        <v>12307.6</v>
      </c>
      <c r="AF834" t="str">
        <f>IF(tbl_FinancialData[[#This Row],[City]]="","Unknown",PROPER(TRIM(tbl_FinancialData[[#This Row],[City]])))</f>
        <v>Coimbatore</v>
      </c>
      <c r="AG834" t="str">
        <f>_xlfn.LET(_xlpm.city,LOWER(TRIM(tbl_FinancialData[[#This Row],[City]])),_xlpm.st,PROPER(TRIM(tbl_FinancialData[[#This Row],[State]])),IF(_xlpm.city="pune","Maharashtra",IF(_xlpm.city="jamshedpur","Jharkhand",IF(_xlpm.city="bhilai","Chhattisgarh",IF(_xlpm.city="mumbai","Maharashtra",_xlpm.st)))))</f>
        <v>Tamil Nadu</v>
      </c>
      <c r="AH834" t="str">
        <f>_xlfn.LET(_xlpm.d,PROPER(TRIM(tbl_FinancialData[[#This Row],[Department]])),IF(_xlpm.d="It","IT",_xlpm.d))</f>
        <v>IT</v>
      </c>
      <c r="AI834" t="str">
        <f>_xlfn.LET(_xlpm.pid,tbl_FinancialData[[#This Row],[Product ID]],_xlpm.n,PROPER(TRIM(tbl_FinancialData[[#This Row],[Product Name]])),IF(_xlpm.pid="P020","Document Scanner",IF(_xlpm.pid="P015","Network Router",SUBSTITUTE(SUBSTITUTE(_xlpm.n,"Crm","CRM"),"Ups","UPS"))))</f>
        <v>Data Storage</v>
      </c>
      <c r="AJ834" s="3" t="str">
        <f>UPPER(TRIM(tbl_FinancialData[[#This Row],[Cost Center]]))</f>
        <v>CC-1003</v>
      </c>
    </row>
    <row r="835" spans="1:36" x14ac:dyDescent="0.25">
      <c r="A835" s="3" t="s">
        <v>1039</v>
      </c>
      <c r="B835" s="2">
        <v>45922</v>
      </c>
      <c r="C835" t="s">
        <v>46</v>
      </c>
      <c r="D835" s="3" t="str">
        <f t="shared" si="55"/>
        <v>Q2</v>
      </c>
      <c r="E835" s="3" t="str">
        <f t="shared" si="56"/>
        <v>FY2026</v>
      </c>
      <c r="F835" s="8" t="s">
        <v>47</v>
      </c>
      <c r="G835" s="3" t="s">
        <v>35</v>
      </c>
      <c r="H835" t="s">
        <v>78</v>
      </c>
      <c r="I835" t="s">
        <v>115</v>
      </c>
      <c r="J835" s="3" t="s">
        <v>100</v>
      </c>
      <c r="K835" t="s">
        <v>101</v>
      </c>
      <c r="L835" s="3" t="s">
        <v>72</v>
      </c>
      <c r="M835" s="3" t="s">
        <v>171</v>
      </c>
      <c r="N835" t="s">
        <v>172</v>
      </c>
      <c r="O835" t="s">
        <v>173</v>
      </c>
      <c r="P835" t="s">
        <v>174</v>
      </c>
      <c r="Q835" s="3">
        <v>9069.24</v>
      </c>
      <c r="R835" s="3">
        <v>8250.02</v>
      </c>
      <c r="S835" s="3">
        <v>5296.61</v>
      </c>
      <c r="T835" s="3">
        <v>544.96</v>
      </c>
      <c r="U835" s="3">
        <v>484.52</v>
      </c>
      <c r="V835" s="3">
        <v>893.94</v>
      </c>
      <c r="W835" s="3">
        <v>307.62</v>
      </c>
      <c r="X835" s="3">
        <v>7527.64</v>
      </c>
      <c r="Y835" s="3">
        <v>3772.63</v>
      </c>
      <c r="Z835" s="3">
        <f t="shared" ref="Z835:Z898" si="57">Q835-X835</f>
        <v>1541.5999999999995</v>
      </c>
      <c r="AA835" s="37">
        <f t="shared" ref="AA835:AA898" si="58">Z835/Q835</f>
        <v>0.16998116710992317</v>
      </c>
      <c r="AB835" s="3">
        <v>819.21</v>
      </c>
      <c r="AC835" s="3">
        <v>181.38</v>
      </c>
      <c r="AD835" s="3">
        <v>1599.81</v>
      </c>
      <c r="AE835" s="3">
        <v>10487.66</v>
      </c>
      <c r="AF835" t="str">
        <f>IF(tbl_FinancialData[[#This Row],[City]]="","Unknown",PROPER(TRIM(tbl_FinancialData[[#This Row],[City]])))</f>
        <v>Thiruvananthapuram</v>
      </c>
      <c r="AG835" t="str">
        <f>_xlfn.LET(_xlpm.city,LOWER(TRIM(tbl_FinancialData[[#This Row],[City]])),_xlpm.st,PROPER(TRIM(tbl_FinancialData[[#This Row],[State]])),IF(_xlpm.city="pune","Maharashtra",IF(_xlpm.city="jamshedpur","Jharkhand",IF(_xlpm.city="bhilai","Chhattisgarh",IF(_xlpm.city="mumbai","Maharashtra",_xlpm.st)))))</f>
        <v>Kerala</v>
      </c>
      <c r="AH835" t="str">
        <f>_xlfn.LET(_xlpm.d,PROPER(TRIM(tbl_FinancialData[[#This Row],[Department]])),IF(_xlpm.d="It","IT",_xlpm.d))</f>
        <v>Finance</v>
      </c>
      <c r="AI835" t="str">
        <f>_xlfn.LET(_xlpm.pid,tbl_FinancialData[[#This Row],[Product ID]],_xlpm.n,PROPER(TRIM(tbl_FinancialData[[#This Row],[Product Name]])),IF(_xlpm.pid="P020","Document Scanner",IF(_xlpm.pid="P015","Network Router",SUBSTITUTE(SUBSTITUTE(_xlpm.n,"Crm","CRM"),"Ups","UPS"))))</f>
        <v>Network Switch</v>
      </c>
      <c r="AJ835" s="3" t="str">
        <f>UPPER(TRIM(tbl_FinancialData[[#This Row],[Cost Center]]))</f>
        <v>CC-1004</v>
      </c>
    </row>
    <row r="836" spans="1:36" x14ac:dyDescent="0.25">
      <c r="A836" s="3" t="s">
        <v>1040</v>
      </c>
      <c r="B836" s="2">
        <v>45965</v>
      </c>
      <c r="C836" t="s">
        <v>147</v>
      </c>
      <c r="D836" s="3" t="str">
        <f t="shared" si="55"/>
        <v>Q3</v>
      </c>
      <c r="E836" s="3" t="str">
        <f t="shared" si="56"/>
        <v>FY2026</v>
      </c>
      <c r="F836" s="8" t="s">
        <v>67</v>
      </c>
      <c r="G836" s="3" t="s">
        <v>35</v>
      </c>
      <c r="H836" t="s">
        <v>118</v>
      </c>
      <c r="I836" t="s">
        <v>209</v>
      </c>
      <c r="J836" s="3" t="s">
        <v>70</v>
      </c>
      <c r="K836" t="s">
        <v>39</v>
      </c>
      <c r="L836" s="3" t="s">
        <v>51</v>
      </c>
      <c r="M836" s="3" t="s">
        <v>62</v>
      </c>
      <c r="N836" t="s">
        <v>63</v>
      </c>
      <c r="O836" t="s">
        <v>54</v>
      </c>
      <c r="P836" t="s">
        <v>55</v>
      </c>
      <c r="Q836" s="3">
        <v>7848.86</v>
      </c>
      <c r="R836" s="3">
        <v>7988.53</v>
      </c>
      <c r="S836" s="3">
        <v>5047.46</v>
      </c>
      <c r="T836" s="3">
        <v>801.77</v>
      </c>
      <c r="U836" s="3">
        <v>215.95</v>
      </c>
      <c r="V836" s="3">
        <v>429.12</v>
      </c>
      <c r="W836" s="3">
        <v>323.95</v>
      </c>
      <c r="X836" s="3">
        <v>6818.24</v>
      </c>
      <c r="Y836" s="3">
        <v>2801.4</v>
      </c>
      <c r="Z836" s="3">
        <f t="shared" si="57"/>
        <v>1030.6199999999999</v>
      </c>
      <c r="AA836" s="37">
        <f t="shared" si="58"/>
        <v>0.13130824094199667</v>
      </c>
      <c r="AB836" s="3">
        <v>-139.66999999999999</v>
      </c>
      <c r="AC836" s="3">
        <v>784.89</v>
      </c>
      <c r="AD836" s="3">
        <v>1271.51</v>
      </c>
      <c r="AE836" s="3">
        <v>8335.48</v>
      </c>
      <c r="AF836" t="str">
        <f>IF(tbl_FinancialData[[#This Row],[City]]="","Unknown",PROPER(TRIM(tbl_FinancialData[[#This Row],[City]])))</f>
        <v>Jamshedpur</v>
      </c>
      <c r="AG836" t="str">
        <f>_xlfn.LET(_xlpm.city,LOWER(TRIM(tbl_FinancialData[[#This Row],[City]])),_xlpm.st,PROPER(TRIM(tbl_FinancialData[[#This Row],[State]])),IF(_xlpm.city="pune","Maharashtra",IF(_xlpm.city="jamshedpur","Jharkhand",IF(_xlpm.city="bhilai","Chhattisgarh",IF(_xlpm.city="mumbai","Maharashtra",_xlpm.st)))))</f>
        <v>Jharkhand</v>
      </c>
      <c r="AH836" t="str">
        <f>_xlfn.LET(_xlpm.d,PROPER(TRIM(tbl_FinancialData[[#This Row],[Department]])),IF(_xlpm.d="It","IT",_xlpm.d))</f>
        <v>Operations</v>
      </c>
      <c r="AI836" t="str">
        <f>_xlfn.LET(_xlpm.pid,tbl_FinancialData[[#This Row],[Product ID]],_xlpm.n,PROPER(TRIM(tbl_FinancialData[[#This Row],[Product Name]])),IF(_xlpm.pid="P020","Document Scanner",IF(_xlpm.pid="P015","Network Router",SUBSTITUTE(SUBSTITUTE(_xlpm.n,"Crm","CRM"),"Ups","UPS"))))</f>
        <v>Keyboard</v>
      </c>
      <c r="AJ836" s="3" t="str">
        <f>UPPER(TRIM(tbl_FinancialData[[#This Row],[Cost Center]]))</f>
        <v>CC-1003</v>
      </c>
    </row>
    <row r="837" spans="1:36" x14ac:dyDescent="0.25">
      <c r="A837" s="3" t="s">
        <v>1041</v>
      </c>
      <c r="B837" s="2">
        <v>46044</v>
      </c>
      <c r="C837" t="s">
        <v>77</v>
      </c>
      <c r="D837" s="3" t="str">
        <f t="shared" si="55"/>
        <v>Q4</v>
      </c>
      <c r="E837" s="3" t="str">
        <f t="shared" si="56"/>
        <v>FY2026</v>
      </c>
      <c r="F837" s="8" t="s">
        <v>47</v>
      </c>
      <c r="G837" s="3" t="s">
        <v>35</v>
      </c>
      <c r="H837" t="s">
        <v>214</v>
      </c>
      <c r="I837" t="s">
        <v>220</v>
      </c>
      <c r="J837" s="3" t="s">
        <v>70</v>
      </c>
      <c r="K837" t="s">
        <v>101</v>
      </c>
      <c r="L837" s="3" t="s">
        <v>94</v>
      </c>
      <c r="M837" s="3" t="s">
        <v>62</v>
      </c>
      <c r="N837" t="s">
        <v>63</v>
      </c>
      <c r="O837" t="s">
        <v>54</v>
      </c>
      <c r="P837" t="s">
        <v>55</v>
      </c>
      <c r="Q837" s="3">
        <v>7079.56</v>
      </c>
      <c r="R837" s="3">
        <v>7156.64</v>
      </c>
      <c r="S837" s="3">
        <v>4315.6099999999997</v>
      </c>
      <c r="T837" s="3">
        <v>465.88</v>
      </c>
      <c r="U837" s="3">
        <v>375.19</v>
      </c>
      <c r="V837" s="3">
        <v>567.33000000000004</v>
      </c>
      <c r="W837" s="3">
        <v>294.10000000000002</v>
      </c>
      <c r="X837" s="3">
        <v>6018.11</v>
      </c>
      <c r="Y837" s="3">
        <v>2763.95</v>
      </c>
      <c r="Z837" s="3">
        <f t="shared" si="57"/>
        <v>1061.4500000000007</v>
      </c>
      <c r="AA837" s="37">
        <f t="shared" si="58"/>
        <v>0.14993163416935526</v>
      </c>
      <c r="AB837" s="3">
        <v>-77.069999999999993</v>
      </c>
      <c r="AC837" s="3">
        <v>141.59</v>
      </c>
      <c r="AD837" s="3">
        <v>1248.83</v>
      </c>
      <c r="AE837" s="3">
        <v>8186.81</v>
      </c>
      <c r="AF837" t="str">
        <f>IF(tbl_FinancialData[[#This Row],[City]]="","Unknown",PROPER(TRIM(tbl_FinancialData[[#This Row],[City]])))</f>
        <v>Mysuru</v>
      </c>
      <c r="AG837" t="str">
        <f>_xlfn.LET(_xlpm.city,LOWER(TRIM(tbl_FinancialData[[#This Row],[City]])),_xlpm.st,PROPER(TRIM(tbl_FinancialData[[#This Row],[State]])),IF(_xlpm.city="pune","Maharashtra",IF(_xlpm.city="jamshedpur","Jharkhand",IF(_xlpm.city="bhilai","Chhattisgarh",IF(_xlpm.city="mumbai","Maharashtra",_xlpm.st)))))</f>
        <v>Karnataka</v>
      </c>
      <c r="AH837" t="str">
        <f>_xlfn.LET(_xlpm.d,PROPER(TRIM(tbl_FinancialData[[#This Row],[Department]])),IF(_xlpm.d="It","IT",_xlpm.d))</f>
        <v>Finance</v>
      </c>
      <c r="AI837" t="str">
        <f>_xlfn.LET(_xlpm.pid,tbl_FinancialData[[#This Row],[Product ID]],_xlpm.n,PROPER(TRIM(tbl_FinancialData[[#This Row],[Product Name]])),IF(_xlpm.pid="P020","Document Scanner",IF(_xlpm.pid="P015","Network Router",SUBSTITUTE(SUBSTITUTE(_xlpm.n,"Crm","CRM"),"Ups","UPS"))))</f>
        <v>Keyboard</v>
      </c>
      <c r="AJ837" s="3" t="str">
        <f>UPPER(TRIM(tbl_FinancialData[[#This Row],[Cost Center]]))</f>
        <v>CC-1001</v>
      </c>
    </row>
    <row r="838" spans="1:36" x14ac:dyDescent="0.25">
      <c r="A838" s="3" t="s">
        <v>1042</v>
      </c>
      <c r="B838" s="2">
        <v>46055</v>
      </c>
      <c r="C838" t="s">
        <v>57</v>
      </c>
      <c r="D838" s="3" t="str">
        <f t="shared" si="55"/>
        <v>Q4</v>
      </c>
      <c r="E838" s="3" t="str">
        <f t="shared" si="56"/>
        <v>FY2026</v>
      </c>
      <c r="F838" s="8" t="s">
        <v>59</v>
      </c>
      <c r="G838" s="3" t="s">
        <v>35</v>
      </c>
      <c r="H838" t="s">
        <v>139</v>
      </c>
      <c r="I838" t="s">
        <v>200</v>
      </c>
      <c r="J838" s="3" t="s">
        <v>100</v>
      </c>
      <c r="K838" t="s">
        <v>50</v>
      </c>
      <c r="L838" s="3" t="s">
        <v>40</v>
      </c>
      <c r="M838" s="3" t="s">
        <v>221</v>
      </c>
      <c r="N838" t="s">
        <v>222</v>
      </c>
      <c r="O838" t="s">
        <v>104</v>
      </c>
      <c r="P838" t="s">
        <v>223</v>
      </c>
      <c r="Q838" s="3">
        <v>10707.66</v>
      </c>
      <c r="R838" s="3">
        <v>10648.04</v>
      </c>
      <c r="S838" s="3">
        <v>6054.97</v>
      </c>
      <c r="T838" s="3">
        <v>854.33</v>
      </c>
      <c r="U838" s="3">
        <v>489.21</v>
      </c>
      <c r="V838" s="3">
        <v>960.38</v>
      </c>
      <c r="W838" s="3">
        <v>168.64</v>
      </c>
      <c r="X838" s="3">
        <v>8527.5300000000007</v>
      </c>
      <c r="Y838" s="3">
        <v>4652.6899999999996</v>
      </c>
      <c r="Z838" s="3">
        <f t="shared" si="57"/>
        <v>2180.1299999999992</v>
      </c>
      <c r="AA838" s="37">
        <f t="shared" si="58"/>
        <v>0.2036047091521396</v>
      </c>
      <c r="AB838" s="3">
        <v>59.62</v>
      </c>
      <c r="AC838" s="3">
        <v>856.61</v>
      </c>
      <c r="AD838" s="3">
        <v>1773.19</v>
      </c>
      <c r="AE838" s="3">
        <v>11624.24</v>
      </c>
      <c r="AF838" t="str">
        <f>IF(tbl_FinancialData[[#This Row],[City]]="","Unknown",PROPER(TRIM(tbl_FinancialData[[#This Row],[City]])))</f>
        <v>Gurugram</v>
      </c>
      <c r="AG838" t="str">
        <f>_xlfn.LET(_xlpm.city,LOWER(TRIM(tbl_FinancialData[[#This Row],[City]])),_xlpm.st,PROPER(TRIM(tbl_FinancialData[[#This Row],[State]])),IF(_xlpm.city="pune","Maharashtra",IF(_xlpm.city="jamshedpur","Jharkhand",IF(_xlpm.city="bhilai","Chhattisgarh",IF(_xlpm.city="mumbai","Maharashtra",_xlpm.st)))))</f>
        <v>Haryana</v>
      </c>
      <c r="AH838" t="str">
        <f>_xlfn.LET(_xlpm.d,PROPER(TRIM(tbl_FinancialData[[#This Row],[Department]])),IF(_xlpm.d="It","IT",_xlpm.d))</f>
        <v>Sales</v>
      </c>
      <c r="AI838" t="str">
        <f>_xlfn.LET(_xlpm.pid,tbl_FinancialData[[#This Row],[Product ID]],_xlpm.n,PROPER(TRIM(tbl_FinancialData[[#This Row],[Product Name]])),IF(_xlpm.pid="P020","Document Scanner",IF(_xlpm.pid="P015","Network Router",SUBSTITUTE(SUBSTITUTE(_xlpm.n,"Crm","CRM"),"Ups","UPS"))))</f>
        <v>Cloud Software</v>
      </c>
      <c r="AJ838" s="3" t="str">
        <f>UPPER(TRIM(tbl_FinancialData[[#This Row],[Cost Center]]))</f>
        <v>CC-1002</v>
      </c>
    </row>
    <row r="839" spans="1:36" x14ac:dyDescent="0.25">
      <c r="A839" s="3" t="s">
        <v>1043</v>
      </c>
      <c r="B839" s="2">
        <v>45968</v>
      </c>
      <c r="C839" t="s">
        <v>147</v>
      </c>
      <c r="D839" s="3" t="str">
        <f t="shared" si="55"/>
        <v>Q3</v>
      </c>
      <c r="E839" s="3" t="str">
        <f t="shared" si="56"/>
        <v>FY2026</v>
      </c>
      <c r="F839" s="8" t="s">
        <v>67</v>
      </c>
      <c r="G839" s="3" t="s">
        <v>35</v>
      </c>
      <c r="H839" t="s">
        <v>68</v>
      </c>
      <c r="I839" t="s">
        <v>260</v>
      </c>
      <c r="J839" s="3" t="s">
        <v>80</v>
      </c>
      <c r="K839" t="s">
        <v>39</v>
      </c>
      <c r="L839" s="3" t="s">
        <v>40</v>
      </c>
      <c r="M839" s="3" t="s">
        <v>186</v>
      </c>
      <c r="N839" t="s">
        <v>187</v>
      </c>
      <c r="O839" t="s">
        <v>173</v>
      </c>
      <c r="P839" t="s">
        <v>174</v>
      </c>
      <c r="Q839" s="3">
        <v>25356.73</v>
      </c>
      <c r="R839" s="3">
        <v>28499.33</v>
      </c>
      <c r="S839" s="3">
        <v>17894.53</v>
      </c>
      <c r="T839" s="3">
        <v>1948.81</v>
      </c>
      <c r="U839" s="3">
        <v>1507.27</v>
      </c>
      <c r="V839" s="3">
        <v>2349.7199999999998</v>
      </c>
      <c r="W839" s="3">
        <v>324.10000000000002</v>
      </c>
      <c r="X839" s="3">
        <v>24024.42</v>
      </c>
      <c r="Y839" s="3">
        <v>7462.2</v>
      </c>
      <c r="Z839" s="3">
        <f t="shared" si="57"/>
        <v>1332.3100000000013</v>
      </c>
      <c r="AA839" s="37">
        <f t="shared" si="58"/>
        <v>5.2542658300183079E-2</v>
      </c>
      <c r="AB839" s="3">
        <v>-3142.6</v>
      </c>
      <c r="AC839" s="3">
        <v>760.7</v>
      </c>
      <c r="AD839" s="3">
        <v>2951.52</v>
      </c>
      <c r="AE839" s="3">
        <v>27547.56</v>
      </c>
      <c r="AF839" t="str">
        <f>IF(tbl_FinancialData[[#This Row],[City]]="","Unknown",PROPER(TRIM(tbl_FinancialData[[#This Row],[City]])))</f>
        <v>Rourkela</v>
      </c>
      <c r="AG839" t="str">
        <f>_xlfn.LET(_xlpm.city,LOWER(TRIM(tbl_FinancialData[[#This Row],[City]])),_xlpm.st,PROPER(TRIM(tbl_FinancialData[[#This Row],[State]])),IF(_xlpm.city="pune","Maharashtra",IF(_xlpm.city="jamshedpur","Jharkhand",IF(_xlpm.city="bhilai","Chhattisgarh",IF(_xlpm.city="mumbai","Maharashtra",_xlpm.st)))))</f>
        <v>Odisha</v>
      </c>
      <c r="AH839" t="str">
        <f>_xlfn.LET(_xlpm.d,PROPER(TRIM(tbl_FinancialData[[#This Row],[Department]])),IF(_xlpm.d="It","IT",_xlpm.d))</f>
        <v>Operations</v>
      </c>
      <c r="AI839" t="str">
        <f>_xlfn.LET(_xlpm.pid,tbl_FinancialData[[#This Row],[Product ID]],_xlpm.n,PROPER(TRIM(tbl_FinancialData[[#This Row],[Product Name]])),IF(_xlpm.pid="P020","Document Scanner",IF(_xlpm.pid="P015","Network Router",SUBSTITUTE(SUBSTITUTE(_xlpm.n,"Crm","CRM"),"Ups","UPS"))))</f>
        <v>Network Router</v>
      </c>
      <c r="AJ839" s="3" t="str">
        <f>UPPER(TRIM(tbl_FinancialData[[#This Row],[Cost Center]]))</f>
        <v>CC-1002</v>
      </c>
    </row>
    <row r="840" spans="1:36" x14ac:dyDescent="0.25">
      <c r="A840" s="3" t="s">
        <v>1044</v>
      </c>
      <c r="B840" s="2">
        <v>45888</v>
      </c>
      <c r="C840" t="s">
        <v>117</v>
      </c>
      <c r="D840" s="3" t="str">
        <f t="shared" si="55"/>
        <v>Q2</v>
      </c>
      <c r="E840" s="3" t="str">
        <f t="shared" si="56"/>
        <v>FY2026</v>
      </c>
      <c r="F840" s="8" t="s">
        <v>34</v>
      </c>
      <c r="G840" s="3" t="s">
        <v>35</v>
      </c>
      <c r="H840" t="s">
        <v>134</v>
      </c>
      <c r="I840" t="s">
        <v>135</v>
      </c>
      <c r="J840" s="3" t="s">
        <v>70</v>
      </c>
      <c r="K840" t="s">
        <v>39</v>
      </c>
      <c r="L840" s="3" t="s">
        <v>40</v>
      </c>
      <c r="M840" s="3" t="s">
        <v>73</v>
      </c>
      <c r="N840" t="s">
        <v>74</v>
      </c>
      <c r="O840" t="s">
        <v>43</v>
      </c>
      <c r="P840" t="s">
        <v>75</v>
      </c>
      <c r="Q840" s="3">
        <v>34944.82</v>
      </c>
      <c r="R840" s="3">
        <v>36556.18</v>
      </c>
      <c r="S840" s="3">
        <v>24640.53</v>
      </c>
      <c r="T840" s="3">
        <v>3771.24</v>
      </c>
      <c r="U840" s="3">
        <v>2125.14</v>
      </c>
      <c r="V840" s="3">
        <v>3551.55</v>
      </c>
      <c r="W840" s="3">
        <v>803.07</v>
      </c>
      <c r="X840" s="3">
        <v>34891.54</v>
      </c>
      <c r="Y840" s="3">
        <v>10304.290000000001</v>
      </c>
      <c r="Z840" s="3">
        <f t="shared" si="57"/>
        <v>53.279999999998836</v>
      </c>
      <c r="AA840" s="37">
        <f t="shared" si="58"/>
        <v>1.5246894961828059E-3</v>
      </c>
      <c r="AB840" s="3">
        <v>-1611.36</v>
      </c>
      <c r="AC840" s="3">
        <v>1747.24</v>
      </c>
      <c r="AD840" s="3">
        <v>3983.71</v>
      </c>
      <c r="AE840" s="3">
        <v>37181.29</v>
      </c>
      <c r="AF840" t="str">
        <f>IF(tbl_FinancialData[[#This Row],[City]]="","Unknown",PROPER(TRIM(tbl_FinancialData[[#This Row],[City]])))</f>
        <v>Jodhpur</v>
      </c>
      <c r="AG840" t="str">
        <f>_xlfn.LET(_xlpm.city,LOWER(TRIM(tbl_FinancialData[[#This Row],[City]])),_xlpm.st,PROPER(TRIM(tbl_FinancialData[[#This Row],[State]])),IF(_xlpm.city="pune","Maharashtra",IF(_xlpm.city="jamshedpur","Jharkhand",IF(_xlpm.city="bhilai","Chhattisgarh",IF(_xlpm.city="mumbai","Maharashtra",_xlpm.st)))))</f>
        <v>Rajasthan</v>
      </c>
      <c r="AH840" t="str">
        <f>_xlfn.LET(_xlpm.d,PROPER(TRIM(tbl_FinancialData[[#This Row],[Department]])),IF(_xlpm.d="It","IT",_xlpm.d))</f>
        <v>Operations</v>
      </c>
      <c r="AI840" t="str">
        <f>_xlfn.LET(_xlpm.pid,tbl_FinancialData[[#This Row],[Product ID]],_xlpm.n,PROPER(TRIM(tbl_FinancialData[[#This Row],[Product Name]])),IF(_xlpm.pid="P020","Document Scanner",IF(_xlpm.pid="P015","Network Router",SUBSTITUTE(SUBSTITUTE(_xlpm.n,"Crm","CRM"),"Ups","UPS"))))</f>
        <v>Monitor</v>
      </c>
      <c r="AJ840" s="3" t="str">
        <f>UPPER(TRIM(tbl_FinancialData[[#This Row],[Cost Center]]))</f>
        <v>CC-1002</v>
      </c>
    </row>
    <row r="841" spans="1:36" x14ac:dyDescent="0.25">
      <c r="A841" s="3" t="s">
        <v>1045</v>
      </c>
      <c r="B841" s="2">
        <v>45762</v>
      </c>
      <c r="C841" t="s">
        <v>128</v>
      </c>
      <c r="D841" s="3" t="str">
        <f t="shared" si="55"/>
        <v>Q1</v>
      </c>
      <c r="E841" s="3" t="str">
        <f t="shared" si="56"/>
        <v>FY2026</v>
      </c>
      <c r="F841" s="8" t="s">
        <v>34</v>
      </c>
      <c r="G841" s="3" t="s">
        <v>35</v>
      </c>
      <c r="H841" t="s">
        <v>134</v>
      </c>
      <c r="I841" t="s">
        <v>154</v>
      </c>
      <c r="J841" s="3" t="s">
        <v>80</v>
      </c>
      <c r="K841" t="s">
        <v>50</v>
      </c>
      <c r="L841" s="3" t="s">
        <v>94</v>
      </c>
      <c r="M841" s="3" t="s">
        <v>73</v>
      </c>
      <c r="N841" t="s">
        <v>74</v>
      </c>
      <c r="O841" t="s">
        <v>43</v>
      </c>
      <c r="P841" t="s">
        <v>75</v>
      </c>
      <c r="Q841" s="3">
        <v>62071.34</v>
      </c>
      <c r="R841" s="3">
        <v>58051.54</v>
      </c>
      <c r="S841" s="3">
        <v>42313.21</v>
      </c>
      <c r="T841" s="3">
        <v>3707.18</v>
      </c>
      <c r="U841" s="3">
        <v>2419.1999999999998</v>
      </c>
      <c r="V841" s="3">
        <v>2667.46</v>
      </c>
      <c r="W841" s="3">
        <v>926.63</v>
      </c>
      <c r="X841" s="3">
        <v>52033.67</v>
      </c>
      <c r="Y841" s="3">
        <v>19758.13</v>
      </c>
      <c r="Z841" s="3">
        <f t="shared" si="57"/>
        <v>10037.669999999998</v>
      </c>
      <c r="AA841" s="37">
        <f t="shared" si="58"/>
        <v>0.16171183029075897</v>
      </c>
      <c r="AB841" s="3">
        <v>4019.8</v>
      </c>
      <c r="AC841" s="3">
        <v>4965.71</v>
      </c>
      <c r="AD841" s="3">
        <v>6852.68</v>
      </c>
      <c r="AE841" s="3">
        <v>63958.31</v>
      </c>
      <c r="AF841" t="str">
        <f>IF(tbl_FinancialData[[#This Row],[City]]="","Unknown",PROPER(TRIM(tbl_FinancialData[[#This Row],[City]])))</f>
        <v>Udaipur</v>
      </c>
      <c r="AG841" t="str">
        <f>_xlfn.LET(_xlpm.city,LOWER(TRIM(tbl_FinancialData[[#This Row],[City]])),_xlpm.st,PROPER(TRIM(tbl_FinancialData[[#This Row],[State]])),IF(_xlpm.city="pune","Maharashtra",IF(_xlpm.city="jamshedpur","Jharkhand",IF(_xlpm.city="bhilai","Chhattisgarh",IF(_xlpm.city="mumbai","Maharashtra",_xlpm.st)))))</f>
        <v>Rajasthan</v>
      </c>
      <c r="AH841" t="str">
        <f>_xlfn.LET(_xlpm.d,PROPER(TRIM(tbl_FinancialData[[#This Row],[Department]])),IF(_xlpm.d="It","IT",_xlpm.d))</f>
        <v>Sales</v>
      </c>
      <c r="AI841" t="str">
        <f>_xlfn.LET(_xlpm.pid,tbl_FinancialData[[#This Row],[Product ID]],_xlpm.n,PROPER(TRIM(tbl_FinancialData[[#This Row],[Product Name]])),IF(_xlpm.pid="P020","Document Scanner",IF(_xlpm.pid="P015","Network Router",SUBSTITUTE(SUBSTITUTE(_xlpm.n,"Crm","CRM"),"Ups","UPS"))))</f>
        <v>Monitor</v>
      </c>
      <c r="AJ841" s="3" t="str">
        <f>UPPER(TRIM(tbl_FinancialData[[#This Row],[Cost Center]]))</f>
        <v>CC-1001</v>
      </c>
    </row>
    <row r="842" spans="1:36" x14ac:dyDescent="0.25">
      <c r="A842" s="3" t="s">
        <v>1046</v>
      </c>
      <c r="B842" s="2">
        <v>45992</v>
      </c>
      <c r="C842" t="s">
        <v>107</v>
      </c>
      <c r="D842" s="3" t="str">
        <f t="shared" si="55"/>
        <v>Q3</v>
      </c>
      <c r="E842" s="3" t="str">
        <f t="shared" si="56"/>
        <v>FY2026</v>
      </c>
      <c r="F842" s="8" t="s">
        <v>67</v>
      </c>
      <c r="G842" s="3" t="s">
        <v>35</v>
      </c>
      <c r="H842" t="s">
        <v>168</v>
      </c>
      <c r="I842" t="s">
        <v>251</v>
      </c>
      <c r="J842" s="3" t="s">
        <v>80</v>
      </c>
      <c r="K842" t="s">
        <v>71</v>
      </c>
      <c r="L842" s="3" t="s">
        <v>81</v>
      </c>
      <c r="M842" s="3" t="s">
        <v>102</v>
      </c>
      <c r="N842" t="s">
        <v>103</v>
      </c>
      <c r="O842" t="s">
        <v>104</v>
      </c>
      <c r="P842" t="s">
        <v>105</v>
      </c>
      <c r="Q842" s="3">
        <v>19972.330000000002</v>
      </c>
      <c r="R842" s="3">
        <v>21857.78</v>
      </c>
      <c r="S842" s="3">
        <v>11427.18</v>
      </c>
      <c r="T842" s="3">
        <v>2230.35</v>
      </c>
      <c r="U842" s="3">
        <v>684.7</v>
      </c>
      <c r="V842" s="3">
        <v>1126.4100000000001</v>
      </c>
      <c r="W842" s="3">
        <v>679.2</v>
      </c>
      <c r="X842" s="3">
        <v>16147.84</v>
      </c>
      <c r="Y842" s="3">
        <v>8545.15</v>
      </c>
      <c r="Z842" s="3">
        <f t="shared" si="57"/>
        <v>3824.4900000000016</v>
      </c>
      <c r="AA842" s="37">
        <f t="shared" si="58"/>
        <v>0.19148942562034582</v>
      </c>
      <c r="AB842" s="3">
        <v>-1885.45</v>
      </c>
      <c r="AC842" s="3">
        <v>998.62</v>
      </c>
      <c r="AD842" s="3">
        <v>948.69</v>
      </c>
      <c r="AE842" s="3">
        <v>19922.400000000001</v>
      </c>
      <c r="AF842" t="str">
        <f>IF(tbl_FinancialData[[#This Row],[City]]="","Unknown",PROPER(TRIM(tbl_FinancialData[[#This Row],[City]])))</f>
        <v>Durgapur</v>
      </c>
      <c r="AG842" t="str">
        <f>_xlfn.LET(_xlpm.city,LOWER(TRIM(tbl_FinancialData[[#This Row],[City]])),_xlpm.st,PROPER(TRIM(tbl_FinancialData[[#This Row],[State]])),IF(_xlpm.city="pune","Maharashtra",IF(_xlpm.city="jamshedpur","Jharkhand",IF(_xlpm.city="bhilai","Chhattisgarh",IF(_xlpm.city="mumbai","Maharashtra",_xlpm.st)))))</f>
        <v>West Bengal</v>
      </c>
      <c r="AH842" t="str">
        <f>_xlfn.LET(_xlpm.d,PROPER(TRIM(tbl_FinancialData[[#This Row],[Department]])),IF(_xlpm.d="It","IT",_xlpm.d))</f>
        <v>Marketing</v>
      </c>
      <c r="AI842" t="str">
        <f>_xlfn.LET(_xlpm.pid,tbl_FinancialData[[#This Row],[Product ID]],_xlpm.n,PROPER(TRIM(tbl_FinancialData[[#This Row],[Product Name]])),IF(_xlpm.pid="P020","Document Scanner",IF(_xlpm.pid="P015","Network Router",SUBSTITUTE(SUBSTITUTE(_xlpm.n,"Crm","CRM"),"Ups","UPS"))))</f>
        <v>Accounting Software</v>
      </c>
      <c r="AJ842" s="3" t="str">
        <f>UPPER(TRIM(tbl_FinancialData[[#This Row],[Cost Center]]))</f>
        <v>CC-1005</v>
      </c>
    </row>
    <row r="843" spans="1:36" x14ac:dyDescent="0.25">
      <c r="A843" s="3" t="s">
        <v>1047</v>
      </c>
      <c r="B843" s="2">
        <v>45824</v>
      </c>
      <c r="C843" t="s">
        <v>156</v>
      </c>
      <c r="D843" s="3" t="str">
        <f t="shared" si="55"/>
        <v>Q1</v>
      </c>
      <c r="E843" s="3" t="str">
        <f t="shared" si="56"/>
        <v>FY2026</v>
      </c>
      <c r="F843" s="8" t="s">
        <v>47</v>
      </c>
      <c r="G843" s="3" t="s">
        <v>35</v>
      </c>
      <c r="H843" t="s">
        <v>214</v>
      </c>
      <c r="I843" t="s">
        <v>220</v>
      </c>
      <c r="J843" s="3" t="s">
        <v>100</v>
      </c>
      <c r="K843" t="s">
        <v>160</v>
      </c>
      <c r="L843" s="3" t="s">
        <v>51</v>
      </c>
      <c r="M843" s="3" t="s">
        <v>141</v>
      </c>
      <c r="N843" t="s">
        <v>142</v>
      </c>
      <c r="O843" t="s">
        <v>54</v>
      </c>
      <c r="P843" t="s">
        <v>143</v>
      </c>
      <c r="Q843" s="3">
        <v>9187.18</v>
      </c>
      <c r="R843" s="3">
        <v>9285.32</v>
      </c>
      <c r="S843" s="3">
        <v>5243.69</v>
      </c>
      <c r="T843" s="3">
        <v>1008.93</v>
      </c>
      <c r="U843" s="3">
        <v>774.83</v>
      </c>
      <c r="V843" s="3">
        <v>922.34</v>
      </c>
      <c r="W843" s="3">
        <v>164.9</v>
      </c>
      <c r="X843" s="3">
        <v>8114.7</v>
      </c>
      <c r="Y843" s="3">
        <v>3943.49</v>
      </c>
      <c r="Z843" s="3">
        <f t="shared" si="57"/>
        <v>1072.4800000000005</v>
      </c>
      <c r="AA843" s="37">
        <f t="shared" si="58"/>
        <v>0.1167365829340451</v>
      </c>
      <c r="AB843" s="3">
        <v>-98.14</v>
      </c>
      <c r="AC843" s="3">
        <v>734.97</v>
      </c>
      <c r="AD843" s="3">
        <v>1014.26</v>
      </c>
      <c r="AE843" s="3">
        <v>9466.4699999999993</v>
      </c>
      <c r="AF843" t="str">
        <f>IF(tbl_FinancialData[[#This Row],[City]]="","Unknown",PROPER(TRIM(tbl_FinancialData[[#This Row],[City]])))</f>
        <v>Mysuru</v>
      </c>
      <c r="AG843" t="str">
        <f>_xlfn.LET(_xlpm.city,LOWER(TRIM(tbl_FinancialData[[#This Row],[City]])),_xlpm.st,PROPER(TRIM(tbl_FinancialData[[#This Row],[State]])),IF(_xlpm.city="pune","Maharashtra",IF(_xlpm.city="jamshedpur","Jharkhand",IF(_xlpm.city="bhilai","Chhattisgarh",IF(_xlpm.city="mumbai","Maharashtra",_xlpm.st)))))</f>
        <v>Karnataka</v>
      </c>
      <c r="AH843" t="str">
        <f>_xlfn.LET(_xlpm.d,PROPER(TRIM(tbl_FinancialData[[#This Row],[Department]])),IF(_xlpm.d="It","IT",_xlpm.d))</f>
        <v>IT</v>
      </c>
      <c r="AI843" t="str">
        <f>_xlfn.LET(_xlpm.pid,tbl_FinancialData[[#This Row],[Product ID]],_xlpm.n,PROPER(TRIM(tbl_FinancialData[[#This Row],[Product Name]])),IF(_xlpm.pid="P020","Document Scanner",IF(_xlpm.pid="P015","Network Router",SUBSTITUTE(SUBSTITUTE(_xlpm.n,"Crm","CRM"),"Ups","UPS"))))</f>
        <v>Headset</v>
      </c>
      <c r="AJ843" s="3" t="str">
        <f>UPPER(TRIM(tbl_FinancialData[[#This Row],[Cost Center]]))</f>
        <v>CC-1003</v>
      </c>
    </row>
    <row r="844" spans="1:36" x14ac:dyDescent="0.25">
      <c r="A844" s="3" t="s">
        <v>1048</v>
      </c>
      <c r="B844" s="2">
        <v>46081</v>
      </c>
      <c r="C844" t="s">
        <v>57</v>
      </c>
      <c r="D844" s="3" t="str">
        <f t="shared" si="55"/>
        <v>Q4</v>
      </c>
      <c r="E844" s="3" t="str">
        <f t="shared" si="56"/>
        <v>FY2026</v>
      </c>
      <c r="F844" s="8" t="s">
        <v>67</v>
      </c>
      <c r="G844" s="3" t="s">
        <v>35</v>
      </c>
      <c r="H844" t="s">
        <v>68</v>
      </c>
      <c r="I844" t="s">
        <v>69</v>
      </c>
      <c r="J844" s="3" t="s">
        <v>38</v>
      </c>
      <c r="K844" t="s">
        <v>71</v>
      </c>
      <c r="L844" s="3" t="s">
        <v>72</v>
      </c>
      <c r="M844" s="3" t="s">
        <v>161</v>
      </c>
      <c r="N844" t="s">
        <v>162</v>
      </c>
      <c r="O844" t="s">
        <v>43</v>
      </c>
      <c r="P844" t="s">
        <v>163</v>
      </c>
      <c r="Q844" s="3">
        <v>46208.41</v>
      </c>
      <c r="R844" s="3">
        <v>41572.65</v>
      </c>
      <c r="S844" s="3">
        <v>29999.38</v>
      </c>
      <c r="T844" s="3">
        <v>4319.7</v>
      </c>
      <c r="U844" s="3">
        <v>2734.41</v>
      </c>
      <c r="V844" s="3">
        <v>2927.93</v>
      </c>
      <c r="W844" s="3">
        <v>1424.09</v>
      </c>
      <c r="X844" s="3">
        <v>41405.51</v>
      </c>
      <c r="Y844" s="3">
        <v>16209.02</v>
      </c>
      <c r="Z844" s="3">
        <f t="shared" si="57"/>
        <v>4802.9000000000015</v>
      </c>
      <c r="AA844" s="37">
        <f t="shared" si="58"/>
        <v>0.10393995378763306</v>
      </c>
      <c r="AB844" s="3">
        <v>4635.75</v>
      </c>
      <c r="AC844" s="3">
        <v>0</v>
      </c>
      <c r="AD844" s="3">
        <v>2310.42</v>
      </c>
      <c r="AE844" s="3">
        <v>48518.83</v>
      </c>
      <c r="AF844" t="str">
        <f>IF(tbl_FinancialData[[#This Row],[City]]="","Unknown",PROPER(TRIM(tbl_FinancialData[[#This Row],[City]])))</f>
        <v>Bhubaneswar</v>
      </c>
      <c r="AG844" t="str">
        <f>_xlfn.LET(_xlpm.city,LOWER(TRIM(tbl_FinancialData[[#This Row],[City]])),_xlpm.st,PROPER(TRIM(tbl_FinancialData[[#This Row],[State]])),IF(_xlpm.city="pune","Maharashtra",IF(_xlpm.city="jamshedpur","Jharkhand",IF(_xlpm.city="bhilai","Chhattisgarh",IF(_xlpm.city="mumbai","Maharashtra",_xlpm.st)))))</f>
        <v>Odisha</v>
      </c>
      <c r="AH844" t="str">
        <f>_xlfn.LET(_xlpm.d,PROPER(TRIM(tbl_FinancialData[[#This Row],[Department]])),IF(_xlpm.d="It","IT",_xlpm.d))</f>
        <v>Marketing</v>
      </c>
      <c r="AI844" t="str">
        <f>_xlfn.LET(_xlpm.pid,tbl_FinancialData[[#This Row],[Product ID]],_xlpm.n,PROPER(TRIM(tbl_FinancialData[[#This Row],[Product Name]])),IF(_xlpm.pid="P020","Document Scanner",IF(_xlpm.pid="P015","Network Router",SUBSTITUTE(SUBSTITUTE(_xlpm.n,"Crm","CRM"),"Ups","UPS"))))</f>
        <v>Tablet</v>
      </c>
      <c r="AJ844" s="3" t="str">
        <f>UPPER(TRIM(tbl_FinancialData[[#This Row],[Cost Center]]))</f>
        <v>CC-1004</v>
      </c>
    </row>
    <row r="845" spans="1:36" x14ac:dyDescent="0.25">
      <c r="A845" s="3" t="s">
        <v>1049</v>
      </c>
      <c r="B845" s="2">
        <v>45986</v>
      </c>
      <c r="C845" t="s">
        <v>147</v>
      </c>
      <c r="D845" s="3" t="str">
        <f t="shared" si="55"/>
        <v>Q3</v>
      </c>
      <c r="E845" s="3" t="str">
        <f t="shared" si="56"/>
        <v>FY2026</v>
      </c>
      <c r="F845" s="8" t="s">
        <v>34</v>
      </c>
      <c r="G845" s="3" t="s">
        <v>35</v>
      </c>
      <c r="H845" t="s">
        <v>36</v>
      </c>
      <c r="I845" t="s">
        <v>145</v>
      </c>
      <c r="J845" s="3" t="s">
        <v>100</v>
      </c>
      <c r="K845" t="s">
        <v>39</v>
      </c>
      <c r="L845" s="3" t="s">
        <v>72</v>
      </c>
      <c r="M845" s="3" t="s">
        <v>73</v>
      </c>
      <c r="N845" t="s">
        <v>74</v>
      </c>
      <c r="O845" t="s">
        <v>43</v>
      </c>
      <c r="P845" t="s">
        <v>75</v>
      </c>
      <c r="Q845" s="3">
        <v>32715.67</v>
      </c>
      <c r="R845" s="3">
        <v>34638.78</v>
      </c>
      <c r="S845" s="3">
        <v>17670.740000000002</v>
      </c>
      <c r="T845" s="3">
        <v>2509.5300000000002</v>
      </c>
      <c r="U845" s="3">
        <v>1820.02</v>
      </c>
      <c r="V845" s="3">
        <v>1378.69</v>
      </c>
      <c r="W845" s="3">
        <v>432.43</v>
      </c>
      <c r="X845" s="3">
        <v>23811.41</v>
      </c>
      <c r="Y845" s="3">
        <v>15044.93</v>
      </c>
      <c r="Z845" s="3">
        <f t="shared" si="57"/>
        <v>8904.2599999999984</v>
      </c>
      <c r="AA845" s="37">
        <f t="shared" si="58"/>
        <v>0.27217110332754912</v>
      </c>
      <c r="AB845" s="3">
        <v>-1923.11</v>
      </c>
      <c r="AC845" s="3">
        <v>1635.78</v>
      </c>
      <c r="AD845" s="3">
        <v>3729.59</v>
      </c>
      <c r="AE845" s="3">
        <v>34809.47</v>
      </c>
      <c r="AF845" t="str">
        <f>IF(tbl_FinancialData[[#This Row],[City]]="","Unknown",PROPER(TRIM(tbl_FinancialData[[#This Row],[City]])))</f>
        <v>Panaji</v>
      </c>
      <c r="AG845" t="str">
        <f>_xlfn.LET(_xlpm.city,LOWER(TRIM(tbl_FinancialData[[#This Row],[City]])),_xlpm.st,PROPER(TRIM(tbl_FinancialData[[#This Row],[State]])),IF(_xlpm.city="pune","Maharashtra",IF(_xlpm.city="jamshedpur","Jharkhand",IF(_xlpm.city="bhilai","Chhattisgarh",IF(_xlpm.city="mumbai","Maharashtra",_xlpm.st)))))</f>
        <v>Goa</v>
      </c>
      <c r="AH845" t="str">
        <f>_xlfn.LET(_xlpm.d,PROPER(TRIM(tbl_FinancialData[[#This Row],[Department]])),IF(_xlpm.d="It","IT",_xlpm.d))</f>
        <v>Operations</v>
      </c>
      <c r="AI845" t="str">
        <f>_xlfn.LET(_xlpm.pid,tbl_FinancialData[[#This Row],[Product ID]],_xlpm.n,PROPER(TRIM(tbl_FinancialData[[#This Row],[Product Name]])),IF(_xlpm.pid="P020","Document Scanner",IF(_xlpm.pid="P015","Network Router",SUBSTITUTE(SUBSTITUTE(_xlpm.n,"Crm","CRM"),"Ups","UPS"))))</f>
        <v>Monitor</v>
      </c>
      <c r="AJ845" s="3" t="str">
        <f>UPPER(TRIM(tbl_FinancialData[[#This Row],[Cost Center]]))</f>
        <v>CC-1004</v>
      </c>
    </row>
    <row r="846" spans="1:36" x14ac:dyDescent="0.25">
      <c r="A846" s="3" t="s">
        <v>1050</v>
      </c>
      <c r="B846" s="2">
        <v>45814</v>
      </c>
      <c r="C846" t="s">
        <v>156</v>
      </c>
      <c r="D846" s="3" t="str">
        <f t="shared" si="55"/>
        <v>Q1</v>
      </c>
      <c r="E846" s="3" t="str">
        <f t="shared" si="56"/>
        <v>FY2026</v>
      </c>
      <c r="F846" s="8" t="s">
        <v>34</v>
      </c>
      <c r="G846" s="3" t="s">
        <v>35</v>
      </c>
      <c r="H846" t="s">
        <v>36</v>
      </c>
      <c r="I846" t="s">
        <v>37</v>
      </c>
      <c r="J846" s="3" t="s">
        <v>100</v>
      </c>
      <c r="K846" t="s">
        <v>71</v>
      </c>
      <c r="L846" s="3" t="s">
        <v>51</v>
      </c>
      <c r="M846" s="3" t="s">
        <v>171</v>
      </c>
      <c r="N846" t="s">
        <v>172</v>
      </c>
      <c r="O846" t="s">
        <v>173</v>
      </c>
      <c r="P846" t="s">
        <v>174</v>
      </c>
      <c r="Q846" s="3">
        <v>8893.86</v>
      </c>
      <c r="R846" s="3">
        <v>8572.18</v>
      </c>
      <c r="S846" s="3">
        <v>4783.54</v>
      </c>
      <c r="T846" s="3">
        <v>798.68</v>
      </c>
      <c r="U846" s="3">
        <v>768.4</v>
      </c>
      <c r="V846" s="3">
        <v>671.79</v>
      </c>
      <c r="W846" s="3">
        <v>294.87</v>
      </c>
      <c r="X846" s="3">
        <v>7317.29</v>
      </c>
      <c r="Y846" s="3">
        <v>4110.32</v>
      </c>
      <c r="Z846" s="3">
        <f t="shared" si="57"/>
        <v>1576.5700000000006</v>
      </c>
      <c r="AA846" s="37">
        <f t="shared" si="58"/>
        <v>0.17726498955459166</v>
      </c>
      <c r="AB846" s="3">
        <v>321.69</v>
      </c>
      <c r="AC846" s="3">
        <v>444.69</v>
      </c>
      <c r="AD846" s="3">
        <v>1520.85</v>
      </c>
      <c r="AE846" s="3">
        <v>9970.02</v>
      </c>
      <c r="AF846" t="str">
        <f>IF(tbl_FinancialData[[#This Row],[City]]="","Unknown",PROPER(TRIM(tbl_FinancialData[[#This Row],[City]])))</f>
        <v>Vasco Da Gama</v>
      </c>
      <c r="AG846" t="str">
        <f>_xlfn.LET(_xlpm.city,LOWER(TRIM(tbl_FinancialData[[#This Row],[City]])),_xlpm.st,PROPER(TRIM(tbl_FinancialData[[#This Row],[State]])),IF(_xlpm.city="pune","Maharashtra",IF(_xlpm.city="jamshedpur","Jharkhand",IF(_xlpm.city="bhilai","Chhattisgarh",IF(_xlpm.city="mumbai","Maharashtra",_xlpm.st)))))</f>
        <v>Goa</v>
      </c>
      <c r="AH846" t="str">
        <f>_xlfn.LET(_xlpm.d,PROPER(TRIM(tbl_FinancialData[[#This Row],[Department]])),IF(_xlpm.d="It","IT",_xlpm.d))</f>
        <v>Marketing</v>
      </c>
      <c r="AI846" t="str">
        <f>_xlfn.LET(_xlpm.pid,tbl_FinancialData[[#This Row],[Product ID]],_xlpm.n,PROPER(TRIM(tbl_FinancialData[[#This Row],[Product Name]])),IF(_xlpm.pid="P020","Document Scanner",IF(_xlpm.pid="P015","Network Router",SUBSTITUTE(SUBSTITUTE(_xlpm.n,"Crm","CRM"),"Ups","UPS"))))</f>
        <v>Network Switch</v>
      </c>
      <c r="AJ846" s="3" t="str">
        <f>UPPER(TRIM(tbl_FinancialData[[#This Row],[Cost Center]]))</f>
        <v>CC-1003</v>
      </c>
    </row>
    <row r="847" spans="1:36" x14ac:dyDescent="0.25">
      <c r="A847" s="3" t="s">
        <v>1051</v>
      </c>
      <c r="B847" s="2">
        <v>46007</v>
      </c>
      <c r="C847" t="s">
        <v>107</v>
      </c>
      <c r="D847" s="3" t="str">
        <f t="shared" si="55"/>
        <v>Q3</v>
      </c>
      <c r="E847" s="3" t="str">
        <f t="shared" si="56"/>
        <v>FY2026</v>
      </c>
      <c r="F847" s="8" t="s">
        <v>47</v>
      </c>
      <c r="G847" s="3" t="s">
        <v>35</v>
      </c>
      <c r="H847" t="s">
        <v>78</v>
      </c>
      <c r="I847" t="s">
        <v>115</v>
      </c>
      <c r="J847" s="3" t="s">
        <v>100</v>
      </c>
      <c r="K847" t="s">
        <v>71</v>
      </c>
      <c r="L847" s="3" t="s">
        <v>51</v>
      </c>
      <c r="M847" s="3" t="s">
        <v>73</v>
      </c>
      <c r="N847" t="s">
        <v>74</v>
      </c>
      <c r="O847" t="s">
        <v>43</v>
      </c>
      <c r="P847" t="s">
        <v>75</v>
      </c>
      <c r="Q847" s="3">
        <v>31098.71</v>
      </c>
      <c r="R847" s="3">
        <v>27668.63</v>
      </c>
      <c r="S847" s="3">
        <v>19755.849999999999</v>
      </c>
      <c r="T847" s="3">
        <v>2933.96</v>
      </c>
      <c r="U847" s="3">
        <v>2125.42</v>
      </c>
      <c r="V847" s="3">
        <v>3558.04</v>
      </c>
      <c r="W847" s="3">
        <v>1059.06</v>
      </c>
      <c r="X847" s="3">
        <v>29432.34</v>
      </c>
      <c r="Y847" s="3">
        <v>11342.86</v>
      </c>
      <c r="Z847" s="3">
        <f t="shared" si="57"/>
        <v>1666.369999999999</v>
      </c>
      <c r="AA847" s="37">
        <f t="shared" si="58"/>
        <v>5.358325152393778E-2</v>
      </c>
      <c r="AB847" s="3">
        <v>3430.08</v>
      </c>
      <c r="AC847" s="3">
        <v>621.97</v>
      </c>
      <c r="AD847" s="3">
        <v>1523.84</v>
      </c>
      <c r="AE847" s="3">
        <v>32000.57</v>
      </c>
      <c r="AF847" t="str">
        <f>IF(tbl_FinancialData[[#This Row],[City]]="","Unknown",PROPER(TRIM(tbl_FinancialData[[#This Row],[City]])))</f>
        <v>Thiruvananthapuram</v>
      </c>
      <c r="AG847" t="str">
        <f>_xlfn.LET(_xlpm.city,LOWER(TRIM(tbl_FinancialData[[#This Row],[City]])),_xlpm.st,PROPER(TRIM(tbl_FinancialData[[#This Row],[State]])),IF(_xlpm.city="pune","Maharashtra",IF(_xlpm.city="jamshedpur","Jharkhand",IF(_xlpm.city="bhilai","Chhattisgarh",IF(_xlpm.city="mumbai","Maharashtra",_xlpm.st)))))</f>
        <v>Kerala</v>
      </c>
      <c r="AH847" t="str">
        <f>_xlfn.LET(_xlpm.d,PROPER(TRIM(tbl_FinancialData[[#This Row],[Department]])),IF(_xlpm.d="It","IT",_xlpm.d))</f>
        <v>Marketing</v>
      </c>
      <c r="AI847" t="str">
        <f>_xlfn.LET(_xlpm.pid,tbl_FinancialData[[#This Row],[Product ID]],_xlpm.n,PROPER(TRIM(tbl_FinancialData[[#This Row],[Product Name]])),IF(_xlpm.pid="P020","Document Scanner",IF(_xlpm.pid="P015","Network Router",SUBSTITUTE(SUBSTITUTE(_xlpm.n,"Crm","CRM"),"Ups","UPS"))))</f>
        <v>Monitor</v>
      </c>
      <c r="AJ847" s="3" t="str">
        <f>UPPER(TRIM(tbl_FinancialData[[#This Row],[Cost Center]]))</f>
        <v>CC-1003</v>
      </c>
    </row>
    <row r="848" spans="1:36" x14ac:dyDescent="0.25">
      <c r="A848" s="3" t="s">
        <v>1052</v>
      </c>
      <c r="B848" s="2">
        <v>45783</v>
      </c>
      <c r="C848" t="s">
        <v>65</v>
      </c>
      <c r="D848" s="3" t="str">
        <f t="shared" si="55"/>
        <v>Q1</v>
      </c>
      <c r="E848" s="3" t="str">
        <f t="shared" si="56"/>
        <v>FY2026</v>
      </c>
      <c r="F848" s="8" t="s">
        <v>85</v>
      </c>
      <c r="G848" s="3" t="s">
        <v>35</v>
      </c>
      <c r="H848" t="s">
        <v>86</v>
      </c>
      <c r="I848" t="s">
        <v>181</v>
      </c>
      <c r="J848" s="3" t="s">
        <v>70</v>
      </c>
      <c r="K848" t="s">
        <v>50</v>
      </c>
      <c r="L848" s="3" t="s">
        <v>51</v>
      </c>
      <c r="M848" s="3" t="s">
        <v>73</v>
      </c>
      <c r="N848" t="s">
        <v>74</v>
      </c>
      <c r="O848" t="s">
        <v>43</v>
      </c>
      <c r="P848" t="s">
        <v>75</v>
      </c>
      <c r="Q848" s="3">
        <v>82566.39</v>
      </c>
      <c r="R848" s="3">
        <v>96779.42</v>
      </c>
      <c r="S848" s="3">
        <v>40407.160000000003</v>
      </c>
      <c r="T848" s="3">
        <v>10378.25</v>
      </c>
      <c r="U848" s="3">
        <v>7417.1</v>
      </c>
      <c r="V848" s="3">
        <v>9527.69</v>
      </c>
      <c r="W848" s="3">
        <v>2764.56</v>
      </c>
      <c r="X848" s="3">
        <v>70494.77</v>
      </c>
      <c r="Y848" s="3">
        <v>42159.23</v>
      </c>
      <c r="Z848" s="3">
        <f t="shared" si="57"/>
        <v>12071.619999999995</v>
      </c>
      <c r="AA848" s="37">
        <f t="shared" si="58"/>
        <v>0.14620501150649792</v>
      </c>
      <c r="AB848" s="3">
        <v>-14213.02</v>
      </c>
      <c r="AC848" s="3">
        <v>4128.32</v>
      </c>
      <c r="AD848" s="3">
        <v>3921.9</v>
      </c>
      <c r="AE848" s="3">
        <v>82359.98</v>
      </c>
      <c r="AF848" t="str">
        <f>IF(tbl_FinancialData[[#This Row],[City]]="","Unknown",PROPER(TRIM(tbl_FinancialData[[#This Row],[City]])))</f>
        <v>Bhopal</v>
      </c>
      <c r="AG848" t="str">
        <f>_xlfn.LET(_xlpm.city,LOWER(TRIM(tbl_FinancialData[[#This Row],[City]])),_xlpm.st,PROPER(TRIM(tbl_FinancialData[[#This Row],[State]])),IF(_xlpm.city="pune","Maharashtra",IF(_xlpm.city="jamshedpur","Jharkhand",IF(_xlpm.city="bhilai","Chhattisgarh",IF(_xlpm.city="mumbai","Maharashtra",_xlpm.st)))))</f>
        <v>Madhya Pradesh</v>
      </c>
      <c r="AH848" t="str">
        <f>_xlfn.LET(_xlpm.d,PROPER(TRIM(tbl_FinancialData[[#This Row],[Department]])),IF(_xlpm.d="It","IT",_xlpm.d))</f>
        <v>Sales</v>
      </c>
      <c r="AI848" t="str">
        <f>_xlfn.LET(_xlpm.pid,tbl_FinancialData[[#This Row],[Product ID]],_xlpm.n,PROPER(TRIM(tbl_FinancialData[[#This Row],[Product Name]])),IF(_xlpm.pid="P020","Document Scanner",IF(_xlpm.pid="P015","Network Router",SUBSTITUTE(SUBSTITUTE(_xlpm.n,"Crm","CRM"),"Ups","UPS"))))</f>
        <v>Monitor</v>
      </c>
      <c r="AJ848" s="3" t="str">
        <f>UPPER(TRIM(tbl_FinancialData[[#This Row],[Cost Center]]))</f>
        <v>CC-1003</v>
      </c>
    </row>
    <row r="849" spans="1:36" x14ac:dyDescent="0.25">
      <c r="A849" s="3" t="s">
        <v>1053</v>
      </c>
      <c r="B849" s="2">
        <v>45975</v>
      </c>
      <c r="C849" t="s">
        <v>147</v>
      </c>
      <c r="D849" s="3" t="str">
        <f t="shared" si="55"/>
        <v>Q3</v>
      </c>
      <c r="E849" s="3" t="str">
        <f t="shared" si="56"/>
        <v>FY2026</v>
      </c>
      <c r="F849" s="8" t="s">
        <v>47</v>
      </c>
      <c r="G849" s="3" t="s">
        <v>35</v>
      </c>
      <c r="H849" t="s">
        <v>78</v>
      </c>
      <c r="I849" t="s">
        <v>183</v>
      </c>
      <c r="J849" s="3" t="s">
        <v>38</v>
      </c>
      <c r="K849" t="s">
        <v>160</v>
      </c>
      <c r="L849" s="3" t="s">
        <v>94</v>
      </c>
      <c r="M849" s="3" t="s">
        <v>211</v>
      </c>
      <c r="N849" t="s">
        <v>212</v>
      </c>
      <c r="O849" t="s">
        <v>112</v>
      </c>
      <c r="P849" t="s">
        <v>113</v>
      </c>
      <c r="Q849" s="3">
        <v>14494.8</v>
      </c>
      <c r="R849" s="3">
        <v>17034.89</v>
      </c>
      <c r="S849" s="3">
        <v>7608.18</v>
      </c>
      <c r="T849" s="3">
        <v>1727.55</v>
      </c>
      <c r="U849" s="3">
        <v>730.21</v>
      </c>
      <c r="V849" s="3">
        <v>1022.02</v>
      </c>
      <c r="W849" s="3">
        <v>278.22000000000003</v>
      </c>
      <c r="X849" s="3">
        <v>11366.18</v>
      </c>
      <c r="Y849" s="3">
        <v>6886.62</v>
      </c>
      <c r="Z849" s="3">
        <f t="shared" si="57"/>
        <v>3128.619999999999</v>
      </c>
      <c r="AA849" s="37">
        <f t="shared" si="58"/>
        <v>0.21584430278444677</v>
      </c>
      <c r="AB849" s="3">
        <v>-2540.1</v>
      </c>
      <c r="AC849" s="3">
        <v>0</v>
      </c>
      <c r="AD849" s="3">
        <v>1739.38</v>
      </c>
      <c r="AE849" s="3">
        <v>16234.17</v>
      </c>
      <c r="AF849" t="str">
        <f>IF(tbl_FinancialData[[#This Row],[City]]="","Unknown",PROPER(TRIM(tbl_FinancialData[[#This Row],[City]])))</f>
        <v>Kozhikode</v>
      </c>
      <c r="AG849" t="str">
        <f>_xlfn.LET(_xlpm.city,LOWER(TRIM(tbl_FinancialData[[#This Row],[City]])),_xlpm.st,PROPER(TRIM(tbl_FinancialData[[#This Row],[State]])),IF(_xlpm.city="pune","Maharashtra",IF(_xlpm.city="jamshedpur","Jharkhand",IF(_xlpm.city="bhilai","Chhattisgarh",IF(_xlpm.city="mumbai","Maharashtra",_xlpm.st)))))</f>
        <v>Kerala</v>
      </c>
      <c r="AH849" t="str">
        <f>_xlfn.LET(_xlpm.d,PROPER(TRIM(tbl_FinancialData[[#This Row],[Department]])),IF(_xlpm.d="It","IT",_xlpm.d))</f>
        <v>IT</v>
      </c>
      <c r="AI849" t="str">
        <f>_xlfn.LET(_xlpm.pid,tbl_FinancialData[[#This Row],[Product ID]],_xlpm.n,PROPER(TRIM(tbl_FinancialData[[#This Row],[Product Name]])),IF(_xlpm.pid="P020","Document Scanner",IF(_xlpm.pid="P015","Network Router",SUBSTITUTE(SUBSTITUTE(_xlpm.n,"Crm","CRM"),"Ups","UPS"))))</f>
        <v>Office Chair</v>
      </c>
      <c r="AJ849" s="3" t="str">
        <f>UPPER(TRIM(tbl_FinancialData[[#This Row],[Cost Center]]))</f>
        <v>CC-1001</v>
      </c>
    </row>
    <row r="850" spans="1:36" x14ac:dyDescent="0.25">
      <c r="A850" s="3" t="s">
        <v>1054</v>
      </c>
      <c r="B850" s="2">
        <v>45955</v>
      </c>
      <c r="C850" t="s">
        <v>92</v>
      </c>
      <c r="D850" s="3" t="str">
        <f t="shared" si="55"/>
        <v>Q3</v>
      </c>
      <c r="E850" s="3" t="str">
        <f t="shared" si="56"/>
        <v>FY2026</v>
      </c>
      <c r="F850" s="8" t="s">
        <v>59</v>
      </c>
      <c r="G850" s="3" t="s">
        <v>35</v>
      </c>
      <c r="H850" t="s">
        <v>254</v>
      </c>
      <c r="I850" t="s">
        <v>314</v>
      </c>
      <c r="J850" s="3" t="s">
        <v>100</v>
      </c>
      <c r="K850" t="s">
        <v>160</v>
      </c>
      <c r="L850" s="3" t="s">
        <v>72</v>
      </c>
      <c r="M850" s="3" t="s">
        <v>110</v>
      </c>
      <c r="N850" t="s">
        <v>111</v>
      </c>
      <c r="O850" t="s">
        <v>112</v>
      </c>
      <c r="P850" t="s">
        <v>113</v>
      </c>
      <c r="Q850" s="3">
        <v>14311.04</v>
      </c>
      <c r="R850" s="3">
        <v>16457.240000000002</v>
      </c>
      <c r="S850" s="3">
        <v>8064.82</v>
      </c>
      <c r="T850" s="3">
        <v>843.24</v>
      </c>
      <c r="U850" s="3">
        <v>1012.79</v>
      </c>
      <c r="V850" s="3">
        <v>1406.33</v>
      </c>
      <c r="W850" s="3">
        <v>592.32000000000005</v>
      </c>
      <c r="X850" s="3">
        <v>11919.51</v>
      </c>
      <c r="Y850" s="3">
        <v>6246.22</v>
      </c>
      <c r="Z850" s="3">
        <f t="shared" si="57"/>
        <v>2391.5300000000007</v>
      </c>
      <c r="AA850" s="37">
        <f t="shared" si="58"/>
        <v>0.16711084589240199</v>
      </c>
      <c r="AB850" s="3">
        <v>-2146.1999999999998</v>
      </c>
      <c r="AC850" s="3">
        <v>0</v>
      </c>
      <c r="AD850" s="3">
        <v>715.55</v>
      </c>
      <c r="AE850" s="3">
        <v>15026.59</v>
      </c>
      <c r="AF850" t="str">
        <f>IF(tbl_FinancialData[[#This Row],[City]]="","Unknown",PROPER(TRIM(tbl_FinancialData[[#This Row],[City]])))</f>
        <v>New Delhi</v>
      </c>
      <c r="AG850" t="str">
        <f>_xlfn.LET(_xlpm.city,LOWER(TRIM(tbl_FinancialData[[#This Row],[City]])),_xlpm.st,PROPER(TRIM(tbl_FinancialData[[#This Row],[State]])),IF(_xlpm.city="pune","Maharashtra",IF(_xlpm.city="jamshedpur","Jharkhand",IF(_xlpm.city="bhilai","Chhattisgarh",IF(_xlpm.city="mumbai","Maharashtra",_xlpm.st)))))</f>
        <v>Delhi</v>
      </c>
      <c r="AH850" t="str">
        <f>_xlfn.LET(_xlpm.d,PROPER(TRIM(tbl_FinancialData[[#This Row],[Department]])),IF(_xlpm.d="It","IT",_xlpm.d))</f>
        <v>IT</v>
      </c>
      <c r="AI850" t="str">
        <f>_xlfn.LET(_xlpm.pid,tbl_FinancialData[[#This Row],[Product ID]],_xlpm.n,PROPER(TRIM(tbl_FinancialData[[#This Row],[Product Name]])),IF(_xlpm.pid="P020","Document Scanner",IF(_xlpm.pid="P015","Network Router",SUBSTITUTE(SUBSTITUTE(_xlpm.n,"Crm","CRM"),"Ups","UPS"))))</f>
        <v>Office Desk</v>
      </c>
      <c r="AJ850" s="3" t="str">
        <f>UPPER(TRIM(tbl_FinancialData[[#This Row],[Cost Center]]))</f>
        <v>CC-1004</v>
      </c>
    </row>
    <row r="851" spans="1:36" x14ac:dyDescent="0.25">
      <c r="A851" s="3" t="s">
        <v>1055</v>
      </c>
      <c r="B851" s="2">
        <v>46063</v>
      </c>
      <c r="C851" t="s">
        <v>57</v>
      </c>
      <c r="D851" s="3" t="str">
        <f t="shared" si="55"/>
        <v>Q4</v>
      </c>
      <c r="E851" s="3" t="str">
        <f t="shared" si="56"/>
        <v>FY2026</v>
      </c>
      <c r="F851" s="8" t="s">
        <v>34</v>
      </c>
      <c r="G851" s="3" t="s">
        <v>35</v>
      </c>
      <c r="H851" t="s">
        <v>134</v>
      </c>
      <c r="I851" t="s">
        <v>135</v>
      </c>
      <c r="J851" s="3" t="s">
        <v>38</v>
      </c>
      <c r="K851" t="s">
        <v>39</v>
      </c>
      <c r="L851" s="3" t="s">
        <v>81</v>
      </c>
      <c r="M851" s="3" t="s">
        <v>102</v>
      </c>
      <c r="N851" t="s">
        <v>103</v>
      </c>
      <c r="O851" t="s">
        <v>104</v>
      </c>
      <c r="P851" t="s">
        <v>105</v>
      </c>
      <c r="Q851" s="3">
        <v>14413.36</v>
      </c>
      <c r="R851" s="3">
        <v>13664.31</v>
      </c>
      <c r="S851" s="3">
        <v>8495.4</v>
      </c>
      <c r="T851" s="3">
        <v>1819.84</v>
      </c>
      <c r="U851" s="3">
        <v>1157.0999999999999</v>
      </c>
      <c r="V851" s="3">
        <v>744</v>
      </c>
      <c r="W851" s="3">
        <v>159.16</v>
      </c>
      <c r="X851" s="3">
        <v>12375.49</v>
      </c>
      <c r="Y851" s="3">
        <v>5917.95</v>
      </c>
      <c r="Z851" s="3">
        <f t="shared" si="57"/>
        <v>2037.8700000000008</v>
      </c>
      <c r="AA851" s="37">
        <f t="shared" si="58"/>
        <v>0.14138757375101993</v>
      </c>
      <c r="AB851" s="3">
        <v>749.05</v>
      </c>
      <c r="AC851" s="3">
        <v>1441.34</v>
      </c>
      <c r="AD851" s="3">
        <v>1556.64</v>
      </c>
      <c r="AE851" s="3">
        <v>14528.67</v>
      </c>
      <c r="AF851" t="str">
        <f>IF(tbl_FinancialData[[#This Row],[City]]="","Unknown",PROPER(TRIM(tbl_FinancialData[[#This Row],[City]])))</f>
        <v>Jodhpur</v>
      </c>
      <c r="AG851" t="str">
        <f>_xlfn.LET(_xlpm.city,LOWER(TRIM(tbl_FinancialData[[#This Row],[City]])),_xlpm.st,PROPER(TRIM(tbl_FinancialData[[#This Row],[State]])),IF(_xlpm.city="pune","Maharashtra",IF(_xlpm.city="jamshedpur","Jharkhand",IF(_xlpm.city="bhilai","Chhattisgarh",IF(_xlpm.city="mumbai","Maharashtra",_xlpm.st)))))</f>
        <v>Rajasthan</v>
      </c>
      <c r="AH851" t="str">
        <f>_xlfn.LET(_xlpm.d,PROPER(TRIM(tbl_FinancialData[[#This Row],[Department]])),IF(_xlpm.d="It","IT",_xlpm.d))</f>
        <v>Operations</v>
      </c>
      <c r="AI851" t="str">
        <f>_xlfn.LET(_xlpm.pid,tbl_FinancialData[[#This Row],[Product ID]],_xlpm.n,PROPER(TRIM(tbl_FinancialData[[#This Row],[Product Name]])),IF(_xlpm.pid="P020","Document Scanner",IF(_xlpm.pid="P015","Network Router",SUBSTITUTE(SUBSTITUTE(_xlpm.n,"Crm","CRM"),"Ups","UPS"))))</f>
        <v>Accounting Software</v>
      </c>
      <c r="AJ851" s="3" t="str">
        <f>UPPER(TRIM(tbl_FinancialData[[#This Row],[Cost Center]]))</f>
        <v>CC-1005</v>
      </c>
    </row>
    <row r="852" spans="1:36" x14ac:dyDescent="0.25">
      <c r="A852" s="3" t="s">
        <v>1056</v>
      </c>
      <c r="B852" s="2">
        <v>46090</v>
      </c>
      <c r="C852" t="s">
        <v>125</v>
      </c>
      <c r="D852" s="3" t="str">
        <f t="shared" si="55"/>
        <v>Q4</v>
      </c>
      <c r="E852" s="3" t="str">
        <f t="shared" si="56"/>
        <v>FY2026</v>
      </c>
      <c r="F852" s="8" t="s">
        <v>34</v>
      </c>
      <c r="G852" s="3" t="s">
        <v>35</v>
      </c>
      <c r="H852" t="s">
        <v>134</v>
      </c>
      <c r="I852" t="s">
        <v>154</v>
      </c>
      <c r="J852" s="3" t="s">
        <v>38</v>
      </c>
      <c r="K852" t="s">
        <v>101</v>
      </c>
      <c r="L852" s="3" t="s">
        <v>72</v>
      </c>
      <c r="M852" s="3" t="s">
        <v>197</v>
      </c>
      <c r="N852" t="s">
        <v>198</v>
      </c>
      <c r="O852" t="s">
        <v>43</v>
      </c>
      <c r="P852" t="s">
        <v>163</v>
      </c>
      <c r="Q852" s="3">
        <v>41767.86</v>
      </c>
      <c r="R852" s="3">
        <v>38425.1</v>
      </c>
      <c r="S852" s="3">
        <v>22096.18</v>
      </c>
      <c r="T852" s="3">
        <v>4650.3100000000004</v>
      </c>
      <c r="U852" s="3">
        <v>1846.12</v>
      </c>
      <c r="V852" s="3">
        <v>1742.18</v>
      </c>
      <c r="W852" s="3">
        <v>1797.94</v>
      </c>
      <c r="X852" s="3">
        <v>32132.73</v>
      </c>
      <c r="Y852" s="3">
        <v>19671.68</v>
      </c>
      <c r="Z852" s="3">
        <f t="shared" si="57"/>
        <v>9635.130000000001</v>
      </c>
      <c r="AA852" s="37">
        <f t="shared" si="58"/>
        <v>0.23068287434405307</v>
      </c>
      <c r="AB852" s="3">
        <v>3342.76</v>
      </c>
      <c r="AC852" s="3">
        <v>0</v>
      </c>
      <c r="AD852" s="3">
        <v>2088.39</v>
      </c>
      <c r="AE852" s="3">
        <v>43856.26</v>
      </c>
      <c r="AF852" t="str">
        <f>IF(tbl_FinancialData[[#This Row],[City]]="","Unknown",PROPER(TRIM(tbl_FinancialData[[#This Row],[City]])))</f>
        <v>Udaipur</v>
      </c>
      <c r="AG852" t="str">
        <f>_xlfn.LET(_xlpm.city,LOWER(TRIM(tbl_FinancialData[[#This Row],[City]])),_xlpm.st,PROPER(TRIM(tbl_FinancialData[[#This Row],[State]])),IF(_xlpm.city="pune","Maharashtra",IF(_xlpm.city="jamshedpur","Jharkhand",IF(_xlpm.city="bhilai","Chhattisgarh",IF(_xlpm.city="mumbai","Maharashtra",_xlpm.st)))))</f>
        <v>Rajasthan</v>
      </c>
      <c r="AH852" t="str">
        <f>_xlfn.LET(_xlpm.d,PROPER(TRIM(tbl_FinancialData[[#This Row],[Department]])),IF(_xlpm.d="It","IT",_xlpm.d))</f>
        <v>Finance</v>
      </c>
      <c r="AI852" t="str">
        <f>_xlfn.LET(_xlpm.pid,tbl_FinancialData[[#This Row],[Product ID]],_xlpm.n,PROPER(TRIM(tbl_FinancialData[[#This Row],[Product Name]])),IF(_xlpm.pid="P020","Document Scanner",IF(_xlpm.pid="P015","Network Router",SUBSTITUTE(SUBSTITUTE(_xlpm.n,"Crm","CRM"),"Ups","UPS"))))</f>
        <v>Smartphone</v>
      </c>
      <c r="AJ852" s="3" t="str">
        <f>UPPER(TRIM(tbl_FinancialData[[#This Row],[Cost Center]]))</f>
        <v>CC-1004</v>
      </c>
    </row>
    <row r="853" spans="1:36" x14ac:dyDescent="0.25">
      <c r="A853" s="3" t="s">
        <v>1057</v>
      </c>
      <c r="B853" s="2">
        <v>45770</v>
      </c>
      <c r="C853" t="s">
        <v>128</v>
      </c>
      <c r="D853" s="3" t="str">
        <f t="shared" si="55"/>
        <v>Q1</v>
      </c>
      <c r="E853" s="3" t="str">
        <f t="shared" si="56"/>
        <v>FY2026</v>
      </c>
      <c r="F853" s="8" t="s">
        <v>85</v>
      </c>
      <c r="G853" s="3" t="s">
        <v>35</v>
      </c>
      <c r="H853" t="s">
        <v>60</v>
      </c>
      <c r="I853" t="s">
        <v>185</v>
      </c>
      <c r="J853" s="3" t="s">
        <v>38</v>
      </c>
      <c r="K853" t="s">
        <v>160</v>
      </c>
      <c r="L853" s="3" t="s">
        <v>94</v>
      </c>
      <c r="M853" s="3" t="s">
        <v>62</v>
      </c>
      <c r="N853" t="s">
        <v>63</v>
      </c>
      <c r="O853" t="s">
        <v>54</v>
      </c>
      <c r="P853" t="s">
        <v>55</v>
      </c>
      <c r="Q853" s="3">
        <v>2344.9699999999998</v>
      </c>
      <c r="R853" s="3">
        <v>2489.89</v>
      </c>
      <c r="S853" s="3">
        <v>1327.82</v>
      </c>
      <c r="T853" s="3">
        <v>128.02000000000001</v>
      </c>
      <c r="U853" s="3">
        <v>156.12</v>
      </c>
      <c r="V853" s="3">
        <v>200.75</v>
      </c>
      <c r="W853" s="3">
        <v>32.72</v>
      </c>
      <c r="X853" s="3">
        <v>1845.43</v>
      </c>
      <c r="Y853" s="3">
        <v>1017.15</v>
      </c>
      <c r="Z853" s="3">
        <f t="shared" si="57"/>
        <v>499.53999999999974</v>
      </c>
      <c r="AA853" s="37">
        <f t="shared" si="58"/>
        <v>0.21302617943939572</v>
      </c>
      <c r="AB853" s="3">
        <v>-144.93</v>
      </c>
      <c r="AC853" s="3">
        <v>187.6</v>
      </c>
      <c r="AD853" s="3">
        <v>107.87</v>
      </c>
      <c r="AE853" s="3">
        <v>2265.2399999999998</v>
      </c>
      <c r="AF853" t="str">
        <f>IF(tbl_FinancialData[[#This Row],[City]]="","Unknown",PROPER(TRIM(tbl_FinancialData[[#This Row],[City]])))</f>
        <v>Kanpur</v>
      </c>
      <c r="AG853" t="str">
        <f>_xlfn.LET(_xlpm.city,LOWER(TRIM(tbl_FinancialData[[#This Row],[City]])),_xlpm.st,PROPER(TRIM(tbl_FinancialData[[#This Row],[State]])),IF(_xlpm.city="pune","Maharashtra",IF(_xlpm.city="jamshedpur","Jharkhand",IF(_xlpm.city="bhilai","Chhattisgarh",IF(_xlpm.city="mumbai","Maharashtra",_xlpm.st)))))</f>
        <v>Uttar Pradesh</v>
      </c>
      <c r="AH853" t="str">
        <f>_xlfn.LET(_xlpm.d,PROPER(TRIM(tbl_FinancialData[[#This Row],[Department]])),IF(_xlpm.d="It","IT",_xlpm.d))</f>
        <v>IT</v>
      </c>
      <c r="AI853" t="str">
        <f>_xlfn.LET(_xlpm.pid,tbl_FinancialData[[#This Row],[Product ID]],_xlpm.n,PROPER(TRIM(tbl_FinancialData[[#This Row],[Product Name]])),IF(_xlpm.pid="P020","Document Scanner",IF(_xlpm.pid="P015","Network Router",SUBSTITUTE(SUBSTITUTE(_xlpm.n,"Crm","CRM"),"Ups","UPS"))))</f>
        <v>Keyboard</v>
      </c>
      <c r="AJ853" s="3" t="str">
        <f>UPPER(TRIM(tbl_FinancialData[[#This Row],[Cost Center]]))</f>
        <v>CC-1001</v>
      </c>
    </row>
    <row r="854" spans="1:36" x14ac:dyDescent="0.25">
      <c r="A854" s="3" t="s">
        <v>1058</v>
      </c>
      <c r="B854" s="2">
        <v>45890</v>
      </c>
      <c r="C854" t="s">
        <v>117</v>
      </c>
      <c r="D854" s="3" t="str">
        <f t="shared" si="55"/>
        <v>Q2</v>
      </c>
      <c r="E854" s="3" t="str">
        <f t="shared" si="56"/>
        <v>FY2026</v>
      </c>
      <c r="F854" s="8" t="s">
        <v>85</v>
      </c>
      <c r="G854" s="3" t="s">
        <v>35</v>
      </c>
      <c r="H854" t="s">
        <v>86</v>
      </c>
      <c r="I854" t="s">
        <v>262</v>
      </c>
      <c r="J854" s="3" t="s">
        <v>100</v>
      </c>
      <c r="K854" t="s">
        <v>50</v>
      </c>
      <c r="L854" s="3" t="s">
        <v>94</v>
      </c>
      <c r="M854" s="3" t="s">
        <v>171</v>
      </c>
      <c r="N854" t="s">
        <v>172</v>
      </c>
      <c r="O854" t="s">
        <v>173</v>
      </c>
      <c r="P854" t="s">
        <v>174</v>
      </c>
      <c r="Q854" s="3">
        <v>18386.349999999999</v>
      </c>
      <c r="R854" s="3">
        <v>21641.65</v>
      </c>
      <c r="S854" s="3">
        <v>13237.36</v>
      </c>
      <c r="T854" s="3">
        <v>1704.02</v>
      </c>
      <c r="U854" s="3">
        <v>1447.49</v>
      </c>
      <c r="V854" s="3">
        <v>2192.02</v>
      </c>
      <c r="W854" s="3">
        <v>424.97</v>
      </c>
      <c r="X854" s="3">
        <v>19005.86</v>
      </c>
      <c r="Y854" s="3">
        <v>5148.99</v>
      </c>
      <c r="Z854" s="3">
        <f t="shared" si="57"/>
        <v>-619.51000000000204</v>
      </c>
      <c r="AA854" s="37">
        <f t="shared" si="58"/>
        <v>-3.3694017572819077E-2</v>
      </c>
      <c r="AB854" s="3">
        <v>-3255.3</v>
      </c>
      <c r="AC854" s="3">
        <v>367.73</v>
      </c>
      <c r="AD854" s="3">
        <v>900.93</v>
      </c>
      <c r="AE854" s="3">
        <v>18919.560000000001</v>
      </c>
      <c r="AF854" t="str">
        <f>IF(tbl_FinancialData[[#This Row],[City]]="","Unknown",PROPER(TRIM(tbl_FinancialData[[#This Row],[City]])))</f>
        <v>Gwalior</v>
      </c>
      <c r="AG854" t="str">
        <f>_xlfn.LET(_xlpm.city,LOWER(TRIM(tbl_FinancialData[[#This Row],[City]])),_xlpm.st,PROPER(TRIM(tbl_FinancialData[[#This Row],[State]])),IF(_xlpm.city="pune","Maharashtra",IF(_xlpm.city="jamshedpur","Jharkhand",IF(_xlpm.city="bhilai","Chhattisgarh",IF(_xlpm.city="mumbai","Maharashtra",_xlpm.st)))))</f>
        <v>Madhya Pradesh</v>
      </c>
      <c r="AH854" t="str">
        <f>_xlfn.LET(_xlpm.d,PROPER(TRIM(tbl_FinancialData[[#This Row],[Department]])),IF(_xlpm.d="It","IT",_xlpm.d))</f>
        <v>Sales</v>
      </c>
      <c r="AI854" t="str">
        <f>_xlfn.LET(_xlpm.pid,tbl_FinancialData[[#This Row],[Product ID]],_xlpm.n,PROPER(TRIM(tbl_FinancialData[[#This Row],[Product Name]])),IF(_xlpm.pid="P020","Document Scanner",IF(_xlpm.pid="P015","Network Router",SUBSTITUTE(SUBSTITUTE(_xlpm.n,"Crm","CRM"),"Ups","UPS"))))</f>
        <v>Network Switch</v>
      </c>
      <c r="AJ854" s="3" t="str">
        <f>UPPER(TRIM(tbl_FinancialData[[#This Row],[Cost Center]]))</f>
        <v>CC-1001</v>
      </c>
    </row>
    <row r="855" spans="1:36" x14ac:dyDescent="0.25">
      <c r="A855" s="3" t="s">
        <v>1059</v>
      </c>
      <c r="B855" s="2">
        <v>45870</v>
      </c>
      <c r="C855" t="s">
        <v>117</v>
      </c>
      <c r="D855" s="3" t="str">
        <f t="shared" si="55"/>
        <v>Q2</v>
      </c>
      <c r="E855" s="3" t="str">
        <f t="shared" si="56"/>
        <v>FY2026</v>
      </c>
      <c r="F855" s="8" t="s">
        <v>85</v>
      </c>
      <c r="G855" s="3" t="s">
        <v>35</v>
      </c>
      <c r="H855" t="s">
        <v>178</v>
      </c>
      <c r="I855" t="s">
        <v>249</v>
      </c>
      <c r="J855" s="3" t="s">
        <v>70</v>
      </c>
      <c r="K855" t="s">
        <v>71</v>
      </c>
      <c r="L855" s="3" t="s">
        <v>40</v>
      </c>
      <c r="M855" s="3" t="s">
        <v>141</v>
      </c>
      <c r="N855" t="s">
        <v>142</v>
      </c>
      <c r="O855" t="s">
        <v>54</v>
      </c>
      <c r="P855" t="s">
        <v>143</v>
      </c>
      <c r="Q855" s="3">
        <v>11012.8</v>
      </c>
      <c r="R855" s="3">
        <v>10290.870000000001</v>
      </c>
      <c r="S855" s="3">
        <v>5604.33</v>
      </c>
      <c r="T855" s="3">
        <v>677.14</v>
      </c>
      <c r="U855" s="3">
        <v>748.5</v>
      </c>
      <c r="V855" s="3">
        <v>1023.26</v>
      </c>
      <c r="W855" s="3">
        <v>436.96</v>
      </c>
      <c r="X855" s="3">
        <v>8490.18</v>
      </c>
      <c r="Y855" s="3">
        <v>5408.48</v>
      </c>
      <c r="Z855" s="3">
        <f t="shared" si="57"/>
        <v>2522.619999999999</v>
      </c>
      <c r="AA855" s="37">
        <f t="shared" si="58"/>
        <v>0.22906254540171428</v>
      </c>
      <c r="AB855" s="3">
        <v>721.93</v>
      </c>
      <c r="AC855" s="3">
        <v>550.64</v>
      </c>
      <c r="AD855" s="3">
        <v>1255.46</v>
      </c>
      <c r="AE855" s="3">
        <v>11717.62</v>
      </c>
      <c r="AF855" t="str">
        <f>IF(tbl_FinancialData[[#This Row],[City]]="","Unknown",PROPER(TRIM(tbl_FinancialData[[#This Row],[City]])))</f>
        <v>Bhilai</v>
      </c>
      <c r="AG855" t="str">
        <f>_xlfn.LET(_xlpm.city,LOWER(TRIM(tbl_FinancialData[[#This Row],[City]])),_xlpm.st,PROPER(TRIM(tbl_FinancialData[[#This Row],[State]])),IF(_xlpm.city="pune","Maharashtra",IF(_xlpm.city="jamshedpur","Jharkhand",IF(_xlpm.city="bhilai","Chhattisgarh",IF(_xlpm.city="mumbai","Maharashtra",_xlpm.st)))))</f>
        <v>Chhattisgarh</v>
      </c>
      <c r="AH855" t="str">
        <f>_xlfn.LET(_xlpm.d,PROPER(TRIM(tbl_FinancialData[[#This Row],[Department]])),IF(_xlpm.d="It","IT",_xlpm.d))</f>
        <v>Marketing</v>
      </c>
      <c r="AI855" t="str">
        <f>_xlfn.LET(_xlpm.pid,tbl_FinancialData[[#This Row],[Product ID]],_xlpm.n,PROPER(TRIM(tbl_FinancialData[[#This Row],[Product Name]])),IF(_xlpm.pid="P020","Document Scanner",IF(_xlpm.pid="P015","Network Router",SUBSTITUTE(SUBSTITUTE(_xlpm.n,"Crm","CRM"),"Ups","UPS"))))</f>
        <v>Headset</v>
      </c>
      <c r="AJ855" s="3" t="str">
        <f>UPPER(TRIM(tbl_FinancialData[[#This Row],[Cost Center]]))</f>
        <v>CC-1002</v>
      </c>
    </row>
    <row r="856" spans="1:36" x14ac:dyDescent="0.25">
      <c r="A856" s="3" t="s">
        <v>1060</v>
      </c>
      <c r="B856" s="2">
        <v>45965</v>
      </c>
      <c r="C856" t="s">
        <v>147</v>
      </c>
      <c r="D856" s="3" t="str">
        <f t="shared" si="55"/>
        <v>Q3</v>
      </c>
      <c r="E856" s="3" t="str">
        <f t="shared" si="56"/>
        <v>FY2026</v>
      </c>
      <c r="F856" s="8" t="s">
        <v>47</v>
      </c>
      <c r="G856" s="3" t="s">
        <v>35</v>
      </c>
      <c r="H856" t="s">
        <v>206</v>
      </c>
      <c r="I856" t="s">
        <v>344</v>
      </c>
      <c r="J856" s="3" t="s">
        <v>80</v>
      </c>
      <c r="K856" t="s">
        <v>101</v>
      </c>
      <c r="L856" s="3" t="s">
        <v>51</v>
      </c>
      <c r="M856" s="3" t="s">
        <v>95</v>
      </c>
      <c r="N856" t="s">
        <v>96</v>
      </c>
      <c r="O856" t="s">
        <v>43</v>
      </c>
      <c r="P856" t="s">
        <v>90</v>
      </c>
      <c r="Q856" s="3">
        <v>53946.73</v>
      </c>
      <c r="R856" s="3">
        <v>59112.62</v>
      </c>
      <c r="S856" s="3">
        <v>34216.949999999997</v>
      </c>
      <c r="T856" s="3">
        <v>4940.41</v>
      </c>
      <c r="U856" s="3">
        <v>3739.41</v>
      </c>
      <c r="V856" s="3">
        <v>4097.72</v>
      </c>
      <c r="W856" s="3">
        <v>995.78</v>
      </c>
      <c r="X856" s="3">
        <v>47990.26</v>
      </c>
      <c r="Y856" s="3">
        <v>19729.79</v>
      </c>
      <c r="Z856" s="3">
        <f t="shared" si="57"/>
        <v>5956.4700000000012</v>
      </c>
      <c r="AA856" s="37">
        <f t="shared" si="58"/>
        <v>0.11041392128864902</v>
      </c>
      <c r="AB856" s="3">
        <v>-5165.88</v>
      </c>
      <c r="AC856" s="3">
        <v>0</v>
      </c>
      <c r="AD856" s="3">
        <v>6473.61</v>
      </c>
      <c r="AE856" s="3">
        <v>60420.34</v>
      </c>
      <c r="AF856" t="str">
        <f>IF(tbl_FinancialData[[#This Row],[City]]="","Unknown",PROPER(TRIM(tbl_FinancialData[[#This Row],[City]])))</f>
        <v>Hyderabad</v>
      </c>
      <c r="AG856" t="str">
        <f>_xlfn.LET(_xlpm.city,LOWER(TRIM(tbl_FinancialData[[#This Row],[City]])),_xlpm.st,PROPER(TRIM(tbl_FinancialData[[#This Row],[State]])),IF(_xlpm.city="pune","Maharashtra",IF(_xlpm.city="jamshedpur","Jharkhand",IF(_xlpm.city="bhilai","Chhattisgarh",IF(_xlpm.city="mumbai","Maharashtra",_xlpm.st)))))</f>
        <v>Telangana</v>
      </c>
      <c r="AH856" t="str">
        <f>_xlfn.LET(_xlpm.d,PROPER(TRIM(tbl_FinancialData[[#This Row],[Department]])),IF(_xlpm.d="It","IT",_xlpm.d))</f>
        <v>Finance</v>
      </c>
      <c r="AI856" t="str">
        <f>_xlfn.LET(_xlpm.pid,tbl_FinancialData[[#This Row],[Product ID]],_xlpm.n,PROPER(TRIM(tbl_FinancialData[[#This Row],[Product Name]])),IF(_xlpm.pid="P020","Document Scanner",IF(_xlpm.pid="P015","Network Router",SUBSTITUTE(SUBSTITUTE(_xlpm.n,"Crm","CRM"),"Ups","UPS"))))</f>
        <v>Document Scanner</v>
      </c>
      <c r="AJ856" s="3" t="str">
        <f>UPPER(TRIM(tbl_FinancialData[[#This Row],[Cost Center]]))</f>
        <v>CC-1003</v>
      </c>
    </row>
    <row r="857" spans="1:36" x14ac:dyDescent="0.25">
      <c r="A857" s="3" t="s">
        <v>1061</v>
      </c>
      <c r="B857" s="2">
        <v>45820</v>
      </c>
      <c r="C857" t="s">
        <v>156</v>
      </c>
      <c r="D857" s="3" t="str">
        <f t="shared" si="55"/>
        <v>Q1</v>
      </c>
      <c r="E857" s="3" t="str">
        <f t="shared" si="56"/>
        <v>FY2026</v>
      </c>
      <c r="F857" s="8" t="s">
        <v>67</v>
      </c>
      <c r="G857" s="3" t="s">
        <v>35</v>
      </c>
      <c r="H857" t="s">
        <v>118</v>
      </c>
      <c r="I857" t="s">
        <v>119</v>
      </c>
      <c r="J857" s="3" t="s">
        <v>38</v>
      </c>
      <c r="K857" t="s">
        <v>101</v>
      </c>
      <c r="L857" s="3" t="s">
        <v>51</v>
      </c>
      <c r="M857" s="3" t="s">
        <v>221</v>
      </c>
      <c r="N857" t="s">
        <v>222</v>
      </c>
      <c r="O857" t="s">
        <v>104</v>
      </c>
      <c r="P857" t="s">
        <v>223</v>
      </c>
      <c r="Q857" s="3">
        <v>8634.84</v>
      </c>
      <c r="R857" s="3">
        <v>7639.09</v>
      </c>
      <c r="S857" s="3">
        <v>4581.12</v>
      </c>
      <c r="T857" s="3">
        <v>789.94</v>
      </c>
      <c r="U857" s="3">
        <v>518.12</v>
      </c>
      <c r="V857" s="3">
        <v>521.14</v>
      </c>
      <c r="W857" s="3">
        <v>108.19</v>
      </c>
      <c r="X857" s="3">
        <v>6518.51</v>
      </c>
      <c r="Y857" s="3">
        <v>4053.72</v>
      </c>
      <c r="Z857" s="3">
        <f t="shared" si="57"/>
        <v>2116.33</v>
      </c>
      <c r="AA857" s="37">
        <f t="shared" si="58"/>
        <v>0.24509197622654269</v>
      </c>
      <c r="AB857" s="3">
        <v>995.75</v>
      </c>
      <c r="AC857" s="3">
        <v>431.74</v>
      </c>
      <c r="AD857" s="3">
        <v>1476.56</v>
      </c>
      <c r="AE857" s="3">
        <v>9679.66</v>
      </c>
      <c r="AF857" t="str">
        <f>IF(tbl_FinancialData[[#This Row],[City]]="","Unknown",PROPER(TRIM(tbl_FinancialData[[#This Row],[City]])))</f>
        <v>Ranchi</v>
      </c>
      <c r="AG857" t="str">
        <f>_xlfn.LET(_xlpm.city,LOWER(TRIM(tbl_FinancialData[[#This Row],[City]])),_xlpm.st,PROPER(TRIM(tbl_FinancialData[[#This Row],[State]])),IF(_xlpm.city="pune","Maharashtra",IF(_xlpm.city="jamshedpur","Jharkhand",IF(_xlpm.city="bhilai","Chhattisgarh",IF(_xlpm.city="mumbai","Maharashtra",_xlpm.st)))))</f>
        <v>Jharkhand</v>
      </c>
      <c r="AH857" t="str">
        <f>_xlfn.LET(_xlpm.d,PROPER(TRIM(tbl_FinancialData[[#This Row],[Department]])),IF(_xlpm.d="It","IT",_xlpm.d))</f>
        <v>Finance</v>
      </c>
      <c r="AI857" t="str">
        <f>_xlfn.LET(_xlpm.pid,tbl_FinancialData[[#This Row],[Product ID]],_xlpm.n,PROPER(TRIM(tbl_FinancialData[[#This Row],[Product Name]])),IF(_xlpm.pid="P020","Document Scanner",IF(_xlpm.pid="P015","Network Router",SUBSTITUTE(SUBSTITUTE(_xlpm.n,"Crm","CRM"),"Ups","UPS"))))</f>
        <v>Cloud Software</v>
      </c>
      <c r="AJ857" s="3" t="str">
        <f>UPPER(TRIM(tbl_FinancialData[[#This Row],[Cost Center]]))</f>
        <v>CC-1003</v>
      </c>
    </row>
    <row r="858" spans="1:36" x14ac:dyDescent="0.25">
      <c r="A858" s="3" t="s">
        <v>1062</v>
      </c>
      <c r="B858" s="2">
        <v>45946</v>
      </c>
      <c r="C858" t="s">
        <v>92</v>
      </c>
      <c r="D858" s="3" t="str">
        <f t="shared" si="55"/>
        <v>Q3</v>
      </c>
      <c r="E858" s="3" t="str">
        <f t="shared" si="56"/>
        <v>FY2026</v>
      </c>
      <c r="F858" s="8" t="s">
        <v>59</v>
      </c>
      <c r="G858" s="3" t="s">
        <v>35</v>
      </c>
      <c r="H858" t="s">
        <v>139</v>
      </c>
      <c r="I858" t="s">
        <v>140</v>
      </c>
      <c r="J858" s="3" t="s">
        <v>80</v>
      </c>
      <c r="K858" t="s">
        <v>71</v>
      </c>
      <c r="L858" s="3" t="s">
        <v>40</v>
      </c>
      <c r="M858" s="3" t="s">
        <v>189</v>
      </c>
      <c r="N858" t="s">
        <v>190</v>
      </c>
      <c r="O858" t="s">
        <v>104</v>
      </c>
      <c r="P858" t="s">
        <v>105</v>
      </c>
      <c r="Q858" s="3">
        <v>8054.76</v>
      </c>
      <c r="R858" s="3">
        <v>8252.4699999999993</v>
      </c>
      <c r="S858" s="3">
        <v>5214.6000000000004</v>
      </c>
      <c r="T858" s="3">
        <v>436.4</v>
      </c>
      <c r="U858" s="3">
        <v>481.08</v>
      </c>
      <c r="V858" s="3">
        <v>516.32000000000005</v>
      </c>
      <c r="W858" s="3">
        <v>160.88</v>
      </c>
      <c r="X858" s="3">
        <v>6809.28</v>
      </c>
      <c r="Y858" s="3">
        <v>2840.16</v>
      </c>
      <c r="Z858" s="3">
        <f t="shared" si="57"/>
        <v>1245.4800000000005</v>
      </c>
      <c r="AA858" s="37">
        <f t="shared" si="58"/>
        <v>0.15462658105269436</v>
      </c>
      <c r="AB858" s="3">
        <v>-197.72</v>
      </c>
      <c r="AC858" s="3">
        <v>241.64</v>
      </c>
      <c r="AD858" s="3">
        <v>390.66</v>
      </c>
      <c r="AE858" s="3">
        <v>8203.77</v>
      </c>
      <c r="AF858" t="str">
        <f>IF(tbl_FinancialData[[#This Row],[City]]="","Unknown",PROPER(TRIM(tbl_FinancialData[[#This Row],[City]])))</f>
        <v>Faridabad</v>
      </c>
      <c r="AG858" t="str">
        <f>_xlfn.LET(_xlpm.city,LOWER(TRIM(tbl_FinancialData[[#This Row],[City]])),_xlpm.st,PROPER(TRIM(tbl_FinancialData[[#This Row],[State]])),IF(_xlpm.city="pune","Maharashtra",IF(_xlpm.city="jamshedpur","Jharkhand",IF(_xlpm.city="bhilai","Chhattisgarh",IF(_xlpm.city="mumbai","Maharashtra",_xlpm.st)))))</f>
        <v>Haryana</v>
      </c>
      <c r="AH858" t="str">
        <f>_xlfn.LET(_xlpm.d,PROPER(TRIM(tbl_FinancialData[[#This Row],[Department]])),IF(_xlpm.d="It","IT",_xlpm.d))</f>
        <v>Marketing</v>
      </c>
      <c r="AI858" t="str">
        <f>_xlfn.LET(_xlpm.pid,tbl_FinancialData[[#This Row],[Product ID]],_xlpm.n,PROPER(TRIM(tbl_FinancialData[[#This Row],[Product Name]])),IF(_xlpm.pid="P020","Document Scanner",IF(_xlpm.pid="P015","Network Router",SUBSTITUTE(SUBSTITUTE(_xlpm.n,"Crm","CRM"),"Ups","UPS"))))</f>
        <v>CRM Software</v>
      </c>
      <c r="AJ858" s="3" t="str">
        <f>UPPER(TRIM(tbl_FinancialData[[#This Row],[Cost Center]]))</f>
        <v>CC-1002</v>
      </c>
    </row>
    <row r="859" spans="1:36" x14ac:dyDescent="0.25">
      <c r="A859" s="3" t="s">
        <v>1063</v>
      </c>
      <c r="B859" s="2">
        <v>45859</v>
      </c>
      <c r="C859" t="s">
        <v>32</v>
      </c>
      <c r="D859" s="3" t="str">
        <f t="shared" si="55"/>
        <v>Q2</v>
      </c>
      <c r="E859" s="3" t="str">
        <f t="shared" si="56"/>
        <v>FY2026</v>
      </c>
      <c r="F859" s="8" t="s">
        <v>47</v>
      </c>
      <c r="G859" s="3" t="s">
        <v>35</v>
      </c>
      <c r="H859" t="s">
        <v>48</v>
      </c>
      <c r="I859" t="s">
        <v>265</v>
      </c>
      <c r="J859" s="3" t="s">
        <v>80</v>
      </c>
      <c r="K859" t="s">
        <v>101</v>
      </c>
      <c r="L859" s="3" t="s">
        <v>94</v>
      </c>
      <c r="M859" s="3" t="s">
        <v>186</v>
      </c>
      <c r="N859" t="s">
        <v>187</v>
      </c>
      <c r="O859" t="s">
        <v>173</v>
      </c>
      <c r="P859" t="s">
        <v>174</v>
      </c>
      <c r="Q859" s="3">
        <v>13230.45</v>
      </c>
      <c r="R859" s="3">
        <v>11982.81</v>
      </c>
      <c r="S859" s="3">
        <v>9357.2099999999991</v>
      </c>
      <c r="T859" s="3">
        <v>970.29</v>
      </c>
      <c r="U859" s="3">
        <v>525.52</v>
      </c>
      <c r="V859" s="3">
        <v>665.9</v>
      </c>
      <c r="W859" s="3">
        <v>570.37</v>
      </c>
      <c r="X859" s="3">
        <v>12089.29</v>
      </c>
      <c r="Y859" s="3">
        <v>3873.24</v>
      </c>
      <c r="Z859" s="3">
        <f t="shared" si="57"/>
        <v>1141.1599999999999</v>
      </c>
      <c r="AA859" s="37">
        <f t="shared" si="58"/>
        <v>8.6252546209690514E-2</v>
      </c>
      <c r="AB859" s="3">
        <v>1247.6400000000001</v>
      </c>
      <c r="AC859" s="3">
        <v>661.52</v>
      </c>
      <c r="AD859" s="3">
        <v>2262.41</v>
      </c>
      <c r="AE859" s="3">
        <v>14831.33</v>
      </c>
      <c r="AF859" t="str">
        <f>IF(tbl_FinancialData[[#This Row],[City]]="","Unknown",PROPER(TRIM(tbl_FinancialData[[#This Row],[City]])))</f>
        <v>Madurai</v>
      </c>
      <c r="AG859" t="str">
        <f>_xlfn.LET(_xlpm.city,LOWER(TRIM(tbl_FinancialData[[#This Row],[City]])),_xlpm.st,PROPER(TRIM(tbl_FinancialData[[#This Row],[State]])),IF(_xlpm.city="pune","Maharashtra",IF(_xlpm.city="jamshedpur","Jharkhand",IF(_xlpm.city="bhilai","Chhattisgarh",IF(_xlpm.city="mumbai","Maharashtra",_xlpm.st)))))</f>
        <v>Tamil Nadu</v>
      </c>
      <c r="AH859" t="str">
        <f>_xlfn.LET(_xlpm.d,PROPER(TRIM(tbl_FinancialData[[#This Row],[Department]])),IF(_xlpm.d="It","IT",_xlpm.d))</f>
        <v>Finance</v>
      </c>
      <c r="AI859" t="str">
        <f>_xlfn.LET(_xlpm.pid,tbl_FinancialData[[#This Row],[Product ID]],_xlpm.n,PROPER(TRIM(tbl_FinancialData[[#This Row],[Product Name]])),IF(_xlpm.pid="P020","Document Scanner",IF(_xlpm.pid="P015","Network Router",SUBSTITUTE(SUBSTITUTE(_xlpm.n,"Crm","CRM"),"Ups","UPS"))))</f>
        <v>Network Router</v>
      </c>
      <c r="AJ859" s="3" t="str">
        <f>UPPER(TRIM(tbl_FinancialData[[#This Row],[Cost Center]]))</f>
        <v>CC-1001</v>
      </c>
    </row>
    <row r="860" spans="1:36" x14ac:dyDescent="0.25">
      <c r="A860" s="3" t="s">
        <v>1064</v>
      </c>
      <c r="B860" s="2">
        <v>45790</v>
      </c>
      <c r="C860" t="s">
        <v>65</v>
      </c>
      <c r="D860" s="3" t="str">
        <f t="shared" si="55"/>
        <v>Q1</v>
      </c>
      <c r="E860" s="3" t="str">
        <f t="shared" si="56"/>
        <v>FY2026</v>
      </c>
      <c r="F860" s="8" t="s">
        <v>34</v>
      </c>
      <c r="G860" s="3" t="s">
        <v>35</v>
      </c>
      <c r="H860" t="s">
        <v>134</v>
      </c>
      <c r="I860" t="s">
        <v>154</v>
      </c>
      <c r="J860" s="3" t="s">
        <v>100</v>
      </c>
      <c r="K860" t="s">
        <v>39</v>
      </c>
      <c r="L860" s="3" t="s">
        <v>94</v>
      </c>
      <c r="M860" s="3" t="s">
        <v>186</v>
      </c>
      <c r="N860" t="s">
        <v>187</v>
      </c>
      <c r="O860" t="s">
        <v>173</v>
      </c>
      <c r="P860" t="s">
        <v>174</v>
      </c>
      <c r="Q860" s="3">
        <v>29239.66</v>
      </c>
      <c r="R860" s="3">
        <v>27058.45</v>
      </c>
      <c r="S860" s="3">
        <v>19546.11</v>
      </c>
      <c r="T860" s="3">
        <v>1747.49</v>
      </c>
      <c r="U860" s="3">
        <v>1090.83</v>
      </c>
      <c r="V860" s="3">
        <v>1664.37</v>
      </c>
      <c r="W860" s="3">
        <v>862.31</v>
      </c>
      <c r="X860" s="3">
        <v>24911.119999999999</v>
      </c>
      <c r="Y860" s="3">
        <v>9693.5400000000009</v>
      </c>
      <c r="Z860" s="3">
        <f t="shared" si="57"/>
        <v>4328.5400000000009</v>
      </c>
      <c r="AA860" s="37">
        <f t="shared" si="58"/>
        <v>0.14803660507680325</v>
      </c>
      <c r="AB860" s="3">
        <v>2181.21</v>
      </c>
      <c r="AC860" s="3">
        <v>2339.17</v>
      </c>
      <c r="AD860" s="3">
        <v>3228.06</v>
      </c>
      <c r="AE860" s="3">
        <v>30128.54</v>
      </c>
      <c r="AF860" t="str">
        <f>IF(tbl_FinancialData[[#This Row],[City]]="","Unknown",PROPER(TRIM(tbl_FinancialData[[#This Row],[City]])))</f>
        <v>Udaipur</v>
      </c>
      <c r="AG860" t="str">
        <f>_xlfn.LET(_xlpm.city,LOWER(TRIM(tbl_FinancialData[[#This Row],[City]])),_xlpm.st,PROPER(TRIM(tbl_FinancialData[[#This Row],[State]])),IF(_xlpm.city="pune","Maharashtra",IF(_xlpm.city="jamshedpur","Jharkhand",IF(_xlpm.city="bhilai","Chhattisgarh",IF(_xlpm.city="mumbai","Maharashtra",_xlpm.st)))))</f>
        <v>Rajasthan</v>
      </c>
      <c r="AH860" t="str">
        <f>_xlfn.LET(_xlpm.d,PROPER(TRIM(tbl_FinancialData[[#This Row],[Department]])),IF(_xlpm.d="It","IT",_xlpm.d))</f>
        <v>Operations</v>
      </c>
      <c r="AI860" t="str">
        <f>_xlfn.LET(_xlpm.pid,tbl_FinancialData[[#This Row],[Product ID]],_xlpm.n,PROPER(TRIM(tbl_FinancialData[[#This Row],[Product Name]])),IF(_xlpm.pid="P020","Document Scanner",IF(_xlpm.pid="P015","Network Router",SUBSTITUTE(SUBSTITUTE(_xlpm.n,"Crm","CRM"),"Ups","UPS"))))</f>
        <v>Network Router</v>
      </c>
      <c r="AJ860" s="3" t="str">
        <f>UPPER(TRIM(tbl_FinancialData[[#This Row],[Cost Center]]))</f>
        <v>CC-1001</v>
      </c>
    </row>
    <row r="861" spans="1:36" x14ac:dyDescent="0.25">
      <c r="A861" s="3" t="s">
        <v>1065</v>
      </c>
      <c r="B861" s="2">
        <v>46099</v>
      </c>
      <c r="C861" t="s">
        <v>125</v>
      </c>
      <c r="D861" s="3" t="str">
        <f t="shared" si="55"/>
        <v>Q4</v>
      </c>
      <c r="E861" s="3" t="str">
        <f t="shared" si="56"/>
        <v>FY2026</v>
      </c>
      <c r="F861" s="8" t="s">
        <v>67</v>
      </c>
      <c r="G861" s="3" t="s">
        <v>35</v>
      </c>
      <c r="H861" t="s">
        <v>118</v>
      </c>
      <c r="I861" t="s">
        <v>119</v>
      </c>
      <c r="J861" s="3" t="s">
        <v>38</v>
      </c>
      <c r="K861" t="s">
        <v>101</v>
      </c>
      <c r="L861" s="3" t="s">
        <v>72</v>
      </c>
      <c r="M861" s="3" t="s">
        <v>211</v>
      </c>
      <c r="N861" t="s">
        <v>212</v>
      </c>
      <c r="O861" t="s">
        <v>112</v>
      </c>
      <c r="P861" t="s">
        <v>113</v>
      </c>
      <c r="Q861" s="3">
        <v>19234.740000000002</v>
      </c>
      <c r="R861" s="3">
        <v>18191.23</v>
      </c>
      <c r="S861" s="3">
        <v>12559.91</v>
      </c>
      <c r="T861" s="3">
        <v>1933.15</v>
      </c>
      <c r="U861" s="3">
        <v>605.47</v>
      </c>
      <c r="V861" s="3">
        <v>2193.36</v>
      </c>
      <c r="W861" s="3">
        <v>568.32000000000005</v>
      </c>
      <c r="X861" s="3">
        <v>17860.21</v>
      </c>
      <c r="Y861" s="3">
        <v>6674.83</v>
      </c>
      <c r="Z861" s="3">
        <f t="shared" si="57"/>
        <v>1374.5300000000025</v>
      </c>
      <c r="AA861" s="37">
        <f t="shared" si="58"/>
        <v>7.1460804773030587E-2</v>
      </c>
      <c r="AB861" s="3">
        <v>1043.51</v>
      </c>
      <c r="AC861" s="3">
        <v>384.69</v>
      </c>
      <c r="AD861" s="3">
        <v>942.5</v>
      </c>
      <c r="AE861" s="3">
        <v>19792.55</v>
      </c>
      <c r="AF861" t="str">
        <f>IF(tbl_FinancialData[[#This Row],[City]]="","Unknown",PROPER(TRIM(tbl_FinancialData[[#This Row],[City]])))</f>
        <v>Ranchi</v>
      </c>
      <c r="AG861" t="str">
        <f>_xlfn.LET(_xlpm.city,LOWER(TRIM(tbl_FinancialData[[#This Row],[City]])),_xlpm.st,PROPER(TRIM(tbl_FinancialData[[#This Row],[State]])),IF(_xlpm.city="pune","Maharashtra",IF(_xlpm.city="jamshedpur","Jharkhand",IF(_xlpm.city="bhilai","Chhattisgarh",IF(_xlpm.city="mumbai","Maharashtra",_xlpm.st)))))</f>
        <v>Jharkhand</v>
      </c>
      <c r="AH861" t="str">
        <f>_xlfn.LET(_xlpm.d,PROPER(TRIM(tbl_FinancialData[[#This Row],[Department]])),IF(_xlpm.d="It","IT",_xlpm.d))</f>
        <v>Finance</v>
      </c>
      <c r="AI861" t="str">
        <f>_xlfn.LET(_xlpm.pid,tbl_FinancialData[[#This Row],[Product ID]],_xlpm.n,PROPER(TRIM(tbl_FinancialData[[#This Row],[Product Name]])),IF(_xlpm.pid="P020","Document Scanner",IF(_xlpm.pid="P015","Network Router",SUBSTITUTE(SUBSTITUTE(_xlpm.n,"Crm","CRM"),"Ups","UPS"))))</f>
        <v>Office Chair</v>
      </c>
      <c r="AJ861" s="3" t="str">
        <f>UPPER(TRIM(tbl_FinancialData[[#This Row],[Cost Center]]))</f>
        <v>CC-1004</v>
      </c>
    </row>
    <row r="862" spans="1:36" x14ac:dyDescent="0.25">
      <c r="A862" s="3" t="s">
        <v>1066</v>
      </c>
      <c r="B862" s="2">
        <v>45917</v>
      </c>
      <c r="C862" t="s">
        <v>46</v>
      </c>
      <c r="D862" s="3" t="str">
        <f t="shared" si="55"/>
        <v>Q2</v>
      </c>
      <c r="E862" s="3" t="str">
        <f t="shared" si="56"/>
        <v>FY2026</v>
      </c>
      <c r="F862" s="8" t="s">
        <v>59</v>
      </c>
      <c r="G862" s="3" t="s">
        <v>35</v>
      </c>
      <c r="H862" t="s">
        <v>60</v>
      </c>
      <c r="I862" t="s">
        <v>108</v>
      </c>
      <c r="J862" s="3" t="s">
        <v>70</v>
      </c>
      <c r="K862" t="s">
        <v>101</v>
      </c>
      <c r="L862" s="3" t="s">
        <v>40</v>
      </c>
      <c r="M862" s="3" t="s">
        <v>221</v>
      </c>
      <c r="N862" t="s">
        <v>222</v>
      </c>
      <c r="O862" t="s">
        <v>104</v>
      </c>
      <c r="P862" t="s">
        <v>223</v>
      </c>
      <c r="Q862" s="3">
        <v>8992.7099999999991</v>
      </c>
      <c r="R862" s="3">
        <v>9685.57</v>
      </c>
      <c r="S862" s="3">
        <v>5727.57</v>
      </c>
      <c r="T862" s="3">
        <v>517.92999999999995</v>
      </c>
      <c r="U862" s="3">
        <v>411.19</v>
      </c>
      <c r="V862" s="3">
        <v>1073.96</v>
      </c>
      <c r="W862" s="3">
        <v>303.45999999999998</v>
      </c>
      <c r="X862" s="3">
        <v>8034.11</v>
      </c>
      <c r="Y862" s="3">
        <v>3265.13</v>
      </c>
      <c r="Z862" s="3">
        <f t="shared" si="57"/>
        <v>958.59999999999945</v>
      </c>
      <c r="AA862" s="37">
        <f t="shared" si="58"/>
        <v>0.10659745504970132</v>
      </c>
      <c r="AB862" s="3">
        <v>-692.86</v>
      </c>
      <c r="AC862" s="3">
        <v>449.64</v>
      </c>
      <c r="AD862" s="3">
        <v>427.15</v>
      </c>
      <c r="AE862" s="3">
        <v>8970.23</v>
      </c>
      <c r="AF862" t="str">
        <f>IF(tbl_FinancialData[[#This Row],[City]]="","Unknown",PROPER(TRIM(tbl_FinancialData[[#This Row],[City]])))</f>
        <v>Agra</v>
      </c>
      <c r="AG862" t="str">
        <f>_xlfn.LET(_xlpm.city,LOWER(TRIM(tbl_FinancialData[[#This Row],[City]])),_xlpm.st,PROPER(TRIM(tbl_FinancialData[[#This Row],[State]])),IF(_xlpm.city="pune","Maharashtra",IF(_xlpm.city="jamshedpur","Jharkhand",IF(_xlpm.city="bhilai","Chhattisgarh",IF(_xlpm.city="mumbai","Maharashtra",_xlpm.st)))))</f>
        <v>Uttar Pradesh</v>
      </c>
      <c r="AH862" t="str">
        <f>_xlfn.LET(_xlpm.d,PROPER(TRIM(tbl_FinancialData[[#This Row],[Department]])),IF(_xlpm.d="It","IT",_xlpm.d))</f>
        <v>Finance</v>
      </c>
      <c r="AI862" t="str">
        <f>_xlfn.LET(_xlpm.pid,tbl_FinancialData[[#This Row],[Product ID]],_xlpm.n,PROPER(TRIM(tbl_FinancialData[[#This Row],[Product Name]])),IF(_xlpm.pid="P020","Document Scanner",IF(_xlpm.pid="P015","Network Router",SUBSTITUTE(SUBSTITUTE(_xlpm.n,"Crm","CRM"),"Ups","UPS"))))</f>
        <v>Cloud Software</v>
      </c>
      <c r="AJ862" s="3" t="str">
        <f>UPPER(TRIM(tbl_FinancialData[[#This Row],[Cost Center]]))</f>
        <v>CC-1002</v>
      </c>
    </row>
    <row r="863" spans="1:36" x14ac:dyDescent="0.25">
      <c r="A863" s="3" t="s">
        <v>1067</v>
      </c>
      <c r="B863" s="2">
        <v>45845</v>
      </c>
      <c r="C863" t="s">
        <v>32</v>
      </c>
      <c r="D863" s="3" t="str">
        <f t="shared" si="55"/>
        <v>Q2</v>
      </c>
      <c r="E863" s="3" t="str">
        <f t="shared" si="56"/>
        <v>FY2026</v>
      </c>
      <c r="F863" s="8" t="s">
        <v>47</v>
      </c>
      <c r="G863" s="3" t="s">
        <v>35</v>
      </c>
      <c r="H863" t="s">
        <v>206</v>
      </c>
      <c r="I863" t="s">
        <v>296</v>
      </c>
      <c r="J863" s="3" t="s">
        <v>80</v>
      </c>
      <c r="K863" t="s">
        <v>50</v>
      </c>
      <c r="L863" s="3" t="s">
        <v>40</v>
      </c>
      <c r="M863" s="3" t="s">
        <v>120</v>
      </c>
      <c r="N863" t="s">
        <v>121</v>
      </c>
      <c r="O863" t="s">
        <v>43</v>
      </c>
      <c r="P863" t="s">
        <v>122</v>
      </c>
      <c r="Q863" s="3">
        <v>41515.629999999997</v>
      </c>
      <c r="R863" s="3">
        <v>38824.76</v>
      </c>
      <c r="S863" s="3">
        <v>24556.93</v>
      </c>
      <c r="T863" s="3">
        <v>2121.14</v>
      </c>
      <c r="U863" s="3">
        <v>2337.7199999999998</v>
      </c>
      <c r="V863" s="3">
        <v>1846.08</v>
      </c>
      <c r="W863" s="3">
        <v>1835.83</v>
      </c>
      <c r="X863" s="3">
        <v>32697.7</v>
      </c>
      <c r="Y863" s="3">
        <v>16958.7</v>
      </c>
      <c r="Z863" s="3">
        <f t="shared" si="57"/>
        <v>8817.9299999999967</v>
      </c>
      <c r="AA863" s="37">
        <f t="shared" si="58"/>
        <v>0.21240024540155111</v>
      </c>
      <c r="AB863" s="3">
        <v>2690.87</v>
      </c>
      <c r="AC863" s="3">
        <v>3321.25</v>
      </c>
      <c r="AD863" s="3">
        <v>4583.33</v>
      </c>
      <c r="AE863" s="3">
        <v>42777.71</v>
      </c>
      <c r="AF863" t="str">
        <f>IF(tbl_FinancialData[[#This Row],[City]]="","Unknown",PROPER(TRIM(tbl_FinancialData[[#This Row],[City]])))</f>
        <v>Warangal</v>
      </c>
      <c r="AG863" t="str">
        <f>_xlfn.LET(_xlpm.city,LOWER(TRIM(tbl_FinancialData[[#This Row],[City]])),_xlpm.st,PROPER(TRIM(tbl_FinancialData[[#This Row],[State]])),IF(_xlpm.city="pune","Maharashtra",IF(_xlpm.city="jamshedpur","Jharkhand",IF(_xlpm.city="bhilai","Chhattisgarh",IF(_xlpm.city="mumbai","Maharashtra",_xlpm.st)))))</f>
        <v>Telangana</v>
      </c>
      <c r="AH863" t="str">
        <f>_xlfn.LET(_xlpm.d,PROPER(TRIM(tbl_FinancialData[[#This Row],[Department]])),IF(_xlpm.d="It","IT",_xlpm.d))</f>
        <v>Sales</v>
      </c>
      <c r="AI863" t="str">
        <f>_xlfn.LET(_xlpm.pid,tbl_FinancialData[[#This Row],[Product ID]],_xlpm.n,PROPER(TRIM(tbl_FinancialData[[#This Row],[Product Name]])),IF(_xlpm.pid="P020","Document Scanner",IF(_xlpm.pid="P015","Network Router",SUBSTITUTE(SUBSTITUTE(_xlpm.n,"Crm","CRM"),"Ups","UPS"))))</f>
        <v>Projector</v>
      </c>
      <c r="AJ863" s="3" t="str">
        <f>UPPER(TRIM(tbl_FinancialData[[#This Row],[Cost Center]]))</f>
        <v>CC-1002</v>
      </c>
    </row>
    <row r="864" spans="1:36" x14ac:dyDescent="0.25">
      <c r="A864" s="3" t="s">
        <v>1068</v>
      </c>
      <c r="B864" s="2">
        <v>45944</v>
      </c>
      <c r="C864" t="s">
        <v>92</v>
      </c>
      <c r="D864" s="3" t="str">
        <f t="shared" si="55"/>
        <v>Q3</v>
      </c>
      <c r="E864" s="3" t="str">
        <f t="shared" si="56"/>
        <v>FY2026</v>
      </c>
      <c r="F864" s="8" t="s">
        <v>67</v>
      </c>
      <c r="G864" s="3" t="s">
        <v>35</v>
      </c>
      <c r="H864" t="s">
        <v>68</v>
      </c>
      <c r="I864" t="s">
        <v>69</v>
      </c>
      <c r="J864" s="3" t="s">
        <v>38</v>
      </c>
      <c r="K864" t="s">
        <v>50</v>
      </c>
      <c r="L864" s="3" t="s">
        <v>81</v>
      </c>
      <c r="M864" s="3" t="s">
        <v>130</v>
      </c>
      <c r="N864" t="s">
        <v>131</v>
      </c>
      <c r="O864" t="s">
        <v>43</v>
      </c>
      <c r="P864" t="s">
        <v>132</v>
      </c>
      <c r="Q864" s="3">
        <v>68137.55</v>
      </c>
      <c r="R864" s="3">
        <v>76375.22</v>
      </c>
      <c r="S864" s="3">
        <v>47085.61</v>
      </c>
      <c r="T864" s="3">
        <v>8518.19</v>
      </c>
      <c r="U864" s="3">
        <v>3499.47</v>
      </c>
      <c r="V864" s="3">
        <v>5825.86</v>
      </c>
      <c r="W864" s="3">
        <v>2566.9499999999998</v>
      </c>
      <c r="X864" s="3">
        <v>67496.08</v>
      </c>
      <c r="Y864" s="3">
        <v>21051.94</v>
      </c>
      <c r="Z864" s="3">
        <f t="shared" si="57"/>
        <v>641.47000000000116</v>
      </c>
      <c r="AA864" s="37">
        <f t="shared" si="58"/>
        <v>9.4143390832221174E-3</v>
      </c>
      <c r="AB864" s="3">
        <v>-8237.67</v>
      </c>
      <c r="AC864" s="3">
        <v>3406.88</v>
      </c>
      <c r="AD864" s="3">
        <v>11651.52</v>
      </c>
      <c r="AE864" s="3">
        <v>76382.2</v>
      </c>
      <c r="AF864" t="str">
        <f>IF(tbl_FinancialData[[#This Row],[City]]="","Unknown",PROPER(TRIM(tbl_FinancialData[[#This Row],[City]])))</f>
        <v>Bhubaneswar</v>
      </c>
      <c r="AG864" t="str">
        <f>_xlfn.LET(_xlpm.city,LOWER(TRIM(tbl_FinancialData[[#This Row],[City]])),_xlpm.st,PROPER(TRIM(tbl_FinancialData[[#This Row],[State]])),IF(_xlpm.city="pune","Maharashtra",IF(_xlpm.city="jamshedpur","Jharkhand",IF(_xlpm.city="bhilai","Chhattisgarh",IF(_xlpm.city="mumbai","Maharashtra",_xlpm.st)))))</f>
        <v>Odisha</v>
      </c>
      <c r="AH864" t="str">
        <f>_xlfn.LET(_xlpm.d,PROPER(TRIM(tbl_FinancialData[[#This Row],[Department]])),IF(_xlpm.d="It","IT",_xlpm.d))</f>
        <v>Sales</v>
      </c>
      <c r="AI864" t="str">
        <f>_xlfn.LET(_xlpm.pid,tbl_FinancialData[[#This Row],[Product ID]],_xlpm.n,PROPER(TRIM(tbl_FinancialData[[#This Row],[Product Name]])),IF(_xlpm.pid="P020","Document Scanner",IF(_xlpm.pid="P015","Network Router",SUBSTITUTE(SUBSTITUTE(_xlpm.n,"Crm","CRM"),"Ups","UPS"))))</f>
        <v>UPS System</v>
      </c>
      <c r="AJ864" s="3" t="str">
        <f>UPPER(TRIM(tbl_FinancialData[[#This Row],[Cost Center]]))</f>
        <v>CC-1005</v>
      </c>
    </row>
    <row r="865" spans="1:36" x14ac:dyDescent="0.25">
      <c r="A865" s="3" t="s">
        <v>1069</v>
      </c>
      <c r="B865" s="2">
        <v>45981</v>
      </c>
      <c r="C865" t="s">
        <v>147</v>
      </c>
      <c r="D865" s="3" t="str">
        <f t="shared" si="55"/>
        <v>Q3</v>
      </c>
      <c r="E865" s="3" t="str">
        <f t="shared" si="56"/>
        <v>FY2026</v>
      </c>
      <c r="F865" s="8" t="s">
        <v>47</v>
      </c>
      <c r="G865" s="3" t="s">
        <v>35</v>
      </c>
      <c r="H865" t="s">
        <v>48</v>
      </c>
      <c r="I865" t="s">
        <v>126</v>
      </c>
      <c r="J865" s="3" t="s">
        <v>100</v>
      </c>
      <c r="K865" t="s">
        <v>50</v>
      </c>
      <c r="L865" s="3" t="s">
        <v>94</v>
      </c>
      <c r="M865" s="3" t="s">
        <v>130</v>
      </c>
      <c r="N865" t="s">
        <v>131</v>
      </c>
      <c r="O865" t="s">
        <v>43</v>
      </c>
      <c r="P865" t="s">
        <v>132</v>
      </c>
      <c r="Q865" s="3">
        <v>41106.980000000003</v>
      </c>
      <c r="R865" s="3">
        <v>45319.73</v>
      </c>
      <c r="S865" s="3">
        <v>26572.46</v>
      </c>
      <c r="T865" s="3">
        <v>2880.13</v>
      </c>
      <c r="U865" s="3">
        <v>1703.23</v>
      </c>
      <c r="V865" s="3">
        <v>3712.32</v>
      </c>
      <c r="W865" s="3">
        <v>1507.64</v>
      </c>
      <c r="X865" s="3">
        <v>36375.79</v>
      </c>
      <c r="Y865" s="3">
        <v>14534.51</v>
      </c>
      <c r="Z865" s="3">
        <f t="shared" si="57"/>
        <v>4731.1900000000023</v>
      </c>
      <c r="AA865" s="37">
        <f t="shared" si="58"/>
        <v>0.11509456544849565</v>
      </c>
      <c r="AB865" s="3">
        <v>-4212.75</v>
      </c>
      <c r="AC865" s="3">
        <v>3288.56</v>
      </c>
      <c r="AD865" s="3">
        <v>6807.32</v>
      </c>
      <c r="AE865" s="3">
        <v>44625.73</v>
      </c>
      <c r="AF865" t="str">
        <f>IF(tbl_FinancialData[[#This Row],[City]]="","Unknown",PROPER(TRIM(tbl_FinancialData[[#This Row],[City]])))</f>
        <v>Coimbatore</v>
      </c>
      <c r="AG865" t="str">
        <f>_xlfn.LET(_xlpm.city,LOWER(TRIM(tbl_FinancialData[[#This Row],[City]])),_xlpm.st,PROPER(TRIM(tbl_FinancialData[[#This Row],[State]])),IF(_xlpm.city="pune","Maharashtra",IF(_xlpm.city="jamshedpur","Jharkhand",IF(_xlpm.city="bhilai","Chhattisgarh",IF(_xlpm.city="mumbai","Maharashtra",_xlpm.st)))))</f>
        <v>Tamil Nadu</v>
      </c>
      <c r="AH865" t="str">
        <f>_xlfn.LET(_xlpm.d,PROPER(TRIM(tbl_FinancialData[[#This Row],[Department]])),IF(_xlpm.d="It","IT",_xlpm.d))</f>
        <v>Sales</v>
      </c>
      <c r="AI865" t="str">
        <f>_xlfn.LET(_xlpm.pid,tbl_FinancialData[[#This Row],[Product ID]],_xlpm.n,PROPER(TRIM(tbl_FinancialData[[#This Row],[Product Name]])),IF(_xlpm.pid="P020","Document Scanner",IF(_xlpm.pid="P015","Network Router",SUBSTITUTE(SUBSTITUTE(_xlpm.n,"Crm","CRM"),"Ups","UPS"))))</f>
        <v>UPS System</v>
      </c>
      <c r="AJ865" s="3" t="str">
        <f>UPPER(TRIM(tbl_FinancialData[[#This Row],[Cost Center]]))</f>
        <v>CC-1001</v>
      </c>
    </row>
    <row r="866" spans="1:36" x14ac:dyDescent="0.25">
      <c r="A866" s="3" t="s">
        <v>1070</v>
      </c>
      <c r="B866" s="2">
        <v>45861</v>
      </c>
      <c r="C866" t="s">
        <v>32</v>
      </c>
      <c r="D866" s="3" t="str">
        <f t="shared" si="55"/>
        <v>Q2</v>
      </c>
      <c r="E866" s="3" t="str">
        <f t="shared" si="56"/>
        <v>FY2026</v>
      </c>
      <c r="F866" s="8" t="s">
        <v>47</v>
      </c>
      <c r="G866" s="3" t="s">
        <v>35</v>
      </c>
      <c r="H866" t="s">
        <v>48</v>
      </c>
      <c r="I866" t="s">
        <v>126</v>
      </c>
      <c r="J866" s="3" t="s">
        <v>100</v>
      </c>
      <c r="K866" t="s">
        <v>71</v>
      </c>
      <c r="L866" s="3" t="s">
        <v>51</v>
      </c>
      <c r="M866" s="3" t="s">
        <v>110</v>
      </c>
      <c r="N866" t="s">
        <v>111</v>
      </c>
      <c r="O866" t="s">
        <v>112</v>
      </c>
      <c r="P866" t="s">
        <v>113</v>
      </c>
      <c r="Q866" s="3">
        <v>10976.41</v>
      </c>
      <c r="R866" s="3">
        <v>11218.54</v>
      </c>
      <c r="S866" s="3">
        <v>7371.36</v>
      </c>
      <c r="T866" s="3">
        <v>660.52</v>
      </c>
      <c r="U866" s="3">
        <v>556.9</v>
      </c>
      <c r="V866" s="3">
        <v>677.43</v>
      </c>
      <c r="W866" s="3">
        <v>221.81</v>
      </c>
      <c r="X866" s="3">
        <v>9488.02</v>
      </c>
      <c r="Y866" s="3">
        <v>3605.05</v>
      </c>
      <c r="Z866" s="3">
        <f t="shared" si="57"/>
        <v>1488.3899999999994</v>
      </c>
      <c r="AA866" s="37">
        <f t="shared" si="58"/>
        <v>0.13559897999436971</v>
      </c>
      <c r="AB866" s="3">
        <v>-242.13</v>
      </c>
      <c r="AC866" s="3">
        <v>0</v>
      </c>
      <c r="AD866" s="3">
        <v>1975.75</v>
      </c>
      <c r="AE866" s="3">
        <v>12952.17</v>
      </c>
      <c r="AF866" t="str">
        <f>IF(tbl_FinancialData[[#This Row],[City]]="","Unknown",PROPER(TRIM(tbl_FinancialData[[#This Row],[City]])))</f>
        <v>Coimbatore</v>
      </c>
      <c r="AG866" t="str">
        <f>_xlfn.LET(_xlpm.city,LOWER(TRIM(tbl_FinancialData[[#This Row],[City]])),_xlpm.st,PROPER(TRIM(tbl_FinancialData[[#This Row],[State]])),IF(_xlpm.city="pune","Maharashtra",IF(_xlpm.city="jamshedpur","Jharkhand",IF(_xlpm.city="bhilai","Chhattisgarh",IF(_xlpm.city="mumbai","Maharashtra",_xlpm.st)))))</f>
        <v>Tamil Nadu</v>
      </c>
      <c r="AH866" t="str">
        <f>_xlfn.LET(_xlpm.d,PROPER(TRIM(tbl_FinancialData[[#This Row],[Department]])),IF(_xlpm.d="It","IT",_xlpm.d))</f>
        <v>Marketing</v>
      </c>
      <c r="AI866" t="str">
        <f>_xlfn.LET(_xlpm.pid,tbl_FinancialData[[#This Row],[Product ID]],_xlpm.n,PROPER(TRIM(tbl_FinancialData[[#This Row],[Product Name]])),IF(_xlpm.pid="P020","Document Scanner",IF(_xlpm.pid="P015","Network Router",SUBSTITUTE(SUBSTITUTE(_xlpm.n,"Crm","CRM"),"Ups","UPS"))))</f>
        <v>Office Desk</v>
      </c>
      <c r="AJ866" s="3" t="str">
        <f>UPPER(TRIM(tbl_FinancialData[[#This Row],[Cost Center]]))</f>
        <v>CC-1003</v>
      </c>
    </row>
    <row r="867" spans="1:36" x14ac:dyDescent="0.25">
      <c r="A867" s="3" t="s">
        <v>1071</v>
      </c>
      <c r="B867" s="2">
        <v>45814</v>
      </c>
      <c r="C867" t="s">
        <v>156</v>
      </c>
      <c r="D867" s="3" t="str">
        <f t="shared" si="55"/>
        <v>Q1</v>
      </c>
      <c r="E867" s="3" t="str">
        <f t="shared" si="56"/>
        <v>FY2026</v>
      </c>
      <c r="F867" s="8" t="s">
        <v>67</v>
      </c>
      <c r="G867" s="3" t="s">
        <v>35</v>
      </c>
      <c r="H867" t="s">
        <v>217</v>
      </c>
      <c r="I867" t="s">
        <v>218</v>
      </c>
      <c r="J867" s="3" t="s">
        <v>80</v>
      </c>
      <c r="K867" t="s">
        <v>39</v>
      </c>
      <c r="L867" s="3" t="s">
        <v>40</v>
      </c>
      <c r="M867" s="3" t="s">
        <v>211</v>
      </c>
      <c r="N867" t="s">
        <v>212</v>
      </c>
      <c r="O867" t="s">
        <v>112</v>
      </c>
      <c r="P867" t="s">
        <v>113</v>
      </c>
      <c r="Q867" s="3">
        <v>21397.759999999998</v>
      </c>
      <c r="R867" s="3">
        <v>19608.73</v>
      </c>
      <c r="S867" s="3">
        <v>11172.26</v>
      </c>
      <c r="T867" s="3">
        <v>1493.01</v>
      </c>
      <c r="U867" s="3">
        <v>1889.29</v>
      </c>
      <c r="V867" s="3">
        <v>1535.76</v>
      </c>
      <c r="W867" s="3">
        <v>662.57</v>
      </c>
      <c r="X867" s="3">
        <v>16752.89</v>
      </c>
      <c r="Y867" s="3">
        <v>10225.5</v>
      </c>
      <c r="Z867" s="3">
        <f t="shared" si="57"/>
        <v>4644.869999999999</v>
      </c>
      <c r="AA867" s="37">
        <f t="shared" si="58"/>
        <v>0.21707272163067534</v>
      </c>
      <c r="AB867" s="3">
        <v>1789.04</v>
      </c>
      <c r="AC867" s="3">
        <v>427.96</v>
      </c>
      <c r="AD867" s="3">
        <v>2516.38</v>
      </c>
      <c r="AE867" s="3">
        <v>23486.18</v>
      </c>
      <c r="AF867" t="str">
        <f>IF(tbl_FinancialData[[#This Row],[City]]="","Unknown",PROPER(TRIM(tbl_FinancialData[[#This Row],[City]])))</f>
        <v>Gaya</v>
      </c>
      <c r="AG867" t="str">
        <f>_xlfn.LET(_xlpm.city,LOWER(TRIM(tbl_FinancialData[[#This Row],[City]])),_xlpm.st,PROPER(TRIM(tbl_FinancialData[[#This Row],[State]])),IF(_xlpm.city="pune","Maharashtra",IF(_xlpm.city="jamshedpur","Jharkhand",IF(_xlpm.city="bhilai","Chhattisgarh",IF(_xlpm.city="mumbai","Maharashtra",_xlpm.st)))))</f>
        <v>Bihar</v>
      </c>
      <c r="AH867" t="str">
        <f>_xlfn.LET(_xlpm.d,PROPER(TRIM(tbl_FinancialData[[#This Row],[Department]])),IF(_xlpm.d="It","IT",_xlpm.d))</f>
        <v>Operations</v>
      </c>
      <c r="AI867" t="str">
        <f>_xlfn.LET(_xlpm.pid,tbl_FinancialData[[#This Row],[Product ID]],_xlpm.n,PROPER(TRIM(tbl_FinancialData[[#This Row],[Product Name]])),IF(_xlpm.pid="P020","Document Scanner",IF(_xlpm.pid="P015","Network Router",SUBSTITUTE(SUBSTITUTE(_xlpm.n,"Crm","CRM"),"Ups","UPS"))))</f>
        <v>Office Chair</v>
      </c>
      <c r="AJ867" s="3" t="str">
        <f>UPPER(TRIM(tbl_FinancialData[[#This Row],[Cost Center]]))</f>
        <v>CC-1002</v>
      </c>
    </row>
    <row r="868" spans="1:36" x14ac:dyDescent="0.25">
      <c r="A868" s="3" t="s">
        <v>1072</v>
      </c>
      <c r="B868" s="2">
        <v>45974</v>
      </c>
      <c r="C868" t="s">
        <v>147</v>
      </c>
      <c r="D868" s="3" t="str">
        <f t="shared" si="55"/>
        <v>Q3</v>
      </c>
      <c r="E868" s="3" t="str">
        <f t="shared" si="56"/>
        <v>FY2026</v>
      </c>
      <c r="F868" s="8" t="s">
        <v>59</v>
      </c>
      <c r="G868" s="3" t="s">
        <v>35</v>
      </c>
      <c r="H868" t="s">
        <v>139</v>
      </c>
      <c r="I868" t="s">
        <v>140</v>
      </c>
      <c r="J868" s="3" t="s">
        <v>70</v>
      </c>
      <c r="K868" t="s">
        <v>50</v>
      </c>
      <c r="L868" s="3" t="s">
        <v>72</v>
      </c>
      <c r="M868" s="3" t="s">
        <v>62</v>
      </c>
      <c r="N868" t="s">
        <v>63</v>
      </c>
      <c r="O868" t="s">
        <v>54</v>
      </c>
      <c r="P868" t="s">
        <v>55</v>
      </c>
      <c r="Q868" s="3">
        <v>8831.84</v>
      </c>
      <c r="R868" s="3">
        <v>9426.82</v>
      </c>
      <c r="S868" s="3">
        <v>6280.45</v>
      </c>
      <c r="T868" s="3">
        <v>1029.1099999999999</v>
      </c>
      <c r="U868" s="3">
        <v>486.91</v>
      </c>
      <c r="V868" s="3">
        <v>874.34</v>
      </c>
      <c r="W868" s="3">
        <v>127.93</v>
      </c>
      <c r="X868" s="3">
        <v>8798.73</v>
      </c>
      <c r="Y868" s="3">
        <v>2551.39</v>
      </c>
      <c r="Z868" s="3">
        <f t="shared" si="57"/>
        <v>33.110000000000582</v>
      </c>
      <c r="AA868" s="37">
        <f t="shared" si="58"/>
        <v>3.7489356691245064E-3</v>
      </c>
      <c r="AB868" s="3">
        <v>-594.98</v>
      </c>
      <c r="AC868" s="3">
        <v>264.95999999999998</v>
      </c>
      <c r="AD868" s="3">
        <v>1028.03</v>
      </c>
      <c r="AE868" s="3">
        <v>9594.91</v>
      </c>
      <c r="AF868" t="str">
        <f>IF(tbl_FinancialData[[#This Row],[City]]="","Unknown",PROPER(TRIM(tbl_FinancialData[[#This Row],[City]])))</f>
        <v>Faridabad</v>
      </c>
      <c r="AG868" t="str">
        <f>_xlfn.LET(_xlpm.city,LOWER(TRIM(tbl_FinancialData[[#This Row],[City]])),_xlpm.st,PROPER(TRIM(tbl_FinancialData[[#This Row],[State]])),IF(_xlpm.city="pune","Maharashtra",IF(_xlpm.city="jamshedpur","Jharkhand",IF(_xlpm.city="bhilai","Chhattisgarh",IF(_xlpm.city="mumbai","Maharashtra",_xlpm.st)))))</f>
        <v>Haryana</v>
      </c>
      <c r="AH868" t="str">
        <f>_xlfn.LET(_xlpm.d,PROPER(TRIM(tbl_FinancialData[[#This Row],[Department]])),IF(_xlpm.d="It","IT",_xlpm.d))</f>
        <v>Sales</v>
      </c>
      <c r="AI868" t="str">
        <f>_xlfn.LET(_xlpm.pid,tbl_FinancialData[[#This Row],[Product ID]],_xlpm.n,PROPER(TRIM(tbl_FinancialData[[#This Row],[Product Name]])),IF(_xlpm.pid="P020","Document Scanner",IF(_xlpm.pid="P015","Network Router",SUBSTITUTE(SUBSTITUTE(_xlpm.n,"Crm","CRM"),"Ups","UPS"))))</f>
        <v>Keyboard</v>
      </c>
      <c r="AJ868" s="3" t="str">
        <f>UPPER(TRIM(tbl_FinancialData[[#This Row],[Cost Center]]))</f>
        <v>CC-1004</v>
      </c>
    </row>
    <row r="869" spans="1:36" x14ac:dyDescent="0.25">
      <c r="A869" s="3" t="s">
        <v>1073</v>
      </c>
      <c r="B869" s="2">
        <v>45779</v>
      </c>
      <c r="C869" t="s">
        <v>65</v>
      </c>
      <c r="D869" s="3" t="str">
        <f t="shared" si="55"/>
        <v>Q1</v>
      </c>
      <c r="E869" s="3" t="str">
        <f t="shared" si="56"/>
        <v>FY2026</v>
      </c>
      <c r="F869" s="8" t="s">
        <v>59</v>
      </c>
      <c r="G869" s="3" t="s">
        <v>35</v>
      </c>
      <c r="H869" t="s">
        <v>139</v>
      </c>
      <c r="I869" t="s">
        <v>200</v>
      </c>
      <c r="J869" s="3" t="s">
        <v>100</v>
      </c>
      <c r="K869" t="s">
        <v>50</v>
      </c>
      <c r="L869" s="3" t="s">
        <v>51</v>
      </c>
      <c r="M869" s="3" t="s">
        <v>186</v>
      </c>
      <c r="N869" t="s">
        <v>187</v>
      </c>
      <c r="O869" t="s">
        <v>173</v>
      </c>
      <c r="P869" t="s">
        <v>174</v>
      </c>
      <c r="Q869" s="3">
        <v>12005.5</v>
      </c>
      <c r="R869" s="3">
        <v>14112.51</v>
      </c>
      <c r="S869" s="3">
        <v>6039.97</v>
      </c>
      <c r="T869" s="3">
        <v>874.7</v>
      </c>
      <c r="U869" s="3">
        <v>978.63</v>
      </c>
      <c r="V869" s="3">
        <v>549.63</v>
      </c>
      <c r="W869" s="3">
        <v>488.1</v>
      </c>
      <c r="X869" s="3">
        <v>8931.0300000000007</v>
      </c>
      <c r="Y869" s="3">
        <v>5965.53</v>
      </c>
      <c r="Z869" s="3">
        <f t="shared" si="57"/>
        <v>3074.4699999999993</v>
      </c>
      <c r="AA869" s="37">
        <f t="shared" si="58"/>
        <v>0.25608845945608255</v>
      </c>
      <c r="AB869" s="3">
        <v>-2107</v>
      </c>
      <c r="AC869" s="3">
        <v>360.17</v>
      </c>
      <c r="AD869" s="3">
        <v>1397.44</v>
      </c>
      <c r="AE869" s="3">
        <v>13042.78</v>
      </c>
      <c r="AF869" t="str">
        <f>IF(tbl_FinancialData[[#This Row],[City]]="","Unknown",PROPER(TRIM(tbl_FinancialData[[#This Row],[City]])))</f>
        <v>Gurugram</v>
      </c>
      <c r="AG869" t="str">
        <f>_xlfn.LET(_xlpm.city,LOWER(TRIM(tbl_FinancialData[[#This Row],[City]])),_xlpm.st,PROPER(TRIM(tbl_FinancialData[[#This Row],[State]])),IF(_xlpm.city="pune","Maharashtra",IF(_xlpm.city="jamshedpur","Jharkhand",IF(_xlpm.city="bhilai","Chhattisgarh",IF(_xlpm.city="mumbai","Maharashtra",_xlpm.st)))))</f>
        <v>Haryana</v>
      </c>
      <c r="AH869" t="str">
        <f>_xlfn.LET(_xlpm.d,PROPER(TRIM(tbl_FinancialData[[#This Row],[Department]])),IF(_xlpm.d="It","IT",_xlpm.d))</f>
        <v>Sales</v>
      </c>
      <c r="AI869" t="str">
        <f>_xlfn.LET(_xlpm.pid,tbl_FinancialData[[#This Row],[Product ID]],_xlpm.n,PROPER(TRIM(tbl_FinancialData[[#This Row],[Product Name]])),IF(_xlpm.pid="P020","Document Scanner",IF(_xlpm.pid="P015","Network Router",SUBSTITUTE(SUBSTITUTE(_xlpm.n,"Crm","CRM"),"Ups","UPS"))))</f>
        <v>Network Router</v>
      </c>
      <c r="AJ869" s="3" t="str">
        <f>UPPER(TRIM(tbl_FinancialData[[#This Row],[Cost Center]]))</f>
        <v>CC-1003</v>
      </c>
    </row>
    <row r="870" spans="1:36" x14ac:dyDescent="0.25">
      <c r="A870" s="3" t="s">
        <v>1074</v>
      </c>
      <c r="B870" s="2">
        <v>45944</v>
      </c>
      <c r="C870" t="s">
        <v>92</v>
      </c>
      <c r="D870" s="3" t="str">
        <f t="shared" si="55"/>
        <v>Q3</v>
      </c>
      <c r="E870" s="3" t="str">
        <f t="shared" si="56"/>
        <v>FY2026</v>
      </c>
      <c r="F870" s="8" t="s">
        <v>47</v>
      </c>
      <c r="G870" s="3" t="s">
        <v>35</v>
      </c>
      <c r="H870" t="s">
        <v>78</v>
      </c>
      <c r="I870" t="s">
        <v>115</v>
      </c>
      <c r="J870" s="3" t="s">
        <v>38</v>
      </c>
      <c r="K870" t="s">
        <v>50</v>
      </c>
      <c r="L870" s="3" t="s">
        <v>81</v>
      </c>
      <c r="M870" s="3" t="s">
        <v>110</v>
      </c>
      <c r="N870" t="s">
        <v>111</v>
      </c>
      <c r="O870" t="s">
        <v>112</v>
      </c>
      <c r="P870" t="s">
        <v>113</v>
      </c>
      <c r="Q870" s="3">
        <v>10744.48</v>
      </c>
      <c r="R870" s="3">
        <v>9598.08</v>
      </c>
      <c r="S870" s="3">
        <v>5988.82</v>
      </c>
      <c r="T870" s="3">
        <v>1026.46</v>
      </c>
      <c r="U870" s="3">
        <v>630.27</v>
      </c>
      <c r="V870" s="3">
        <v>992.33</v>
      </c>
      <c r="W870" s="3">
        <v>305.82</v>
      </c>
      <c r="X870" s="3">
        <v>8943.7000000000007</v>
      </c>
      <c r="Y870" s="3">
        <v>4755.66</v>
      </c>
      <c r="Z870" s="3">
        <f t="shared" si="57"/>
        <v>1800.7799999999988</v>
      </c>
      <c r="AA870" s="37">
        <f t="shared" si="58"/>
        <v>0.16760047950203258</v>
      </c>
      <c r="AB870" s="3">
        <v>1146.4000000000001</v>
      </c>
      <c r="AC870" s="3">
        <v>214.89</v>
      </c>
      <c r="AD870" s="3">
        <v>526.48</v>
      </c>
      <c r="AE870" s="3">
        <v>11056.07</v>
      </c>
      <c r="AF870" t="str">
        <f>IF(tbl_FinancialData[[#This Row],[City]]="","Unknown",PROPER(TRIM(tbl_FinancialData[[#This Row],[City]])))</f>
        <v>Thiruvananthapuram</v>
      </c>
      <c r="AG870" t="str">
        <f>_xlfn.LET(_xlpm.city,LOWER(TRIM(tbl_FinancialData[[#This Row],[City]])),_xlpm.st,PROPER(TRIM(tbl_FinancialData[[#This Row],[State]])),IF(_xlpm.city="pune","Maharashtra",IF(_xlpm.city="jamshedpur","Jharkhand",IF(_xlpm.city="bhilai","Chhattisgarh",IF(_xlpm.city="mumbai","Maharashtra",_xlpm.st)))))</f>
        <v>Kerala</v>
      </c>
      <c r="AH870" t="str">
        <f>_xlfn.LET(_xlpm.d,PROPER(TRIM(tbl_FinancialData[[#This Row],[Department]])),IF(_xlpm.d="It","IT",_xlpm.d))</f>
        <v>Sales</v>
      </c>
      <c r="AI870" t="str">
        <f>_xlfn.LET(_xlpm.pid,tbl_FinancialData[[#This Row],[Product ID]],_xlpm.n,PROPER(TRIM(tbl_FinancialData[[#This Row],[Product Name]])),IF(_xlpm.pid="P020","Document Scanner",IF(_xlpm.pid="P015","Network Router",SUBSTITUTE(SUBSTITUTE(_xlpm.n,"Crm","CRM"),"Ups","UPS"))))</f>
        <v>Office Desk</v>
      </c>
      <c r="AJ870" s="3" t="str">
        <f>UPPER(TRIM(tbl_FinancialData[[#This Row],[Cost Center]]))</f>
        <v>CC-1005</v>
      </c>
    </row>
    <row r="871" spans="1:36" x14ac:dyDescent="0.25">
      <c r="A871" s="3" t="s">
        <v>1075</v>
      </c>
      <c r="B871" s="2">
        <v>45758</v>
      </c>
      <c r="C871" t="s">
        <v>128</v>
      </c>
      <c r="D871" s="3" t="str">
        <f t="shared" si="55"/>
        <v>Q1</v>
      </c>
      <c r="E871" s="3" t="str">
        <f t="shared" si="56"/>
        <v>FY2026</v>
      </c>
      <c r="F871" s="8" t="s">
        <v>47</v>
      </c>
      <c r="G871" s="3" t="s">
        <v>35</v>
      </c>
      <c r="H871" t="s">
        <v>78</v>
      </c>
      <c r="I871" t="s">
        <v>115</v>
      </c>
      <c r="J871" s="3" t="s">
        <v>70</v>
      </c>
      <c r="K871" t="s">
        <v>101</v>
      </c>
      <c r="L871" s="3" t="s">
        <v>72</v>
      </c>
      <c r="M871" s="3" t="s">
        <v>197</v>
      </c>
      <c r="N871" t="s">
        <v>198</v>
      </c>
      <c r="O871" t="s">
        <v>43</v>
      </c>
      <c r="P871" t="s">
        <v>163</v>
      </c>
      <c r="Q871" s="3">
        <v>39602.379999999997</v>
      </c>
      <c r="R871" s="3">
        <v>37861.93</v>
      </c>
      <c r="S871" s="3">
        <v>27743.65</v>
      </c>
      <c r="T871" s="3">
        <v>4102.62</v>
      </c>
      <c r="U871" s="3">
        <v>1024.67</v>
      </c>
      <c r="V871" s="3">
        <v>2232.39</v>
      </c>
      <c r="W871" s="3">
        <v>1342.49</v>
      </c>
      <c r="X871" s="3">
        <v>36445.82</v>
      </c>
      <c r="Y871" s="3">
        <v>11858.73</v>
      </c>
      <c r="Z871" s="3">
        <f t="shared" si="57"/>
        <v>3156.5599999999977</v>
      </c>
      <c r="AA871" s="37">
        <f t="shared" si="58"/>
        <v>7.9706320680726708E-2</v>
      </c>
      <c r="AB871" s="3">
        <v>1740.45</v>
      </c>
      <c r="AC871" s="3">
        <v>1980.12</v>
      </c>
      <c r="AD871" s="3">
        <v>6772.01</v>
      </c>
      <c r="AE871" s="3">
        <v>44394.27</v>
      </c>
      <c r="AF871" t="str">
        <f>IF(tbl_FinancialData[[#This Row],[City]]="","Unknown",PROPER(TRIM(tbl_FinancialData[[#This Row],[City]])))</f>
        <v>Thiruvananthapuram</v>
      </c>
      <c r="AG871" t="str">
        <f>_xlfn.LET(_xlpm.city,LOWER(TRIM(tbl_FinancialData[[#This Row],[City]])),_xlpm.st,PROPER(TRIM(tbl_FinancialData[[#This Row],[State]])),IF(_xlpm.city="pune","Maharashtra",IF(_xlpm.city="jamshedpur","Jharkhand",IF(_xlpm.city="bhilai","Chhattisgarh",IF(_xlpm.city="mumbai","Maharashtra",_xlpm.st)))))</f>
        <v>Kerala</v>
      </c>
      <c r="AH871" t="str">
        <f>_xlfn.LET(_xlpm.d,PROPER(TRIM(tbl_FinancialData[[#This Row],[Department]])),IF(_xlpm.d="It","IT",_xlpm.d))</f>
        <v>Finance</v>
      </c>
      <c r="AI871" t="str">
        <f>_xlfn.LET(_xlpm.pid,tbl_FinancialData[[#This Row],[Product ID]],_xlpm.n,PROPER(TRIM(tbl_FinancialData[[#This Row],[Product Name]])),IF(_xlpm.pid="P020","Document Scanner",IF(_xlpm.pid="P015","Network Router",SUBSTITUTE(SUBSTITUTE(_xlpm.n,"Crm","CRM"),"Ups","UPS"))))</f>
        <v>Smartphone</v>
      </c>
      <c r="AJ871" s="3" t="str">
        <f>UPPER(TRIM(tbl_FinancialData[[#This Row],[Cost Center]]))</f>
        <v>CC-1004</v>
      </c>
    </row>
    <row r="872" spans="1:36" x14ac:dyDescent="0.25">
      <c r="A872" s="3" t="s">
        <v>1076</v>
      </c>
      <c r="B872" s="2">
        <v>46094</v>
      </c>
      <c r="C872" t="s">
        <v>125</v>
      </c>
      <c r="D872" s="3" t="str">
        <f t="shared" si="55"/>
        <v>Q4</v>
      </c>
      <c r="E872" s="3" t="str">
        <f t="shared" si="56"/>
        <v>FY2026</v>
      </c>
      <c r="F872" s="8" t="s">
        <v>34</v>
      </c>
      <c r="G872" s="3" t="s">
        <v>35</v>
      </c>
      <c r="H872" t="s">
        <v>134</v>
      </c>
      <c r="I872" t="s">
        <v>135</v>
      </c>
      <c r="J872" s="3" t="s">
        <v>38</v>
      </c>
      <c r="K872" t="s">
        <v>39</v>
      </c>
      <c r="L872" s="3" t="s">
        <v>51</v>
      </c>
      <c r="M872" s="3" t="s">
        <v>171</v>
      </c>
      <c r="N872" t="s">
        <v>172</v>
      </c>
      <c r="O872" t="s">
        <v>173</v>
      </c>
      <c r="P872" t="s">
        <v>174</v>
      </c>
      <c r="Q872" s="3">
        <v>14376.36</v>
      </c>
      <c r="R872" s="3">
        <v>13341.58</v>
      </c>
      <c r="S872" s="3">
        <v>7237.76</v>
      </c>
      <c r="T872" s="3">
        <v>1318.01</v>
      </c>
      <c r="U872" s="3">
        <v>1032.58</v>
      </c>
      <c r="V872" s="3">
        <v>1382.33</v>
      </c>
      <c r="W872" s="3">
        <v>370.67</v>
      </c>
      <c r="X872" s="3">
        <v>11341.34</v>
      </c>
      <c r="Y872" s="3">
        <v>7138.59</v>
      </c>
      <c r="Z872" s="3">
        <f t="shared" si="57"/>
        <v>3035.0200000000004</v>
      </c>
      <c r="AA872" s="37">
        <f t="shared" si="58"/>
        <v>0.21111185306990088</v>
      </c>
      <c r="AB872" s="3">
        <v>1034.77</v>
      </c>
      <c r="AC872" s="3">
        <v>431.29</v>
      </c>
      <c r="AD872" s="3">
        <v>1673.41</v>
      </c>
      <c r="AE872" s="3">
        <v>15618.47</v>
      </c>
      <c r="AF872" t="str">
        <f>IF(tbl_FinancialData[[#This Row],[City]]="","Unknown",PROPER(TRIM(tbl_FinancialData[[#This Row],[City]])))</f>
        <v>Jodhpur</v>
      </c>
      <c r="AG872" t="str">
        <f>_xlfn.LET(_xlpm.city,LOWER(TRIM(tbl_FinancialData[[#This Row],[City]])),_xlpm.st,PROPER(TRIM(tbl_FinancialData[[#This Row],[State]])),IF(_xlpm.city="pune","Maharashtra",IF(_xlpm.city="jamshedpur","Jharkhand",IF(_xlpm.city="bhilai","Chhattisgarh",IF(_xlpm.city="mumbai","Maharashtra",_xlpm.st)))))</f>
        <v>Rajasthan</v>
      </c>
      <c r="AH872" t="str">
        <f>_xlfn.LET(_xlpm.d,PROPER(TRIM(tbl_FinancialData[[#This Row],[Department]])),IF(_xlpm.d="It","IT",_xlpm.d))</f>
        <v>Operations</v>
      </c>
      <c r="AI872" t="str">
        <f>_xlfn.LET(_xlpm.pid,tbl_FinancialData[[#This Row],[Product ID]],_xlpm.n,PROPER(TRIM(tbl_FinancialData[[#This Row],[Product Name]])),IF(_xlpm.pid="P020","Document Scanner",IF(_xlpm.pid="P015","Network Router",SUBSTITUTE(SUBSTITUTE(_xlpm.n,"Crm","CRM"),"Ups","UPS"))))</f>
        <v>Network Switch</v>
      </c>
      <c r="AJ872" s="3" t="str">
        <f>UPPER(TRIM(tbl_FinancialData[[#This Row],[Cost Center]]))</f>
        <v>CC-1003</v>
      </c>
    </row>
    <row r="873" spans="1:36" x14ac:dyDescent="0.25">
      <c r="A873" s="3" t="s">
        <v>1077</v>
      </c>
      <c r="B873" s="2">
        <v>46005</v>
      </c>
      <c r="C873" t="s">
        <v>107</v>
      </c>
      <c r="D873" s="3" t="str">
        <f t="shared" si="55"/>
        <v>Q3</v>
      </c>
      <c r="E873" s="3" t="str">
        <f t="shared" si="56"/>
        <v>FY2026</v>
      </c>
      <c r="F873" s="8" t="s">
        <v>47</v>
      </c>
      <c r="G873" s="3" t="s">
        <v>35</v>
      </c>
      <c r="H873" t="s">
        <v>48</v>
      </c>
      <c r="I873" t="s">
        <v>265</v>
      </c>
      <c r="J873" s="3" t="s">
        <v>100</v>
      </c>
      <c r="K873" t="s">
        <v>50</v>
      </c>
      <c r="L873" s="3" t="s">
        <v>72</v>
      </c>
      <c r="M873" s="3" t="s">
        <v>130</v>
      </c>
      <c r="N873" t="s">
        <v>131</v>
      </c>
      <c r="O873" t="s">
        <v>43</v>
      </c>
      <c r="P873" t="s">
        <v>132</v>
      </c>
      <c r="Q873" s="3">
        <v>48224.71</v>
      </c>
      <c r="R873" s="3">
        <v>54079.26</v>
      </c>
      <c r="S873" s="3">
        <v>31671.99</v>
      </c>
      <c r="T873" s="3">
        <v>5981.14</v>
      </c>
      <c r="U873" s="3">
        <v>2606.27</v>
      </c>
      <c r="V873" s="3">
        <v>2596.9</v>
      </c>
      <c r="W873" s="3">
        <v>562.95000000000005</v>
      </c>
      <c r="X873" s="3">
        <v>43419.24</v>
      </c>
      <c r="Y873" s="3">
        <v>16552.72</v>
      </c>
      <c r="Z873" s="3">
        <f t="shared" si="57"/>
        <v>4805.4700000000012</v>
      </c>
      <c r="AA873" s="37">
        <f t="shared" si="58"/>
        <v>9.9647462887801741E-2</v>
      </c>
      <c r="AB873" s="3">
        <v>-5854.55</v>
      </c>
      <c r="AC873" s="3">
        <v>964.49</v>
      </c>
      <c r="AD873" s="3">
        <v>2363.0100000000002</v>
      </c>
      <c r="AE873" s="3">
        <v>49623.22</v>
      </c>
      <c r="AF873" t="str">
        <f>IF(tbl_FinancialData[[#This Row],[City]]="","Unknown",PROPER(TRIM(tbl_FinancialData[[#This Row],[City]])))</f>
        <v>Madurai</v>
      </c>
      <c r="AG873" t="str">
        <f>_xlfn.LET(_xlpm.city,LOWER(TRIM(tbl_FinancialData[[#This Row],[City]])),_xlpm.st,PROPER(TRIM(tbl_FinancialData[[#This Row],[State]])),IF(_xlpm.city="pune","Maharashtra",IF(_xlpm.city="jamshedpur","Jharkhand",IF(_xlpm.city="bhilai","Chhattisgarh",IF(_xlpm.city="mumbai","Maharashtra",_xlpm.st)))))</f>
        <v>Tamil Nadu</v>
      </c>
      <c r="AH873" t="str">
        <f>_xlfn.LET(_xlpm.d,PROPER(TRIM(tbl_FinancialData[[#This Row],[Department]])),IF(_xlpm.d="It","IT",_xlpm.d))</f>
        <v>Sales</v>
      </c>
      <c r="AI873" t="str">
        <f>_xlfn.LET(_xlpm.pid,tbl_FinancialData[[#This Row],[Product ID]],_xlpm.n,PROPER(TRIM(tbl_FinancialData[[#This Row],[Product Name]])),IF(_xlpm.pid="P020","Document Scanner",IF(_xlpm.pid="P015","Network Router",SUBSTITUTE(SUBSTITUTE(_xlpm.n,"Crm","CRM"),"Ups","UPS"))))</f>
        <v>UPS System</v>
      </c>
      <c r="AJ873" s="3" t="str">
        <f>UPPER(TRIM(tbl_FinancialData[[#This Row],[Cost Center]]))</f>
        <v>CC-1004</v>
      </c>
    </row>
    <row r="874" spans="1:36" x14ac:dyDescent="0.25">
      <c r="A874" s="3" t="s">
        <v>1078</v>
      </c>
      <c r="B874" s="2">
        <v>45885</v>
      </c>
      <c r="C874" t="s">
        <v>117</v>
      </c>
      <c r="D874" s="3" t="str">
        <f t="shared" si="55"/>
        <v>Q2</v>
      </c>
      <c r="E874" s="3" t="str">
        <f t="shared" si="56"/>
        <v>FY2026</v>
      </c>
      <c r="F874" s="8" t="s">
        <v>67</v>
      </c>
      <c r="G874" s="3" t="s">
        <v>35</v>
      </c>
      <c r="H874" t="s">
        <v>168</v>
      </c>
      <c r="I874" t="s">
        <v>278</v>
      </c>
      <c r="J874" s="3" t="s">
        <v>80</v>
      </c>
      <c r="K874" t="s">
        <v>50</v>
      </c>
      <c r="L874" s="3" t="s">
        <v>40</v>
      </c>
      <c r="M874" s="3" t="s">
        <v>171</v>
      </c>
      <c r="N874" t="s">
        <v>172</v>
      </c>
      <c r="O874" t="s">
        <v>173</v>
      </c>
      <c r="P874" t="s">
        <v>174</v>
      </c>
      <c r="Q874" s="3">
        <v>15057.89</v>
      </c>
      <c r="R874" s="3">
        <v>14650.34</v>
      </c>
      <c r="S874" s="3">
        <v>10382.74</v>
      </c>
      <c r="T874" s="3">
        <v>1158.75</v>
      </c>
      <c r="U874" s="3">
        <v>982.98</v>
      </c>
      <c r="V874" s="3">
        <v>946.75</v>
      </c>
      <c r="W874" s="3">
        <v>633.98</v>
      </c>
      <c r="X874" s="3">
        <v>14105.21</v>
      </c>
      <c r="Y874" s="3">
        <v>4675.1499999999996</v>
      </c>
      <c r="Z874" s="3">
        <f t="shared" si="57"/>
        <v>952.68000000000029</v>
      </c>
      <c r="AA874" s="37">
        <f t="shared" si="58"/>
        <v>6.3267828361078499E-2</v>
      </c>
      <c r="AB874" s="3">
        <v>407.56</v>
      </c>
      <c r="AC874" s="3">
        <v>1204.6300000000001</v>
      </c>
      <c r="AD874" s="3">
        <v>692.66</v>
      </c>
      <c r="AE874" s="3">
        <v>14545.93</v>
      </c>
      <c r="AF874" t="str">
        <f>IF(tbl_FinancialData[[#This Row],[City]]="","Unknown",PROPER(TRIM(tbl_FinancialData[[#This Row],[City]])))</f>
        <v>Siliguri</v>
      </c>
      <c r="AG874" t="str">
        <f>_xlfn.LET(_xlpm.city,LOWER(TRIM(tbl_FinancialData[[#This Row],[City]])),_xlpm.st,PROPER(TRIM(tbl_FinancialData[[#This Row],[State]])),IF(_xlpm.city="pune","Maharashtra",IF(_xlpm.city="jamshedpur","Jharkhand",IF(_xlpm.city="bhilai","Chhattisgarh",IF(_xlpm.city="mumbai","Maharashtra",_xlpm.st)))))</f>
        <v>West Bengal</v>
      </c>
      <c r="AH874" t="str">
        <f>_xlfn.LET(_xlpm.d,PROPER(TRIM(tbl_FinancialData[[#This Row],[Department]])),IF(_xlpm.d="It","IT",_xlpm.d))</f>
        <v>Sales</v>
      </c>
      <c r="AI874" t="str">
        <f>_xlfn.LET(_xlpm.pid,tbl_FinancialData[[#This Row],[Product ID]],_xlpm.n,PROPER(TRIM(tbl_FinancialData[[#This Row],[Product Name]])),IF(_xlpm.pid="P020","Document Scanner",IF(_xlpm.pid="P015","Network Router",SUBSTITUTE(SUBSTITUTE(_xlpm.n,"Crm","CRM"),"Ups","UPS"))))</f>
        <v>Network Switch</v>
      </c>
      <c r="AJ874" s="3" t="str">
        <f>UPPER(TRIM(tbl_FinancialData[[#This Row],[Cost Center]]))</f>
        <v>CC-1002</v>
      </c>
    </row>
    <row r="875" spans="1:36" x14ac:dyDescent="0.25">
      <c r="A875" s="3" t="s">
        <v>1079</v>
      </c>
      <c r="B875" s="2">
        <v>46101</v>
      </c>
      <c r="C875" t="s">
        <v>125</v>
      </c>
      <c r="D875" s="3" t="str">
        <f t="shared" si="55"/>
        <v>Q4</v>
      </c>
      <c r="E875" s="3" t="str">
        <f t="shared" si="56"/>
        <v>FY2026</v>
      </c>
      <c r="F875" s="8" t="s">
        <v>59</v>
      </c>
      <c r="G875" s="3" t="s">
        <v>35</v>
      </c>
      <c r="H875" t="s">
        <v>254</v>
      </c>
      <c r="I875" t="s">
        <v>200</v>
      </c>
      <c r="J875" s="3" t="s">
        <v>80</v>
      </c>
      <c r="K875" t="s">
        <v>71</v>
      </c>
      <c r="L875" s="3" t="s">
        <v>81</v>
      </c>
      <c r="M875" s="3" t="s">
        <v>161</v>
      </c>
      <c r="N875" t="s">
        <v>162</v>
      </c>
      <c r="O875" t="s">
        <v>43</v>
      </c>
      <c r="P875" t="s">
        <v>163</v>
      </c>
      <c r="Q875" s="3">
        <v>40733.35</v>
      </c>
      <c r="R875" s="3">
        <v>46827.38</v>
      </c>
      <c r="S875" s="3">
        <v>29305.49</v>
      </c>
      <c r="T875" s="3">
        <v>4491.71</v>
      </c>
      <c r="U875" s="3">
        <v>3588.67</v>
      </c>
      <c r="V875" s="3">
        <v>4194.2299999999996</v>
      </c>
      <c r="W875" s="3">
        <v>1780.54</v>
      </c>
      <c r="X875" s="3">
        <v>43360.639999999999</v>
      </c>
      <c r="Y875" s="3">
        <v>11427.86</v>
      </c>
      <c r="Z875" s="3">
        <f t="shared" si="57"/>
        <v>-2627.2900000000009</v>
      </c>
      <c r="AA875" s="37">
        <f t="shared" si="58"/>
        <v>-6.4499728109767576E-2</v>
      </c>
      <c r="AB875" s="3">
        <v>-6094.03</v>
      </c>
      <c r="AC875" s="3">
        <v>2036.67</v>
      </c>
      <c r="AD875" s="3">
        <v>1934.83</v>
      </c>
      <c r="AE875" s="3">
        <v>40631.51</v>
      </c>
      <c r="AF875" t="str">
        <f>IF(tbl_FinancialData[[#This Row],[City]]="","Unknown",PROPER(TRIM(tbl_FinancialData[[#This Row],[City]])))</f>
        <v>Gurugram</v>
      </c>
      <c r="AG875" t="str">
        <f>_xlfn.LET(_xlpm.city,LOWER(TRIM(tbl_FinancialData[[#This Row],[City]])),_xlpm.st,PROPER(TRIM(tbl_FinancialData[[#This Row],[State]])),IF(_xlpm.city="pune","Maharashtra",IF(_xlpm.city="jamshedpur","Jharkhand",IF(_xlpm.city="bhilai","Chhattisgarh",IF(_xlpm.city="mumbai","Maharashtra",_xlpm.st)))))</f>
        <v>Delhi</v>
      </c>
      <c r="AH875" t="str">
        <f>_xlfn.LET(_xlpm.d,PROPER(TRIM(tbl_FinancialData[[#This Row],[Department]])),IF(_xlpm.d="It","IT",_xlpm.d))</f>
        <v>Marketing</v>
      </c>
      <c r="AI875" t="str">
        <f>_xlfn.LET(_xlpm.pid,tbl_FinancialData[[#This Row],[Product ID]],_xlpm.n,PROPER(TRIM(tbl_FinancialData[[#This Row],[Product Name]])),IF(_xlpm.pid="P020","Document Scanner",IF(_xlpm.pid="P015","Network Router",SUBSTITUTE(SUBSTITUTE(_xlpm.n,"Crm","CRM"),"Ups","UPS"))))</f>
        <v>Tablet</v>
      </c>
      <c r="AJ875" s="3" t="str">
        <f>UPPER(TRIM(tbl_FinancialData[[#This Row],[Cost Center]]))</f>
        <v>CC-1005</v>
      </c>
    </row>
    <row r="876" spans="1:36" x14ac:dyDescent="0.25">
      <c r="A876" s="3" t="s">
        <v>1080</v>
      </c>
      <c r="B876" s="2">
        <v>46044</v>
      </c>
      <c r="C876" t="s">
        <v>77</v>
      </c>
      <c r="D876" s="3" t="str">
        <f t="shared" si="55"/>
        <v>Q4</v>
      </c>
      <c r="E876" s="3" t="str">
        <f t="shared" si="56"/>
        <v>FY2026</v>
      </c>
      <c r="F876" s="8" t="s">
        <v>34</v>
      </c>
      <c r="G876" s="3" t="s">
        <v>35</v>
      </c>
      <c r="H876" t="s">
        <v>157</v>
      </c>
      <c r="I876" t="s">
        <v>166</v>
      </c>
      <c r="J876" s="3" t="s">
        <v>70</v>
      </c>
      <c r="K876" t="s">
        <v>39</v>
      </c>
      <c r="L876" s="3" t="s">
        <v>94</v>
      </c>
      <c r="M876" s="3" t="s">
        <v>141</v>
      </c>
      <c r="N876" t="s">
        <v>142</v>
      </c>
      <c r="O876" t="s">
        <v>54</v>
      </c>
      <c r="P876" t="s">
        <v>143</v>
      </c>
      <c r="Q876" s="3">
        <v>5860.76</v>
      </c>
      <c r="R876" s="3">
        <v>5549.16</v>
      </c>
      <c r="S876" s="3">
        <v>3732.27</v>
      </c>
      <c r="T876" s="3">
        <v>614.48</v>
      </c>
      <c r="U876" s="3">
        <v>407.54</v>
      </c>
      <c r="V876" s="3">
        <v>247.08</v>
      </c>
      <c r="W876" s="3">
        <v>243.04</v>
      </c>
      <c r="X876" s="3">
        <v>5244.42</v>
      </c>
      <c r="Y876" s="3">
        <v>2128.4899999999998</v>
      </c>
      <c r="Z876" s="3">
        <f t="shared" si="57"/>
        <v>616.34000000000015</v>
      </c>
      <c r="AA876" s="37">
        <f t="shared" si="58"/>
        <v>0.10516383540701207</v>
      </c>
      <c r="AB876" s="3">
        <v>311.60000000000002</v>
      </c>
      <c r="AC876" s="3">
        <v>175.82</v>
      </c>
      <c r="AD876" s="3">
        <v>1023.29</v>
      </c>
      <c r="AE876" s="3">
        <v>6708.23</v>
      </c>
      <c r="AF876" t="str">
        <f>IF(tbl_FinancialData[[#This Row],[City]]="","Unknown",PROPER(TRIM(tbl_FinancialData[[#This Row],[City]])))</f>
        <v>Vadodara</v>
      </c>
      <c r="AG876" t="str">
        <f>_xlfn.LET(_xlpm.city,LOWER(TRIM(tbl_FinancialData[[#This Row],[City]])),_xlpm.st,PROPER(TRIM(tbl_FinancialData[[#This Row],[State]])),IF(_xlpm.city="pune","Maharashtra",IF(_xlpm.city="jamshedpur","Jharkhand",IF(_xlpm.city="bhilai","Chhattisgarh",IF(_xlpm.city="mumbai","Maharashtra",_xlpm.st)))))</f>
        <v>Gujarat</v>
      </c>
      <c r="AH876" t="str">
        <f>_xlfn.LET(_xlpm.d,PROPER(TRIM(tbl_FinancialData[[#This Row],[Department]])),IF(_xlpm.d="It","IT",_xlpm.d))</f>
        <v>Operations</v>
      </c>
      <c r="AI876" t="str">
        <f>_xlfn.LET(_xlpm.pid,tbl_FinancialData[[#This Row],[Product ID]],_xlpm.n,PROPER(TRIM(tbl_FinancialData[[#This Row],[Product Name]])),IF(_xlpm.pid="P020","Document Scanner",IF(_xlpm.pid="P015","Network Router",SUBSTITUTE(SUBSTITUTE(_xlpm.n,"Crm","CRM"),"Ups","UPS"))))</f>
        <v>Headset</v>
      </c>
      <c r="AJ876" s="3" t="str">
        <f>UPPER(TRIM(tbl_FinancialData[[#This Row],[Cost Center]]))</f>
        <v>CC-1001</v>
      </c>
    </row>
    <row r="877" spans="1:36" x14ac:dyDescent="0.25">
      <c r="A877" s="3" t="s">
        <v>1081</v>
      </c>
      <c r="B877" s="2">
        <v>45893</v>
      </c>
      <c r="C877" t="s">
        <v>117</v>
      </c>
      <c r="D877" s="3" t="str">
        <f t="shared" si="55"/>
        <v>Q2</v>
      </c>
      <c r="E877" s="3" t="str">
        <f t="shared" si="56"/>
        <v>FY2026</v>
      </c>
      <c r="F877" s="8" t="s">
        <v>34</v>
      </c>
      <c r="G877" s="3" t="s">
        <v>35</v>
      </c>
      <c r="H877" t="s">
        <v>157</v>
      </c>
      <c r="I877" t="s">
        <v>194</v>
      </c>
      <c r="J877" s="3" t="s">
        <v>100</v>
      </c>
      <c r="K877" t="s">
        <v>39</v>
      </c>
      <c r="L877" s="3" t="s">
        <v>81</v>
      </c>
      <c r="M877" s="3" t="s">
        <v>221</v>
      </c>
      <c r="N877" t="s">
        <v>222</v>
      </c>
      <c r="O877" t="s">
        <v>104</v>
      </c>
      <c r="P877" t="s">
        <v>223</v>
      </c>
      <c r="Q877" s="3">
        <v>18238.560000000001</v>
      </c>
      <c r="R877" s="3">
        <v>18220.78</v>
      </c>
      <c r="S877" s="3">
        <v>9208.07</v>
      </c>
      <c r="T877" s="3">
        <v>2133.29</v>
      </c>
      <c r="U877" s="3">
        <v>1108.3499999999999</v>
      </c>
      <c r="V877" s="3">
        <v>1737.7</v>
      </c>
      <c r="W877" s="3">
        <v>618.11</v>
      </c>
      <c r="X877" s="3">
        <v>14805.53</v>
      </c>
      <c r="Y877" s="3">
        <v>9030.49</v>
      </c>
      <c r="Z877" s="3">
        <f t="shared" si="57"/>
        <v>3433.0300000000007</v>
      </c>
      <c r="AA877" s="37">
        <f t="shared" si="58"/>
        <v>0.1882292242370012</v>
      </c>
      <c r="AB877" s="3">
        <v>17.78</v>
      </c>
      <c r="AC877" s="3">
        <v>1459.08</v>
      </c>
      <c r="AD877" s="3">
        <v>838.97</v>
      </c>
      <c r="AE877" s="3">
        <v>17618.45</v>
      </c>
      <c r="AF877" t="str">
        <f>IF(tbl_FinancialData[[#This Row],[City]]="","Unknown",PROPER(TRIM(tbl_FinancialData[[#This Row],[City]])))</f>
        <v>Surat</v>
      </c>
      <c r="AG877" t="str">
        <f>_xlfn.LET(_xlpm.city,LOWER(TRIM(tbl_FinancialData[[#This Row],[City]])),_xlpm.st,PROPER(TRIM(tbl_FinancialData[[#This Row],[State]])),IF(_xlpm.city="pune","Maharashtra",IF(_xlpm.city="jamshedpur","Jharkhand",IF(_xlpm.city="bhilai","Chhattisgarh",IF(_xlpm.city="mumbai","Maharashtra",_xlpm.st)))))</f>
        <v>Gujarat</v>
      </c>
      <c r="AH877" t="str">
        <f>_xlfn.LET(_xlpm.d,PROPER(TRIM(tbl_FinancialData[[#This Row],[Department]])),IF(_xlpm.d="It","IT",_xlpm.d))</f>
        <v>Operations</v>
      </c>
      <c r="AI877" t="str">
        <f>_xlfn.LET(_xlpm.pid,tbl_FinancialData[[#This Row],[Product ID]],_xlpm.n,PROPER(TRIM(tbl_FinancialData[[#This Row],[Product Name]])),IF(_xlpm.pid="P020","Document Scanner",IF(_xlpm.pid="P015","Network Router",SUBSTITUTE(SUBSTITUTE(_xlpm.n,"Crm","CRM"),"Ups","UPS"))))</f>
        <v>Cloud Software</v>
      </c>
      <c r="AJ877" s="3" t="str">
        <f>UPPER(TRIM(tbl_FinancialData[[#This Row],[Cost Center]]))</f>
        <v>CC-1005</v>
      </c>
    </row>
    <row r="878" spans="1:36" x14ac:dyDescent="0.25">
      <c r="A878" s="3" t="s">
        <v>1082</v>
      </c>
      <c r="B878" s="2">
        <v>45824</v>
      </c>
      <c r="C878" t="s">
        <v>156</v>
      </c>
      <c r="D878" s="3" t="str">
        <f t="shared" si="55"/>
        <v>Q1</v>
      </c>
      <c r="E878" s="3" t="str">
        <f t="shared" si="56"/>
        <v>FY2026</v>
      </c>
      <c r="F878" s="8" t="s">
        <v>59</v>
      </c>
      <c r="G878" s="3" t="s">
        <v>35</v>
      </c>
      <c r="H878" t="s">
        <v>60</v>
      </c>
      <c r="I878" t="s">
        <v>185</v>
      </c>
      <c r="J878" s="3" t="s">
        <v>70</v>
      </c>
      <c r="K878" t="s">
        <v>50</v>
      </c>
      <c r="L878" s="3" t="s">
        <v>81</v>
      </c>
      <c r="M878" s="3" t="s">
        <v>88</v>
      </c>
      <c r="N878" t="s">
        <v>89</v>
      </c>
      <c r="O878" t="s">
        <v>43</v>
      </c>
      <c r="P878" t="s">
        <v>90</v>
      </c>
      <c r="Q878" s="3">
        <v>49304.86</v>
      </c>
      <c r="R878" s="3">
        <v>50753.5</v>
      </c>
      <c r="S878" s="3">
        <v>28385.83</v>
      </c>
      <c r="T878" s="3">
        <v>5425.07</v>
      </c>
      <c r="U878" s="3">
        <v>1467.13</v>
      </c>
      <c r="V878" s="3">
        <v>2325.13</v>
      </c>
      <c r="W878" s="3">
        <v>1618.14</v>
      </c>
      <c r="X878" s="3">
        <v>39221.300000000003</v>
      </c>
      <c r="Y878" s="3">
        <v>20919.03</v>
      </c>
      <c r="Z878" s="3">
        <f t="shared" si="57"/>
        <v>10083.559999999998</v>
      </c>
      <c r="AA878" s="37">
        <f t="shared" si="58"/>
        <v>0.20451452453165869</v>
      </c>
      <c r="AB878" s="3">
        <v>-1448.65</v>
      </c>
      <c r="AC878" s="3">
        <v>1479.15</v>
      </c>
      <c r="AD878" s="3">
        <v>8608.6299999999992</v>
      </c>
      <c r="AE878" s="3">
        <v>56434.34</v>
      </c>
      <c r="AF878" t="str">
        <f>IF(tbl_FinancialData[[#This Row],[City]]="","Unknown",PROPER(TRIM(tbl_FinancialData[[#This Row],[City]])))</f>
        <v>Kanpur</v>
      </c>
      <c r="AG878" t="str">
        <f>_xlfn.LET(_xlpm.city,LOWER(TRIM(tbl_FinancialData[[#This Row],[City]])),_xlpm.st,PROPER(TRIM(tbl_FinancialData[[#This Row],[State]])),IF(_xlpm.city="pune","Maharashtra",IF(_xlpm.city="jamshedpur","Jharkhand",IF(_xlpm.city="bhilai","Chhattisgarh",IF(_xlpm.city="mumbai","Maharashtra",_xlpm.st)))))</f>
        <v>Uttar Pradesh</v>
      </c>
      <c r="AH878" t="str">
        <f>_xlfn.LET(_xlpm.d,PROPER(TRIM(tbl_FinancialData[[#This Row],[Department]])),IF(_xlpm.d="It","IT",_xlpm.d))</f>
        <v>Sales</v>
      </c>
      <c r="AI878" t="str">
        <f>_xlfn.LET(_xlpm.pid,tbl_FinancialData[[#This Row],[Product ID]],_xlpm.n,PROPER(TRIM(tbl_FinancialData[[#This Row],[Product Name]])),IF(_xlpm.pid="P020","Document Scanner",IF(_xlpm.pid="P015","Network Router",SUBSTITUTE(SUBSTITUTE(_xlpm.n,"Crm","CRM"),"Ups","UPS"))))</f>
        <v>Printer</v>
      </c>
      <c r="AJ878" s="3" t="str">
        <f>UPPER(TRIM(tbl_FinancialData[[#This Row],[Cost Center]]))</f>
        <v>CC-1005</v>
      </c>
    </row>
    <row r="879" spans="1:36" x14ac:dyDescent="0.25">
      <c r="A879" s="3" t="s">
        <v>1083</v>
      </c>
      <c r="B879" s="2">
        <v>45874</v>
      </c>
      <c r="C879" t="s">
        <v>117</v>
      </c>
      <c r="D879" s="3" t="str">
        <f t="shared" si="55"/>
        <v>Q2</v>
      </c>
      <c r="E879" s="3" t="str">
        <f t="shared" si="56"/>
        <v>FY2026</v>
      </c>
      <c r="F879" s="8" t="s">
        <v>47</v>
      </c>
      <c r="G879" s="3" t="s">
        <v>35</v>
      </c>
      <c r="H879" t="s">
        <v>206</v>
      </c>
      <c r="I879" t="s">
        <v>344</v>
      </c>
      <c r="J879" s="3" t="s">
        <v>80</v>
      </c>
      <c r="K879" t="s">
        <v>71</v>
      </c>
      <c r="L879" s="3" t="s">
        <v>40</v>
      </c>
      <c r="M879" s="3" t="s">
        <v>189</v>
      </c>
      <c r="N879" t="s">
        <v>190</v>
      </c>
      <c r="O879" t="s">
        <v>104</v>
      </c>
      <c r="P879" t="s">
        <v>105</v>
      </c>
      <c r="Q879" s="3">
        <v>23440.6</v>
      </c>
      <c r="R879" s="3">
        <v>26060.27</v>
      </c>
      <c r="S879" s="3">
        <v>12744.97</v>
      </c>
      <c r="T879" s="3">
        <v>1563.47</v>
      </c>
      <c r="U879" s="3">
        <v>2024.74</v>
      </c>
      <c r="V879" s="3">
        <v>973.82</v>
      </c>
      <c r="W879" s="3">
        <v>1026.43</v>
      </c>
      <c r="X879" s="3">
        <v>18333.439999999999</v>
      </c>
      <c r="Y879" s="3">
        <v>10695.63</v>
      </c>
      <c r="Z879" s="3">
        <f t="shared" si="57"/>
        <v>5107.16</v>
      </c>
      <c r="AA879" s="37">
        <f t="shared" si="58"/>
        <v>0.21787667551171899</v>
      </c>
      <c r="AB879" s="3">
        <v>-2619.67</v>
      </c>
      <c r="AC879" s="3">
        <v>0</v>
      </c>
      <c r="AD879" s="3">
        <v>4219.3100000000004</v>
      </c>
      <c r="AE879" s="3">
        <v>27659.91</v>
      </c>
      <c r="AF879" t="str">
        <f>IF(tbl_FinancialData[[#This Row],[City]]="","Unknown",PROPER(TRIM(tbl_FinancialData[[#This Row],[City]])))</f>
        <v>Hyderabad</v>
      </c>
      <c r="AG879" t="str">
        <f>_xlfn.LET(_xlpm.city,LOWER(TRIM(tbl_FinancialData[[#This Row],[City]])),_xlpm.st,PROPER(TRIM(tbl_FinancialData[[#This Row],[State]])),IF(_xlpm.city="pune","Maharashtra",IF(_xlpm.city="jamshedpur","Jharkhand",IF(_xlpm.city="bhilai","Chhattisgarh",IF(_xlpm.city="mumbai","Maharashtra",_xlpm.st)))))</f>
        <v>Telangana</v>
      </c>
      <c r="AH879" t="str">
        <f>_xlfn.LET(_xlpm.d,PROPER(TRIM(tbl_FinancialData[[#This Row],[Department]])),IF(_xlpm.d="It","IT",_xlpm.d))</f>
        <v>Marketing</v>
      </c>
      <c r="AI879" t="str">
        <f>_xlfn.LET(_xlpm.pid,tbl_FinancialData[[#This Row],[Product ID]],_xlpm.n,PROPER(TRIM(tbl_FinancialData[[#This Row],[Product Name]])),IF(_xlpm.pid="P020","Document Scanner",IF(_xlpm.pid="P015","Network Router",SUBSTITUTE(SUBSTITUTE(_xlpm.n,"Crm","CRM"),"Ups","UPS"))))</f>
        <v>CRM Software</v>
      </c>
      <c r="AJ879" s="3" t="str">
        <f>UPPER(TRIM(tbl_FinancialData[[#This Row],[Cost Center]]))</f>
        <v>CC-1002</v>
      </c>
    </row>
    <row r="880" spans="1:36" x14ac:dyDescent="0.25">
      <c r="A880" s="3" t="s">
        <v>1084</v>
      </c>
      <c r="B880" s="2">
        <v>45816</v>
      </c>
      <c r="C880" t="s">
        <v>156</v>
      </c>
      <c r="D880" s="3" t="str">
        <f t="shared" si="55"/>
        <v>Q1</v>
      </c>
      <c r="E880" s="3" t="str">
        <f t="shared" si="56"/>
        <v>FY2026</v>
      </c>
      <c r="F880" s="8" t="s">
        <v>59</v>
      </c>
      <c r="G880" s="3" t="s">
        <v>35</v>
      </c>
      <c r="H880" t="s">
        <v>139</v>
      </c>
      <c r="I880" t="s">
        <v>152</v>
      </c>
      <c r="J880" s="3" t="s">
        <v>100</v>
      </c>
      <c r="K880" t="s">
        <v>39</v>
      </c>
      <c r="L880" s="3" t="s">
        <v>81</v>
      </c>
      <c r="M880" s="3" t="s">
        <v>52</v>
      </c>
      <c r="N880" t="s">
        <v>53</v>
      </c>
      <c r="O880" t="s">
        <v>54</v>
      </c>
      <c r="P880" t="s">
        <v>55</v>
      </c>
      <c r="Q880" s="3">
        <v>4805.16</v>
      </c>
      <c r="R880" s="3">
        <v>4321.34</v>
      </c>
      <c r="S880" s="3">
        <v>2421.41</v>
      </c>
      <c r="T880" s="3">
        <v>401.32</v>
      </c>
      <c r="U880" s="3">
        <v>374.62</v>
      </c>
      <c r="V880" s="3">
        <v>533.63</v>
      </c>
      <c r="W880" s="3">
        <v>89.22</v>
      </c>
      <c r="X880" s="3">
        <v>3820.21</v>
      </c>
      <c r="Y880" s="3">
        <v>2383.75</v>
      </c>
      <c r="Z880" s="3">
        <f t="shared" si="57"/>
        <v>984.94999999999982</v>
      </c>
      <c r="AA880" s="37">
        <f t="shared" si="58"/>
        <v>0.20497756578344942</v>
      </c>
      <c r="AB880" s="3">
        <v>483.82</v>
      </c>
      <c r="AC880" s="3">
        <v>240.26</v>
      </c>
      <c r="AD880" s="3">
        <v>821.68</v>
      </c>
      <c r="AE880" s="3">
        <v>5386.58</v>
      </c>
      <c r="AF880" t="str">
        <f>IF(tbl_FinancialData[[#This Row],[City]]="","Unknown",PROPER(TRIM(tbl_FinancialData[[#This Row],[City]])))</f>
        <v>Panipat</v>
      </c>
      <c r="AG880" t="str">
        <f>_xlfn.LET(_xlpm.city,LOWER(TRIM(tbl_FinancialData[[#This Row],[City]])),_xlpm.st,PROPER(TRIM(tbl_FinancialData[[#This Row],[State]])),IF(_xlpm.city="pune","Maharashtra",IF(_xlpm.city="jamshedpur","Jharkhand",IF(_xlpm.city="bhilai","Chhattisgarh",IF(_xlpm.city="mumbai","Maharashtra",_xlpm.st)))))</f>
        <v>Haryana</v>
      </c>
      <c r="AH880" t="str">
        <f>_xlfn.LET(_xlpm.d,PROPER(TRIM(tbl_FinancialData[[#This Row],[Department]])),IF(_xlpm.d="It","IT",_xlpm.d))</f>
        <v>Operations</v>
      </c>
      <c r="AI880" t="str">
        <f>_xlfn.LET(_xlpm.pid,tbl_FinancialData[[#This Row],[Product ID]],_xlpm.n,PROPER(TRIM(tbl_FinancialData[[#This Row],[Product Name]])),IF(_xlpm.pid="P020","Document Scanner",IF(_xlpm.pid="P015","Network Router",SUBSTITUTE(SUBSTITUTE(_xlpm.n,"Crm","CRM"),"Ups","UPS"))))</f>
        <v>Mouse</v>
      </c>
      <c r="AJ880" s="3" t="str">
        <f>UPPER(TRIM(tbl_FinancialData[[#This Row],[Cost Center]]))</f>
        <v>CC-1005</v>
      </c>
    </row>
    <row r="881" spans="1:36" x14ac:dyDescent="0.25">
      <c r="A881" s="3" t="s">
        <v>1085</v>
      </c>
      <c r="B881" s="2">
        <v>46072</v>
      </c>
      <c r="C881" t="s">
        <v>57</v>
      </c>
      <c r="D881" s="3" t="str">
        <f t="shared" si="55"/>
        <v>Q4</v>
      </c>
      <c r="E881" s="3" t="str">
        <f t="shared" si="56"/>
        <v>FY2026</v>
      </c>
      <c r="F881" s="8" t="s">
        <v>67</v>
      </c>
      <c r="G881" s="3" t="s">
        <v>35</v>
      </c>
      <c r="H881" t="s">
        <v>68</v>
      </c>
      <c r="I881" t="s">
        <v>204</v>
      </c>
      <c r="J881" s="3" t="s">
        <v>80</v>
      </c>
      <c r="K881" t="s">
        <v>101</v>
      </c>
      <c r="L881" s="3" t="s">
        <v>40</v>
      </c>
      <c r="M881" s="3" t="s">
        <v>62</v>
      </c>
      <c r="N881" t="s">
        <v>63</v>
      </c>
      <c r="O881" t="s">
        <v>54</v>
      </c>
      <c r="P881" t="s">
        <v>55</v>
      </c>
      <c r="Q881" s="3">
        <v>2552.92</v>
      </c>
      <c r="R881" s="3">
        <v>2306.21</v>
      </c>
      <c r="S881" s="3">
        <v>1342.85</v>
      </c>
      <c r="T881" s="3">
        <v>313.76</v>
      </c>
      <c r="U881" s="3">
        <v>67.03</v>
      </c>
      <c r="V881" s="3">
        <v>235.57</v>
      </c>
      <c r="W881" s="3">
        <v>59.88</v>
      </c>
      <c r="X881" s="3">
        <v>2019.08</v>
      </c>
      <c r="Y881" s="3">
        <v>1210.06</v>
      </c>
      <c r="Z881" s="3">
        <f t="shared" si="57"/>
        <v>533.84000000000015</v>
      </c>
      <c r="AA881" s="37">
        <f t="shared" si="58"/>
        <v>0.20910956865079991</v>
      </c>
      <c r="AB881" s="3">
        <v>246.71</v>
      </c>
      <c r="AC881" s="3">
        <v>127.65</v>
      </c>
      <c r="AD881" s="3">
        <v>291.02999999999997</v>
      </c>
      <c r="AE881" s="3">
        <v>2716.3</v>
      </c>
      <c r="AF881" t="str">
        <f>IF(tbl_FinancialData[[#This Row],[City]]="","Unknown",PROPER(TRIM(tbl_FinancialData[[#This Row],[City]])))</f>
        <v>Cuttack</v>
      </c>
      <c r="AG881" t="str">
        <f>_xlfn.LET(_xlpm.city,LOWER(TRIM(tbl_FinancialData[[#This Row],[City]])),_xlpm.st,PROPER(TRIM(tbl_FinancialData[[#This Row],[State]])),IF(_xlpm.city="pune","Maharashtra",IF(_xlpm.city="jamshedpur","Jharkhand",IF(_xlpm.city="bhilai","Chhattisgarh",IF(_xlpm.city="mumbai","Maharashtra",_xlpm.st)))))</f>
        <v>Odisha</v>
      </c>
      <c r="AH881" t="str">
        <f>_xlfn.LET(_xlpm.d,PROPER(TRIM(tbl_FinancialData[[#This Row],[Department]])),IF(_xlpm.d="It","IT",_xlpm.d))</f>
        <v>Finance</v>
      </c>
      <c r="AI881" t="str">
        <f>_xlfn.LET(_xlpm.pid,tbl_FinancialData[[#This Row],[Product ID]],_xlpm.n,PROPER(TRIM(tbl_FinancialData[[#This Row],[Product Name]])),IF(_xlpm.pid="P020","Document Scanner",IF(_xlpm.pid="P015","Network Router",SUBSTITUTE(SUBSTITUTE(_xlpm.n,"Crm","CRM"),"Ups","UPS"))))</f>
        <v>Keyboard</v>
      </c>
      <c r="AJ881" s="3" t="str">
        <f>UPPER(TRIM(tbl_FinancialData[[#This Row],[Cost Center]]))</f>
        <v>CC-1002</v>
      </c>
    </row>
    <row r="882" spans="1:36" x14ac:dyDescent="0.25">
      <c r="A882" s="3" t="s">
        <v>1086</v>
      </c>
      <c r="B882" s="2">
        <v>46002</v>
      </c>
      <c r="C882" t="s">
        <v>107</v>
      </c>
      <c r="D882" s="3" t="str">
        <f t="shared" si="55"/>
        <v>Q3</v>
      </c>
      <c r="E882" s="3" t="str">
        <f t="shared" si="56"/>
        <v>FY2026</v>
      </c>
      <c r="F882" s="8" t="s">
        <v>59</v>
      </c>
      <c r="G882" s="3" t="s">
        <v>35</v>
      </c>
      <c r="H882" t="s">
        <v>230</v>
      </c>
      <c r="I882" t="s">
        <v>363</v>
      </c>
      <c r="J882" s="3" t="s">
        <v>80</v>
      </c>
      <c r="K882" t="s">
        <v>71</v>
      </c>
      <c r="L882" s="3" t="s">
        <v>94</v>
      </c>
      <c r="M882" s="3" t="s">
        <v>120</v>
      </c>
      <c r="N882" t="s">
        <v>121</v>
      </c>
      <c r="O882" t="s">
        <v>43</v>
      </c>
      <c r="P882" t="s">
        <v>122</v>
      </c>
      <c r="Q882" s="3">
        <v>48189.3</v>
      </c>
      <c r="R882" s="3">
        <v>55292.55</v>
      </c>
      <c r="S882" s="3">
        <v>28329.77</v>
      </c>
      <c r="T882" s="3">
        <v>4529.04</v>
      </c>
      <c r="U882" s="3">
        <v>4013.1</v>
      </c>
      <c r="V882" s="3">
        <v>3083.78</v>
      </c>
      <c r="W882" s="3">
        <v>788.57</v>
      </c>
      <c r="X882" s="3">
        <v>40744.26</v>
      </c>
      <c r="Y882" s="3">
        <v>19859.53</v>
      </c>
      <c r="Z882" s="3">
        <f t="shared" si="57"/>
        <v>7445.0400000000009</v>
      </c>
      <c r="AA882" s="37">
        <f t="shared" si="58"/>
        <v>0.15449570755333653</v>
      </c>
      <c r="AB882" s="3">
        <v>-7103.25</v>
      </c>
      <c r="AC882" s="3">
        <v>1445.68</v>
      </c>
      <c r="AD882" s="3">
        <v>2337.1799999999998</v>
      </c>
      <c r="AE882" s="3">
        <v>49080.81</v>
      </c>
      <c r="AF882" t="str">
        <f>IF(tbl_FinancialData[[#This Row],[City]]="","Unknown",PROPER(TRIM(tbl_FinancialData[[#This Row],[City]])))</f>
        <v>Jalandhar</v>
      </c>
      <c r="AG882" t="str">
        <f>_xlfn.LET(_xlpm.city,LOWER(TRIM(tbl_FinancialData[[#This Row],[City]])),_xlpm.st,PROPER(TRIM(tbl_FinancialData[[#This Row],[State]])),IF(_xlpm.city="pune","Maharashtra",IF(_xlpm.city="jamshedpur","Jharkhand",IF(_xlpm.city="bhilai","Chhattisgarh",IF(_xlpm.city="mumbai","Maharashtra",_xlpm.st)))))</f>
        <v>Punjab</v>
      </c>
      <c r="AH882" t="str">
        <f>_xlfn.LET(_xlpm.d,PROPER(TRIM(tbl_FinancialData[[#This Row],[Department]])),IF(_xlpm.d="It","IT",_xlpm.d))</f>
        <v>Marketing</v>
      </c>
      <c r="AI882" t="str">
        <f>_xlfn.LET(_xlpm.pid,tbl_FinancialData[[#This Row],[Product ID]],_xlpm.n,PROPER(TRIM(tbl_FinancialData[[#This Row],[Product Name]])),IF(_xlpm.pid="P020","Document Scanner",IF(_xlpm.pid="P015","Network Router",SUBSTITUTE(SUBSTITUTE(_xlpm.n,"Crm","CRM"),"Ups","UPS"))))</f>
        <v>Projector</v>
      </c>
      <c r="AJ882" s="3" t="str">
        <f>UPPER(TRIM(tbl_FinancialData[[#This Row],[Cost Center]]))</f>
        <v>CC-1001</v>
      </c>
    </row>
    <row r="883" spans="1:36" x14ac:dyDescent="0.25">
      <c r="A883" s="3" t="s">
        <v>1087</v>
      </c>
      <c r="B883" s="2">
        <v>46099</v>
      </c>
      <c r="C883" t="s">
        <v>125</v>
      </c>
      <c r="D883" s="3" t="str">
        <f t="shared" si="55"/>
        <v>Q4</v>
      </c>
      <c r="E883" s="3" t="str">
        <f t="shared" si="56"/>
        <v>FY2026</v>
      </c>
      <c r="F883" s="8" t="s">
        <v>67</v>
      </c>
      <c r="G883" s="3" t="s">
        <v>35</v>
      </c>
      <c r="H883" t="s">
        <v>118</v>
      </c>
      <c r="I883" t="s">
        <v>227</v>
      </c>
      <c r="J883" s="3" t="s">
        <v>100</v>
      </c>
      <c r="K883" t="s">
        <v>39</v>
      </c>
      <c r="L883" s="3" t="s">
        <v>40</v>
      </c>
      <c r="M883" s="3" t="s">
        <v>130</v>
      </c>
      <c r="N883" t="s">
        <v>131</v>
      </c>
      <c r="O883" t="s">
        <v>43</v>
      </c>
      <c r="P883" t="s">
        <v>132</v>
      </c>
      <c r="Q883" s="3">
        <v>52770.61</v>
      </c>
      <c r="R883" s="3">
        <v>48349.57</v>
      </c>
      <c r="S883" s="3">
        <v>29458.400000000001</v>
      </c>
      <c r="T883" s="3">
        <v>5015.24</v>
      </c>
      <c r="U883" s="3">
        <v>1961.3</v>
      </c>
      <c r="V883" s="3">
        <v>5490.78</v>
      </c>
      <c r="W883" s="3">
        <v>2323.25</v>
      </c>
      <c r="X883" s="3">
        <v>44248.97</v>
      </c>
      <c r="Y883" s="3">
        <v>23312.21</v>
      </c>
      <c r="Z883" s="3">
        <f t="shared" si="57"/>
        <v>8521.64</v>
      </c>
      <c r="AA883" s="37">
        <f t="shared" si="58"/>
        <v>0.16148458393791543</v>
      </c>
      <c r="AB883" s="3">
        <v>4421.04</v>
      </c>
      <c r="AC883" s="3">
        <v>1055.4100000000001</v>
      </c>
      <c r="AD883" s="3">
        <v>2585.7600000000002</v>
      </c>
      <c r="AE883" s="3">
        <v>54300.959999999999</v>
      </c>
      <c r="AF883" t="str">
        <f>IF(tbl_FinancialData[[#This Row],[City]]="","Unknown",PROPER(TRIM(tbl_FinancialData[[#This Row],[City]])))</f>
        <v>Dhanbad</v>
      </c>
      <c r="AG883" t="str">
        <f>_xlfn.LET(_xlpm.city,LOWER(TRIM(tbl_FinancialData[[#This Row],[City]])),_xlpm.st,PROPER(TRIM(tbl_FinancialData[[#This Row],[State]])),IF(_xlpm.city="pune","Maharashtra",IF(_xlpm.city="jamshedpur","Jharkhand",IF(_xlpm.city="bhilai","Chhattisgarh",IF(_xlpm.city="mumbai","Maharashtra",_xlpm.st)))))</f>
        <v>Jharkhand</v>
      </c>
      <c r="AH883" t="str">
        <f>_xlfn.LET(_xlpm.d,PROPER(TRIM(tbl_FinancialData[[#This Row],[Department]])),IF(_xlpm.d="It","IT",_xlpm.d))</f>
        <v>Operations</v>
      </c>
      <c r="AI883" t="str">
        <f>_xlfn.LET(_xlpm.pid,tbl_FinancialData[[#This Row],[Product ID]],_xlpm.n,PROPER(TRIM(tbl_FinancialData[[#This Row],[Product Name]])),IF(_xlpm.pid="P020","Document Scanner",IF(_xlpm.pid="P015","Network Router",SUBSTITUTE(SUBSTITUTE(_xlpm.n,"Crm","CRM"),"Ups","UPS"))))</f>
        <v>UPS System</v>
      </c>
      <c r="AJ883" s="3" t="str">
        <f>UPPER(TRIM(tbl_FinancialData[[#This Row],[Cost Center]]))</f>
        <v>CC-1002</v>
      </c>
    </row>
    <row r="884" spans="1:36" x14ac:dyDescent="0.25">
      <c r="A884" s="3" t="s">
        <v>1088</v>
      </c>
      <c r="B884" s="2">
        <v>45977</v>
      </c>
      <c r="C884" t="s">
        <v>147</v>
      </c>
      <c r="D884" s="3" t="str">
        <f t="shared" si="55"/>
        <v>Q3</v>
      </c>
      <c r="E884" s="3" t="str">
        <f t="shared" si="56"/>
        <v>FY2026</v>
      </c>
      <c r="F884" s="8" t="s">
        <v>34</v>
      </c>
      <c r="G884" s="3" t="s">
        <v>35</v>
      </c>
      <c r="H884" t="s">
        <v>134</v>
      </c>
      <c r="I884" t="s">
        <v>176</v>
      </c>
      <c r="J884" s="3" t="s">
        <v>80</v>
      </c>
      <c r="K884" t="s">
        <v>50</v>
      </c>
      <c r="L884" s="3" t="s">
        <v>81</v>
      </c>
      <c r="M884" s="3" t="s">
        <v>130</v>
      </c>
      <c r="N884" t="s">
        <v>131</v>
      </c>
      <c r="O884" t="s">
        <v>43</v>
      </c>
      <c r="P884" t="s">
        <v>132</v>
      </c>
      <c r="Q884" s="3">
        <v>50253.23</v>
      </c>
      <c r="R884" s="3">
        <v>54694.73</v>
      </c>
      <c r="S884" s="3">
        <v>32795.32</v>
      </c>
      <c r="T884" s="3">
        <v>4774.87</v>
      </c>
      <c r="U884" s="3">
        <v>4439.8500000000004</v>
      </c>
      <c r="V884" s="3">
        <v>4779.55</v>
      </c>
      <c r="W884" s="3">
        <v>2076.77</v>
      </c>
      <c r="X884" s="3">
        <v>48866.37</v>
      </c>
      <c r="Y884" s="3">
        <v>17457.91</v>
      </c>
      <c r="Z884" s="3">
        <f t="shared" si="57"/>
        <v>1386.8600000000006</v>
      </c>
      <c r="AA884" s="37">
        <f t="shared" si="58"/>
        <v>2.7597430055739711E-2</v>
      </c>
      <c r="AB884" s="3">
        <v>-4441.5</v>
      </c>
      <c r="AC884" s="3">
        <v>2512.66</v>
      </c>
      <c r="AD884" s="3">
        <v>8593.2999999999993</v>
      </c>
      <c r="AE884" s="3">
        <v>56333.87</v>
      </c>
      <c r="AF884" t="str">
        <f>IF(tbl_FinancialData[[#This Row],[City]]="","Unknown",PROPER(TRIM(tbl_FinancialData[[#This Row],[City]])))</f>
        <v>Jaipur</v>
      </c>
      <c r="AG884" t="str">
        <f>_xlfn.LET(_xlpm.city,LOWER(TRIM(tbl_FinancialData[[#This Row],[City]])),_xlpm.st,PROPER(TRIM(tbl_FinancialData[[#This Row],[State]])),IF(_xlpm.city="pune","Maharashtra",IF(_xlpm.city="jamshedpur","Jharkhand",IF(_xlpm.city="bhilai","Chhattisgarh",IF(_xlpm.city="mumbai","Maharashtra",_xlpm.st)))))</f>
        <v>Rajasthan</v>
      </c>
      <c r="AH884" t="str">
        <f>_xlfn.LET(_xlpm.d,PROPER(TRIM(tbl_FinancialData[[#This Row],[Department]])),IF(_xlpm.d="It","IT",_xlpm.d))</f>
        <v>Sales</v>
      </c>
      <c r="AI884" t="str">
        <f>_xlfn.LET(_xlpm.pid,tbl_FinancialData[[#This Row],[Product ID]],_xlpm.n,PROPER(TRIM(tbl_FinancialData[[#This Row],[Product Name]])),IF(_xlpm.pid="P020","Document Scanner",IF(_xlpm.pid="P015","Network Router",SUBSTITUTE(SUBSTITUTE(_xlpm.n,"Crm","CRM"),"Ups","UPS"))))</f>
        <v>UPS System</v>
      </c>
      <c r="AJ884" s="3" t="str">
        <f>UPPER(TRIM(tbl_FinancialData[[#This Row],[Cost Center]]))</f>
        <v>CC-1005</v>
      </c>
    </row>
    <row r="885" spans="1:36" x14ac:dyDescent="0.25">
      <c r="A885" s="3" t="s">
        <v>1089</v>
      </c>
      <c r="B885" s="2">
        <v>45943</v>
      </c>
      <c r="C885" t="s">
        <v>92</v>
      </c>
      <c r="D885" s="3" t="str">
        <f t="shared" si="55"/>
        <v>Q3</v>
      </c>
      <c r="E885" s="3" t="str">
        <f t="shared" si="56"/>
        <v>FY2026</v>
      </c>
      <c r="F885" s="8" t="s">
        <v>59</v>
      </c>
      <c r="G885" s="3" t="s">
        <v>35</v>
      </c>
      <c r="H885" t="s">
        <v>230</v>
      </c>
      <c r="I885" t="s">
        <v>363</v>
      </c>
      <c r="J885" s="3" t="s">
        <v>38</v>
      </c>
      <c r="K885" t="s">
        <v>50</v>
      </c>
      <c r="L885" s="3" t="s">
        <v>81</v>
      </c>
      <c r="M885" s="3" t="s">
        <v>120</v>
      </c>
      <c r="N885" t="s">
        <v>121</v>
      </c>
      <c r="O885" t="s">
        <v>43</v>
      </c>
      <c r="P885" t="s">
        <v>122</v>
      </c>
      <c r="Q885" s="3">
        <v>36857.9</v>
      </c>
      <c r="R885" s="3">
        <v>33656.81</v>
      </c>
      <c r="S885" s="3">
        <v>25028.99</v>
      </c>
      <c r="T885" s="3">
        <v>3620.12</v>
      </c>
      <c r="U885" s="3">
        <v>1369.24</v>
      </c>
      <c r="V885" s="3">
        <v>3072.58</v>
      </c>
      <c r="W885" s="3">
        <v>733.01</v>
      </c>
      <c r="X885" s="3">
        <v>33823.94</v>
      </c>
      <c r="Y885" s="3">
        <v>11828.91</v>
      </c>
      <c r="Z885" s="3">
        <f t="shared" si="57"/>
        <v>3033.9599999999991</v>
      </c>
      <c r="AA885" s="37">
        <f t="shared" si="58"/>
        <v>8.231505321789899E-2</v>
      </c>
      <c r="AB885" s="3">
        <v>3201.09</v>
      </c>
      <c r="AC885" s="3">
        <v>737.16</v>
      </c>
      <c r="AD885" s="3">
        <v>4334.49</v>
      </c>
      <c r="AE885" s="3">
        <v>40455.230000000003</v>
      </c>
      <c r="AF885" t="str">
        <f>IF(tbl_FinancialData[[#This Row],[City]]="","Unknown",PROPER(TRIM(tbl_FinancialData[[#This Row],[City]])))</f>
        <v>Jalandhar</v>
      </c>
      <c r="AG885" t="str">
        <f>_xlfn.LET(_xlpm.city,LOWER(TRIM(tbl_FinancialData[[#This Row],[City]])),_xlpm.st,PROPER(TRIM(tbl_FinancialData[[#This Row],[State]])),IF(_xlpm.city="pune","Maharashtra",IF(_xlpm.city="jamshedpur","Jharkhand",IF(_xlpm.city="bhilai","Chhattisgarh",IF(_xlpm.city="mumbai","Maharashtra",_xlpm.st)))))</f>
        <v>Punjab</v>
      </c>
      <c r="AH885" t="str">
        <f>_xlfn.LET(_xlpm.d,PROPER(TRIM(tbl_FinancialData[[#This Row],[Department]])),IF(_xlpm.d="It","IT",_xlpm.d))</f>
        <v>Sales</v>
      </c>
      <c r="AI885" t="str">
        <f>_xlfn.LET(_xlpm.pid,tbl_FinancialData[[#This Row],[Product ID]],_xlpm.n,PROPER(TRIM(tbl_FinancialData[[#This Row],[Product Name]])),IF(_xlpm.pid="P020","Document Scanner",IF(_xlpm.pid="P015","Network Router",SUBSTITUTE(SUBSTITUTE(_xlpm.n,"Crm","CRM"),"Ups","UPS"))))</f>
        <v>Projector</v>
      </c>
      <c r="AJ885" s="3" t="str">
        <f>UPPER(TRIM(tbl_FinancialData[[#This Row],[Cost Center]]))</f>
        <v>CC-1005</v>
      </c>
    </row>
    <row r="886" spans="1:36" x14ac:dyDescent="0.25">
      <c r="A886" s="3" t="s">
        <v>1090</v>
      </c>
      <c r="B886" s="2">
        <v>45936</v>
      </c>
      <c r="C886" t="s">
        <v>92</v>
      </c>
      <c r="D886" s="3" t="str">
        <f t="shared" si="55"/>
        <v>Q3</v>
      </c>
      <c r="E886" s="3" t="str">
        <f t="shared" si="56"/>
        <v>FY2026</v>
      </c>
      <c r="F886" s="8" t="s">
        <v>67</v>
      </c>
      <c r="G886" s="3" t="s">
        <v>35</v>
      </c>
      <c r="H886" t="s">
        <v>68</v>
      </c>
      <c r="I886" t="s">
        <v>204</v>
      </c>
      <c r="J886" s="3" t="s">
        <v>80</v>
      </c>
      <c r="K886" t="s">
        <v>39</v>
      </c>
      <c r="L886" s="3" t="s">
        <v>51</v>
      </c>
      <c r="M886" s="3" t="s">
        <v>110</v>
      </c>
      <c r="N886" t="s">
        <v>111</v>
      </c>
      <c r="O886" t="s">
        <v>112</v>
      </c>
      <c r="P886" t="s">
        <v>113</v>
      </c>
      <c r="Q886" s="3">
        <v>16053.35</v>
      </c>
      <c r="R886" s="3">
        <v>18843.72</v>
      </c>
      <c r="S886" s="3">
        <v>8698.73</v>
      </c>
      <c r="T886" s="3">
        <v>1391.94</v>
      </c>
      <c r="U886" s="3">
        <v>627</v>
      </c>
      <c r="V886" s="3">
        <v>1276.46</v>
      </c>
      <c r="W886" s="3">
        <v>585.30999999999995</v>
      </c>
      <c r="X886" s="3">
        <v>12579.45</v>
      </c>
      <c r="Y886" s="3">
        <v>7354.62</v>
      </c>
      <c r="Z886" s="3">
        <f t="shared" si="57"/>
        <v>3473.8999999999996</v>
      </c>
      <c r="AA886" s="37">
        <f t="shared" si="58"/>
        <v>0.2163972005843017</v>
      </c>
      <c r="AB886" s="3">
        <v>-2790.37</v>
      </c>
      <c r="AC886" s="3">
        <v>481.6</v>
      </c>
      <c r="AD886" s="3">
        <v>1868.61</v>
      </c>
      <c r="AE886" s="3">
        <v>17440.36</v>
      </c>
      <c r="AF886" t="str">
        <f>IF(tbl_FinancialData[[#This Row],[City]]="","Unknown",PROPER(TRIM(tbl_FinancialData[[#This Row],[City]])))</f>
        <v>Cuttack</v>
      </c>
      <c r="AG886" t="str">
        <f>_xlfn.LET(_xlpm.city,LOWER(TRIM(tbl_FinancialData[[#This Row],[City]])),_xlpm.st,PROPER(TRIM(tbl_FinancialData[[#This Row],[State]])),IF(_xlpm.city="pune","Maharashtra",IF(_xlpm.city="jamshedpur","Jharkhand",IF(_xlpm.city="bhilai","Chhattisgarh",IF(_xlpm.city="mumbai","Maharashtra",_xlpm.st)))))</f>
        <v>Odisha</v>
      </c>
      <c r="AH886" t="str">
        <f>_xlfn.LET(_xlpm.d,PROPER(TRIM(tbl_FinancialData[[#This Row],[Department]])),IF(_xlpm.d="It","IT",_xlpm.d))</f>
        <v>Operations</v>
      </c>
      <c r="AI886" t="str">
        <f>_xlfn.LET(_xlpm.pid,tbl_FinancialData[[#This Row],[Product ID]],_xlpm.n,PROPER(TRIM(tbl_FinancialData[[#This Row],[Product Name]])),IF(_xlpm.pid="P020","Document Scanner",IF(_xlpm.pid="P015","Network Router",SUBSTITUTE(SUBSTITUTE(_xlpm.n,"Crm","CRM"),"Ups","UPS"))))</f>
        <v>Office Desk</v>
      </c>
      <c r="AJ886" s="3" t="str">
        <f>UPPER(TRIM(tbl_FinancialData[[#This Row],[Cost Center]]))</f>
        <v>CC-1003</v>
      </c>
    </row>
    <row r="887" spans="1:36" x14ac:dyDescent="0.25">
      <c r="A887" s="3" t="s">
        <v>1091</v>
      </c>
      <c r="B887" s="2">
        <v>46075</v>
      </c>
      <c r="C887" t="s">
        <v>57</v>
      </c>
      <c r="D887" s="3" t="str">
        <f t="shared" si="55"/>
        <v>Q4</v>
      </c>
      <c r="E887" s="3" t="str">
        <f t="shared" si="56"/>
        <v>FY2026</v>
      </c>
      <c r="F887" s="8" t="s">
        <v>34</v>
      </c>
      <c r="G887" s="3" t="s">
        <v>35</v>
      </c>
      <c r="H887" t="s">
        <v>98</v>
      </c>
      <c r="I887" t="s">
        <v>304</v>
      </c>
      <c r="J887" s="3" t="s">
        <v>100</v>
      </c>
      <c r="K887" t="s">
        <v>50</v>
      </c>
      <c r="L887" s="3" t="s">
        <v>72</v>
      </c>
      <c r="M887" s="3" t="s">
        <v>88</v>
      </c>
      <c r="N887" t="s">
        <v>89</v>
      </c>
      <c r="O887" t="s">
        <v>43</v>
      </c>
      <c r="P887" t="s">
        <v>90</v>
      </c>
      <c r="Q887" s="3">
        <v>40382.06</v>
      </c>
      <c r="R887" s="3">
        <v>42046.1</v>
      </c>
      <c r="S887" s="3">
        <v>23931.17</v>
      </c>
      <c r="T887" s="3">
        <v>3670.97</v>
      </c>
      <c r="U887" s="3">
        <v>2679.86</v>
      </c>
      <c r="V887" s="3">
        <v>3747.46</v>
      </c>
      <c r="W887" s="3">
        <v>812.23</v>
      </c>
      <c r="X887" s="3">
        <v>34841.69</v>
      </c>
      <c r="Y887" s="3">
        <v>16450.89</v>
      </c>
      <c r="Z887" s="3">
        <f t="shared" si="57"/>
        <v>5540.3699999999953</v>
      </c>
      <c r="AA887" s="37">
        <f t="shared" si="58"/>
        <v>0.13719879570284418</v>
      </c>
      <c r="AB887" s="3">
        <v>-1664.04</v>
      </c>
      <c r="AC887" s="3">
        <v>0</v>
      </c>
      <c r="AD887" s="3">
        <v>2019.1</v>
      </c>
      <c r="AE887" s="3">
        <v>42401.16</v>
      </c>
      <c r="AF887" t="str">
        <f>IF(tbl_FinancialData[[#This Row],[City]]="","Unknown",PROPER(TRIM(tbl_FinancialData[[#This Row],[City]])))</f>
        <v>Pune</v>
      </c>
      <c r="AG887" t="str">
        <f>_xlfn.LET(_xlpm.city,LOWER(TRIM(tbl_FinancialData[[#This Row],[City]])),_xlpm.st,PROPER(TRIM(tbl_FinancialData[[#This Row],[State]])),IF(_xlpm.city="pune","Maharashtra",IF(_xlpm.city="jamshedpur","Jharkhand",IF(_xlpm.city="bhilai","Chhattisgarh",IF(_xlpm.city="mumbai","Maharashtra",_xlpm.st)))))</f>
        <v>Maharashtra</v>
      </c>
      <c r="AH887" t="str">
        <f>_xlfn.LET(_xlpm.d,PROPER(TRIM(tbl_FinancialData[[#This Row],[Department]])),IF(_xlpm.d="It","IT",_xlpm.d))</f>
        <v>Sales</v>
      </c>
      <c r="AI887" t="str">
        <f>_xlfn.LET(_xlpm.pid,tbl_FinancialData[[#This Row],[Product ID]],_xlpm.n,PROPER(TRIM(tbl_FinancialData[[#This Row],[Product Name]])),IF(_xlpm.pid="P020","Document Scanner",IF(_xlpm.pid="P015","Network Router",SUBSTITUTE(SUBSTITUTE(_xlpm.n,"Crm","CRM"),"Ups","UPS"))))</f>
        <v>Printer</v>
      </c>
      <c r="AJ887" s="3" t="str">
        <f>UPPER(TRIM(tbl_FinancialData[[#This Row],[Cost Center]]))</f>
        <v>CC-1004</v>
      </c>
    </row>
    <row r="888" spans="1:36" x14ac:dyDescent="0.25">
      <c r="A888" s="3" t="s">
        <v>1092</v>
      </c>
      <c r="B888" s="2">
        <v>46034</v>
      </c>
      <c r="C888" t="s">
        <v>77</v>
      </c>
      <c r="D888" s="3" t="str">
        <f t="shared" si="55"/>
        <v>Q4</v>
      </c>
      <c r="E888" s="3" t="str">
        <f t="shared" si="56"/>
        <v>FY2026</v>
      </c>
      <c r="F888" s="8" t="s">
        <v>59</v>
      </c>
      <c r="G888" s="3" t="s">
        <v>35</v>
      </c>
      <c r="H888" t="s">
        <v>139</v>
      </c>
      <c r="I888" t="s">
        <v>140</v>
      </c>
      <c r="J888" s="3" t="s">
        <v>80</v>
      </c>
      <c r="K888" t="s">
        <v>71</v>
      </c>
      <c r="L888" s="3" t="s">
        <v>40</v>
      </c>
      <c r="M888" s="3" t="s">
        <v>62</v>
      </c>
      <c r="N888" t="s">
        <v>63</v>
      </c>
      <c r="O888" t="s">
        <v>54</v>
      </c>
      <c r="P888" t="s">
        <v>55</v>
      </c>
      <c r="Q888" s="3">
        <v>8989.15</v>
      </c>
      <c r="R888" s="3">
        <v>10231.620000000001</v>
      </c>
      <c r="S888" s="3">
        <v>4348.05</v>
      </c>
      <c r="T888" s="3">
        <v>526.57000000000005</v>
      </c>
      <c r="U888" s="3">
        <v>278.82</v>
      </c>
      <c r="V888" s="3">
        <v>872.02</v>
      </c>
      <c r="W888" s="3">
        <v>111.78</v>
      </c>
      <c r="X888" s="3">
        <v>6137.25</v>
      </c>
      <c r="Y888" s="3">
        <v>4641.1000000000004</v>
      </c>
      <c r="Z888" s="3">
        <f t="shared" si="57"/>
        <v>2851.8999999999996</v>
      </c>
      <c r="AA888" s="37">
        <f t="shared" si="58"/>
        <v>0.31726025263790231</v>
      </c>
      <c r="AB888" s="3">
        <v>-1242.47</v>
      </c>
      <c r="AC888" s="3">
        <v>269.67</v>
      </c>
      <c r="AD888" s="3">
        <v>1046.3399999999999</v>
      </c>
      <c r="AE888" s="3">
        <v>9765.82</v>
      </c>
      <c r="AF888" t="str">
        <f>IF(tbl_FinancialData[[#This Row],[City]]="","Unknown",PROPER(TRIM(tbl_FinancialData[[#This Row],[City]])))</f>
        <v>Faridabad</v>
      </c>
      <c r="AG888" t="str">
        <f>_xlfn.LET(_xlpm.city,LOWER(TRIM(tbl_FinancialData[[#This Row],[City]])),_xlpm.st,PROPER(TRIM(tbl_FinancialData[[#This Row],[State]])),IF(_xlpm.city="pune","Maharashtra",IF(_xlpm.city="jamshedpur","Jharkhand",IF(_xlpm.city="bhilai","Chhattisgarh",IF(_xlpm.city="mumbai","Maharashtra",_xlpm.st)))))</f>
        <v>Haryana</v>
      </c>
      <c r="AH888" t="str">
        <f>_xlfn.LET(_xlpm.d,PROPER(TRIM(tbl_FinancialData[[#This Row],[Department]])),IF(_xlpm.d="It","IT",_xlpm.d))</f>
        <v>Marketing</v>
      </c>
      <c r="AI888" t="str">
        <f>_xlfn.LET(_xlpm.pid,tbl_FinancialData[[#This Row],[Product ID]],_xlpm.n,PROPER(TRIM(tbl_FinancialData[[#This Row],[Product Name]])),IF(_xlpm.pid="P020","Document Scanner",IF(_xlpm.pid="P015","Network Router",SUBSTITUTE(SUBSTITUTE(_xlpm.n,"Crm","CRM"),"Ups","UPS"))))</f>
        <v>Keyboard</v>
      </c>
      <c r="AJ888" s="3" t="str">
        <f>UPPER(TRIM(tbl_FinancialData[[#This Row],[Cost Center]]))</f>
        <v>CC-1002</v>
      </c>
    </row>
    <row r="889" spans="1:36" x14ac:dyDescent="0.25">
      <c r="A889" s="3" t="s">
        <v>1093</v>
      </c>
      <c r="B889" s="2">
        <v>45790</v>
      </c>
      <c r="C889" t="s">
        <v>65</v>
      </c>
      <c r="D889" s="3" t="str">
        <f t="shared" si="55"/>
        <v>Q1</v>
      </c>
      <c r="E889" s="3" t="str">
        <f t="shared" si="56"/>
        <v>FY2026</v>
      </c>
      <c r="F889" s="8" t="s">
        <v>59</v>
      </c>
      <c r="G889" s="3" t="s">
        <v>35</v>
      </c>
      <c r="H889" t="s">
        <v>254</v>
      </c>
      <c r="I889" t="s">
        <v>314</v>
      </c>
      <c r="J889" s="3" t="s">
        <v>38</v>
      </c>
      <c r="K889" t="s">
        <v>71</v>
      </c>
      <c r="L889" s="3" t="s">
        <v>72</v>
      </c>
      <c r="M889" s="3" t="s">
        <v>197</v>
      </c>
      <c r="N889" t="s">
        <v>198</v>
      </c>
      <c r="O889" t="s">
        <v>43</v>
      </c>
      <c r="P889" t="s">
        <v>163</v>
      </c>
      <c r="Q889" s="3">
        <v>73809.570000000007</v>
      </c>
      <c r="R889" s="3">
        <v>84356.15</v>
      </c>
      <c r="S889" s="3">
        <v>41086.26</v>
      </c>
      <c r="T889" s="3">
        <v>7152.82</v>
      </c>
      <c r="U889" s="3">
        <v>2216.06</v>
      </c>
      <c r="V889" s="3">
        <v>4475.04</v>
      </c>
      <c r="W889" s="3">
        <v>981.5</v>
      </c>
      <c r="X889" s="3">
        <v>55911.69</v>
      </c>
      <c r="Y889" s="3">
        <v>32723.31</v>
      </c>
      <c r="Z889" s="3">
        <f t="shared" si="57"/>
        <v>17897.880000000005</v>
      </c>
      <c r="AA889" s="37">
        <f t="shared" si="58"/>
        <v>0.24248725470152452</v>
      </c>
      <c r="AB889" s="3">
        <v>-10546.58</v>
      </c>
      <c r="AC889" s="3">
        <v>1476.19</v>
      </c>
      <c r="AD889" s="3">
        <v>13020.01</v>
      </c>
      <c r="AE889" s="3">
        <v>85353.39</v>
      </c>
      <c r="AF889" t="str">
        <f>IF(tbl_FinancialData[[#This Row],[City]]="","Unknown",PROPER(TRIM(tbl_FinancialData[[#This Row],[City]])))</f>
        <v>New Delhi</v>
      </c>
      <c r="AG889" t="str">
        <f>_xlfn.LET(_xlpm.city,LOWER(TRIM(tbl_FinancialData[[#This Row],[City]])),_xlpm.st,PROPER(TRIM(tbl_FinancialData[[#This Row],[State]])),IF(_xlpm.city="pune","Maharashtra",IF(_xlpm.city="jamshedpur","Jharkhand",IF(_xlpm.city="bhilai","Chhattisgarh",IF(_xlpm.city="mumbai","Maharashtra",_xlpm.st)))))</f>
        <v>Delhi</v>
      </c>
      <c r="AH889" t="str">
        <f>_xlfn.LET(_xlpm.d,PROPER(TRIM(tbl_FinancialData[[#This Row],[Department]])),IF(_xlpm.d="It","IT",_xlpm.d))</f>
        <v>Marketing</v>
      </c>
      <c r="AI889" t="str">
        <f>_xlfn.LET(_xlpm.pid,tbl_FinancialData[[#This Row],[Product ID]],_xlpm.n,PROPER(TRIM(tbl_FinancialData[[#This Row],[Product Name]])),IF(_xlpm.pid="P020","Document Scanner",IF(_xlpm.pid="P015","Network Router",SUBSTITUTE(SUBSTITUTE(_xlpm.n,"Crm","CRM"),"Ups","UPS"))))</f>
        <v>Smartphone</v>
      </c>
      <c r="AJ889" s="3" t="str">
        <f>UPPER(TRIM(tbl_FinancialData[[#This Row],[Cost Center]]))</f>
        <v>CC-1004</v>
      </c>
    </row>
    <row r="890" spans="1:36" x14ac:dyDescent="0.25">
      <c r="A890" s="3" t="s">
        <v>1094</v>
      </c>
      <c r="B890" s="2">
        <v>46033</v>
      </c>
      <c r="C890" t="s">
        <v>77</v>
      </c>
      <c r="D890" s="3" t="str">
        <f t="shared" si="55"/>
        <v>Q4</v>
      </c>
      <c r="E890" s="3" t="str">
        <f t="shared" si="56"/>
        <v>FY2026</v>
      </c>
      <c r="F890" s="8" t="s">
        <v>67</v>
      </c>
      <c r="G890" s="3" t="s">
        <v>35</v>
      </c>
      <c r="H890" t="s">
        <v>217</v>
      </c>
      <c r="I890" t="s">
        <v>241</v>
      </c>
      <c r="J890" s="3" t="s">
        <v>38</v>
      </c>
      <c r="K890" t="s">
        <v>101</v>
      </c>
      <c r="L890" s="3" t="s">
        <v>72</v>
      </c>
      <c r="M890" s="3" t="s">
        <v>189</v>
      </c>
      <c r="N890" t="s">
        <v>190</v>
      </c>
      <c r="O890" t="s">
        <v>104</v>
      </c>
      <c r="P890" t="s">
        <v>105</v>
      </c>
      <c r="Q890" s="3">
        <v>18985.59</v>
      </c>
      <c r="R890" s="3">
        <v>17439.599999999999</v>
      </c>
      <c r="S890" s="3">
        <v>11373.57</v>
      </c>
      <c r="T890" s="3">
        <v>1649.4</v>
      </c>
      <c r="U890" s="3">
        <v>1348.84</v>
      </c>
      <c r="V890" s="3">
        <v>895.68</v>
      </c>
      <c r="W890" s="3">
        <v>618.36</v>
      </c>
      <c r="X890" s="3">
        <v>15885.85</v>
      </c>
      <c r="Y890" s="3">
        <v>7612.02</v>
      </c>
      <c r="Z890" s="3">
        <f t="shared" si="57"/>
        <v>3099.74</v>
      </c>
      <c r="AA890" s="37">
        <f t="shared" si="58"/>
        <v>0.1632680364423755</v>
      </c>
      <c r="AB890" s="3">
        <v>1545.99</v>
      </c>
      <c r="AC890" s="3">
        <v>949.28</v>
      </c>
      <c r="AD890" s="3">
        <v>901.82</v>
      </c>
      <c r="AE890" s="3">
        <v>18938.13</v>
      </c>
      <c r="AF890" t="str">
        <f>IF(tbl_FinancialData[[#This Row],[City]]="","Unknown",PROPER(TRIM(tbl_FinancialData[[#This Row],[City]])))</f>
        <v>Muzaffarpur</v>
      </c>
      <c r="AG890" t="str">
        <f>_xlfn.LET(_xlpm.city,LOWER(TRIM(tbl_FinancialData[[#This Row],[City]])),_xlpm.st,PROPER(TRIM(tbl_FinancialData[[#This Row],[State]])),IF(_xlpm.city="pune","Maharashtra",IF(_xlpm.city="jamshedpur","Jharkhand",IF(_xlpm.city="bhilai","Chhattisgarh",IF(_xlpm.city="mumbai","Maharashtra",_xlpm.st)))))</f>
        <v>Bihar</v>
      </c>
      <c r="AH890" t="str">
        <f>_xlfn.LET(_xlpm.d,PROPER(TRIM(tbl_FinancialData[[#This Row],[Department]])),IF(_xlpm.d="It","IT",_xlpm.d))</f>
        <v>Finance</v>
      </c>
      <c r="AI890" t="str">
        <f>_xlfn.LET(_xlpm.pid,tbl_FinancialData[[#This Row],[Product ID]],_xlpm.n,PROPER(TRIM(tbl_FinancialData[[#This Row],[Product Name]])),IF(_xlpm.pid="P020","Document Scanner",IF(_xlpm.pid="P015","Network Router",SUBSTITUTE(SUBSTITUTE(_xlpm.n,"Crm","CRM"),"Ups","UPS"))))</f>
        <v>CRM Software</v>
      </c>
      <c r="AJ890" s="3" t="str">
        <f>UPPER(TRIM(tbl_FinancialData[[#This Row],[Cost Center]]))</f>
        <v>CC-1004</v>
      </c>
    </row>
    <row r="891" spans="1:36" x14ac:dyDescent="0.25">
      <c r="A891" s="3" t="s">
        <v>1095</v>
      </c>
      <c r="B891" s="2">
        <v>45920</v>
      </c>
      <c r="C891" t="s">
        <v>46</v>
      </c>
      <c r="D891" s="3" t="str">
        <f t="shared" si="55"/>
        <v>Q2</v>
      </c>
      <c r="E891" s="3" t="str">
        <f t="shared" si="56"/>
        <v>FY2026</v>
      </c>
      <c r="F891" s="8" t="s">
        <v>67</v>
      </c>
      <c r="G891" s="3" t="s">
        <v>35</v>
      </c>
      <c r="H891" t="s">
        <v>217</v>
      </c>
      <c r="I891" t="s">
        <v>241</v>
      </c>
      <c r="J891" s="3" t="s">
        <v>80</v>
      </c>
      <c r="K891" t="s">
        <v>39</v>
      </c>
      <c r="L891" s="3" t="s">
        <v>40</v>
      </c>
      <c r="M891" s="3" t="s">
        <v>235</v>
      </c>
      <c r="N891" t="s">
        <v>236</v>
      </c>
      <c r="O891" t="s">
        <v>104</v>
      </c>
      <c r="P891" t="s">
        <v>237</v>
      </c>
      <c r="Q891" s="3">
        <v>20273.27</v>
      </c>
      <c r="R891" s="3">
        <v>23099.439999999999</v>
      </c>
      <c r="S891" s="3">
        <v>14236.74</v>
      </c>
      <c r="T891" s="3">
        <v>1052.27</v>
      </c>
      <c r="U891" s="3">
        <v>574.77</v>
      </c>
      <c r="V891" s="3">
        <v>2365.88</v>
      </c>
      <c r="W891" s="3">
        <v>399.4</v>
      </c>
      <c r="X891" s="3">
        <v>18629.060000000001</v>
      </c>
      <c r="Y891" s="3">
        <v>6036.53</v>
      </c>
      <c r="Z891" s="3">
        <f t="shared" si="57"/>
        <v>1644.2099999999991</v>
      </c>
      <c r="AA891" s="37">
        <f t="shared" si="58"/>
        <v>8.1102357932390734E-2</v>
      </c>
      <c r="AB891" s="3">
        <v>-2826.16</v>
      </c>
      <c r="AC891" s="3">
        <v>1621.86</v>
      </c>
      <c r="AD891" s="3">
        <v>2238.17</v>
      </c>
      <c r="AE891" s="3">
        <v>20889.580000000002</v>
      </c>
      <c r="AF891" t="str">
        <f>IF(tbl_FinancialData[[#This Row],[City]]="","Unknown",PROPER(TRIM(tbl_FinancialData[[#This Row],[City]])))</f>
        <v>Muzaffarpur</v>
      </c>
      <c r="AG891" t="str">
        <f>_xlfn.LET(_xlpm.city,LOWER(TRIM(tbl_FinancialData[[#This Row],[City]])),_xlpm.st,PROPER(TRIM(tbl_FinancialData[[#This Row],[State]])),IF(_xlpm.city="pune","Maharashtra",IF(_xlpm.city="jamshedpur","Jharkhand",IF(_xlpm.city="bhilai","Chhattisgarh",IF(_xlpm.city="mumbai","Maharashtra",_xlpm.st)))))</f>
        <v>Bihar</v>
      </c>
      <c r="AH891" t="str">
        <f>_xlfn.LET(_xlpm.d,PROPER(TRIM(tbl_FinancialData[[#This Row],[Department]])),IF(_xlpm.d="It","IT",_xlpm.d))</f>
        <v>Operations</v>
      </c>
      <c r="AI891" t="str">
        <f>_xlfn.LET(_xlpm.pid,tbl_FinancialData[[#This Row],[Product ID]],_xlpm.n,PROPER(TRIM(tbl_FinancialData[[#This Row],[Product Name]])),IF(_xlpm.pid="P020","Document Scanner",IF(_xlpm.pid="P015","Network Router",SUBSTITUTE(SUBSTITUTE(_xlpm.n,"Crm","CRM"),"Ups","UPS"))))</f>
        <v>Data Storage</v>
      </c>
      <c r="AJ891" s="3" t="str">
        <f>UPPER(TRIM(tbl_FinancialData[[#This Row],[Cost Center]]))</f>
        <v>CC-1002</v>
      </c>
    </row>
    <row r="892" spans="1:36" x14ac:dyDescent="0.25">
      <c r="A892" s="3" t="s">
        <v>1096</v>
      </c>
      <c r="B892" s="2">
        <v>46110</v>
      </c>
      <c r="C892" t="s">
        <v>125</v>
      </c>
      <c r="D892" s="3" t="str">
        <f t="shared" si="55"/>
        <v>Q4</v>
      </c>
      <c r="E892" s="3" t="str">
        <f t="shared" si="56"/>
        <v>FY2026</v>
      </c>
      <c r="F892" s="8" t="s">
        <v>59</v>
      </c>
      <c r="G892" s="3" t="s">
        <v>35</v>
      </c>
      <c r="H892" t="s">
        <v>139</v>
      </c>
      <c r="I892" t="s">
        <v>152</v>
      </c>
      <c r="J892" s="3" t="s">
        <v>38</v>
      </c>
      <c r="K892" t="s">
        <v>50</v>
      </c>
      <c r="L892" s="3" t="s">
        <v>81</v>
      </c>
      <c r="M892" s="3" t="s">
        <v>130</v>
      </c>
      <c r="N892" t="s">
        <v>131</v>
      </c>
      <c r="O892" t="s">
        <v>43</v>
      </c>
      <c r="P892" t="s">
        <v>132</v>
      </c>
      <c r="Q892" s="3">
        <v>46740.14</v>
      </c>
      <c r="R892" s="3">
        <v>54886.28</v>
      </c>
      <c r="S892" s="3">
        <v>29671.8</v>
      </c>
      <c r="T892" s="3">
        <v>5606.53</v>
      </c>
      <c r="U892" s="3">
        <v>2987.53</v>
      </c>
      <c r="V892" s="3">
        <v>4448.87</v>
      </c>
      <c r="W892" s="3">
        <v>1593.18</v>
      </c>
      <c r="X892" s="3">
        <v>44307.9</v>
      </c>
      <c r="Y892" s="3">
        <v>17068.34</v>
      </c>
      <c r="Z892" s="3">
        <f t="shared" si="57"/>
        <v>2432.239999999998</v>
      </c>
      <c r="AA892" s="37">
        <f t="shared" si="58"/>
        <v>5.2037499245830197E-2</v>
      </c>
      <c r="AB892" s="3">
        <v>-8146.13</v>
      </c>
      <c r="AC892" s="3">
        <v>2337.0100000000002</v>
      </c>
      <c r="AD892" s="3">
        <v>5328.38</v>
      </c>
      <c r="AE892" s="3">
        <v>49731.51</v>
      </c>
      <c r="AF892" t="str">
        <f>IF(tbl_FinancialData[[#This Row],[City]]="","Unknown",PROPER(TRIM(tbl_FinancialData[[#This Row],[City]])))</f>
        <v>Panipat</v>
      </c>
      <c r="AG892" t="str">
        <f>_xlfn.LET(_xlpm.city,LOWER(TRIM(tbl_FinancialData[[#This Row],[City]])),_xlpm.st,PROPER(TRIM(tbl_FinancialData[[#This Row],[State]])),IF(_xlpm.city="pune","Maharashtra",IF(_xlpm.city="jamshedpur","Jharkhand",IF(_xlpm.city="bhilai","Chhattisgarh",IF(_xlpm.city="mumbai","Maharashtra",_xlpm.st)))))</f>
        <v>Haryana</v>
      </c>
      <c r="AH892" t="str">
        <f>_xlfn.LET(_xlpm.d,PROPER(TRIM(tbl_FinancialData[[#This Row],[Department]])),IF(_xlpm.d="It","IT",_xlpm.d))</f>
        <v>Sales</v>
      </c>
      <c r="AI892" t="str">
        <f>_xlfn.LET(_xlpm.pid,tbl_FinancialData[[#This Row],[Product ID]],_xlpm.n,PROPER(TRIM(tbl_FinancialData[[#This Row],[Product Name]])),IF(_xlpm.pid="P020","Document Scanner",IF(_xlpm.pid="P015","Network Router",SUBSTITUTE(SUBSTITUTE(_xlpm.n,"Crm","CRM"),"Ups","UPS"))))</f>
        <v>UPS System</v>
      </c>
      <c r="AJ892" s="3" t="str">
        <f>UPPER(TRIM(tbl_FinancialData[[#This Row],[Cost Center]]))</f>
        <v>CC-1005</v>
      </c>
    </row>
    <row r="893" spans="1:36" x14ac:dyDescent="0.25">
      <c r="A893" s="3" t="s">
        <v>1097</v>
      </c>
      <c r="B893" s="2">
        <v>46034</v>
      </c>
      <c r="C893" t="s">
        <v>77</v>
      </c>
      <c r="D893" s="3" t="str">
        <f t="shared" si="55"/>
        <v>Q4</v>
      </c>
      <c r="E893" s="3" t="str">
        <f t="shared" si="56"/>
        <v>FY2026</v>
      </c>
      <c r="F893" s="8" t="s">
        <v>47</v>
      </c>
      <c r="G893" s="3" t="s">
        <v>35</v>
      </c>
      <c r="H893" t="s">
        <v>48</v>
      </c>
      <c r="I893" t="s">
        <v>126</v>
      </c>
      <c r="J893" s="3" t="s">
        <v>70</v>
      </c>
      <c r="K893" t="s">
        <v>71</v>
      </c>
      <c r="L893" s="3" t="s">
        <v>40</v>
      </c>
      <c r="M893" s="3" t="s">
        <v>211</v>
      </c>
      <c r="N893" t="s">
        <v>212</v>
      </c>
      <c r="O893" t="s">
        <v>112</v>
      </c>
      <c r="P893" t="s">
        <v>113</v>
      </c>
      <c r="Q893" s="3">
        <v>14762.64</v>
      </c>
      <c r="R893" s="3">
        <v>13768.17</v>
      </c>
      <c r="S893" s="3">
        <v>9942.49</v>
      </c>
      <c r="T893" s="3">
        <v>1787.38</v>
      </c>
      <c r="U893" s="3">
        <v>1185.94</v>
      </c>
      <c r="V893" s="3">
        <v>1102.32</v>
      </c>
      <c r="W893" s="3">
        <v>539.63</v>
      </c>
      <c r="X893" s="3">
        <v>14557.76</v>
      </c>
      <c r="Y893" s="3">
        <v>4820.1400000000003</v>
      </c>
      <c r="Z893" s="3">
        <f t="shared" si="57"/>
        <v>204.8799999999992</v>
      </c>
      <c r="AA893" s="37">
        <f t="shared" si="58"/>
        <v>1.3878276514227754E-2</v>
      </c>
      <c r="AB893" s="3">
        <v>994.46</v>
      </c>
      <c r="AC893" s="3">
        <v>0</v>
      </c>
      <c r="AD893" s="3">
        <v>738.13</v>
      </c>
      <c r="AE893" s="3">
        <v>15500.77</v>
      </c>
      <c r="AF893" t="str">
        <f>IF(tbl_FinancialData[[#This Row],[City]]="","Unknown",PROPER(TRIM(tbl_FinancialData[[#This Row],[City]])))</f>
        <v>Coimbatore</v>
      </c>
      <c r="AG893" t="str">
        <f>_xlfn.LET(_xlpm.city,LOWER(TRIM(tbl_FinancialData[[#This Row],[City]])),_xlpm.st,PROPER(TRIM(tbl_FinancialData[[#This Row],[State]])),IF(_xlpm.city="pune","Maharashtra",IF(_xlpm.city="jamshedpur","Jharkhand",IF(_xlpm.city="bhilai","Chhattisgarh",IF(_xlpm.city="mumbai","Maharashtra",_xlpm.st)))))</f>
        <v>Tamil Nadu</v>
      </c>
      <c r="AH893" t="str">
        <f>_xlfn.LET(_xlpm.d,PROPER(TRIM(tbl_FinancialData[[#This Row],[Department]])),IF(_xlpm.d="It","IT",_xlpm.d))</f>
        <v>Marketing</v>
      </c>
      <c r="AI893" t="str">
        <f>_xlfn.LET(_xlpm.pid,tbl_FinancialData[[#This Row],[Product ID]],_xlpm.n,PROPER(TRIM(tbl_FinancialData[[#This Row],[Product Name]])),IF(_xlpm.pid="P020","Document Scanner",IF(_xlpm.pid="P015","Network Router",SUBSTITUTE(SUBSTITUTE(_xlpm.n,"Crm","CRM"),"Ups","UPS"))))</f>
        <v>Office Chair</v>
      </c>
      <c r="AJ893" s="3" t="str">
        <f>UPPER(TRIM(tbl_FinancialData[[#This Row],[Cost Center]]))</f>
        <v>CC-1002</v>
      </c>
    </row>
    <row r="894" spans="1:36" x14ac:dyDescent="0.25">
      <c r="A894" s="3" t="s">
        <v>1098</v>
      </c>
      <c r="B894" s="2">
        <v>45766</v>
      </c>
      <c r="C894" t="s">
        <v>128</v>
      </c>
      <c r="D894" s="3" t="str">
        <f t="shared" si="55"/>
        <v>Q1</v>
      </c>
      <c r="E894" s="3" t="str">
        <f t="shared" si="56"/>
        <v>FY2026</v>
      </c>
      <c r="F894" s="8" t="s">
        <v>59</v>
      </c>
      <c r="G894" s="3" t="s">
        <v>35</v>
      </c>
      <c r="H894" t="s">
        <v>230</v>
      </c>
      <c r="I894" t="s">
        <v>231</v>
      </c>
      <c r="J894" s="3" t="s">
        <v>38</v>
      </c>
      <c r="K894" t="s">
        <v>50</v>
      </c>
      <c r="L894" s="3" t="s">
        <v>40</v>
      </c>
      <c r="M894" s="3" t="s">
        <v>102</v>
      </c>
      <c r="N894" t="s">
        <v>103</v>
      </c>
      <c r="O894" t="s">
        <v>104</v>
      </c>
      <c r="P894" t="s">
        <v>105</v>
      </c>
      <c r="Q894" s="3">
        <v>30922.47</v>
      </c>
      <c r="R894" s="3">
        <v>29974.85</v>
      </c>
      <c r="S894" s="3">
        <v>21891.62</v>
      </c>
      <c r="T894" s="3">
        <v>1921.32</v>
      </c>
      <c r="U894" s="3">
        <v>937.82</v>
      </c>
      <c r="V894" s="3">
        <v>2304.63</v>
      </c>
      <c r="W894" s="3">
        <v>1205.71</v>
      </c>
      <c r="X894" s="3">
        <v>28261.09</v>
      </c>
      <c r="Y894" s="3">
        <v>9030.85</v>
      </c>
      <c r="Z894" s="3">
        <f t="shared" si="57"/>
        <v>2661.380000000001</v>
      </c>
      <c r="AA894" s="37">
        <f t="shared" si="58"/>
        <v>8.6066216573255652E-2</v>
      </c>
      <c r="AB894" s="3">
        <v>947.62</v>
      </c>
      <c r="AC894" s="3">
        <v>927.67</v>
      </c>
      <c r="AD894" s="3">
        <v>5399.06</v>
      </c>
      <c r="AE894" s="3">
        <v>35393.86</v>
      </c>
      <c r="AF894" t="str">
        <f>IF(tbl_FinancialData[[#This Row],[City]]="","Unknown",PROPER(TRIM(tbl_FinancialData[[#This Row],[City]])))</f>
        <v>Ludhiana</v>
      </c>
      <c r="AG894" t="str">
        <f>_xlfn.LET(_xlpm.city,LOWER(TRIM(tbl_FinancialData[[#This Row],[City]])),_xlpm.st,PROPER(TRIM(tbl_FinancialData[[#This Row],[State]])),IF(_xlpm.city="pune","Maharashtra",IF(_xlpm.city="jamshedpur","Jharkhand",IF(_xlpm.city="bhilai","Chhattisgarh",IF(_xlpm.city="mumbai","Maharashtra",_xlpm.st)))))</f>
        <v>Punjab</v>
      </c>
      <c r="AH894" t="str">
        <f>_xlfn.LET(_xlpm.d,PROPER(TRIM(tbl_FinancialData[[#This Row],[Department]])),IF(_xlpm.d="It","IT",_xlpm.d))</f>
        <v>Sales</v>
      </c>
      <c r="AI894" t="str">
        <f>_xlfn.LET(_xlpm.pid,tbl_FinancialData[[#This Row],[Product ID]],_xlpm.n,PROPER(TRIM(tbl_FinancialData[[#This Row],[Product Name]])),IF(_xlpm.pid="P020","Document Scanner",IF(_xlpm.pid="P015","Network Router",SUBSTITUTE(SUBSTITUTE(_xlpm.n,"Crm","CRM"),"Ups","UPS"))))</f>
        <v>Accounting Software</v>
      </c>
      <c r="AJ894" s="3" t="str">
        <f>UPPER(TRIM(tbl_FinancialData[[#This Row],[Cost Center]]))</f>
        <v>CC-1002</v>
      </c>
    </row>
    <row r="895" spans="1:36" x14ac:dyDescent="0.25">
      <c r="A895" s="3" t="s">
        <v>1099</v>
      </c>
      <c r="B895" s="2">
        <v>46051</v>
      </c>
      <c r="C895" t="s">
        <v>77</v>
      </c>
      <c r="D895" s="3" t="str">
        <f t="shared" si="55"/>
        <v>Q4</v>
      </c>
      <c r="E895" s="3" t="str">
        <f t="shared" si="56"/>
        <v>FY2026</v>
      </c>
      <c r="F895" s="8" t="s">
        <v>47</v>
      </c>
      <c r="G895" s="3" t="s">
        <v>35</v>
      </c>
      <c r="H895" t="s">
        <v>206</v>
      </c>
      <c r="I895" t="s">
        <v>207</v>
      </c>
      <c r="J895" s="3" t="s">
        <v>70</v>
      </c>
      <c r="K895" t="s">
        <v>50</v>
      </c>
      <c r="L895" s="3" t="s">
        <v>51</v>
      </c>
      <c r="M895" s="3" t="s">
        <v>130</v>
      </c>
      <c r="N895" t="s">
        <v>131</v>
      </c>
      <c r="O895" t="s">
        <v>43</v>
      </c>
      <c r="P895" t="s">
        <v>132</v>
      </c>
      <c r="Q895" s="3">
        <v>33927.15</v>
      </c>
      <c r="R895" s="3">
        <v>34154.660000000003</v>
      </c>
      <c r="S895" s="3">
        <v>17684.2</v>
      </c>
      <c r="T895" s="3">
        <v>2668.43</v>
      </c>
      <c r="U895" s="3">
        <v>1273.6500000000001</v>
      </c>
      <c r="V895" s="3">
        <v>1910.47</v>
      </c>
      <c r="W895" s="3">
        <v>561.39</v>
      </c>
      <c r="X895" s="3">
        <v>24098.14</v>
      </c>
      <c r="Y895" s="3">
        <v>16242.95</v>
      </c>
      <c r="Z895" s="3">
        <f t="shared" si="57"/>
        <v>9829.010000000002</v>
      </c>
      <c r="AA895" s="37">
        <f t="shared" si="58"/>
        <v>0.28970927413590597</v>
      </c>
      <c r="AB895" s="3">
        <v>-227.5</v>
      </c>
      <c r="AC895" s="3">
        <v>1017.81</v>
      </c>
      <c r="AD895" s="3">
        <v>5923.68</v>
      </c>
      <c r="AE895" s="3">
        <v>38833.019999999997</v>
      </c>
      <c r="AF895" t="str">
        <f>IF(tbl_FinancialData[[#This Row],[City]]="","Unknown",PROPER(TRIM(tbl_FinancialData[[#This Row],[City]])))</f>
        <v>Nizamabad</v>
      </c>
      <c r="AG895" t="str">
        <f>_xlfn.LET(_xlpm.city,LOWER(TRIM(tbl_FinancialData[[#This Row],[City]])),_xlpm.st,PROPER(TRIM(tbl_FinancialData[[#This Row],[State]])),IF(_xlpm.city="pune","Maharashtra",IF(_xlpm.city="jamshedpur","Jharkhand",IF(_xlpm.city="bhilai","Chhattisgarh",IF(_xlpm.city="mumbai","Maharashtra",_xlpm.st)))))</f>
        <v>Telangana</v>
      </c>
      <c r="AH895" t="str">
        <f>_xlfn.LET(_xlpm.d,PROPER(TRIM(tbl_FinancialData[[#This Row],[Department]])),IF(_xlpm.d="It","IT",_xlpm.d))</f>
        <v>Sales</v>
      </c>
      <c r="AI895" t="str">
        <f>_xlfn.LET(_xlpm.pid,tbl_FinancialData[[#This Row],[Product ID]],_xlpm.n,PROPER(TRIM(tbl_FinancialData[[#This Row],[Product Name]])),IF(_xlpm.pid="P020","Document Scanner",IF(_xlpm.pid="P015","Network Router",SUBSTITUTE(SUBSTITUTE(_xlpm.n,"Crm","CRM"),"Ups","UPS"))))</f>
        <v>UPS System</v>
      </c>
      <c r="AJ895" s="3" t="str">
        <f>UPPER(TRIM(tbl_FinancialData[[#This Row],[Cost Center]]))</f>
        <v>CC-1003</v>
      </c>
    </row>
    <row r="896" spans="1:36" x14ac:dyDescent="0.25">
      <c r="A896" s="3" t="s">
        <v>1100</v>
      </c>
      <c r="B896" s="2">
        <v>46044</v>
      </c>
      <c r="C896" t="s">
        <v>77</v>
      </c>
      <c r="D896" s="3" t="str">
        <f t="shared" si="55"/>
        <v>Q4</v>
      </c>
      <c r="E896" s="3" t="str">
        <f t="shared" si="56"/>
        <v>FY2026</v>
      </c>
      <c r="F896" s="8" t="s">
        <v>47</v>
      </c>
      <c r="G896" s="3" t="s">
        <v>35</v>
      </c>
      <c r="H896" t="s">
        <v>78</v>
      </c>
      <c r="I896" t="s">
        <v>183</v>
      </c>
      <c r="J896" s="3" t="s">
        <v>70</v>
      </c>
      <c r="K896" t="s">
        <v>39</v>
      </c>
      <c r="L896" s="3" t="s">
        <v>81</v>
      </c>
      <c r="M896" s="3" t="s">
        <v>73</v>
      </c>
      <c r="N896" t="s">
        <v>74</v>
      </c>
      <c r="O896" t="s">
        <v>43</v>
      </c>
      <c r="P896" t="s">
        <v>75</v>
      </c>
      <c r="Q896" s="3">
        <v>56509.77</v>
      </c>
      <c r="R896" s="3">
        <v>55747.97</v>
      </c>
      <c r="S896" s="3">
        <v>40388.339999999997</v>
      </c>
      <c r="T896" s="3">
        <v>6007.45</v>
      </c>
      <c r="U896" s="3">
        <v>4466.5600000000004</v>
      </c>
      <c r="V896" s="3">
        <v>2442.34</v>
      </c>
      <c r="W896" s="3">
        <v>1031.71</v>
      </c>
      <c r="X896" s="3">
        <v>54336.4</v>
      </c>
      <c r="Y896" s="3">
        <v>16121.43</v>
      </c>
      <c r="Z896" s="3">
        <f t="shared" si="57"/>
        <v>2173.3699999999953</v>
      </c>
      <c r="AA896" s="37">
        <f t="shared" si="58"/>
        <v>3.8460075133910393E-2</v>
      </c>
      <c r="AB896" s="3">
        <v>761.8</v>
      </c>
      <c r="AC896" s="3">
        <v>1695.29</v>
      </c>
      <c r="AD896" s="3">
        <v>2740.72</v>
      </c>
      <c r="AE896" s="3">
        <v>57555.199999999997</v>
      </c>
      <c r="AF896" t="str">
        <f>IF(tbl_FinancialData[[#This Row],[City]]="","Unknown",PROPER(TRIM(tbl_FinancialData[[#This Row],[City]])))</f>
        <v>Kozhikode</v>
      </c>
      <c r="AG896" t="str">
        <f>_xlfn.LET(_xlpm.city,LOWER(TRIM(tbl_FinancialData[[#This Row],[City]])),_xlpm.st,PROPER(TRIM(tbl_FinancialData[[#This Row],[State]])),IF(_xlpm.city="pune","Maharashtra",IF(_xlpm.city="jamshedpur","Jharkhand",IF(_xlpm.city="bhilai","Chhattisgarh",IF(_xlpm.city="mumbai","Maharashtra",_xlpm.st)))))</f>
        <v>Kerala</v>
      </c>
      <c r="AH896" t="str">
        <f>_xlfn.LET(_xlpm.d,PROPER(TRIM(tbl_FinancialData[[#This Row],[Department]])),IF(_xlpm.d="It","IT",_xlpm.d))</f>
        <v>Operations</v>
      </c>
      <c r="AI896" t="str">
        <f>_xlfn.LET(_xlpm.pid,tbl_FinancialData[[#This Row],[Product ID]],_xlpm.n,PROPER(TRIM(tbl_FinancialData[[#This Row],[Product Name]])),IF(_xlpm.pid="P020","Document Scanner",IF(_xlpm.pid="P015","Network Router",SUBSTITUTE(SUBSTITUTE(_xlpm.n,"Crm","CRM"),"Ups","UPS"))))</f>
        <v>Monitor</v>
      </c>
      <c r="AJ896" s="3" t="str">
        <f>UPPER(TRIM(tbl_FinancialData[[#This Row],[Cost Center]]))</f>
        <v>CC-1005</v>
      </c>
    </row>
    <row r="897" spans="1:36" x14ac:dyDescent="0.25">
      <c r="A897" s="3" t="s">
        <v>1101</v>
      </c>
      <c r="B897" s="2">
        <v>45971</v>
      </c>
      <c r="C897" t="s">
        <v>147</v>
      </c>
      <c r="D897" s="3" t="str">
        <f t="shared" si="55"/>
        <v>Q3</v>
      </c>
      <c r="E897" s="3" t="str">
        <f t="shared" si="56"/>
        <v>FY2026</v>
      </c>
      <c r="F897" s="8" t="s">
        <v>34</v>
      </c>
      <c r="G897" s="3" t="s">
        <v>35</v>
      </c>
      <c r="H897" t="s">
        <v>157</v>
      </c>
      <c r="I897" t="s">
        <v>158</v>
      </c>
      <c r="J897" s="3" t="s">
        <v>80</v>
      </c>
      <c r="K897" t="s">
        <v>39</v>
      </c>
      <c r="L897" s="3" t="s">
        <v>40</v>
      </c>
      <c r="M897" s="3" t="s">
        <v>41</v>
      </c>
      <c r="N897" t="s">
        <v>42</v>
      </c>
      <c r="O897" t="s">
        <v>43</v>
      </c>
      <c r="P897" t="s">
        <v>44</v>
      </c>
      <c r="Q897" s="3">
        <v>38854.75</v>
      </c>
      <c r="R897" s="3">
        <v>36305.79</v>
      </c>
      <c r="S897" s="3">
        <v>23087.15</v>
      </c>
      <c r="T897" s="3">
        <v>3974.27</v>
      </c>
      <c r="U897" s="3">
        <v>1339.77</v>
      </c>
      <c r="V897" s="3">
        <v>2129.9299999999998</v>
      </c>
      <c r="W897" s="3">
        <v>666.58</v>
      </c>
      <c r="X897" s="3">
        <v>31197.7</v>
      </c>
      <c r="Y897" s="3">
        <v>15767.6</v>
      </c>
      <c r="Z897" s="3">
        <f t="shared" si="57"/>
        <v>7657.0499999999993</v>
      </c>
      <c r="AA897" s="37">
        <f t="shared" si="58"/>
        <v>0.19706856947992199</v>
      </c>
      <c r="AB897" s="3">
        <v>2548.96</v>
      </c>
      <c r="AC897" s="3">
        <v>777.1</v>
      </c>
      <c r="AD897" s="3">
        <v>1903.88</v>
      </c>
      <c r="AE897" s="3">
        <v>39981.54</v>
      </c>
      <c r="AF897" t="str">
        <f>IF(tbl_FinancialData[[#This Row],[City]]="","Unknown",PROPER(TRIM(tbl_FinancialData[[#This Row],[City]])))</f>
        <v>Ahmedabad</v>
      </c>
      <c r="AG897" t="str">
        <f>_xlfn.LET(_xlpm.city,LOWER(TRIM(tbl_FinancialData[[#This Row],[City]])),_xlpm.st,PROPER(TRIM(tbl_FinancialData[[#This Row],[State]])),IF(_xlpm.city="pune","Maharashtra",IF(_xlpm.city="jamshedpur","Jharkhand",IF(_xlpm.city="bhilai","Chhattisgarh",IF(_xlpm.city="mumbai","Maharashtra",_xlpm.st)))))</f>
        <v>Gujarat</v>
      </c>
      <c r="AH897" t="str">
        <f>_xlfn.LET(_xlpm.d,PROPER(TRIM(tbl_FinancialData[[#This Row],[Department]])),IF(_xlpm.d="It","IT",_xlpm.d))</f>
        <v>Operations</v>
      </c>
      <c r="AI897" t="str">
        <f>_xlfn.LET(_xlpm.pid,tbl_FinancialData[[#This Row],[Product ID]],_xlpm.n,PROPER(TRIM(tbl_FinancialData[[#This Row],[Product Name]])),IF(_xlpm.pid="P020","Document Scanner",IF(_xlpm.pid="P015","Network Router",SUBSTITUTE(SUBSTITUTE(_xlpm.n,"Crm","CRM"),"Ups","UPS"))))</f>
        <v>Conference Camera</v>
      </c>
      <c r="AJ897" s="3" t="str">
        <f>UPPER(TRIM(tbl_FinancialData[[#This Row],[Cost Center]]))</f>
        <v>CC-1002</v>
      </c>
    </row>
    <row r="898" spans="1:36" x14ac:dyDescent="0.25">
      <c r="A898" s="3" t="s">
        <v>1102</v>
      </c>
      <c r="B898" s="2">
        <v>45820</v>
      </c>
      <c r="C898" t="s">
        <v>156</v>
      </c>
      <c r="D898" s="3" t="str">
        <f t="shared" ref="D898:D961" si="59">"Q"&amp;INT(MOD(MONTH(B898)-4,12)/3)+1</f>
        <v>Q1</v>
      </c>
      <c r="E898" s="3" t="str">
        <f t="shared" ref="E898:E961" si="60">"FY"&amp; (YEAR(B898)+(MONTH(B898)&gt;=4))</f>
        <v>FY2026</v>
      </c>
      <c r="F898" s="8" t="s">
        <v>34</v>
      </c>
      <c r="G898" s="3" t="s">
        <v>35</v>
      </c>
      <c r="H898" t="s">
        <v>157</v>
      </c>
      <c r="I898" t="s">
        <v>166</v>
      </c>
      <c r="J898" s="3" t="s">
        <v>70</v>
      </c>
      <c r="K898" t="s">
        <v>39</v>
      </c>
      <c r="L898" s="3" t="s">
        <v>51</v>
      </c>
      <c r="M898" s="3" t="s">
        <v>211</v>
      </c>
      <c r="N898" t="s">
        <v>212</v>
      </c>
      <c r="O898" t="s">
        <v>112</v>
      </c>
      <c r="P898" t="s">
        <v>113</v>
      </c>
      <c r="Q898" s="3">
        <v>18303.400000000001</v>
      </c>
      <c r="R898" s="3">
        <v>18181.97</v>
      </c>
      <c r="S898" s="3">
        <v>12341.97</v>
      </c>
      <c r="T898" s="3">
        <v>2318.83</v>
      </c>
      <c r="U898" s="3">
        <v>897.98</v>
      </c>
      <c r="V898" s="3">
        <v>1963.87</v>
      </c>
      <c r="W898" s="3">
        <v>736.41</v>
      </c>
      <c r="X898" s="3">
        <v>18259.060000000001</v>
      </c>
      <c r="Y898" s="3">
        <v>5961.43</v>
      </c>
      <c r="Z898" s="3">
        <f t="shared" si="57"/>
        <v>44.340000000000146</v>
      </c>
      <c r="AA898" s="37">
        <f t="shared" si="58"/>
        <v>2.4225007375678915E-3</v>
      </c>
      <c r="AB898" s="3">
        <v>121.43</v>
      </c>
      <c r="AC898" s="3">
        <v>0</v>
      </c>
      <c r="AD898" s="3">
        <v>3294.61</v>
      </c>
      <c r="AE898" s="3">
        <v>21598.01</v>
      </c>
      <c r="AF898" t="str">
        <f>IF(tbl_FinancialData[[#This Row],[City]]="","Unknown",PROPER(TRIM(tbl_FinancialData[[#This Row],[City]])))</f>
        <v>Vadodara</v>
      </c>
      <c r="AG898" t="str">
        <f>_xlfn.LET(_xlpm.city,LOWER(TRIM(tbl_FinancialData[[#This Row],[City]])),_xlpm.st,PROPER(TRIM(tbl_FinancialData[[#This Row],[State]])),IF(_xlpm.city="pune","Maharashtra",IF(_xlpm.city="jamshedpur","Jharkhand",IF(_xlpm.city="bhilai","Chhattisgarh",IF(_xlpm.city="mumbai","Maharashtra",_xlpm.st)))))</f>
        <v>Gujarat</v>
      </c>
      <c r="AH898" t="str">
        <f>_xlfn.LET(_xlpm.d,PROPER(TRIM(tbl_FinancialData[[#This Row],[Department]])),IF(_xlpm.d="It","IT",_xlpm.d))</f>
        <v>Operations</v>
      </c>
      <c r="AI898" t="str">
        <f>_xlfn.LET(_xlpm.pid,tbl_FinancialData[[#This Row],[Product ID]],_xlpm.n,PROPER(TRIM(tbl_FinancialData[[#This Row],[Product Name]])),IF(_xlpm.pid="P020","Document Scanner",IF(_xlpm.pid="P015","Network Router",SUBSTITUTE(SUBSTITUTE(_xlpm.n,"Crm","CRM"),"Ups","UPS"))))</f>
        <v>Office Chair</v>
      </c>
      <c r="AJ898" s="3" t="str">
        <f>UPPER(TRIM(tbl_FinancialData[[#This Row],[Cost Center]]))</f>
        <v>CC-1003</v>
      </c>
    </row>
    <row r="899" spans="1:36" x14ac:dyDescent="0.25">
      <c r="A899" s="3" t="s">
        <v>1103</v>
      </c>
      <c r="B899" s="2">
        <v>45899</v>
      </c>
      <c r="C899" t="s">
        <v>117</v>
      </c>
      <c r="D899" s="3" t="str">
        <f t="shared" si="59"/>
        <v>Q2</v>
      </c>
      <c r="E899" s="3" t="str">
        <f t="shared" si="60"/>
        <v>FY2026</v>
      </c>
      <c r="F899" s="8" t="s">
        <v>47</v>
      </c>
      <c r="G899" s="3" t="s">
        <v>35</v>
      </c>
      <c r="H899" t="s">
        <v>206</v>
      </c>
      <c r="I899" t="s">
        <v>296</v>
      </c>
      <c r="J899" s="3" t="s">
        <v>70</v>
      </c>
      <c r="K899" t="s">
        <v>39</v>
      </c>
      <c r="L899" s="3" t="s">
        <v>72</v>
      </c>
      <c r="M899" s="3" t="s">
        <v>82</v>
      </c>
      <c r="N899" t="s">
        <v>83</v>
      </c>
      <c r="O899" t="s">
        <v>43</v>
      </c>
      <c r="P899" t="s">
        <v>75</v>
      </c>
      <c r="Q899" s="3">
        <v>43010.91</v>
      </c>
      <c r="R899" s="3">
        <v>45313.8</v>
      </c>
      <c r="S899" s="3">
        <v>30839.81</v>
      </c>
      <c r="T899" s="3">
        <v>3432.16</v>
      </c>
      <c r="U899" s="3">
        <v>2354.66</v>
      </c>
      <c r="V899" s="3">
        <v>2837.27</v>
      </c>
      <c r="W899" s="3">
        <v>705.42</v>
      </c>
      <c r="X899" s="3">
        <v>40169.33</v>
      </c>
      <c r="Y899" s="3">
        <v>12171.1</v>
      </c>
      <c r="Z899" s="3">
        <f t="shared" ref="Z899:Z962" si="61">Q899-X899</f>
        <v>2841.5800000000017</v>
      </c>
      <c r="AA899" s="37">
        <f t="shared" ref="AA899:AA962" si="62">Z899/Q899</f>
        <v>6.6066493361800566E-2</v>
      </c>
      <c r="AB899" s="3">
        <v>-2302.89</v>
      </c>
      <c r="AC899" s="3">
        <v>0</v>
      </c>
      <c r="AD899" s="3">
        <v>7741.96</v>
      </c>
      <c r="AE899" s="3">
        <v>50752.87</v>
      </c>
      <c r="AF899" t="str">
        <f>IF(tbl_FinancialData[[#This Row],[City]]="","Unknown",PROPER(TRIM(tbl_FinancialData[[#This Row],[City]])))</f>
        <v>Warangal</v>
      </c>
      <c r="AG899" t="str">
        <f>_xlfn.LET(_xlpm.city,LOWER(TRIM(tbl_FinancialData[[#This Row],[City]])),_xlpm.st,PROPER(TRIM(tbl_FinancialData[[#This Row],[State]])),IF(_xlpm.city="pune","Maharashtra",IF(_xlpm.city="jamshedpur","Jharkhand",IF(_xlpm.city="bhilai","Chhattisgarh",IF(_xlpm.city="mumbai","Maharashtra",_xlpm.st)))))</f>
        <v>Telangana</v>
      </c>
      <c r="AH899" t="str">
        <f>_xlfn.LET(_xlpm.d,PROPER(TRIM(tbl_FinancialData[[#This Row],[Department]])),IF(_xlpm.d="It","IT",_xlpm.d))</f>
        <v>Operations</v>
      </c>
      <c r="AI899" t="str">
        <f>_xlfn.LET(_xlpm.pid,tbl_FinancialData[[#This Row],[Product ID]],_xlpm.n,PROPER(TRIM(tbl_FinancialData[[#This Row],[Product Name]])),IF(_xlpm.pid="P020","Document Scanner",IF(_xlpm.pid="P015","Network Router",SUBSTITUTE(SUBSTITUTE(_xlpm.n,"Crm","CRM"),"Ups","UPS"))))</f>
        <v>Business Laptop</v>
      </c>
      <c r="AJ899" s="3" t="str">
        <f>UPPER(TRIM(tbl_FinancialData[[#This Row],[Cost Center]]))</f>
        <v>CC-1004</v>
      </c>
    </row>
    <row r="900" spans="1:36" x14ac:dyDescent="0.25">
      <c r="A900" s="3" t="s">
        <v>1104</v>
      </c>
      <c r="B900" s="2">
        <v>45975</v>
      </c>
      <c r="C900" t="s">
        <v>147</v>
      </c>
      <c r="D900" s="3" t="str">
        <f t="shared" si="59"/>
        <v>Q3</v>
      </c>
      <c r="E900" s="3" t="str">
        <f t="shared" si="60"/>
        <v>FY2026</v>
      </c>
      <c r="F900" s="8" t="s">
        <v>59</v>
      </c>
      <c r="G900" s="3" t="s">
        <v>35</v>
      </c>
      <c r="H900" t="s">
        <v>60</v>
      </c>
      <c r="I900" t="s">
        <v>185</v>
      </c>
      <c r="J900" s="3" t="s">
        <v>100</v>
      </c>
      <c r="K900" t="s">
        <v>101</v>
      </c>
      <c r="L900" s="3" t="s">
        <v>81</v>
      </c>
      <c r="M900" s="3" t="s">
        <v>211</v>
      </c>
      <c r="N900" t="s">
        <v>212</v>
      </c>
      <c r="O900" t="s">
        <v>112</v>
      </c>
      <c r="P900" t="s">
        <v>113</v>
      </c>
      <c r="Q900" s="3">
        <v>28280.9</v>
      </c>
      <c r="R900" s="3">
        <v>31610.87</v>
      </c>
      <c r="S900" s="3">
        <v>14199.75</v>
      </c>
      <c r="T900" s="3">
        <v>1539.93</v>
      </c>
      <c r="U900" s="3">
        <v>2179.44</v>
      </c>
      <c r="V900" s="3">
        <v>1718.09</v>
      </c>
      <c r="W900" s="3">
        <v>858.86</v>
      </c>
      <c r="X900" s="3">
        <v>20496.07</v>
      </c>
      <c r="Y900" s="3">
        <v>14081.15</v>
      </c>
      <c r="Z900" s="3">
        <f t="shared" si="61"/>
        <v>7784.8300000000017</v>
      </c>
      <c r="AA900" s="37">
        <f t="shared" si="62"/>
        <v>0.27526811381533123</v>
      </c>
      <c r="AB900" s="3">
        <v>-3329.97</v>
      </c>
      <c r="AC900" s="3">
        <v>848.43</v>
      </c>
      <c r="AD900" s="3">
        <v>1371.62</v>
      </c>
      <c r="AE900" s="3">
        <v>28804.1</v>
      </c>
      <c r="AF900" t="str">
        <f>IF(tbl_FinancialData[[#This Row],[City]]="","Unknown",PROPER(TRIM(tbl_FinancialData[[#This Row],[City]])))</f>
        <v>Kanpur</v>
      </c>
      <c r="AG900" t="str">
        <f>_xlfn.LET(_xlpm.city,LOWER(TRIM(tbl_FinancialData[[#This Row],[City]])),_xlpm.st,PROPER(TRIM(tbl_FinancialData[[#This Row],[State]])),IF(_xlpm.city="pune","Maharashtra",IF(_xlpm.city="jamshedpur","Jharkhand",IF(_xlpm.city="bhilai","Chhattisgarh",IF(_xlpm.city="mumbai","Maharashtra",_xlpm.st)))))</f>
        <v>Uttar Pradesh</v>
      </c>
      <c r="AH900" t="str">
        <f>_xlfn.LET(_xlpm.d,PROPER(TRIM(tbl_FinancialData[[#This Row],[Department]])),IF(_xlpm.d="It","IT",_xlpm.d))</f>
        <v>Finance</v>
      </c>
      <c r="AI900" t="str">
        <f>_xlfn.LET(_xlpm.pid,tbl_FinancialData[[#This Row],[Product ID]],_xlpm.n,PROPER(TRIM(tbl_FinancialData[[#This Row],[Product Name]])),IF(_xlpm.pid="P020","Document Scanner",IF(_xlpm.pid="P015","Network Router",SUBSTITUTE(SUBSTITUTE(_xlpm.n,"Crm","CRM"),"Ups","UPS"))))</f>
        <v>Office Chair</v>
      </c>
      <c r="AJ900" s="3" t="str">
        <f>UPPER(TRIM(tbl_FinancialData[[#This Row],[Cost Center]]))</f>
        <v>CC-1005</v>
      </c>
    </row>
    <row r="901" spans="1:36" x14ac:dyDescent="0.25">
      <c r="A901" s="3" t="s">
        <v>1105</v>
      </c>
      <c r="B901" s="2">
        <v>46086</v>
      </c>
      <c r="C901" t="s">
        <v>125</v>
      </c>
      <c r="D901" s="3" t="str">
        <f t="shared" si="59"/>
        <v>Q4</v>
      </c>
      <c r="E901" s="3" t="str">
        <f t="shared" si="60"/>
        <v>FY2026</v>
      </c>
      <c r="F901" s="8" t="s">
        <v>85</v>
      </c>
      <c r="G901" s="3" t="s">
        <v>35</v>
      </c>
      <c r="H901" t="s">
        <v>60</v>
      </c>
      <c r="I901" t="s">
        <v>61</v>
      </c>
      <c r="J901" s="3" t="s">
        <v>38</v>
      </c>
      <c r="K901" t="s">
        <v>39</v>
      </c>
      <c r="L901" s="3" t="s">
        <v>40</v>
      </c>
      <c r="M901" s="3" t="s">
        <v>186</v>
      </c>
      <c r="N901" t="s">
        <v>187</v>
      </c>
      <c r="O901" t="s">
        <v>173</v>
      </c>
      <c r="P901" t="s">
        <v>174</v>
      </c>
      <c r="Q901" s="3">
        <v>26816.34</v>
      </c>
      <c r="R901" s="3">
        <v>29789.73</v>
      </c>
      <c r="S901" s="3">
        <v>19063.68</v>
      </c>
      <c r="T901" s="3">
        <v>3013.37</v>
      </c>
      <c r="U901" s="3">
        <v>2195.38</v>
      </c>
      <c r="V901" s="3">
        <v>2588.38</v>
      </c>
      <c r="W901" s="3">
        <v>981.95</v>
      </c>
      <c r="X901" s="3">
        <v>27842.76</v>
      </c>
      <c r="Y901" s="3">
        <v>7752.65</v>
      </c>
      <c r="Z901" s="3">
        <f t="shared" si="61"/>
        <v>-1026.4199999999983</v>
      </c>
      <c r="AA901" s="37">
        <f t="shared" si="62"/>
        <v>-3.8275916847712935E-2</v>
      </c>
      <c r="AB901" s="3">
        <v>-2973.4</v>
      </c>
      <c r="AC901" s="3">
        <v>804.49</v>
      </c>
      <c r="AD901" s="3">
        <v>4682.13</v>
      </c>
      <c r="AE901" s="3">
        <v>30693.98</v>
      </c>
      <c r="AF901" t="str">
        <f>IF(tbl_FinancialData[[#This Row],[City]]="","Unknown",PROPER(TRIM(tbl_FinancialData[[#This Row],[City]])))</f>
        <v>Lucknow</v>
      </c>
      <c r="AG901" t="str">
        <f>_xlfn.LET(_xlpm.city,LOWER(TRIM(tbl_FinancialData[[#This Row],[City]])),_xlpm.st,PROPER(TRIM(tbl_FinancialData[[#This Row],[State]])),IF(_xlpm.city="pune","Maharashtra",IF(_xlpm.city="jamshedpur","Jharkhand",IF(_xlpm.city="bhilai","Chhattisgarh",IF(_xlpm.city="mumbai","Maharashtra",_xlpm.st)))))</f>
        <v>Uttar Pradesh</v>
      </c>
      <c r="AH901" t="str">
        <f>_xlfn.LET(_xlpm.d,PROPER(TRIM(tbl_FinancialData[[#This Row],[Department]])),IF(_xlpm.d="It","IT",_xlpm.d))</f>
        <v>Operations</v>
      </c>
      <c r="AI901" t="str">
        <f>_xlfn.LET(_xlpm.pid,tbl_FinancialData[[#This Row],[Product ID]],_xlpm.n,PROPER(TRIM(tbl_FinancialData[[#This Row],[Product Name]])),IF(_xlpm.pid="P020","Document Scanner",IF(_xlpm.pid="P015","Network Router",SUBSTITUTE(SUBSTITUTE(_xlpm.n,"Crm","CRM"),"Ups","UPS"))))</f>
        <v>Network Router</v>
      </c>
      <c r="AJ901" s="3" t="str">
        <f>UPPER(TRIM(tbl_FinancialData[[#This Row],[Cost Center]]))</f>
        <v>CC-1002</v>
      </c>
    </row>
    <row r="902" spans="1:36" x14ac:dyDescent="0.25">
      <c r="A902" s="3" t="s">
        <v>1106</v>
      </c>
      <c r="B902" s="2">
        <v>45779</v>
      </c>
      <c r="C902" t="s">
        <v>65</v>
      </c>
      <c r="D902" s="3" t="str">
        <f t="shared" si="59"/>
        <v>Q1</v>
      </c>
      <c r="E902" s="3" t="str">
        <f t="shared" si="60"/>
        <v>FY2026</v>
      </c>
      <c r="F902" s="8" t="s">
        <v>59</v>
      </c>
      <c r="G902" s="3" t="s">
        <v>35</v>
      </c>
      <c r="H902" t="s">
        <v>139</v>
      </c>
      <c r="I902" t="s">
        <v>152</v>
      </c>
      <c r="J902" s="3" t="s">
        <v>70</v>
      </c>
      <c r="K902" t="s">
        <v>50</v>
      </c>
      <c r="L902" s="3" t="s">
        <v>94</v>
      </c>
      <c r="M902" s="3" t="s">
        <v>197</v>
      </c>
      <c r="N902" t="s">
        <v>198</v>
      </c>
      <c r="O902" t="s">
        <v>43</v>
      </c>
      <c r="P902" t="s">
        <v>163</v>
      </c>
      <c r="Q902" s="3">
        <v>68277.009999999995</v>
      </c>
      <c r="R902" s="3">
        <v>66190.66</v>
      </c>
      <c r="S902" s="3">
        <v>35216.76</v>
      </c>
      <c r="T902" s="3">
        <v>7944.84</v>
      </c>
      <c r="U902" s="3">
        <v>5419.41</v>
      </c>
      <c r="V902" s="3">
        <v>7180.05</v>
      </c>
      <c r="W902" s="3">
        <v>2224.3200000000002</v>
      </c>
      <c r="X902" s="3">
        <v>57985.38</v>
      </c>
      <c r="Y902" s="3">
        <v>33060.239999999998</v>
      </c>
      <c r="Z902" s="3">
        <f t="shared" si="61"/>
        <v>10291.629999999997</v>
      </c>
      <c r="AA902" s="37">
        <f t="shared" si="62"/>
        <v>0.15073346064802776</v>
      </c>
      <c r="AB902" s="3">
        <v>2086.35</v>
      </c>
      <c r="AC902" s="3">
        <v>2048.31</v>
      </c>
      <c r="AD902" s="3">
        <v>7947.44</v>
      </c>
      <c r="AE902" s="3">
        <v>74176.14</v>
      </c>
      <c r="AF902" t="str">
        <f>IF(tbl_FinancialData[[#This Row],[City]]="","Unknown",PROPER(TRIM(tbl_FinancialData[[#This Row],[City]])))</f>
        <v>Panipat</v>
      </c>
      <c r="AG902" t="str">
        <f>_xlfn.LET(_xlpm.city,LOWER(TRIM(tbl_FinancialData[[#This Row],[City]])),_xlpm.st,PROPER(TRIM(tbl_FinancialData[[#This Row],[State]])),IF(_xlpm.city="pune","Maharashtra",IF(_xlpm.city="jamshedpur","Jharkhand",IF(_xlpm.city="bhilai","Chhattisgarh",IF(_xlpm.city="mumbai","Maharashtra",_xlpm.st)))))</f>
        <v>Haryana</v>
      </c>
      <c r="AH902" t="str">
        <f>_xlfn.LET(_xlpm.d,PROPER(TRIM(tbl_FinancialData[[#This Row],[Department]])),IF(_xlpm.d="It","IT",_xlpm.d))</f>
        <v>Sales</v>
      </c>
      <c r="AI902" t="str">
        <f>_xlfn.LET(_xlpm.pid,tbl_FinancialData[[#This Row],[Product ID]],_xlpm.n,PROPER(TRIM(tbl_FinancialData[[#This Row],[Product Name]])),IF(_xlpm.pid="P020","Document Scanner",IF(_xlpm.pid="P015","Network Router",SUBSTITUTE(SUBSTITUTE(_xlpm.n,"Crm","CRM"),"Ups","UPS"))))</f>
        <v>Smartphone</v>
      </c>
      <c r="AJ902" s="3" t="str">
        <f>UPPER(TRIM(tbl_FinancialData[[#This Row],[Cost Center]]))</f>
        <v>CC-1001</v>
      </c>
    </row>
    <row r="903" spans="1:36" x14ac:dyDescent="0.25">
      <c r="A903" s="3" t="s">
        <v>1107</v>
      </c>
      <c r="B903" s="2">
        <v>46054</v>
      </c>
      <c r="C903" t="s">
        <v>57</v>
      </c>
      <c r="D903" s="3" t="str">
        <f t="shared" si="59"/>
        <v>Q4</v>
      </c>
      <c r="E903" s="3" t="str">
        <f t="shared" si="60"/>
        <v>FY2026</v>
      </c>
      <c r="F903" s="8" t="s">
        <v>34</v>
      </c>
      <c r="G903" s="3" t="s">
        <v>35</v>
      </c>
      <c r="H903" t="s">
        <v>134</v>
      </c>
      <c r="I903" t="s">
        <v>154</v>
      </c>
      <c r="J903" s="3" t="s">
        <v>38</v>
      </c>
      <c r="K903" t="s">
        <v>39</v>
      </c>
      <c r="L903" s="3" t="s">
        <v>94</v>
      </c>
      <c r="M903" s="3" t="s">
        <v>189</v>
      </c>
      <c r="N903" t="s">
        <v>190</v>
      </c>
      <c r="O903" t="s">
        <v>104</v>
      </c>
      <c r="P903" t="s">
        <v>105</v>
      </c>
      <c r="Q903" s="3">
        <v>22351.17</v>
      </c>
      <c r="R903" s="3">
        <v>19881.02</v>
      </c>
      <c r="S903" s="3">
        <v>14877.25</v>
      </c>
      <c r="T903" s="3">
        <v>1210.6300000000001</v>
      </c>
      <c r="U903" s="3">
        <v>614.21</v>
      </c>
      <c r="V903" s="3">
        <v>1662.6</v>
      </c>
      <c r="W903" s="3">
        <v>272.85000000000002</v>
      </c>
      <c r="X903" s="3">
        <v>18637.55</v>
      </c>
      <c r="Y903" s="3">
        <v>7473.92</v>
      </c>
      <c r="Z903" s="3">
        <f t="shared" si="61"/>
        <v>3713.619999999999</v>
      </c>
      <c r="AA903" s="37">
        <f t="shared" si="62"/>
        <v>0.16614879668491625</v>
      </c>
      <c r="AB903" s="3">
        <v>2470.15</v>
      </c>
      <c r="AC903" s="3">
        <v>1788.09</v>
      </c>
      <c r="AD903" s="3">
        <v>2467.5700000000002</v>
      </c>
      <c r="AE903" s="3">
        <v>23030.639999999999</v>
      </c>
      <c r="AF903" t="str">
        <f>IF(tbl_FinancialData[[#This Row],[City]]="","Unknown",PROPER(TRIM(tbl_FinancialData[[#This Row],[City]])))</f>
        <v>Udaipur</v>
      </c>
      <c r="AG903" t="str">
        <f>_xlfn.LET(_xlpm.city,LOWER(TRIM(tbl_FinancialData[[#This Row],[City]])),_xlpm.st,PROPER(TRIM(tbl_FinancialData[[#This Row],[State]])),IF(_xlpm.city="pune","Maharashtra",IF(_xlpm.city="jamshedpur","Jharkhand",IF(_xlpm.city="bhilai","Chhattisgarh",IF(_xlpm.city="mumbai","Maharashtra",_xlpm.st)))))</f>
        <v>Rajasthan</v>
      </c>
      <c r="AH903" t="str">
        <f>_xlfn.LET(_xlpm.d,PROPER(TRIM(tbl_FinancialData[[#This Row],[Department]])),IF(_xlpm.d="It","IT",_xlpm.d))</f>
        <v>Operations</v>
      </c>
      <c r="AI903" t="str">
        <f>_xlfn.LET(_xlpm.pid,tbl_FinancialData[[#This Row],[Product ID]],_xlpm.n,PROPER(TRIM(tbl_FinancialData[[#This Row],[Product Name]])),IF(_xlpm.pid="P020","Document Scanner",IF(_xlpm.pid="P015","Network Router",SUBSTITUTE(SUBSTITUTE(_xlpm.n,"Crm","CRM"),"Ups","UPS"))))</f>
        <v>CRM Software</v>
      </c>
      <c r="AJ903" s="3" t="str">
        <f>UPPER(TRIM(tbl_FinancialData[[#This Row],[Cost Center]]))</f>
        <v>CC-1001</v>
      </c>
    </row>
    <row r="904" spans="1:36" x14ac:dyDescent="0.25">
      <c r="A904" s="3" t="s">
        <v>1108</v>
      </c>
      <c r="B904" s="2">
        <v>45918</v>
      </c>
      <c r="C904" t="s">
        <v>46</v>
      </c>
      <c r="D904" s="3" t="str">
        <f t="shared" si="59"/>
        <v>Q2</v>
      </c>
      <c r="E904" s="3" t="str">
        <f t="shared" si="60"/>
        <v>FY2026</v>
      </c>
      <c r="F904" s="8" t="s">
        <v>59</v>
      </c>
      <c r="G904" s="3" t="s">
        <v>35</v>
      </c>
      <c r="H904" t="s">
        <v>254</v>
      </c>
      <c r="I904" t="s">
        <v>255</v>
      </c>
      <c r="J904" s="3" t="s">
        <v>38</v>
      </c>
      <c r="K904" t="s">
        <v>39</v>
      </c>
      <c r="L904" s="3" t="s">
        <v>72</v>
      </c>
      <c r="M904" s="3" t="s">
        <v>62</v>
      </c>
      <c r="N904" t="s">
        <v>63</v>
      </c>
      <c r="O904" t="s">
        <v>54</v>
      </c>
      <c r="P904" t="s">
        <v>55</v>
      </c>
      <c r="Q904" s="3">
        <v>5275.47</v>
      </c>
      <c r="R904" s="3">
        <v>5612.65</v>
      </c>
      <c r="S904" s="3">
        <v>3327.7</v>
      </c>
      <c r="T904" s="3">
        <v>573.59</v>
      </c>
      <c r="U904" s="3">
        <v>344.79</v>
      </c>
      <c r="V904" s="3">
        <v>620.08000000000004</v>
      </c>
      <c r="W904" s="3">
        <v>89.18</v>
      </c>
      <c r="X904" s="3">
        <v>4955.33</v>
      </c>
      <c r="Y904" s="3">
        <v>1947.77</v>
      </c>
      <c r="Z904" s="3">
        <f t="shared" si="61"/>
        <v>320.14000000000033</v>
      </c>
      <c r="AA904" s="37">
        <f t="shared" si="62"/>
        <v>6.0684640420664002E-2</v>
      </c>
      <c r="AB904" s="3">
        <v>-337.18</v>
      </c>
      <c r="AC904" s="3">
        <v>527.54999999999995</v>
      </c>
      <c r="AD904" s="3">
        <v>569.75</v>
      </c>
      <c r="AE904" s="3">
        <v>5317.67</v>
      </c>
      <c r="AF904" t="str">
        <f>IF(tbl_FinancialData[[#This Row],[City]]="","Unknown",PROPER(TRIM(tbl_FinancialData[[#This Row],[City]])))</f>
        <v>Noida</v>
      </c>
      <c r="AG904" t="str">
        <f>_xlfn.LET(_xlpm.city,LOWER(TRIM(tbl_FinancialData[[#This Row],[City]])),_xlpm.st,PROPER(TRIM(tbl_FinancialData[[#This Row],[State]])),IF(_xlpm.city="pune","Maharashtra",IF(_xlpm.city="jamshedpur","Jharkhand",IF(_xlpm.city="bhilai","Chhattisgarh",IF(_xlpm.city="mumbai","Maharashtra",_xlpm.st)))))</f>
        <v>Delhi</v>
      </c>
      <c r="AH904" t="str">
        <f>_xlfn.LET(_xlpm.d,PROPER(TRIM(tbl_FinancialData[[#This Row],[Department]])),IF(_xlpm.d="It","IT",_xlpm.d))</f>
        <v>Operations</v>
      </c>
      <c r="AI904" t="str">
        <f>_xlfn.LET(_xlpm.pid,tbl_FinancialData[[#This Row],[Product ID]],_xlpm.n,PROPER(TRIM(tbl_FinancialData[[#This Row],[Product Name]])),IF(_xlpm.pid="P020","Document Scanner",IF(_xlpm.pid="P015","Network Router",SUBSTITUTE(SUBSTITUTE(_xlpm.n,"Crm","CRM"),"Ups","UPS"))))</f>
        <v>Keyboard</v>
      </c>
      <c r="AJ904" s="3" t="str">
        <f>UPPER(TRIM(tbl_FinancialData[[#This Row],[Cost Center]]))</f>
        <v>CC-1004</v>
      </c>
    </row>
    <row r="905" spans="1:36" x14ac:dyDescent="0.25">
      <c r="A905" s="3" t="s">
        <v>1109</v>
      </c>
      <c r="B905" s="2">
        <v>46080</v>
      </c>
      <c r="C905" t="s">
        <v>57</v>
      </c>
      <c r="D905" s="3" t="str">
        <f t="shared" si="59"/>
        <v>Q4</v>
      </c>
      <c r="E905" s="3" t="str">
        <f t="shared" si="60"/>
        <v>FY2026</v>
      </c>
      <c r="F905" s="8" t="s">
        <v>67</v>
      </c>
      <c r="G905" s="3" t="s">
        <v>35</v>
      </c>
      <c r="H905" t="s">
        <v>68</v>
      </c>
      <c r="I905" t="s">
        <v>69</v>
      </c>
      <c r="J905" s="3" t="s">
        <v>70</v>
      </c>
      <c r="K905" t="s">
        <v>71</v>
      </c>
      <c r="L905" s="3" t="s">
        <v>72</v>
      </c>
      <c r="M905" s="3" t="s">
        <v>41</v>
      </c>
      <c r="N905" t="s">
        <v>42</v>
      </c>
      <c r="O905" t="s">
        <v>43</v>
      </c>
      <c r="P905" t="s">
        <v>44</v>
      </c>
      <c r="Q905" s="3">
        <v>35024.53</v>
      </c>
      <c r="R905" s="3">
        <v>35992.94</v>
      </c>
      <c r="S905" s="3">
        <v>19657.05</v>
      </c>
      <c r="T905" s="3">
        <v>3026.37</v>
      </c>
      <c r="U905" s="3">
        <v>1666.63</v>
      </c>
      <c r="V905" s="3">
        <v>3161.92</v>
      </c>
      <c r="W905" s="3">
        <v>402.83</v>
      </c>
      <c r="X905" s="3">
        <v>27914.81</v>
      </c>
      <c r="Y905" s="3">
        <v>15367.48</v>
      </c>
      <c r="Z905" s="3">
        <f t="shared" si="61"/>
        <v>7109.7199999999975</v>
      </c>
      <c r="AA905" s="37">
        <f t="shared" si="62"/>
        <v>0.20299258833737377</v>
      </c>
      <c r="AB905" s="3">
        <v>-968.42</v>
      </c>
      <c r="AC905" s="3">
        <v>0</v>
      </c>
      <c r="AD905" s="3">
        <v>4202.9399999999996</v>
      </c>
      <c r="AE905" s="3">
        <v>39227.47</v>
      </c>
      <c r="AF905" t="str">
        <f>IF(tbl_FinancialData[[#This Row],[City]]="","Unknown",PROPER(TRIM(tbl_FinancialData[[#This Row],[City]])))</f>
        <v>Bhubaneswar</v>
      </c>
      <c r="AG905" t="str">
        <f>_xlfn.LET(_xlpm.city,LOWER(TRIM(tbl_FinancialData[[#This Row],[City]])),_xlpm.st,PROPER(TRIM(tbl_FinancialData[[#This Row],[State]])),IF(_xlpm.city="pune","Maharashtra",IF(_xlpm.city="jamshedpur","Jharkhand",IF(_xlpm.city="bhilai","Chhattisgarh",IF(_xlpm.city="mumbai","Maharashtra",_xlpm.st)))))</f>
        <v>Odisha</v>
      </c>
      <c r="AH905" t="str">
        <f>_xlfn.LET(_xlpm.d,PROPER(TRIM(tbl_FinancialData[[#This Row],[Department]])),IF(_xlpm.d="It","IT",_xlpm.d))</f>
        <v>Marketing</v>
      </c>
      <c r="AI905" t="str">
        <f>_xlfn.LET(_xlpm.pid,tbl_FinancialData[[#This Row],[Product ID]],_xlpm.n,PROPER(TRIM(tbl_FinancialData[[#This Row],[Product Name]])),IF(_xlpm.pid="P020","Document Scanner",IF(_xlpm.pid="P015","Network Router",SUBSTITUTE(SUBSTITUTE(_xlpm.n,"Crm","CRM"),"Ups","UPS"))))</f>
        <v>Conference Camera</v>
      </c>
      <c r="AJ905" s="3" t="str">
        <f>UPPER(TRIM(tbl_FinancialData[[#This Row],[Cost Center]]))</f>
        <v>CC-1004</v>
      </c>
    </row>
    <row r="906" spans="1:36" x14ac:dyDescent="0.25">
      <c r="A906" s="3" t="s">
        <v>1110</v>
      </c>
      <c r="B906" s="2">
        <v>45982</v>
      </c>
      <c r="C906" t="s">
        <v>147</v>
      </c>
      <c r="D906" s="3" t="str">
        <f t="shared" si="59"/>
        <v>Q3</v>
      </c>
      <c r="E906" s="3" t="str">
        <f t="shared" si="60"/>
        <v>FY2026</v>
      </c>
      <c r="F906" s="8" t="s">
        <v>34</v>
      </c>
      <c r="G906" s="3" t="s">
        <v>35</v>
      </c>
      <c r="H906" t="s">
        <v>98</v>
      </c>
      <c r="I906" t="s">
        <v>304</v>
      </c>
      <c r="J906" s="3" t="s">
        <v>70</v>
      </c>
      <c r="K906" t="s">
        <v>101</v>
      </c>
      <c r="L906" s="3" t="s">
        <v>40</v>
      </c>
      <c r="M906" s="3" t="s">
        <v>110</v>
      </c>
      <c r="N906" t="s">
        <v>111</v>
      </c>
      <c r="O906" t="s">
        <v>112</v>
      </c>
      <c r="P906" t="s">
        <v>113</v>
      </c>
      <c r="Q906" s="3">
        <v>36948.11</v>
      </c>
      <c r="R906" s="3">
        <v>43535.07</v>
      </c>
      <c r="S906" s="3">
        <v>19226.53</v>
      </c>
      <c r="T906" s="3">
        <v>2272.58</v>
      </c>
      <c r="U906" s="3">
        <v>2132.63</v>
      </c>
      <c r="V906" s="3">
        <v>3365.66</v>
      </c>
      <c r="W906" s="3">
        <v>590.69000000000005</v>
      </c>
      <c r="X906" s="3">
        <v>27588.1</v>
      </c>
      <c r="Y906" s="3">
        <v>17721.580000000002</v>
      </c>
      <c r="Z906" s="3">
        <f t="shared" si="61"/>
        <v>9360.010000000002</v>
      </c>
      <c r="AA906" s="37">
        <f t="shared" si="62"/>
        <v>0.25332851937487472</v>
      </c>
      <c r="AB906" s="3">
        <v>-6586.96</v>
      </c>
      <c r="AC906" s="3">
        <v>2955.85</v>
      </c>
      <c r="AD906" s="3">
        <v>4079.07</v>
      </c>
      <c r="AE906" s="3">
        <v>38071.33</v>
      </c>
      <c r="AF906" t="str">
        <f>IF(tbl_FinancialData[[#This Row],[City]]="","Unknown",PROPER(TRIM(tbl_FinancialData[[#This Row],[City]])))</f>
        <v>Pune</v>
      </c>
      <c r="AG906" t="str">
        <f>_xlfn.LET(_xlpm.city,LOWER(TRIM(tbl_FinancialData[[#This Row],[City]])),_xlpm.st,PROPER(TRIM(tbl_FinancialData[[#This Row],[State]])),IF(_xlpm.city="pune","Maharashtra",IF(_xlpm.city="jamshedpur","Jharkhand",IF(_xlpm.city="bhilai","Chhattisgarh",IF(_xlpm.city="mumbai","Maharashtra",_xlpm.st)))))</f>
        <v>Maharashtra</v>
      </c>
      <c r="AH906" t="str">
        <f>_xlfn.LET(_xlpm.d,PROPER(TRIM(tbl_FinancialData[[#This Row],[Department]])),IF(_xlpm.d="It","IT",_xlpm.d))</f>
        <v>Finance</v>
      </c>
      <c r="AI906" t="str">
        <f>_xlfn.LET(_xlpm.pid,tbl_FinancialData[[#This Row],[Product ID]],_xlpm.n,PROPER(TRIM(tbl_FinancialData[[#This Row],[Product Name]])),IF(_xlpm.pid="P020","Document Scanner",IF(_xlpm.pid="P015","Network Router",SUBSTITUTE(SUBSTITUTE(_xlpm.n,"Crm","CRM"),"Ups","UPS"))))</f>
        <v>Office Desk</v>
      </c>
      <c r="AJ906" s="3" t="str">
        <f>UPPER(TRIM(tbl_FinancialData[[#This Row],[Cost Center]]))</f>
        <v>CC-1002</v>
      </c>
    </row>
    <row r="907" spans="1:36" x14ac:dyDescent="0.25">
      <c r="A907" s="3" t="s">
        <v>1111</v>
      </c>
      <c r="B907" s="2">
        <v>45813</v>
      </c>
      <c r="C907" t="s">
        <v>156</v>
      </c>
      <c r="D907" s="3" t="str">
        <f t="shared" si="59"/>
        <v>Q1</v>
      </c>
      <c r="E907" s="3" t="str">
        <f t="shared" si="60"/>
        <v>FY2026</v>
      </c>
      <c r="F907" s="8" t="s">
        <v>34</v>
      </c>
      <c r="G907" s="3" t="s">
        <v>35</v>
      </c>
      <c r="H907" t="s">
        <v>134</v>
      </c>
      <c r="I907" t="s">
        <v>135</v>
      </c>
      <c r="J907" s="3" t="s">
        <v>100</v>
      </c>
      <c r="K907" t="s">
        <v>71</v>
      </c>
      <c r="L907" s="3" t="s">
        <v>40</v>
      </c>
      <c r="M907" s="3" t="s">
        <v>62</v>
      </c>
      <c r="N907" t="s">
        <v>63</v>
      </c>
      <c r="O907" t="s">
        <v>54</v>
      </c>
      <c r="P907" t="s">
        <v>55</v>
      </c>
      <c r="Q907" s="3">
        <v>2398.1799999999998</v>
      </c>
      <c r="R907" s="3">
        <v>2819.38</v>
      </c>
      <c r="S907" s="3">
        <v>1347.08</v>
      </c>
      <c r="T907" s="3">
        <v>179.76</v>
      </c>
      <c r="U907" s="3">
        <v>201.18</v>
      </c>
      <c r="V907" s="3">
        <v>208.18</v>
      </c>
      <c r="W907" s="3">
        <v>42.02</v>
      </c>
      <c r="X907" s="3">
        <v>1978.22</v>
      </c>
      <c r="Y907" s="3">
        <v>1051.0999999999999</v>
      </c>
      <c r="Z907" s="3">
        <f t="shared" si="61"/>
        <v>419.95999999999981</v>
      </c>
      <c r="AA907" s="37">
        <f t="shared" si="62"/>
        <v>0.17511612973171314</v>
      </c>
      <c r="AB907" s="3">
        <v>-421.2</v>
      </c>
      <c r="AC907" s="3">
        <v>191.85</v>
      </c>
      <c r="AD907" s="3">
        <v>397.14</v>
      </c>
      <c r="AE907" s="3">
        <v>2603.4699999999998</v>
      </c>
      <c r="AF907" t="str">
        <f>IF(tbl_FinancialData[[#This Row],[City]]="","Unknown",PROPER(TRIM(tbl_FinancialData[[#This Row],[City]])))</f>
        <v>Jodhpur</v>
      </c>
      <c r="AG907" t="str">
        <f>_xlfn.LET(_xlpm.city,LOWER(TRIM(tbl_FinancialData[[#This Row],[City]])),_xlpm.st,PROPER(TRIM(tbl_FinancialData[[#This Row],[State]])),IF(_xlpm.city="pune","Maharashtra",IF(_xlpm.city="jamshedpur","Jharkhand",IF(_xlpm.city="bhilai","Chhattisgarh",IF(_xlpm.city="mumbai","Maharashtra",_xlpm.st)))))</f>
        <v>Rajasthan</v>
      </c>
      <c r="AH907" t="str">
        <f>_xlfn.LET(_xlpm.d,PROPER(TRIM(tbl_FinancialData[[#This Row],[Department]])),IF(_xlpm.d="It","IT",_xlpm.d))</f>
        <v>Marketing</v>
      </c>
      <c r="AI907" t="str">
        <f>_xlfn.LET(_xlpm.pid,tbl_FinancialData[[#This Row],[Product ID]],_xlpm.n,PROPER(TRIM(tbl_FinancialData[[#This Row],[Product Name]])),IF(_xlpm.pid="P020","Document Scanner",IF(_xlpm.pid="P015","Network Router",SUBSTITUTE(SUBSTITUTE(_xlpm.n,"Crm","CRM"),"Ups","UPS"))))</f>
        <v>Keyboard</v>
      </c>
      <c r="AJ907" s="3" t="str">
        <f>UPPER(TRIM(tbl_FinancialData[[#This Row],[Cost Center]]))</f>
        <v>CC-1002</v>
      </c>
    </row>
    <row r="908" spans="1:36" x14ac:dyDescent="0.25">
      <c r="A908" s="3" t="s">
        <v>1112</v>
      </c>
      <c r="B908" s="2">
        <v>45981</v>
      </c>
      <c r="C908" t="s">
        <v>147</v>
      </c>
      <c r="D908" s="3" t="str">
        <f t="shared" si="59"/>
        <v>Q3</v>
      </c>
      <c r="E908" s="3" t="str">
        <f t="shared" si="60"/>
        <v>FY2026</v>
      </c>
      <c r="F908" s="8" t="s">
        <v>67</v>
      </c>
      <c r="G908" s="3" t="s">
        <v>35</v>
      </c>
      <c r="H908" t="s">
        <v>118</v>
      </c>
      <c r="I908" t="s">
        <v>209</v>
      </c>
      <c r="J908" s="3" t="s">
        <v>70</v>
      </c>
      <c r="K908" t="s">
        <v>39</v>
      </c>
      <c r="L908" s="3" t="s">
        <v>40</v>
      </c>
      <c r="M908" s="3" t="s">
        <v>73</v>
      </c>
      <c r="N908" t="s">
        <v>74</v>
      </c>
      <c r="O908" t="s">
        <v>43</v>
      </c>
      <c r="P908" t="s">
        <v>75</v>
      </c>
      <c r="Q908" s="3">
        <v>57839.199999999997</v>
      </c>
      <c r="R908" s="3">
        <v>54591.83</v>
      </c>
      <c r="S908" s="3">
        <v>28880.5</v>
      </c>
      <c r="T908" s="3">
        <v>5491.48</v>
      </c>
      <c r="U908" s="3">
        <v>1497.13</v>
      </c>
      <c r="V908" s="3">
        <v>4219.4799999999996</v>
      </c>
      <c r="W908" s="3">
        <v>726.95</v>
      </c>
      <c r="X908" s="3">
        <v>40815.53</v>
      </c>
      <c r="Y908" s="3">
        <v>28958.7</v>
      </c>
      <c r="Z908" s="3">
        <f t="shared" si="61"/>
        <v>17023.669999999998</v>
      </c>
      <c r="AA908" s="37">
        <f t="shared" si="62"/>
        <v>0.29432754948201217</v>
      </c>
      <c r="AB908" s="3">
        <v>3247.37</v>
      </c>
      <c r="AC908" s="3">
        <v>1735.18</v>
      </c>
      <c r="AD908" s="3">
        <v>2805.2</v>
      </c>
      <c r="AE908" s="3">
        <v>58909.23</v>
      </c>
      <c r="AF908" t="str">
        <f>IF(tbl_FinancialData[[#This Row],[City]]="","Unknown",PROPER(TRIM(tbl_FinancialData[[#This Row],[City]])))</f>
        <v>Jamshedpur</v>
      </c>
      <c r="AG908" t="str">
        <f>_xlfn.LET(_xlpm.city,LOWER(TRIM(tbl_FinancialData[[#This Row],[City]])),_xlpm.st,PROPER(TRIM(tbl_FinancialData[[#This Row],[State]])),IF(_xlpm.city="pune","Maharashtra",IF(_xlpm.city="jamshedpur","Jharkhand",IF(_xlpm.city="bhilai","Chhattisgarh",IF(_xlpm.city="mumbai","Maharashtra",_xlpm.st)))))</f>
        <v>Jharkhand</v>
      </c>
      <c r="AH908" t="str">
        <f>_xlfn.LET(_xlpm.d,PROPER(TRIM(tbl_FinancialData[[#This Row],[Department]])),IF(_xlpm.d="It","IT",_xlpm.d))</f>
        <v>Operations</v>
      </c>
      <c r="AI908" t="str">
        <f>_xlfn.LET(_xlpm.pid,tbl_FinancialData[[#This Row],[Product ID]],_xlpm.n,PROPER(TRIM(tbl_FinancialData[[#This Row],[Product Name]])),IF(_xlpm.pid="P020","Document Scanner",IF(_xlpm.pid="P015","Network Router",SUBSTITUTE(SUBSTITUTE(_xlpm.n,"Crm","CRM"),"Ups","UPS"))))</f>
        <v>Monitor</v>
      </c>
      <c r="AJ908" s="3" t="str">
        <f>UPPER(TRIM(tbl_FinancialData[[#This Row],[Cost Center]]))</f>
        <v>CC-1002</v>
      </c>
    </row>
    <row r="909" spans="1:36" x14ac:dyDescent="0.25">
      <c r="A909" s="3" t="s">
        <v>1113</v>
      </c>
      <c r="B909" s="2">
        <v>45844</v>
      </c>
      <c r="C909" t="s">
        <v>32</v>
      </c>
      <c r="D909" s="3" t="str">
        <f t="shared" si="59"/>
        <v>Q2</v>
      </c>
      <c r="E909" s="3" t="str">
        <f t="shared" si="60"/>
        <v>FY2026</v>
      </c>
      <c r="F909" s="8" t="s">
        <v>59</v>
      </c>
      <c r="G909" s="3" t="s">
        <v>35</v>
      </c>
      <c r="H909" t="s">
        <v>254</v>
      </c>
      <c r="I909" t="s">
        <v>314</v>
      </c>
      <c r="J909" s="3" t="s">
        <v>100</v>
      </c>
      <c r="K909" t="s">
        <v>50</v>
      </c>
      <c r="L909" s="3" t="s">
        <v>40</v>
      </c>
      <c r="M909" s="3" t="s">
        <v>41</v>
      </c>
      <c r="N909" t="s">
        <v>42</v>
      </c>
      <c r="O909" t="s">
        <v>43</v>
      </c>
      <c r="P909" t="s">
        <v>44</v>
      </c>
      <c r="Q909" s="3">
        <v>44224.53</v>
      </c>
      <c r="R909" s="3">
        <v>47901.75</v>
      </c>
      <c r="S909" s="3">
        <v>31288.57</v>
      </c>
      <c r="T909" s="3">
        <v>4470.1400000000003</v>
      </c>
      <c r="U909" s="3">
        <v>3266.32</v>
      </c>
      <c r="V909" s="3">
        <v>4428.04</v>
      </c>
      <c r="W909" s="3">
        <v>954.13</v>
      </c>
      <c r="X909" s="3">
        <v>44407.19</v>
      </c>
      <c r="Y909" s="3">
        <v>12935.96</v>
      </c>
      <c r="Z909" s="3">
        <f t="shared" si="61"/>
        <v>-182.66000000000349</v>
      </c>
      <c r="AA909" s="37">
        <f t="shared" si="62"/>
        <v>-4.1302869696976654E-3</v>
      </c>
      <c r="AB909" s="3">
        <v>-3677.22</v>
      </c>
      <c r="AC909" s="3">
        <v>0</v>
      </c>
      <c r="AD909" s="3">
        <v>2211.23</v>
      </c>
      <c r="AE909" s="3">
        <v>46435.75</v>
      </c>
      <c r="AF909" t="str">
        <f>IF(tbl_FinancialData[[#This Row],[City]]="","Unknown",PROPER(TRIM(tbl_FinancialData[[#This Row],[City]])))</f>
        <v>New Delhi</v>
      </c>
      <c r="AG909" t="str">
        <f>_xlfn.LET(_xlpm.city,LOWER(TRIM(tbl_FinancialData[[#This Row],[City]])),_xlpm.st,PROPER(TRIM(tbl_FinancialData[[#This Row],[State]])),IF(_xlpm.city="pune","Maharashtra",IF(_xlpm.city="jamshedpur","Jharkhand",IF(_xlpm.city="bhilai","Chhattisgarh",IF(_xlpm.city="mumbai","Maharashtra",_xlpm.st)))))</f>
        <v>Delhi</v>
      </c>
      <c r="AH909" t="str">
        <f>_xlfn.LET(_xlpm.d,PROPER(TRIM(tbl_FinancialData[[#This Row],[Department]])),IF(_xlpm.d="It","IT",_xlpm.d))</f>
        <v>Sales</v>
      </c>
      <c r="AI909" t="str">
        <f>_xlfn.LET(_xlpm.pid,tbl_FinancialData[[#This Row],[Product ID]],_xlpm.n,PROPER(TRIM(tbl_FinancialData[[#This Row],[Product Name]])),IF(_xlpm.pid="P020","Document Scanner",IF(_xlpm.pid="P015","Network Router",SUBSTITUTE(SUBSTITUTE(_xlpm.n,"Crm","CRM"),"Ups","UPS"))))</f>
        <v>Conference Camera</v>
      </c>
      <c r="AJ909" s="3" t="str">
        <f>UPPER(TRIM(tbl_FinancialData[[#This Row],[Cost Center]]))</f>
        <v>CC-1002</v>
      </c>
    </row>
    <row r="910" spans="1:36" x14ac:dyDescent="0.25">
      <c r="A910" s="3" t="s">
        <v>1114</v>
      </c>
      <c r="B910" s="2">
        <v>46028</v>
      </c>
      <c r="C910" t="s">
        <v>77</v>
      </c>
      <c r="D910" s="3" t="str">
        <f t="shared" si="59"/>
        <v>Q4</v>
      </c>
      <c r="E910" s="3" t="str">
        <f t="shared" si="60"/>
        <v>FY2026</v>
      </c>
      <c r="F910" s="8" t="s">
        <v>34</v>
      </c>
      <c r="G910" s="3" t="s">
        <v>35</v>
      </c>
      <c r="H910" t="s">
        <v>98</v>
      </c>
      <c r="I910" t="s">
        <v>304</v>
      </c>
      <c r="J910" s="3" t="s">
        <v>70</v>
      </c>
      <c r="K910" t="s">
        <v>50</v>
      </c>
      <c r="L910" s="3" t="s">
        <v>51</v>
      </c>
      <c r="M910" s="3" t="s">
        <v>130</v>
      </c>
      <c r="N910" t="s">
        <v>131</v>
      </c>
      <c r="O910" t="s">
        <v>43</v>
      </c>
      <c r="P910" t="s">
        <v>132</v>
      </c>
      <c r="Q910" s="3">
        <v>62430.06</v>
      </c>
      <c r="R910" s="3">
        <v>69119.44</v>
      </c>
      <c r="S910" s="3">
        <v>31516.22</v>
      </c>
      <c r="T910" s="3">
        <v>4275.97</v>
      </c>
      <c r="U910" s="3">
        <v>3160.28</v>
      </c>
      <c r="V910" s="3">
        <v>3346.78</v>
      </c>
      <c r="W910" s="3">
        <v>1705.71</v>
      </c>
      <c r="X910" s="3">
        <v>44004.959999999999</v>
      </c>
      <c r="Y910" s="3">
        <v>30913.84</v>
      </c>
      <c r="Z910" s="3">
        <f t="shared" si="61"/>
        <v>18425.099999999999</v>
      </c>
      <c r="AA910" s="37">
        <f t="shared" si="62"/>
        <v>0.29513186436149508</v>
      </c>
      <c r="AB910" s="3">
        <v>-6689.38</v>
      </c>
      <c r="AC910" s="3">
        <v>1872.9</v>
      </c>
      <c r="AD910" s="3">
        <v>10900.29</v>
      </c>
      <c r="AE910" s="3">
        <v>71457.45</v>
      </c>
      <c r="AF910" t="str">
        <f>IF(tbl_FinancialData[[#This Row],[City]]="","Unknown",PROPER(TRIM(tbl_FinancialData[[#This Row],[City]])))</f>
        <v>Pune</v>
      </c>
      <c r="AG910" t="str">
        <f>_xlfn.LET(_xlpm.city,LOWER(TRIM(tbl_FinancialData[[#This Row],[City]])),_xlpm.st,PROPER(TRIM(tbl_FinancialData[[#This Row],[State]])),IF(_xlpm.city="pune","Maharashtra",IF(_xlpm.city="jamshedpur","Jharkhand",IF(_xlpm.city="bhilai","Chhattisgarh",IF(_xlpm.city="mumbai","Maharashtra",_xlpm.st)))))</f>
        <v>Maharashtra</v>
      </c>
      <c r="AH910" t="str">
        <f>_xlfn.LET(_xlpm.d,PROPER(TRIM(tbl_FinancialData[[#This Row],[Department]])),IF(_xlpm.d="It","IT",_xlpm.d))</f>
        <v>Sales</v>
      </c>
      <c r="AI910" t="str">
        <f>_xlfn.LET(_xlpm.pid,tbl_FinancialData[[#This Row],[Product ID]],_xlpm.n,PROPER(TRIM(tbl_FinancialData[[#This Row],[Product Name]])),IF(_xlpm.pid="P020","Document Scanner",IF(_xlpm.pid="P015","Network Router",SUBSTITUTE(SUBSTITUTE(_xlpm.n,"Crm","CRM"),"Ups","UPS"))))</f>
        <v>UPS System</v>
      </c>
      <c r="AJ910" s="3" t="str">
        <f>UPPER(TRIM(tbl_FinancialData[[#This Row],[Cost Center]]))</f>
        <v>CC-1003</v>
      </c>
    </row>
    <row r="911" spans="1:36" x14ac:dyDescent="0.25">
      <c r="A911" s="3" t="s">
        <v>1115</v>
      </c>
      <c r="B911" s="2">
        <v>45863</v>
      </c>
      <c r="C911" t="s">
        <v>32</v>
      </c>
      <c r="D911" s="3" t="str">
        <f t="shared" si="59"/>
        <v>Q2</v>
      </c>
      <c r="E911" s="3" t="str">
        <f t="shared" si="60"/>
        <v>FY2026</v>
      </c>
      <c r="F911" s="8" t="s">
        <v>59</v>
      </c>
      <c r="G911" s="3" t="s">
        <v>35</v>
      </c>
      <c r="H911" t="s">
        <v>230</v>
      </c>
      <c r="I911" t="s">
        <v>231</v>
      </c>
      <c r="J911" s="3" t="s">
        <v>38</v>
      </c>
      <c r="K911" t="s">
        <v>71</v>
      </c>
      <c r="L911" s="3" t="s">
        <v>94</v>
      </c>
      <c r="M911" s="3" t="s">
        <v>189</v>
      </c>
      <c r="N911" t="s">
        <v>190</v>
      </c>
      <c r="O911" t="s">
        <v>104</v>
      </c>
      <c r="P911" t="s">
        <v>105</v>
      </c>
      <c r="Q911" s="3">
        <v>12866.93</v>
      </c>
      <c r="R911" s="3">
        <v>12715.64</v>
      </c>
      <c r="S911" s="3">
        <v>8727.98</v>
      </c>
      <c r="T911" s="3">
        <v>1108.76</v>
      </c>
      <c r="U911" s="3">
        <v>759.67</v>
      </c>
      <c r="V911" s="3">
        <v>1525.96</v>
      </c>
      <c r="W911" s="3">
        <v>155.68</v>
      </c>
      <c r="X911" s="3">
        <v>12278.05</v>
      </c>
      <c r="Y911" s="3">
        <v>4138.96</v>
      </c>
      <c r="Z911" s="3">
        <f t="shared" si="61"/>
        <v>588.88000000000102</v>
      </c>
      <c r="AA911" s="37">
        <f t="shared" si="62"/>
        <v>4.5766938966793243E-2</v>
      </c>
      <c r="AB911" s="3">
        <v>151.29</v>
      </c>
      <c r="AC911" s="3">
        <v>386.01</v>
      </c>
      <c r="AD911" s="3">
        <v>2246.5700000000002</v>
      </c>
      <c r="AE911" s="3">
        <v>14727.49</v>
      </c>
      <c r="AF911" t="str">
        <f>IF(tbl_FinancialData[[#This Row],[City]]="","Unknown",PROPER(TRIM(tbl_FinancialData[[#This Row],[City]])))</f>
        <v>Ludhiana</v>
      </c>
      <c r="AG911" t="str">
        <f>_xlfn.LET(_xlpm.city,LOWER(TRIM(tbl_FinancialData[[#This Row],[City]])),_xlpm.st,PROPER(TRIM(tbl_FinancialData[[#This Row],[State]])),IF(_xlpm.city="pune","Maharashtra",IF(_xlpm.city="jamshedpur","Jharkhand",IF(_xlpm.city="bhilai","Chhattisgarh",IF(_xlpm.city="mumbai","Maharashtra",_xlpm.st)))))</f>
        <v>Punjab</v>
      </c>
      <c r="AH911" t="str">
        <f>_xlfn.LET(_xlpm.d,PROPER(TRIM(tbl_FinancialData[[#This Row],[Department]])),IF(_xlpm.d="It","IT",_xlpm.d))</f>
        <v>Marketing</v>
      </c>
      <c r="AI911" t="str">
        <f>_xlfn.LET(_xlpm.pid,tbl_FinancialData[[#This Row],[Product ID]],_xlpm.n,PROPER(TRIM(tbl_FinancialData[[#This Row],[Product Name]])),IF(_xlpm.pid="P020","Document Scanner",IF(_xlpm.pid="P015","Network Router",SUBSTITUTE(SUBSTITUTE(_xlpm.n,"Crm","CRM"),"Ups","UPS"))))</f>
        <v>CRM Software</v>
      </c>
      <c r="AJ911" s="3" t="str">
        <f>UPPER(TRIM(tbl_FinancialData[[#This Row],[Cost Center]]))</f>
        <v>CC-1001</v>
      </c>
    </row>
    <row r="912" spans="1:36" x14ac:dyDescent="0.25">
      <c r="A912" s="3" t="s">
        <v>1116</v>
      </c>
      <c r="B912" s="2">
        <v>45952</v>
      </c>
      <c r="C912" t="s">
        <v>92</v>
      </c>
      <c r="D912" s="3" t="str">
        <f t="shared" si="59"/>
        <v>Q3</v>
      </c>
      <c r="E912" s="3" t="str">
        <f t="shared" si="60"/>
        <v>FY2026</v>
      </c>
      <c r="F912" s="8" t="s">
        <v>34</v>
      </c>
      <c r="G912" s="3" t="s">
        <v>35</v>
      </c>
      <c r="H912" t="s">
        <v>98</v>
      </c>
      <c r="I912" t="s">
        <v>99</v>
      </c>
      <c r="J912" s="3" t="s">
        <v>38</v>
      </c>
      <c r="K912" t="s">
        <v>71</v>
      </c>
      <c r="L912" s="3" t="s">
        <v>94</v>
      </c>
      <c r="M912" s="3" t="s">
        <v>189</v>
      </c>
      <c r="N912" t="s">
        <v>190</v>
      </c>
      <c r="O912" t="s">
        <v>104</v>
      </c>
      <c r="P912" t="s">
        <v>105</v>
      </c>
      <c r="Q912" s="3">
        <v>13937.35</v>
      </c>
      <c r="R912" s="3">
        <v>13032.39</v>
      </c>
      <c r="S912" s="3">
        <v>7642.87</v>
      </c>
      <c r="T912" s="3">
        <v>1161.4100000000001</v>
      </c>
      <c r="U912" s="3">
        <v>668.8</v>
      </c>
      <c r="V912" s="3">
        <v>1142.73</v>
      </c>
      <c r="W912" s="3">
        <v>431.88</v>
      </c>
      <c r="X912" s="3">
        <v>11047.69</v>
      </c>
      <c r="Y912" s="3">
        <v>6294.48</v>
      </c>
      <c r="Z912" s="3">
        <f t="shared" si="61"/>
        <v>2889.66</v>
      </c>
      <c r="AA912" s="37">
        <f t="shared" si="62"/>
        <v>0.20733209684767906</v>
      </c>
      <c r="AB912" s="3">
        <v>904.97</v>
      </c>
      <c r="AC912" s="3">
        <v>696.87</v>
      </c>
      <c r="AD912" s="3">
        <v>2383.29</v>
      </c>
      <c r="AE912" s="3">
        <v>15623.77</v>
      </c>
      <c r="AF912" t="str">
        <f>IF(tbl_FinancialData[[#This Row],[City]]="","Unknown",PROPER(TRIM(tbl_FinancialData[[#This Row],[City]])))</f>
        <v>Mumbai</v>
      </c>
      <c r="AG912" t="str">
        <f>_xlfn.LET(_xlpm.city,LOWER(TRIM(tbl_FinancialData[[#This Row],[City]])),_xlpm.st,PROPER(TRIM(tbl_FinancialData[[#This Row],[State]])),IF(_xlpm.city="pune","Maharashtra",IF(_xlpm.city="jamshedpur","Jharkhand",IF(_xlpm.city="bhilai","Chhattisgarh",IF(_xlpm.city="mumbai","Maharashtra",_xlpm.st)))))</f>
        <v>Maharashtra</v>
      </c>
      <c r="AH912" t="str">
        <f>_xlfn.LET(_xlpm.d,PROPER(TRIM(tbl_FinancialData[[#This Row],[Department]])),IF(_xlpm.d="It","IT",_xlpm.d))</f>
        <v>Marketing</v>
      </c>
      <c r="AI912" t="str">
        <f>_xlfn.LET(_xlpm.pid,tbl_FinancialData[[#This Row],[Product ID]],_xlpm.n,PROPER(TRIM(tbl_FinancialData[[#This Row],[Product Name]])),IF(_xlpm.pid="P020","Document Scanner",IF(_xlpm.pid="P015","Network Router",SUBSTITUTE(SUBSTITUTE(_xlpm.n,"Crm","CRM"),"Ups","UPS"))))</f>
        <v>CRM Software</v>
      </c>
      <c r="AJ912" s="3" t="str">
        <f>UPPER(TRIM(tbl_FinancialData[[#This Row],[Cost Center]]))</f>
        <v>CC-1001</v>
      </c>
    </row>
    <row r="913" spans="1:36" x14ac:dyDescent="0.25">
      <c r="A913" s="3" t="s">
        <v>1117</v>
      </c>
      <c r="B913" s="2">
        <v>45751</v>
      </c>
      <c r="C913" t="s">
        <v>128</v>
      </c>
      <c r="D913" s="3" t="str">
        <f t="shared" si="59"/>
        <v>Q1</v>
      </c>
      <c r="E913" s="3" t="str">
        <f t="shared" si="60"/>
        <v>FY2026</v>
      </c>
      <c r="F913" s="8" t="s">
        <v>85</v>
      </c>
      <c r="G913" s="3" t="s">
        <v>35</v>
      </c>
      <c r="H913" t="s">
        <v>178</v>
      </c>
      <c r="I913" t="s">
        <v>329</v>
      </c>
      <c r="J913" s="3" t="s">
        <v>80</v>
      </c>
      <c r="K913" t="s">
        <v>71</v>
      </c>
      <c r="L913" s="3" t="s">
        <v>40</v>
      </c>
      <c r="M913" s="3" t="s">
        <v>52</v>
      </c>
      <c r="N913" t="s">
        <v>53</v>
      </c>
      <c r="O913" t="s">
        <v>54</v>
      </c>
      <c r="P913" t="s">
        <v>55</v>
      </c>
      <c r="Q913" s="3">
        <v>4590.33</v>
      </c>
      <c r="R913" s="3">
        <v>4773.93</v>
      </c>
      <c r="S913" s="3">
        <v>2929.9</v>
      </c>
      <c r="T913" s="3">
        <v>244.79</v>
      </c>
      <c r="U913" s="3">
        <v>330.03</v>
      </c>
      <c r="V913" s="3">
        <v>206.37</v>
      </c>
      <c r="W913" s="3">
        <v>121.14</v>
      </c>
      <c r="X913" s="3">
        <v>3832.23</v>
      </c>
      <c r="Y913" s="3">
        <v>1660.42</v>
      </c>
      <c r="Z913" s="3">
        <f t="shared" si="61"/>
        <v>758.09999999999991</v>
      </c>
      <c r="AA913" s="37">
        <f t="shared" si="62"/>
        <v>0.1651515250537543</v>
      </c>
      <c r="AB913" s="3">
        <v>-183.6</v>
      </c>
      <c r="AC913" s="3">
        <v>367.23</v>
      </c>
      <c r="AD913" s="3">
        <v>506.77</v>
      </c>
      <c r="AE913" s="3">
        <v>4729.87</v>
      </c>
      <c r="AF913" t="str">
        <f>IF(tbl_FinancialData[[#This Row],[City]]="","Unknown",PROPER(TRIM(tbl_FinancialData[[#This Row],[City]])))</f>
        <v>Raipur</v>
      </c>
      <c r="AG913" t="str">
        <f>_xlfn.LET(_xlpm.city,LOWER(TRIM(tbl_FinancialData[[#This Row],[City]])),_xlpm.st,PROPER(TRIM(tbl_FinancialData[[#This Row],[State]])),IF(_xlpm.city="pune","Maharashtra",IF(_xlpm.city="jamshedpur","Jharkhand",IF(_xlpm.city="bhilai","Chhattisgarh",IF(_xlpm.city="mumbai","Maharashtra",_xlpm.st)))))</f>
        <v>Chhattisgarh</v>
      </c>
      <c r="AH913" t="str">
        <f>_xlfn.LET(_xlpm.d,PROPER(TRIM(tbl_FinancialData[[#This Row],[Department]])),IF(_xlpm.d="It","IT",_xlpm.d))</f>
        <v>Marketing</v>
      </c>
      <c r="AI913" t="str">
        <f>_xlfn.LET(_xlpm.pid,tbl_FinancialData[[#This Row],[Product ID]],_xlpm.n,PROPER(TRIM(tbl_FinancialData[[#This Row],[Product Name]])),IF(_xlpm.pid="P020","Document Scanner",IF(_xlpm.pid="P015","Network Router",SUBSTITUTE(SUBSTITUTE(_xlpm.n,"Crm","CRM"),"Ups","UPS"))))</f>
        <v>Mouse</v>
      </c>
      <c r="AJ913" s="3" t="str">
        <f>UPPER(TRIM(tbl_FinancialData[[#This Row],[Cost Center]]))</f>
        <v>CC-1002</v>
      </c>
    </row>
    <row r="914" spans="1:36" x14ac:dyDescent="0.25">
      <c r="A914" s="3" t="s">
        <v>1118</v>
      </c>
      <c r="B914" s="2">
        <v>45973</v>
      </c>
      <c r="C914" t="s">
        <v>147</v>
      </c>
      <c r="D914" s="3" t="str">
        <f t="shared" si="59"/>
        <v>Q3</v>
      </c>
      <c r="E914" s="3" t="str">
        <f t="shared" si="60"/>
        <v>FY2026</v>
      </c>
      <c r="F914" s="8" t="s">
        <v>47</v>
      </c>
      <c r="G914" s="3" t="s">
        <v>35</v>
      </c>
      <c r="H914" t="s">
        <v>206</v>
      </c>
      <c r="I914" t="s">
        <v>207</v>
      </c>
      <c r="J914" s="3" t="s">
        <v>80</v>
      </c>
      <c r="K914" t="s">
        <v>71</v>
      </c>
      <c r="L914" s="3" t="s">
        <v>94</v>
      </c>
      <c r="M914" s="3" t="s">
        <v>235</v>
      </c>
      <c r="N914" t="s">
        <v>236</v>
      </c>
      <c r="O914" t="s">
        <v>104</v>
      </c>
      <c r="P914" t="s">
        <v>237</v>
      </c>
      <c r="Q914" s="3">
        <v>28945.13</v>
      </c>
      <c r="R914" s="3">
        <v>31544.73</v>
      </c>
      <c r="S914" s="3">
        <v>16266.71</v>
      </c>
      <c r="T914" s="3">
        <v>2450.33</v>
      </c>
      <c r="U914" s="3">
        <v>993.33</v>
      </c>
      <c r="V914" s="3">
        <v>1547.05</v>
      </c>
      <c r="W914" s="3">
        <v>455.89</v>
      </c>
      <c r="X914" s="3">
        <v>21713.32</v>
      </c>
      <c r="Y914" s="3">
        <v>12678.41</v>
      </c>
      <c r="Z914" s="3">
        <f t="shared" si="61"/>
        <v>7231.8100000000013</v>
      </c>
      <c r="AA914" s="37">
        <f t="shared" si="62"/>
        <v>0.24984548350620644</v>
      </c>
      <c r="AB914" s="3">
        <v>-2599.6</v>
      </c>
      <c r="AC914" s="3">
        <v>0</v>
      </c>
      <c r="AD914" s="3">
        <v>1447.26</v>
      </c>
      <c r="AE914" s="3">
        <v>30392.38</v>
      </c>
      <c r="AF914" t="str">
        <f>IF(tbl_FinancialData[[#This Row],[City]]="","Unknown",PROPER(TRIM(tbl_FinancialData[[#This Row],[City]])))</f>
        <v>Nizamabad</v>
      </c>
      <c r="AG914" t="str">
        <f>_xlfn.LET(_xlpm.city,LOWER(TRIM(tbl_FinancialData[[#This Row],[City]])),_xlpm.st,PROPER(TRIM(tbl_FinancialData[[#This Row],[State]])),IF(_xlpm.city="pune","Maharashtra",IF(_xlpm.city="jamshedpur","Jharkhand",IF(_xlpm.city="bhilai","Chhattisgarh",IF(_xlpm.city="mumbai","Maharashtra",_xlpm.st)))))</f>
        <v>Telangana</v>
      </c>
      <c r="AH914" t="str">
        <f>_xlfn.LET(_xlpm.d,PROPER(TRIM(tbl_FinancialData[[#This Row],[Department]])),IF(_xlpm.d="It","IT",_xlpm.d))</f>
        <v>Marketing</v>
      </c>
      <c r="AI914" t="str">
        <f>_xlfn.LET(_xlpm.pid,tbl_FinancialData[[#This Row],[Product ID]],_xlpm.n,PROPER(TRIM(tbl_FinancialData[[#This Row],[Product Name]])),IF(_xlpm.pid="P020","Document Scanner",IF(_xlpm.pid="P015","Network Router",SUBSTITUTE(SUBSTITUTE(_xlpm.n,"Crm","CRM"),"Ups","UPS"))))</f>
        <v>Data Storage</v>
      </c>
      <c r="AJ914" s="3" t="str">
        <f>UPPER(TRIM(tbl_FinancialData[[#This Row],[Cost Center]]))</f>
        <v>CC-1001</v>
      </c>
    </row>
    <row r="915" spans="1:36" x14ac:dyDescent="0.25">
      <c r="A915" s="3" t="s">
        <v>1119</v>
      </c>
      <c r="B915" s="2">
        <v>45886</v>
      </c>
      <c r="C915" t="s">
        <v>117</v>
      </c>
      <c r="D915" s="3" t="str">
        <f t="shared" si="59"/>
        <v>Q2</v>
      </c>
      <c r="E915" s="3" t="str">
        <f t="shared" si="60"/>
        <v>FY2026</v>
      </c>
      <c r="F915" s="8" t="s">
        <v>34</v>
      </c>
      <c r="G915" s="3" t="s">
        <v>35</v>
      </c>
      <c r="H915" t="s">
        <v>98</v>
      </c>
      <c r="I915" t="s">
        <v>304</v>
      </c>
      <c r="J915" s="3" t="s">
        <v>38</v>
      </c>
      <c r="K915" t="s">
        <v>50</v>
      </c>
      <c r="L915" s="3" t="s">
        <v>40</v>
      </c>
      <c r="M915" s="3" t="s">
        <v>197</v>
      </c>
      <c r="N915" t="s">
        <v>198</v>
      </c>
      <c r="O915" t="s">
        <v>43</v>
      </c>
      <c r="P915" t="s">
        <v>163</v>
      </c>
      <c r="Q915" s="3">
        <v>26443.96</v>
      </c>
      <c r="R915" s="3">
        <v>31162.25</v>
      </c>
      <c r="S915" s="3">
        <v>17891.8</v>
      </c>
      <c r="T915" s="3">
        <v>2497.8000000000002</v>
      </c>
      <c r="U915" s="3">
        <v>1494.3</v>
      </c>
      <c r="V915" s="3">
        <v>2824.28</v>
      </c>
      <c r="W915" s="3">
        <v>1130.72</v>
      </c>
      <c r="X915" s="3">
        <v>25838.9</v>
      </c>
      <c r="Y915" s="3">
        <v>8552.15</v>
      </c>
      <c r="Z915" s="3">
        <f t="shared" si="61"/>
        <v>605.05999999999767</v>
      </c>
      <c r="AA915" s="37">
        <f t="shared" si="62"/>
        <v>2.2880839329661583E-2</v>
      </c>
      <c r="AB915" s="3">
        <v>-4718.29</v>
      </c>
      <c r="AC915" s="3">
        <v>2644.4</v>
      </c>
      <c r="AD915" s="3">
        <v>2855.95</v>
      </c>
      <c r="AE915" s="3">
        <v>26655.51</v>
      </c>
      <c r="AF915" t="str">
        <f>IF(tbl_FinancialData[[#This Row],[City]]="","Unknown",PROPER(TRIM(tbl_FinancialData[[#This Row],[City]])))</f>
        <v>Pune</v>
      </c>
      <c r="AG915" t="str">
        <f>_xlfn.LET(_xlpm.city,LOWER(TRIM(tbl_FinancialData[[#This Row],[City]])),_xlpm.st,PROPER(TRIM(tbl_FinancialData[[#This Row],[State]])),IF(_xlpm.city="pune","Maharashtra",IF(_xlpm.city="jamshedpur","Jharkhand",IF(_xlpm.city="bhilai","Chhattisgarh",IF(_xlpm.city="mumbai","Maharashtra",_xlpm.st)))))</f>
        <v>Maharashtra</v>
      </c>
      <c r="AH915" t="str">
        <f>_xlfn.LET(_xlpm.d,PROPER(TRIM(tbl_FinancialData[[#This Row],[Department]])),IF(_xlpm.d="It","IT",_xlpm.d))</f>
        <v>Sales</v>
      </c>
      <c r="AI915" t="str">
        <f>_xlfn.LET(_xlpm.pid,tbl_FinancialData[[#This Row],[Product ID]],_xlpm.n,PROPER(TRIM(tbl_FinancialData[[#This Row],[Product Name]])),IF(_xlpm.pid="P020","Document Scanner",IF(_xlpm.pid="P015","Network Router",SUBSTITUTE(SUBSTITUTE(_xlpm.n,"Crm","CRM"),"Ups","UPS"))))</f>
        <v>Smartphone</v>
      </c>
      <c r="AJ915" s="3" t="str">
        <f>UPPER(TRIM(tbl_FinancialData[[#This Row],[Cost Center]]))</f>
        <v>CC-1002</v>
      </c>
    </row>
    <row r="916" spans="1:36" x14ac:dyDescent="0.25">
      <c r="A916" s="3" t="s">
        <v>1120</v>
      </c>
      <c r="B916" s="2">
        <v>45905</v>
      </c>
      <c r="C916" t="s">
        <v>46</v>
      </c>
      <c r="D916" s="3" t="str">
        <f t="shared" si="59"/>
        <v>Q2</v>
      </c>
      <c r="E916" s="3" t="str">
        <f t="shared" si="60"/>
        <v>FY2026</v>
      </c>
      <c r="F916" s="8" t="s">
        <v>59</v>
      </c>
      <c r="G916" s="3" t="s">
        <v>35</v>
      </c>
      <c r="H916" t="s">
        <v>254</v>
      </c>
      <c r="I916" t="s">
        <v>314</v>
      </c>
      <c r="J916" s="3" t="s">
        <v>38</v>
      </c>
      <c r="K916" t="s">
        <v>50</v>
      </c>
      <c r="L916" s="3" t="s">
        <v>94</v>
      </c>
      <c r="M916" s="3" t="s">
        <v>171</v>
      </c>
      <c r="N916" t="s">
        <v>172</v>
      </c>
      <c r="O916" t="s">
        <v>173</v>
      </c>
      <c r="P916" t="s">
        <v>174</v>
      </c>
      <c r="Q916" s="3">
        <v>16054.21</v>
      </c>
      <c r="R916" s="3">
        <v>16915.71</v>
      </c>
      <c r="S916" s="3">
        <v>9717.7199999999993</v>
      </c>
      <c r="T916" s="3">
        <v>814.04</v>
      </c>
      <c r="U916" s="3">
        <v>908.21</v>
      </c>
      <c r="V916" s="3">
        <v>1718.02</v>
      </c>
      <c r="W916" s="3">
        <v>283.95999999999998</v>
      </c>
      <c r="X916" s="3">
        <v>13441.95</v>
      </c>
      <c r="Y916" s="3">
        <v>6336.49</v>
      </c>
      <c r="Z916" s="3">
        <f t="shared" si="61"/>
        <v>2612.2599999999984</v>
      </c>
      <c r="AA916" s="37">
        <f t="shared" si="62"/>
        <v>0.16271495140526993</v>
      </c>
      <c r="AB916" s="3">
        <v>-861.5</v>
      </c>
      <c r="AC916" s="3">
        <v>481.63</v>
      </c>
      <c r="AD916" s="3">
        <v>778.63</v>
      </c>
      <c r="AE916" s="3">
        <v>16351.21</v>
      </c>
      <c r="AF916" t="str">
        <f>IF(tbl_FinancialData[[#This Row],[City]]="","Unknown",PROPER(TRIM(tbl_FinancialData[[#This Row],[City]])))</f>
        <v>New Delhi</v>
      </c>
      <c r="AG916" t="str">
        <f>_xlfn.LET(_xlpm.city,LOWER(TRIM(tbl_FinancialData[[#This Row],[City]])),_xlpm.st,PROPER(TRIM(tbl_FinancialData[[#This Row],[State]])),IF(_xlpm.city="pune","Maharashtra",IF(_xlpm.city="jamshedpur","Jharkhand",IF(_xlpm.city="bhilai","Chhattisgarh",IF(_xlpm.city="mumbai","Maharashtra",_xlpm.st)))))</f>
        <v>Delhi</v>
      </c>
      <c r="AH916" t="str">
        <f>_xlfn.LET(_xlpm.d,PROPER(TRIM(tbl_FinancialData[[#This Row],[Department]])),IF(_xlpm.d="It","IT",_xlpm.d))</f>
        <v>Sales</v>
      </c>
      <c r="AI916" t="str">
        <f>_xlfn.LET(_xlpm.pid,tbl_FinancialData[[#This Row],[Product ID]],_xlpm.n,PROPER(TRIM(tbl_FinancialData[[#This Row],[Product Name]])),IF(_xlpm.pid="P020","Document Scanner",IF(_xlpm.pid="P015","Network Router",SUBSTITUTE(SUBSTITUTE(_xlpm.n,"Crm","CRM"),"Ups","UPS"))))</f>
        <v>Network Switch</v>
      </c>
      <c r="AJ916" s="3" t="str">
        <f>UPPER(TRIM(tbl_FinancialData[[#This Row],[Cost Center]]))</f>
        <v>CC-1001</v>
      </c>
    </row>
    <row r="917" spans="1:36" x14ac:dyDescent="0.25">
      <c r="A917" s="3" t="s">
        <v>1121</v>
      </c>
      <c r="B917" s="2">
        <v>45887</v>
      </c>
      <c r="C917" t="s">
        <v>117</v>
      </c>
      <c r="D917" s="3" t="str">
        <f t="shared" si="59"/>
        <v>Q2</v>
      </c>
      <c r="E917" s="3" t="str">
        <f t="shared" si="60"/>
        <v>FY2026</v>
      </c>
      <c r="F917" s="8" t="s">
        <v>59</v>
      </c>
      <c r="G917" s="3" t="s">
        <v>35</v>
      </c>
      <c r="H917" t="s">
        <v>60</v>
      </c>
      <c r="I917" t="s">
        <v>185</v>
      </c>
      <c r="J917" s="3" t="s">
        <v>80</v>
      </c>
      <c r="K917" t="s">
        <v>160</v>
      </c>
      <c r="L917" s="3" t="s">
        <v>72</v>
      </c>
      <c r="M917" s="3" t="s">
        <v>189</v>
      </c>
      <c r="N917" t="s">
        <v>190</v>
      </c>
      <c r="O917" t="s">
        <v>104</v>
      </c>
      <c r="P917" t="s">
        <v>105</v>
      </c>
      <c r="Q917" s="3">
        <v>26169.1</v>
      </c>
      <c r="R917" s="3">
        <v>27080.76</v>
      </c>
      <c r="S917" s="3">
        <v>14651.12</v>
      </c>
      <c r="T917" s="3">
        <v>1887.67</v>
      </c>
      <c r="U917" s="3">
        <v>1769.99</v>
      </c>
      <c r="V917" s="3">
        <v>1297.6500000000001</v>
      </c>
      <c r="W917" s="3">
        <v>1067.03</v>
      </c>
      <c r="X917" s="3">
        <v>20673.47</v>
      </c>
      <c r="Y917" s="3">
        <v>11517.98</v>
      </c>
      <c r="Z917" s="3">
        <f t="shared" si="61"/>
        <v>5495.6299999999974</v>
      </c>
      <c r="AA917" s="37">
        <f t="shared" si="62"/>
        <v>0.21000454734782617</v>
      </c>
      <c r="AB917" s="3">
        <v>-911.66</v>
      </c>
      <c r="AC917" s="3">
        <v>1308.45</v>
      </c>
      <c r="AD917" s="3">
        <v>1243.03</v>
      </c>
      <c r="AE917" s="3">
        <v>26103.68</v>
      </c>
      <c r="AF917" t="str">
        <f>IF(tbl_FinancialData[[#This Row],[City]]="","Unknown",PROPER(TRIM(tbl_FinancialData[[#This Row],[City]])))</f>
        <v>Kanpur</v>
      </c>
      <c r="AG917" t="str">
        <f>_xlfn.LET(_xlpm.city,LOWER(TRIM(tbl_FinancialData[[#This Row],[City]])),_xlpm.st,PROPER(TRIM(tbl_FinancialData[[#This Row],[State]])),IF(_xlpm.city="pune","Maharashtra",IF(_xlpm.city="jamshedpur","Jharkhand",IF(_xlpm.city="bhilai","Chhattisgarh",IF(_xlpm.city="mumbai","Maharashtra",_xlpm.st)))))</f>
        <v>Uttar Pradesh</v>
      </c>
      <c r="AH917" t="str">
        <f>_xlfn.LET(_xlpm.d,PROPER(TRIM(tbl_FinancialData[[#This Row],[Department]])),IF(_xlpm.d="It","IT",_xlpm.d))</f>
        <v>IT</v>
      </c>
      <c r="AI917" t="str">
        <f>_xlfn.LET(_xlpm.pid,tbl_FinancialData[[#This Row],[Product ID]],_xlpm.n,PROPER(TRIM(tbl_FinancialData[[#This Row],[Product Name]])),IF(_xlpm.pid="P020","Document Scanner",IF(_xlpm.pid="P015","Network Router",SUBSTITUTE(SUBSTITUTE(_xlpm.n,"Crm","CRM"),"Ups","UPS"))))</f>
        <v>CRM Software</v>
      </c>
      <c r="AJ917" s="3" t="str">
        <f>UPPER(TRIM(tbl_FinancialData[[#This Row],[Cost Center]]))</f>
        <v>CC-1004</v>
      </c>
    </row>
    <row r="918" spans="1:36" x14ac:dyDescent="0.25">
      <c r="A918" s="3" t="s">
        <v>1122</v>
      </c>
      <c r="B918" s="2">
        <v>45888</v>
      </c>
      <c r="C918" t="s">
        <v>117</v>
      </c>
      <c r="D918" s="3" t="str">
        <f t="shared" si="59"/>
        <v>Q2</v>
      </c>
      <c r="E918" s="3" t="str">
        <f t="shared" si="60"/>
        <v>FY2026</v>
      </c>
      <c r="F918" s="8" t="s">
        <v>47</v>
      </c>
      <c r="G918" s="3" t="s">
        <v>35</v>
      </c>
      <c r="H918" t="s">
        <v>78</v>
      </c>
      <c r="I918" t="s">
        <v>79</v>
      </c>
      <c r="J918" s="3" t="s">
        <v>70</v>
      </c>
      <c r="K918" t="s">
        <v>71</v>
      </c>
      <c r="L918" s="3" t="s">
        <v>51</v>
      </c>
      <c r="M918" s="3" t="s">
        <v>235</v>
      </c>
      <c r="N918" t="s">
        <v>236</v>
      </c>
      <c r="O918" t="s">
        <v>104</v>
      </c>
      <c r="P918" t="s">
        <v>237</v>
      </c>
      <c r="Q918" s="3">
        <v>16954.439999999999</v>
      </c>
      <c r="R918" s="3">
        <v>16283.1</v>
      </c>
      <c r="S918" s="3">
        <v>9665.64</v>
      </c>
      <c r="T918" s="3">
        <v>2044.35</v>
      </c>
      <c r="U918" s="3">
        <v>1471.28</v>
      </c>
      <c r="V918" s="3">
        <v>1649.98</v>
      </c>
      <c r="W918" s="3">
        <v>461.82</v>
      </c>
      <c r="X918" s="3">
        <v>15293.06</v>
      </c>
      <c r="Y918" s="3">
        <v>7288.8</v>
      </c>
      <c r="Z918" s="3">
        <f t="shared" si="61"/>
        <v>1661.3799999999992</v>
      </c>
      <c r="AA918" s="37">
        <f t="shared" si="62"/>
        <v>9.7990850774192437E-2</v>
      </c>
      <c r="AB918" s="3">
        <v>671.34</v>
      </c>
      <c r="AC918" s="3">
        <v>847.72</v>
      </c>
      <c r="AD918" s="3">
        <v>1932.81</v>
      </c>
      <c r="AE918" s="3">
        <v>18039.52</v>
      </c>
      <c r="AF918" t="str">
        <f>IF(tbl_FinancialData[[#This Row],[City]]="","Unknown",PROPER(TRIM(tbl_FinancialData[[#This Row],[City]])))</f>
        <v>Kochi</v>
      </c>
      <c r="AG918" t="str">
        <f>_xlfn.LET(_xlpm.city,LOWER(TRIM(tbl_FinancialData[[#This Row],[City]])),_xlpm.st,PROPER(TRIM(tbl_FinancialData[[#This Row],[State]])),IF(_xlpm.city="pune","Maharashtra",IF(_xlpm.city="jamshedpur","Jharkhand",IF(_xlpm.city="bhilai","Chhattisgarh",IF(_xlpm.city="mumbai","Maharashtra",_xlpm.st)))))</f>
        <v>Kerala</v>
      </c>
      <c r="AH918" t="str">
        <f>_xlfn.LET(_xlpm.d,PROPER(TRIM(tbl_FinancialData[[#This Row],[Department]])),IF(_xlpm.d="It","IT",_xlpm.d))</f>
        <v>Marketing</v>
      </c>
      <c r="AI918" t="str">
        <f>_xlfn.LET(_xlpm.pid,tbl_FinancialData[[#This Row],[Product ID]],_xlpm.n,PROPER(TRIM(tbl_FinancialData[[#This Row],[Product Name]])),IF(_xlpm.pid="P020","Document Scanner",IF(_xlpm.pid="P015","Network Router",SUBSTITUTE(SUBSTITUTE(_xlpm.n,"Crm","CRM"),"Ups","UPS"))))</f>
        <v>Data Storage</v>
      </c>
      <c r="AJ918" s="3" t="str">
        <f>UPPER(TRIM(tbl_FinancialData[[#This Row],[Cost Center]]))</f>
        <v>CC-1003</v>
      </c>
    </row>
    <row r="919" spans="1:36" x14ac:dyDescent="0.25">
      <c r="A919" s="3" t="s">
        <v>1123</v>
      </c>
      <c r="B919" s="2">
        <v>46019</v>
      </c>
      <c r="C919" t="s">
        <v>107</v>
      </c>
      <c r="D919" s="3" t="str">
        <f t="shared" si="59"/>
        <v>Q3</v>
      </c>
      <c r="E919" s="3" t="str">
        <f t="shared" si="60"/>
        <v>FY2026</v>
      </c>
      <c r="F919" s="8" t="s">
        <v>67</v>
      </c>
      <c r="G919" s="3" t="s">
        <v>35</v>
      </c>
      <c r="H919" t="s">
        <v>68</v>
      </c>
      <c r="I919" t="s">
        <v>260</v>
      </c>
      <c r="J919" s="3" t="s">
        <v>38</v>
      </c>
      <c r="K919" t="s">
        <v>101</v>
      </c>
      <c r="L919" s="3" t="s">
        <v>81</v>
      </c>
      <c r="M919" s="3" t="s">
        <v>235</v>
      </c>
      <c r="N919" t="s">
        <v>236</v>
      </c>
      <c r="O919" t="s">
        <v>104</v>
      </c>
      <c r="P919" t="s">
        <v>237</v>
      </c>
      <c r="Q919" s="3">
        <v>23905.94</v>
      </c>
      <c r="R919" s="3">
        <v>22594.62</v>
      </c>
      <c r="S919" s="3">
        <v>17121.91</v>
      </c>
      <c r="T919" s="3">
        <v>2804.98</v>
      </c>
      <c r="U919" s="3">
        <v>1823.67</v>
      </c>
      <c r="V919" s="3">
        <v>1587.77</v>
      </c>
      <c r="W919" s="3">
        <v>687.23</v>
      </c>
      <c r="X919" s="3">
        <v>24025.56</v>
      </c>
      <c r="Y919" s="3">
        <v>6784.03</v>
      </c>
      <c r="Z919" s="3">
        <f t="shared" si="61"/>
        <v>-119.62000000000262</v>
      </c>
      <c r="AA919" s="37">
        <f t="shared" si="62"/>
        <v>-5.0037773038835798E-3</v>
      </c>
      <c r="AB919" s="3">
        <v>1311.32</v>
      </c>
      <c r="AC919" s="3">
        <v>0</v>
      </c>
      <c r="AD919" s="3">
        <v>2868.71</v>
      </c>
      <c r="AE919" s="3">
        <v>26774.65</v>
      </c>
      <c r="AF919" t="str">
        <f>IF(tbl_FinancialData[[#This Row],[City]]="","Unknown",PROPER(TRIM(tbl_FinancialData[[#This Row],[City]])))</f>
        <v>Rourkela</v>
      </c>
      <c r="AG919" t="str">
        <f>_xlfn.LET(_xlpm.city,LOWER(TRIM(tbl_FinancialData[[#This Row],[City]])),_xlpm.st,PROPER(TRIM(tbl_FinancialData[[#This Row],[State]])),IF(_xlpm.city="pune","Maharashtra",IF(_xlpm.city="jamshedpur","Jharkhand",IF(_xlpm.city="bhilai","Chhattisgarh",IF(_xlpm.city="mumbai","Maharashtra",_xlpm.st)))))</f>
        <v>Odisha</v>
      </c>
      <c r="AH919" t="str">
        <f>_xlfn.LET(_xlpm.d,PROPER(TRIM(tbl_FinancialData[[#This Row],[Department]])),IF(_xlpm.d="It","IT",_xlpm.d))</f>
        <v>Finance</v>
      </c>
      <c r="AI919" t="str">
        <f>_xlfn.LET(_xlpm.pid,tbl_FinancialData[[#This Row],[Product ID]],_xlpm.n,PROPER(TRIM(tbl_FinancialData[[#This Row],[Product Name]])),IF(_xlpm.pid="P020","Document Scanner",IF(_xlpm.pid="P015","Network Router",SUBSTITUTE(SUBSTITUTE(_xlpm.n,"Crm","CRM"),"Ups","UPS"))))</f>
        <v>Data Storage</v>
      </c>
      <c r="AJ919" s="3" t="str">
        <f>UPPER(TRIM(tbl_FinancialData[[#This Row],[Cost Center]]))</f>
        <v>CC-1005</v>
      </c>
    </row>
    <row r="920" spans="1:36" x14ac:dyDescent="0.25">
      <c r="A920" s="3" t="s">
        <v>1124</v>
      </c>
      <c r="B920" s="2">
        <v>46083</v>
      </c>
      <c r="C920" t="s">
        <v>125</v>
      </c>
      <c r="D920" s="3" t="str">
        <f t="shared" si="59"/>
        <v>Q4</v>
      </c>
      <c r="E920" s="3" t="str">
        <f t="shared" si="60"/>
        <v>FY2026</v>
      </c>
      <c r="F920" s="8" t="s">
        <v>85</v>
      </c>
      <c r="G920" s="3" t="s">
        <v>35</v>
      </c>
      <c r="H920" t="s">
        <v>60</v>
      </c>
      <c r="I920" t="s">
        <v>108</v>
      </c>
      <c r="J920" s="3" t="s">
        <v>100</v>
      </c>
      <c r="K920" t="s">
        <v>101</v>
      </c>
      <c r="L920" s="3" t="s">
        <v>72</v>
      </c>
      <c r="M920" s="3" t="s">
        <v>211</v>
      </c>
      <c r="N920" t="s">
        <v>212</v>
      </c>
      <c r="O920" t="s">
        <v>112</v>
      </c>
      <c r="P920" t="s">
        <v>113</v>
      </c>
      <c r="Q920" s="3">
        <v>17400.38</v>
      </c>
      <c r="R920" s="3">
        <v>19907.97</v>
      </c>
      <c r="S920" s="3">
        <v>8567.25</v>
      </c>
      <c r="T920" s="3">
        <v>1642.52</v>
      </c>
      <c r="U920" s="3">
        <v>1316.88</v>
      </c>
      <c r="V920" s="3">
        <v>858.65</v>
      </c>
      <c r="W920" s="3">
        <v>420.34</v>
      </c>
      <c r="X920" s="3">
        <v>12805.64</v>
      </c>
      <c r="Y920" s="3">
        <v>8833.1299999999992</v>
      </c>
      <c r="Z920" s="3">
        <f t="shared" si="61"/>
        <v>4594.7400000000016</v>
      </c>
      <c r="AA920" s="37">
        <f t="shared" si="62"/>
        <v>0.26405975041924379</v>
      </c>
      <c r="AB920" s="3">
        <v>-2507.58</v>
      </c>
      <c r="AC920" s="3">
        <v>0</v>
      </c>
      <c r="AD920" s="3">
        <v>3132.07</v>
      </c>
      <c r="AE920" s="3">
        <v>20532.45</v>
      </c>
      <c r="AF920" t="str">
        <f>IF(tbl_FinancialData[[#This Row],[City]]="","Unknown",PROPER(TRIM(tbl_FinancialData[[#This Row],[City]])))</f>
        <v>Agra</v>
      </c>
      <c r="AG920" t="str">
        <f>_xlfn.LET(_xlpm.city,LOWER(TRIM(tbl_FinancialData[[#This Row],[City]])),_xlpm.st,PROPER(TRIM(tbl_FinancialData[[#This Row],[State]])),IF(_xlpm.city="pune","Maharashtra",IF(_xlpm.city="jamshedpur","Jharkhand",IF(_xlpm.city="bhilai","Chhattisgarh",IF(_xlpm.city="mumbai","Maharashtra",_xlpm.st)))))</f>
        <v>Uttar Pradesh</v>
      </c>
      <c r="AH920" t="str">
        <f>_xlfn.LET(_xlpm.d,PROPER(TRIM(tbl_FinancialData[[#This Row],[Department]])),IF(_xlpm.d="It","IT",_xlpm.d))</f>
        <v>Finance</v>
      </c>
      <c r="AI920" t="str">
        <f>_xlfn.LET(_xlpm.pid,tbl_FinancialData[[#This Row],[Product ID]],_xlpm.n,PROPER(TRIM(tbl_FinancialData[[#This Row],[Product Name]])),IF(_xlpm.pid="P020","Document Scanner",IF(_xlpm.pid="P015","Network Router",SUBSTITUTE(SUBSTITUTE(_xlpm.n,"Crm","CRM"),"Ups","UPS"))))</f>
        <v>Office Chair</v>
      </c>
      <c r="AJ920" s="3" t="str">
        <f>UPPER(TRIM(tbl_FinancialData[[#This Row],[Cost Center]]))</f>
        <v>CC-1004</v>
      </c>
    </row>
    <row r="921" spans="1:36" x14ac:dyDescent="0.25">
      <c r="A921" s="3" t="s">
        <v>1125</v>
      </c>
      <c r="B921" s="2">
        <v>45822</v>
      </c>
      <c r="C921" t="s">
        <v>156</v>
      </c>
      <c r="D921" s="3" t="str">
        <f t="shared" si="59"/>
        <v>Q1</v>
      </c>
      <c r="E921" s="3" t="str">
        <f t="shared" si="60"/>
        <v>FY2026</v>
      </c>
      <c r="F921" s="8" t="s">
        <v>59</v>
      </c>
      <c r="G921" s="3" t="s">
        <v>35</v>
      </c>
      <c r="H921" t="s">
        <v>230</v>
      </c>
      <c r="I921" t="s">
        <v>301</v>
      </c>
      <c r="J921" s="3" t="s">
        <v>70</v>
      </c>
      <c r="K921" t="s">
        <v>50</v>
      </c>
      <c r="L921" s="3" t="s">
        <v>72</v>
      </c>
      <c r="M921" s="3" t="s">
        <v>211</v>
      </c>
      <c r="N921" t="s">
        <v>212</v>
      </c>
      <c r="O921" t="s">
        <v>112</v>
      </c>
      <c r="P921" t="s">
        <v>113</v>
      </c>
      <c r="Q921" s="3">
        <v>28206.23</v>
      </c>
      <c r="R921" s="3">
        <v>31839.759999999998</v>
      </c>
      <c r="S921" s="3">
        <v>14830.56</v>
      </c>
      <c r="T921" s="3">
        <v>3231.71</v>
      </c>
      <c r="U921" s="3">
        <v>1910.61</v>
      </c>
      <c r="V921" s="3">
        <v>1563.17</v>
      </c>
      <c r="W921" s="3">
        <v>580.70000000000005</v>
      </c>
      <c r="X921" s="3">
        <v>22116.75</v>
      </c>
      <c r="Y921" s="3">
        <v>13375.67</v>
      </c>
      <c r="Z921" s="3">
        <f t="shared" si="61"/>
        <v>6089.48</v>
      </c>
      <c r="AA921" s="37">
        <f t="shared" si="62"/>
        <v>0.21589131195484118</v>
      </c>
      <c r="AB921" s="3">
        <v>-3633.53</v>
      </c>
      <c r="AC921" s="3">
        <v>0</v>
      </c>
      <c r="AD921" s="3">
        <v>3384.75</v>
      </c>
      <c r="AE921" s="3">
        <v>31590.98</v>
      </c>
      <c r="AF921" t="str">
        <f>IF(tbl_FinancialData[[#This Row],[City]]="","Unknown",PROPER(TRIM(tbl_FinancialData[[#This Row],[City]])))</f>
        <v>Amritsar</v>
      </c>
      <c r="AG921" t="str">
        <f>_xlfn.LET(_xlpm.city,LOWER(TRIM(tbl_FinancialData[[#This Row],[City]])),_xlpm.st,PROPER(TRIM(tbl_FinancialData[[#This Row],[State]])),IF(_xlpm.city="pune","Maharashtra",IF(_xlpm.city="jamshedpur","Jharkhand",IF(_xlpm.city="bhilai","Chhattisgarh",IF(_xlpm.city="mumbai","Maharashtra",_xlpm.st)))))</f>
        <v>Punjab</v>
      </c>
      <c r="AH921" t="str">
        <f>_xlfn.LET(_xlpm.d,PROPER(TRIM(tbl_FinancialData[[#This Row],[Department]])),IF(_xlpm.d="It","IT",_xlpm.d))</f>
        <v>Sales</v>
      </c>
      <c r="AI921" t="str">
        <f>_xlfn.LET(_xlpm.pid,tbl_FinancialData[[#This Row],[Product ID]],_xlpm.n,PROPER(TRIM(tbl_FinancialData[[#This Row],[Product Name]])),IF(_xlpm.pid="P020","Document Scanner",IF(_xlpm.pid="P015","Network Router",SUBSTITUTE(SUBSTITUTE(_xlpm.n,"Crm","CRM"),"Ups","UPS"))))</f>
        <v>Office Chair</v>
      </c>
      <c r="AJ921" s="3" t="str">
        <f>UPPER(TRIM(tbl_FinancialData[[#This Row],[Cost Center]]))</f>
        <v>CC-1004</v>
      </c>
    </row>
    <row r="922" spans="1:36" x14ac:dyDescent="0.25">
      <c r="A922" s="3" t="s">
        <v>1126</v>
      </c>
      <c r="B922" s="2">
        <v>46053</v>
      </c>
      <c r="C922" t="s">
        <v>77</v>
      </c>
      <c r="D922" s="3" t="str">
        <f t="shared" si="59"/>
        <v>Q4</v>
      </c>
      <c r="E922" s="3" t="str">
        <f t="shared" si="60"/>
        <v>FY2026</v>
      </c>
      <c r="F922" s="8" t="s">
        <v>85</v>
      </c>
      <c r="G922" s="3" t="s">
        <v>35</v>
      </c>
      <c r="H922" t="s">
        <v>178</v>
      </c>
      <c r="I922" t="s">
        <v>249</v>
      </c>
      <c r="J922" s="3" t="s">
        <v>70</v>
      </c>
      <c r="K922" t="s">
        <v>39</v>
      </c>
      <c r="L922" s="3" t="s">
        <v>81</v>
      </c>
      <c r="M922" s="3" t="s">
        <v>82</v>
      </c>
      <c r="N922" t="s">
        <v>83</v>
      </c>
      <c r="O922" t="s">
        <v>43</v>
      </c>
      <c r="P922" t="s">
        <v>75</v>
      </c>
      <c r="Q922" s="3">
        <v>44966.93</v>
      </c>
      <c r="R922" s="3">
        <v>45933.53</v>
      </c>
      <c r="S922" s="3">
        <v>24486.16</v>
      </c>
      <c r="T922" s="3">
        <v>2449.9</v>
      </c>
      <c r="U922" s="3">
        <v>2318.62</v>
      </c>
      <c r="V922" s="3">
        <v>1987.87</v>
      </c>
      <c r="W922" s="3">
        <v>1316.06</v>
      </c>
      <c r="X922" s="3">
        <v>32558.61</v>
      </c>
      <c r="Y922" s="3">
        <v>20480.77</v>
      </c>
      <c r="Z922" s="3">
        <f t="shared" si="61"/>
        <v>12408.32</v>
      </c>
      <c r="AA922" s="37">
        <f t="shared" si="62"/>
        <v>0.27594323205964916</v>
      </c>
      <c r="AB922" s="3">
        <v>-966.6</v>
      </c>
      <c r="AC922" s="3">
        <v>899.34</v>
      </c>
      <c r="AD922" s="3">
        <v>5288.11</v>
      </c>
      <c r="AE922" s="3">
        <v>49355.7</v>
      </c>
      <c r="AF922" t="str">
        <f>IF(tbl_FinancialData[[#This Row],[City]]="","Unknown",PROPER(TRIM(tbl_FinancialData[[#This Row],[City]])))</f>
        <v>Bhilai</v>
      </c>
      <c r="AG922" t="str">
        <f>_xlfn.LET(_xlpm.city,LOWER(TRIM(tbl_FinancialData[[#This Row],[City]])),_xlpm.st,PROPER(TRIM(tbl_FinancialData[[#This Row],[State]])),IF(_xlpm.city="pune","Maharashtra",IF(_xlpm.city="jamshedpur","Jharkhand",IF(_xlpm.city="bhilai","Chhattisgarh",IF(_xlpm.city="mumbai","Maharashtra",_xlpm.st)))))</f>
        <v>Chhattisgarh</v>
      </c>
      <c r="AH922" t="str">
        <f>_xlfn.LET(_xlpm.d,PROPER(TRIM(tbl_FinancialData[[#This Row],[Department]])),IF(_xlpm.d="It","IT",_xlpm.d))</f>
        <v>Operations</v>
      </c>
      <c r="AI922" t="str">
        <f>_xlfn.LET(_xlpm.pid,tbl_FinancialData[[#This Row],[Product ID]],_xlpm.n,PROPER(TRIM(tbl_FinancialData[[#This Row],[Product Name]])),IF(_xlpm.pid="P020","Document Scanner",IF(_xlpm.pid="P015","Network Router",SUBSTITUTE(SUBSTITUTE(_xlpm.n,"Crm","CRM"),"Ups","UPS"))))</f>
        <v>Business Laptop</v>
      </c>
      <c r="AJ922" s="3" t="str">
        <f>UPPER(TRIM(tbl_FinancialData[[#This Row],[Cost Center]]))</f>
        <v>CC-1005</v>
      </c>
    </row>
    <row r="923" spans="1:36" x14ac:dyDescent="0.25">
      <c r="A923" s="3" t="s">
        <v>1127</v>
      </c>
      <c r="B923" s="2">
        <v>46049</v>
      </c>
      <c r="C923" t="s">
        <v>77</v>
      </c>
      <c r="D923" s="3" t="str">
        <f t="shared" si="59"/>
        <v>Q4</v>
      </c>
      <c r="E923" s="3" t="str">
        <f t="shared" si="60"/>
        <v>FY2026</v>
      </c>
      <c r="F923" s="8" t="s">
        <v>67</v>
      </c>
      <c r="G923" s="3" t="s">
        <v>35</v>
      </c>
      <c r="H923" t="s">
        <v>168</v>
      </c>
      <c r="I923" t="s">
        <v>278</v>
      </c>
      <c r="J923" s="3" t="s">
        <v>100</v>
      </c>
      <c r="K923" t="s">
        <v>71</v>
      </c>
      <c r="L923" s="3" t="s">
        <v>81</v>
      </c>
      <c r="M923" s="3" t="s">
        <v>171</v>
      </c>
      <c r="N923" t="s">
        <v>172</v>
      </c>
      <c r="O923" t="s">
        <v>173</v>
      </c>
      <c r="P923" t="s">
        <v>174</v>
      </c>
      <c r="Q923" s="3">
        <v>16229.31</v>
      </c>
      <c r="R923" s="3">
        <v>17250.45</v>
      </c>
      <c r="S923" s="3">
        <v>8858.66</v>
      </c>
      <c r="T923" s="3">
        <v>1718.45</v>
      </c>
      <c r="U923" s="3">
        <v>566.98</v>
      </c>
      <c r="V923" s="3">
        <v>789.43</v>
      </c>
      <c r="W923" s="3">
        <v>466.12</v>
      </c>
      <c r="X923" s="3">
        <v>12399.64</v>
      </c>
      <c r="Y923" s="3">
        <v>7370.65</v>
      </c>
      <c r="Z923" s="3">
        <f t="shared" si="61"/>
        <v>3829.67</v>
      </c>
      <c r="AA923" s="37">
        <f t="shared" si="62"/>
        <v>0.23597244738069581</v>
      </c>
      <c r="AB923" s="3">
        <v>-1021.14</v>
      </c>
      <c r="AC923" s="3">
        <v>811.47</v>
      </c>
      <c r="AD923" s="3">
        <v>770.89</v>
      </c>
      <c r="AE923" s="3">
        <v>16188.74</v>
      </c>
      <c r="AF923" t="str">
        <f>IF(tbl_FinancialData[[#This Row],[City]]="","Unknown",PROPER(TRIM(tbl_FinancialData[[#This Row],[City]])))</f>
        <v>Siliguri</v>
      </c>
      <c r="AG923" t="str">
        <f>_xlfn.LET(_xlpm.city,LOWER(TRIM(tbl_FinancialData[[#This Row],[City]])),_xlpm.st,PROPER(TRIM(tbl_FinancialData[[#This Row],[State]])),IF(_xlpm.city="pune","Maharashtra",IF(_xlpm.city="jamshedpur","Jharkhand",IF(_xlpm.city="bhilai","Chhattisgarh",IF(_xlpm.city="mumbai","Maharashtra",_xlpm.st)))))</f>
        <v>West Bengal</v>
      </c>
      <c r="AH923" t="str">
        <f>_xlfn.LET(_xlpm.d,PROPER(TRIM(tbl_FinancialData[[#This Row],[Department]])),IF(_xlpm.d="It","IT",_xlpm.d))</f>
        <v>Marketing</v>
      </c>
      <c r="AI923" t="str">
        <f>_xlfn.LET(_xlpm.pid,tbl_FinancialData[[#This Row],[Product ID]],_xlpm.n,PROPER(TRIM(tbl_FinancialData[[#This Row],[Product Name]])),IF(_xlpm.pid="P020","Document Scanner",IF(_xlpm.pid="P015","Network Router",SUBSTITUTE(SUBSTITUTE(_xlpm.n,"Crm","CRM"),"Ups","UPS"))))</f>
        <v>Network Switch</v>
      </c>
      <c r="AJ923" s="3" t="str">
        <f>UPPER(TRIM(tbl_FinancialData[[#This Row],[Cost Center]]))</f>
        <v>CC-1005</v>
      </c>
    </row>
    <row r="924" spans="1:36" x14ac:dyDescent="0.25">
      <c r="A924" s="3" t="s">
        <v>1128</v>
      </c>
      <c r="B924" s="2">
        <v>46032</v>
      </c>
      <c r="C924" t="s">
        <v>77</v>
      </c>
      <c r="D924" s="3" t="str">
        <f t="shared" si="59"/>
        <v>Q4</v>
      </c>
      <c r="E924" s="3" t="str">
        <f t="shared" si="60"/>
        <v>FY2026</v>
      </c>
      <c r="F924" s="8" t="s">
        <v>34</v>
      </c>
      <c r="G924" s="3" t="s">
        <v>35</v>
      </c>
      <c r="H924" t="s">
        <v>98</v>
      </c>
      <c r="I924" t="s">
        <v>149</v>
      </c>
      <c r="J924" s="3" t="s">
        <v>70</v>
      </c>
      <c r="K924" t="s">
        <v>50</v>
      </c>
      <c r="L924" s="3" t="s">
        <v>40</v>
      </c>
      <c r="M924" s="3" t="s">
        <v>197</v>
      </c>
      <c r="N924" t="s">
        <v>198</v>
      </c>
      <c r="O924" t="s">
        <v>43</v>
      </c>
      <c r="P924" t="s">
        <v>163</v>
      </c>
      <c r="Q924" s="3">
        <v>44694.52</v>
      </c>
      <c r="R924" s="3">
        <v>47291.38</v>
      </c>
      <c r="S924" s="3">
        <v>30098.06</v>
      </c>
      <c r="T924" s="3">
        <v>3763.03</v>
      </c>
      <c r="U924" s="3">
        <v>1446.8</v>
      </c>
      <c r="V924" s="3">
        <v>3338.6</v>
      </c>
      <c r="W924" s="3">
        <v>1162.3</v>
      </c>
      <c r="X924" s="3">
        <v>39808.800000000003</v>
      </c>
      <c r="Y924" s="3">
        <v>14596.45</v>
      </c>
      <c r="Z924" s="3">
        <f t="shared" si="61"/>
        <v>4885.7199999999939</v>
      </c>
      <c r="AA924" s="37">
        <f t="shared" si="62"/>
        <v>0.1093136250260657</v>
      </c>
      <c r="AB924" s="3">
        <v>-2596.86</v>
      </c>
      <c r="AC924" s="3">
        <v>2234.73</v>
      </c>
      <c r="AD924" s="3">
        <v>2122.9899999999998</v>
      </c>
      <c r="AE924" s="3">
        <v>44582.78</v>
      </c>
      <c r="AF924" t="str">
        <f>IF(tbl_FinancialData[[#This Row],[City]]="","Unknown",PROPER(TRIM(tbl_FinancialData[[#This Row],[City]])))</f>
        <v>Nagpur</v>
      </c>
      <c r="AG924" t="str">
        <f>_xlfn.LET(_xlpm.city,LOWER(TRIM(tbl_FinancialData[[#This Row],[City]])),_xlpm.st,PROPER(TRIM(tbl_FinancialData[[#This Row],[State]])),IF(_xlpm.city="pune","Maharashtra",IF(_xlpm.city="jamshedpur","Jharkhand",IF(_xlpm.city="bhilai","Chhattisgarh",IF(_xlpm.city="mumbai","Maharashtra",_xlpm.st)))))</f>
        <v>Maharashtra</v>
      </c>
      <c r="AH924" t="str">
        <f>_xlfn.LET(_xlpm.d,PROPER(TRIM(tbl_FinancialData[[#This Row],[Department]])),IF(_xlpm.d="It","IT",_xlpm.d))</f>
        <v>Sales</v>
      </c>
      <c r="AI924" t="str">
        <f>_xlfn.LET(_xlpm.pid,tbl_FinancialData[[#This Row],[Product ID]],_xlpm.n,PROPER(TRIM(tbl_FinancialData[[#This Row],[Product Name]])),IF(_xlpm.pid="P020","Document Scanner",IF(_xlpm.pid="P015","Network Router",SUBSTITUTE(SUBSTITUTE(_xlpm.n,"Crm","CRM"),"Ups","UPS"))))</f>
        <v>Smartphone</v>
      </c>
      <c r="AJ924" s="3" t="str">
        <f>UPPER(TRIM(tbl_FinancialData[[#This Row],[Cost Center]]))</f>
        <v>CC-1002</v>
      </c>
    </row>
    <row r="925" spans="1:36" x14ac:dyDescent="0.25">
      <c r="A925" s="3" t="s">
        <v>1129</v>
      </c>
      <c r="B925" s="2">
        <v>46043</v>
      </c>
      <c r="C925" t="s">
        <v>77</v>
      </c>
      <c r="D925" s="3" t="str">
        <f t="shared" si="59"/>
        <v>Q4</v>
      </c>
      <c r="E925" s="3" t="str">
        <f t="shared" si="60"/>
        <v>FY2026</v>
      </c>
      <c r="F925" s="8" t="s">
        <v>34</v>
      </c>
      <c r="G925" s="3" t="s">
        <v>35</v>
      </c>
      <c r="H925" t="s">
        <v>98</v>
      </c>
      <c r="I925" t="s">
        <v>304</v>
      </c>
      <c r="J925" s="3" t="s">
        <v>38</v>
      </c>
      <c r="K925" t="s">
        <v>39</v>
      </c>
      <c r="L925" s="3" t="s">
        <v>72</v>
      </c>
      <c r="M925" s="3" t="s">
        <v>186</v>
      </c>
      <c r="N925" t="s">
        <v>187</v>
      </c>
      <c r="O925" t="s">
        <v>173</v>
      </c>
      <c r="P925" t="s">
        <v>174</v>
      </c>
      <c r="Q925" s="3">
        <v>9562.7099999999991</v>
      </c>
      <c r="R925" s="3">
        <v>10787.68</v>
      </c>
      <c r="S925" s="3">
        <v>6337.75</v>
      </c>
      <c r="T925" s="3">
        <v>858.84</v>
      </c>
      <c r="U925" s="3">
        <v>409.92</v>
      </c>
      <c r="V925" s="3">
        <v>900.89</v>
      </c>
      <c r="W925" s="3">
        <v>108.49</v>
      </c>
      <c r="X925" s="3">
        <v>8615.9</v>
      </c>
      <c r="Y925" s="3">
        <v>3224.96</v>
      </c>
      <c r="Z925" s="3">
        <f t="shared" si="61"/>
        <v>946.80999999999949</v>
      </c>
      <c r="AA925" s="37">
        <f t="shared" si="62"/>
        <v>9.9010636106292002E-2</v>
      </c>
      <c r="AB925" s="3">
        <v>-1224.97</v>
      </c>
      <c r="AC925" s="3">
        <v>478.14</v>
      </c>
      <c r="AD925" s="3">
        <v>1090.1500000000001</v>
      </c>
      <c r="AE925" s="3">
        <v>10174.73</v>
      </c>
      <c r="AF925" t="str">
        <f>IF(tbl_FinancialData[[#This Row],[City]]="","Unknown",PROPER(TRIM(tbl_FinancialData[[#This Row],[City]])))</f>
        <v>Pune</v>
      </c>
      <c r="AG925" t="str">
        <f>_xlfn.LET(_xlpm.city,LOWER(TRIM(tbl_FinancialData[[#This Row],[City]])),_xlpm.st,PROPER(TRIM(tbl_FinancialData[[#This Row],[State]])),IF(_xlpm.city="pune","Maharashtra",IF(_xlpm.city="jamshedpur","Jharkhand",IF(_xlpm.city="bhilai","Chhattisgarh",IF(_xlpm.city="mumbai","Maharashtra",_xlpm.st)))))</f>
        <v>Maharashtra</v>
      </c>
      <c r="AH925" t="str">
        <f>_xlfn.LET(_xlpm.d,PROPER(TRIM(tbl_FinancialData[[#This Row],[Department]])),IF(_xlpm.d="It","IT",_xlpm.d))</f>
        <v>Operations</v>
      </c>
      <c r="AI925" t="str">
        <f>_xlfn.LET(_xlpm.pid,tbl_FinancialData[[#This Row],[Product ID]],_xlpm.n,PROPER(TRIM(tbl_FinancialData[[#This Row],[Product Name]])),IF(_xlpm.pid="P020","Document Scanner",IF(_xlpm.pid="P015","Network Router",SUBSTITUTE(SUBSTITUTE(_xlpm.n,"Crm","CRM"),"Ups","UPS"))))</f>
        <v>Network Router</v>
      </c>
      <c r="AJ925" s="3" t="str">
        <f>UPPER(TRIM(tbl_FinancialData[[#This Row],[Cost Center]]))</f>
        <v>CC-1004</v>
      </c>
    </row>
    <row r="926" spans="1:36" x14ac:dyDescent="0.25">
      <c r="A926" s="3" t="s">
        <v>1130</v>
      </c>
      <c r="B926" s="2">
        <v>45830</v>
      </c>
      <c r="C926" t="s">
        <v>156</v>
      </c>
      <c r="D926" s="3" t="str">
        <f t="shared" si="59"/>
        <v>Q1</v>
      </c>
      <c r="E926" s="3" t="str">
        <f t="shared" si="60"/>
        <v>FY2026</v>
      </c>
      <c r="F926" s="8" t="s">
        <v>47</v>
      </c>
      <c r="G926" s="3" t="s">
        <v>35</v>
      </c>
      <c r="H926" t="s">
        <v>214</v>
      </c>
      <c r="I926" t="s">
        <v>220</v>
      </c>
      <c r="J926" s="3" t="s">
        <v>38</v>
      </c>
      <c r="K926" t="s">
        <v>71</v>
      </c>
      <c r="L926" s="3" t="s">
        <v>40</v>
      </c>
      <c r="M926" s="3" t="s">
        <v>235</v>
      </c>
      <c r="N926" t="s">
        <v>236</v>
      </c>
      <c r="O926" t="s">
        <v>104</v>
      </c>
      <c r="P926" t="s">
        <v>237</v>
      </c>
      <c r="Q926" s="3">
        <v>10900.69</v>
      </c>
      <c r="R926" s="3">
        <v>12680.56</v>
      </c>
      <c r="S926" s="3">
        <v>6304.73</v>
      </c>
      <c r="T926" s="3">
        <v>1137.72</v>
      </c>
      <c r="U926" s="3">
        <v>965.5</v>
      </c>
      <c r="V926" s="3">
        <v>1159.77</v>
      </c>
      <c r="W926" s="3">
        <v>360.44</v>
      </c>
      <c r="X926" s="3">
        <v>9928.15</v>
      </c>
      <c r="Y926" s="3">
        <v>4595.96</v>
      </c>
      <c r="Z926" s="3">
        <f t="shared" si="61"/>
        <v>972.54000000000087</v>
      </c>
      <c r="AA926" s="37">
        <f t="shared" si="62"/>
        <v>8.9218205453049385E-2</v>
      </c>
      <c r="AB926" s="3">
        <v>-1779.87</v>
      </c>
      <c r="AC926" s="3">
        <v>545.03</v>
      </c>
      <c r="AD926" s="3">
        <v>1864.02</v>
      </c>
      <c r="AE926" s="3">
        <v>12219.68</v>
      </c>
      <c r="AF926" t="str">
        <f>IF(tbl_FinancialData[[#This Row],[City]]="","Unknown",PROPER(TRIM(tbl_FinancialData[[#This Row],[City]])))</f>
        <v>Mysuru</v>
      </c>
      <c r="AG926" t="str">
        <f>_xlfn.LET(_xlpm.city,LOWER(TRIM(tbl_FinancialData[[#This Row],[City]])),_xlpm.st,PROPER(TRIM(tbl_FinancialData[[#This Row],[State]])),IF(_xlpm.city="pune","Maharashtra",IF(_xlpm.city="jamshedpur","Jharkhand",IF(_xlpm.city="bhilai","Chhattisgarh",IF(_xlpm.city="mumbai","Maharashtra",_xlpm.st)))))</f>
        <v>Karnataka</v>
      </c>
      <c r="AH926" t="str">
        <f>_xlfn.LET(_xlpm.d,PROPER(TRIM(tbl_FinancialData[[#This Row],[Department]])),IF(_xlpm.d="It","IT",_xlpm.d))</f>
        <v>Marketing</v>
      </c>
      <c r="AI926" t="str">
        <f>_xlfn.LET(_xlpm.pid,tbl_FinancialData[[#This Row],[Product ID]],_xlpm.n,PROPER(TRIM(tbl_FinancialData[[#This Row],[Product Name]])),IF(_xlpm.pid="P020","Document Scanner",IF(_xlpm.pid="P015","Network Router",SUBSTITUTE(SUBSTITUTE(_xlpm.n,"Crm","CRM"),"Ups","UPS"))))</f>
        <v>Data Storage</v>
      </c>
      <c r="AJ926" s="3" t="str">
        <f>UPPER(TRIM(tbl_FinancialData[[#This Row],[Cost Center]]))</f>
        <v>CC-1002</v>
      </c>
    </row>
    <row r="927" spans="1:36" x14ac:dyDescent="0.25">
      <c r="A927" s="3" t="s">
        <v>1131</v>
      </c>
      <c r="B927" s="2">
        <v>45824</v>
      </c>
      <c r="C927" t="s">
        <v>156</v>
      </c>
      <c r="D927" s="3" t="str">
        <f t="shared" si="59"/>
        <v>Q1</v>
      </c>
      <c r="E927" s="3" t="str">
        <f t="shared" si="60"/>
        <v>FY2026</v>
      </c>
      <c r="F927" s="8" t="s">
        <v>85</v>
      </c>
      <c r="G927" s="3" t="s">
        <v>35</v>
      </c>
      <c r="H927" t="s">
        <v>60</v>
      </c>
      <c r="I927" t="s">
        <v>61</v>
      </c>
      <c r="J927" s="3" t="s">
        <v>80</v>
      </c>
      <c r="K927" t="s">
        <v>101</v>
      </c>
      <c r="L927" s="3" t="s">
        <v>51</v>
      </c>
      <c r="M927" s="3" t="s">
        <v>73</v>
      </c>
      <c r="N927" t="s">
        <v>74</v>
      </c>
      <c r="O927" t="s">
        <v>43</v>
      </c>
      <c r="P927" t="s">
        <v>75</v>
      </c>
      <c r="Q927" s="3">
        <v>64969.2</v>
      </c>
      <c r="R927" s="3">
        <v>67661.72</v>
      </c>
      <c r="S927" s="3">
        <v>32546.880000000001</v>
      </c>
      <c r="T927" s="3">
        <v>8061.8</v>
      </c>
      <c r="U927" s="3">
        <v>3548.24</v>
      </c>
      <c r="V927" s="3">
        <v>4487.21</v>
      </c>
      <c r="W927" s="3">
        <v>2081.2800000000002</v>
      </c>
      <c r="X927" s="3">
        <v>50725.4</v>
      </c>
      <c r="Y927" s="3">
        <v>32422.32</v>
      </c>
      <c r="Z927" s="3">
        <f t="shared" si="61"/>
        <v>14243.799999999996</v>
      </c>
      <c r="AA927" s="37">
        <f t="shared" si="62"/>
        <v>0.21923927030038842</v>
      </c>
      <c r="AB927" s="3">
        <v>-2692.52</v>
      </c>
      <c r="AC927" s="3">
        <v>3248.46</v>
      </c>
      <c r="AD927" s="3">
        <v>3086.04</v>
      </c>
      <c r="AE927" s="3">
        <v>64806.78</v>
      </c>
      <c r="AF927" t="str">
        <f>IF(tbl_FinancialData[[#This Row],[City]]="","Unknown",PROPER(TRIM(tbl_FinancialData[[#This Row],[City]])))</f>
        <v>Lucknow</v>
      </c>
      <c r="AG927" t="str">
        <f>_xlfn.LET(_xlpm.city,LOWER(TRIM(tbl_FinancialData[[#This Row],[City]])),_xlpm.st,PROPER(TRIM(tbl_FinancialData[[#This Row],[State]])),IF(_xlpm.city="pune","Maharashtra",IF(_xlpm.city="jamshedpur","Jharkhand",IF(_xlpm.city="bhilai","Chhattisgarh",IF(_xlpm.city="mumbai","Maharashtra",_xlpm.st)))))</f>
        <v>Uttar Pradesh</v>
      </c>
      <c r="AH927" t="str">
        <f>_xlfn.LET(_xlpm.d,PROPER(TRIM(tbl_FinancialData[[#This Row],[Department]])),IF(_xlpm.d="It","IT",_xlpm.d))</f>
        <v>Finance</v>
      </c>
      <c r="AI927" t="str">
        <f>_xlfn.LET(_xlpm.pid,tbl_FinancialData[[#This Row],[Product ID]],_xlpm.n,PROPER(TRIM(tbl_FinancialData[[#This Row],[Product Name]])),IF(_xlpm.pid="P020","Document Scanner",IF(_xlpm.pid="P015","Network Router",SUBSTITUTE(SUBSTITUTE(_xlpm.n,"Crm","CRM"),"Ups","UPS"))))</f>
        <v>Monitor</v>
      </c>
      <c r="AJ927" s="3" t="str">
        <f>UPPER(TRIM(tbl_FinancialData[[#This Row],[Cost Center]]))</f>
        <v>CC-1003</v>
      </c>
    </row>
    <row r="928" spans="1:36" x14ac:dyDescent="0.25">
      <c r="A928" s="3" t="s">
        <v>1132</v>
      </c>
      <c r="B928" s="2">
        <v>45768</v>
      </c>
      <c r="C928" t="s">
        <v>128</v>
      </c>
      <c r="D928" s="3" t="str">
        <f t="shared" si="59"/>
        <v>Q1</v>
      </c>
      <c r="E928" s="3" t="str">
        <f t="shared" si="60"/>
        <v>FY2026</v>
      </c>
      <c r="F928" s="8" t="s">
        <v>47</v>
      </c>
      <c r="G928" s="3" t="s">
        <v>35</v>
      </c>
      <c r="H928" t="s">
        <v>206</v>
      </c>
      <c r="I928" t="s">
        <v>207</v>
      </c>
      <c r="J928" s="3" t="s">
        <v>100</v>
      </c>
      <c r="K928" t="s">
        <v>71</v>
      </c>
      <c r="L928" s="3" t="s">
        <v>94</v>
      </c>
      <c r="M928" s="3" t="s">
        <v>110</v>
      </c>
      <c r="N928" t="s">
        <v>111</v>
      </c>
      <c r="O928" t="s">
        <v>112</v>
      </c>
      <c r="P928" t="s">
        <v>113</v>
      </c>
      <c r="Q928" s="3">
        <v>33912.1</v>
      </c>
      <c r="R928" s="3">
        <v>31273.119999999999</v>
      </c>
      <c r="S928" s="3">
        <v>16857.11</v>
      </c>
      <c r="T928" s="3">
        <v>3208.64</v>
      </c>
      <c r="U928" s="3">
        <v>1487.7</v>
      </c>
      <c r="V928" s="3">
        <v>3602.97</v>
      </c>
      <c r="W928" s="3">
        <v>1136.72</v>
      </c>
      <c r="X928" s="3">
        <v>26293.14</v>
      </c>
      <c r="Y928" s="3">
        <v>17054.990000000002</v>
      </c>
      <c r="Z928" s="3">
        <f t="shared" si="61"/>
        <v>7618.9599999999991</v>
      </c>
      <c r="AA928" s="37">
        <f t="shared" si="62"/>
        <v>0.2246678914015941</v>
      </c>
      <c r="AB928" s="3">
        <v>2638.98</v>
      </c>
      <c r="AC928" s="3">
        <v>3391.21</v>
      </c>
      <c r="AD928" s="3">
        <v>3662.51</v>
      </c>
      <c r="AE928" s="3">
        <v>34183.39</v>
      </c>
      <c r="AF928" t="str">
        <f>IF(tbl_FinancialData[[#This Row],[City]]="","Unknown",PROPER(TRIM(tbl_FinancialData[[#This Row],[City]])))</f>
        <v>Nizamabad</v>
      </c>
      <c r="AG928" t="str">
        <f>_xlfn.LET(_xlpm.city,LOWER(TRIM(tbl_FinancialData[[#This Row],[City]])),_xlpm.st,PROPER(TRIM(tbl_FinancialData[[#This Row],[State]])),IF(_xlpm.city="pune","Maharashtra",IF(_xlpm.city="jamshedpur","Jharkhand",IF(_xlpm.city="bhilai","Chhattisgarh",IF(_xlpm.city="mumbai","Maharashtra",_xlpm.st)))))</f>
        <v>Telangana</v>
      </c>
      <c r="AH928" t="str">
        <f>_xlfn.LET(_xlpm.d,PROPER(TRIM(tbl_FinancialData[[#This Row],[Department]])),IF(_xlpm.d="It","IT",_xlpm.d))</f>
        <v>Marketing</v>
      </c>
      <c r="AI928" t="str">
        <f>_xlfn.LET(_xlpm.pid,tbl_FinancialData[[#This Row],[Product ID]],_xlpm.n,PROPER(TRIM(tbl_FinancialData[[#This Row],[Product Name]])),IF(_xlpm.pid="P020","Document Scanner",IF(_xlpm.pid="P015","Network Router",SUBSTITUTE(SUBSTITUTE(_xlpm.n,"Crm","CRM"),"Ups","UPS"))))</f>
        <v>Office Desk</v>
      </c>
      <c r="AJ928" s="3" t="str">
        <f>UPPER(TRIM(tbl_FinancialData[[#This Row],[Cost Center]]))</f>
        <v>CC-1001</v>
      </c>
    </row>
    <row r="929" spans="1:36" x14ac:dyDescent="0.25">
      <c r="A929" s="3" t="s">
        <v>1133</v>
      </c>
      <c r="B929" s="2">
        <v>46017</v>
      </c>
      <c r="C929" t="s">
        <v>107</v>
      </c>
      <c r="D929" s="3" t="str">
        <f t="shared" si="59"/>
        <v>Q3</v>
      </c>
      <c r="E929" s="3" t="str">
        <f t="shared" si="60"/>
        <v>FY2026</v>
      </c>
      <c r="F929" s="8" t="s">
        <v>59</v>
      </c>
      <c r="G929" s="3" t="s">
        <v>35</v>
      </c>
      <c r="H929" t="s">
        <v>139</v>
      </c>
      <c r="I929" t="s">
        <v>140</v>
      </c>
      <c r="J929" s="3" t="s">
        <v>38</v>
      </c>
      <c r="K929" t="s">
        <v>39</v>
      </c>
      <c r="L929" s="3" t="s">
        <v>72</v>
      </c>
      <c r="M929" s="3" t="s">
        <v>141</v>
      </c>
      <c r="N929" t="s">
        <v>142</v>
      </c>
      <c r="O929" t="s">
        <v>54</v>
      </c>
      <c r="P929" t="s">
        <v>143</v>
      </c>
      <c r="Q929" s="3">
        <v>3062.94</v>
      </c>
      <c r="R929" s="3">
        <v>3175.13</v>
      </c>
      <c r="S929" s="3">
        <v>1716.65</v>
      </c>
      <c r="T929" s="3">
        <v>153.47</v>
      </c>
      <c r="U929" s="3">
        <v>137.88</v>
      </c>
      <c r="V929" s="3">
        <v>190.79</v>
      </c>
      <c r="W929" s="3">
        <v>72.81</v>
      </c>
      <c r="X929" s="3">
        <v>2271.6</v>
      </c>
      <c r="Y929" s="3">
        <v>1346.29</v>
      </c>
      <c r="Z929" s="3">
        <f t="shared" si="61"/>
        <v>791.34000000000015</v>
      </c>
      <c r="AA929" s="37">
        <f t="shared" si="62"/>
        <v>0.25835961527160184</v>
      </c>
      <c r="AB929" s="3">
        <v>-112.19</v>
      </c>
      <c r="AC929" s="3">
        <v>0</v>
      </c>
      <c r="AD929" s="3">
        <v>367.55</v>
      </c>
      <c r="AE929" s="3">
        <v>3430.49</v>
      </c>
      <c r="AF929" t="str">
        <f>IF(tbl_FinancialData[[#This Row],[City]]="","Unknown",PROPER(TRIM(tbl_FinancialData[[#This Row],[City]])))</f>
        <v>Faridabad</v>
      </c>
      <c r="AG929" t="str">
        <f>_xlfn.LET(_xlpm.city,LOWER(TRIM(tbl_FinancialData[[#This Row],[City]])),_xlpm.st,PROPER(TRIM(tbl_FinancialData[[#This Row],[State]])),IF(_xlpm.city="pune","Maharashtra",IF(_xlpm.city="jamshedpur","Jharkhand",IF(_xlpm.city="bhilai","Chhattisgarh",IF(_xlpm.city="mumbai","Maharashtra",_xlpm.st)))))</f>
        <v>Haryana</v>
      </c>
      <c r="AH929" t="str">
        <f>_xlfn.LET(_xlpm.d,PROPER(TRIM(tbl_FinancialData[[#This Row],[Department]])),IF(_xlpm.d="It","IT",_xlpm.d))</f>
        <v>Operations</v>
      </c>
      <c r="AI929" t="str">
        <f>_xlfn.LET(_xlpm.pid,tbl_FinancialData[[#This Row],[Product ID]],_xlpm.n,PROPER(TRIM(tbl_FinancialData[[#This Row],[Product Name]])),IF(_xlpm.pid="P020","Document Scanner",IF(_xlpm.pid="P015","Network Router",SUBSTITUTE(SUBSTITUTE(_xlpm.n,"Crm","CRM"),"Ups","UPS"))))</f>
        <v>Headset</v>
      </c>
      <c r="AJ929" s="3" t="str">
        <f>UPPER(TRIM(tbl_FinancialData[[#This Row],[Cost Center]]))</f>
        <v>CC-1004</v>
      </c>
    </row>
    <row r="930" spans="1:36" x14ac:dyDescent="0.25">
      <c r="A930" s="3" t="s">
        <v>1134</v>
      </c>
      <c r="B930" s="2">
        <v>46093</v>
      </c>
      <c r="C930" t="s">
        <v>125</v>
      </c>
      <c r="D930" s="3" t="str">
        <f t="shared" si="59"/>
        <v>Q4</v>
      </c>
      <c r="E930" s="3" t="str">
        <f t="shared" si="60"/>
        <v>FY2026</v>
      </c>
      <c r="F930" s="8" t="s">
        <v>85</v>
      </c>
      <c r="G930" s="3" t="s">
        <v>35</v>
      </c>
      <c r="H930" t="s">
        <v>86</v>
      </c>
      <c r="I930" t="s">
        <v>181</v>
      </c>
      <c r="J930" s="3" t="s">
        <v>80</v>
      </c>
      <c r="K930" t="s">
        <v>101</v>
      </c>
      <c r="L930" s="3" t="s">
        <v>40</v>
      </c>
      <c r="M930" s="3" t="s">
        <v>161</v>
      </c>
      <c r="N930" t="s">
        <v>162</v>
      </c>
      <c r="O930" t="s">
        <v>43</v>
      </c>
      <c r="P930" t="s">
        <v>163</v>
      </c>
      <c r="Q930" s="3">
        <v>44615.85</v>
      </c>
      <c r="R930" s="3">
        <v>45078.99</v>
      </c>
      <c r="S930" s="3">
        <v>25888.65</v>
      </c>
      <c r="T930" s="3">
        <v>4944.17</v>
      </c>
      <c r="U930" s="3">
        <v>1622.43</v>
      </c>
      <c r="V930" s="3">
        <v>2993.14</v>
      </c>
      <c r="W930" s="3">
        <v>796.22</v>
      </c>
      <c r="X930" s="3">
        <v>36244.6</v>
      </c>
      <c r="Y930" s="3">
        <v>18727.2</v>
      </c>
      <c r="Z930" s="3">
        <f t="shared" si="61"/>
        <v>8371.25</v>
      </c>
      <c r="AA930" s="37">
        <f t="shared" si="62"/>
        <v>0.18762950834736983</v>
      </c>
      <c r="AB930" s="3">
        <v>-463.14</v>
      </c>
      <c r="AC930" s="3">
        <v>1338.48</v>
      </c>
      <c r="AD930" s="3">
        <v>2163.87</v>
      </c>
      <c r="AE930" s="3">
        <v>45441.24</v>
      </c>
      <c r="AF930" t="str">
        <f>IF(tbl_FinancialData[[#This Row],[City]]="","Unknown",PROPER(TRIM(tbl_FinancialData[[#This Row],[City]])))</f>
        <v>Bhopal</v>
      </c>
      <c r="AG930" t="str">
        <f>_xlfn.LET(_xlpm.city,LOWER(TRIM(tbl_FinancialData[[#This Row],[City]])),_xlpm.st,PROPER(TRIM(tbl_FinancialData[[#This Row],[State]])),IF(_xlpm.city="pune","Maharashtra",IF(_xlpm.city="jamshedpur","Jharkhand",IF(_xlpm.city="bhilai","Chhattisgarh",IF(_xlpm.city="mumbai","Maharashtra",_xlpm.st)))))</f>
        <v>Madhya Pradesh</v>
      </c>
      <c r="AH930" t="str">
        <f>_xlfn.LET(_xlpm.d,PROPER(TRIM(tbl_FinancialData[[#This Row],[Department]])),IF(_xlpm.d="It","IT",_xlpm.d))</f>
        <v>Finance</v>
      </c>
      <c r="AI930" t="str">
        <f>_xlfn.LET(_xlpm.pid,tbl_FinancialData[[#This Row],[Product ID]],_xlpm.n,PROPER(TRIM(tbl_FinancialData[[#This Row],[Product Name]])),IF(_xlpm.pid="P020","Document Scanner",IF(_xlpm.pid="P015","Network Router",SUBSTITUTE(SUBSTITUTE(_xlpm.n,"Crm","CRM"),"Ups","UPS"))))</f>
        <v>Tablet</v>
      </c>
      <c r="AJ930" s="3" t="str">
        <f>UPPER(TRIM(tbl_FinancialData[[#This Row],[Cost Center]]))</f>
        <v>CC-1002</v>
      </c>
    </row>
    <row r="931" spans="1:36" x14ac:dyDescent="0.25">
      <c r="A931" s="3" t="s">
        <v>1135</v>
      </c>
      <c r="B931" s="2">
        <v>45880</v>
      </c>
      <c r="C931" t="s">
        <v>117</v>
      </c>
      <c r="D931" s="3" t="str">
        <f t="shared" si="59"/>
        <v>Q2</v>
      </c>
      <c r="E931" s="3" t="str">
        <f t="shared" si="60"/>
        <v>FY2026</v>
      </c>
      <c r="F931" s="8" t="s">
        <v>34</v>
      </c>
      <c r="G931" s="3" t="s">
        <v>35</v>
      </c>
      <c r="H931" t="s">
        <v>157</v>
      </c>
      <c r="I931" t="s">
        <v>158</v>
      </c>
      <c r="J931" s="3" t="s">
        <v>80</v>
      </c>
      <c r="K931" t="s">
        <v>50</v>
      </c>
      <c r="L931" s="3" t="s">
        <v>51</v>
      </c>
      <c r="M931" s="3" t="s">
        <v>186</v>
      </c>
      <c r="N931" t="s">
        <v>187</v>
      </c>
      <c r="O931" t="s">
        <v>173</v>
      </c>
      <c r="P931" t="s">
        <v>174</v>
      </c>
      <c r="Q931" s="3">
        <v>10468.870000000001</v>
      </c>
      <c r="R931" s="3">
        <v>11420.92</v>
      </c>
      <c r="S931" s="3">
        <v>5916.92</v>
      </c>
      <c r="T931" s="3">
        <v>1271.07</v>
      </c>
      <c r="U931" s="3">
        <v>603.44000000000005</v>
      </c>
      <c r="V931" s="3">
        <v>959.59</v>
      </c>
      <c r="W931" s="3">
        <v>181.48</v>
      </c>
      <c r="X931" s="3">
        <v>8932.5</v>
      </c>
      <c r="Y931" s="3">
        <v>4551.95</v>
      </c>
      <c r="Z931" s="3">
        <f t="shared" si="61"/>
        <v>1536.3700000000008</v>
      </c>
      <c r="AA931" s="37">
        <f t="shared" si="62"/>
        <v>0.1467560491246907</v>
      </c>
      <c r="AB931" s="3">
        <v>-952.06</v>
      </c>
      <c r="AC931" s="3">
        <v>314.07</v>
      </c>
      <c r="AD931" s="3">
        <v>1827.86</v>
      </c>
      <c r="AE931" s="3">
        <v>11982.67</v>
      </c>
      <c r="AF931" t="str">
        <f>IF(tbl_FinancialData[[#This Row],[City]]="","Unknown",PROPER(TRIM(tbl_FinancialData[[#This Row],[City]])))</f>
        <v>Ahmedabad</v>
      </c>
      <c r="AG931" t="str">
        <f>_xlfn.LET(_xlpm.city,LOWER(TRIM(tbl_FinancialData[[#This Row],[City]])),_xlpm.st,PROPER(TRIM(tbl_FinancialData[[#This Row],[State]])),IF(_xlpm.city="pune","Maharashtra",IF(_xlpm.city="jamshedpur","Jharkhand",IF(_xlpm.city="bhilai","Chhattisgarh",IF(_xlpm.city="mumbai","Maharashtra",_xlpm.st)))))</f>
        <v>Gujarat</v>
      </c>
      <c r="AH931" t="str">
        <f>_xlfn.LET(_xlpm.d,PROPER(TRIM(tbl_FinancialData[[#This Row],[Department]])),IF(_xlpm.d="It","IT",_xlpm.d))</f>
        <v>Sales</v>
      </c>
      <c r="AI931" t="str">
        <f>_xlfn.LET(_xlpm.pid,tbl_FinancialData[[#This Row],[Product ID]],_xlpm.n,PROPER(TRIM(tbl_FinancialData[[#This Row],[Product Name]])),IF(_xlpm.pid="P020","Document Scanner",IF(_xlpm.pid="P015","Network Router",SUBSTITUTE(SUBSTITUTE(_xlpm.n,"Crm","CRM"),"Ups","UPS"))))</f>
        <v>Network Router</v>
      </c>
      <c r="AJ931" s="3" t="str">
        <f>UPPER(TRIM(tbl_FinancialData[[#This Row],[Cost Center]]))</f>
        <v>CC-1003</v>
      </c>
    </row>
    <row r="932" spans="1:36" x14ac:dyDescent="0.25">
      <c r="A932" s="3" t="s">
        <v>1136</v>
      </c>
      <c r="B932" s="2">
        <v>45956</v>
      </c>
      <c r="C932" t="s">
        <v>92</v>
      </c>
      <c r="D932" s="3" t="str">
        <f t="shared" si="59"/>
        <v>Q3</v>
      </c>
      <c r="E932" s="3" t="str">
        <f t="shared" si="60"/>
        <v>FY2026</v>
      </c>
      <c r="F932" s="8" t="s">
        <v>47</v>
      </c>
      <c r="G932" s="3" t="s">
        <v>35</v>
      </c>
      <c r="H932" t="s">
        <v>48</v>
      </c>
      <c r="I932" t="s">
        <v>49</v>
      </c>
      <c r="J932" s="3" t="s">
        <v>38</v>
      </c>
      <c r="K932" t="s">
        <v>50</v>
      </c>
      <c r="L932" s="3" t="s">
        <v>40</v>
      </c>
      <c r="M932" s="3" t="s">
        <v>120</v>
      </c>
      <c r="N932" t="s">
        <v>121</v>
      </c>
      <c r="O932" t="s">
        <v>43</v>
      </c>
      <c r="P932" t="s">
        <v>122</v>
      </c>
      <c r="Q932" s="3">
        <v>37742.67</v>
      </c>
      <c r="R932" s="3">
        <v>41604.629999999997</v>
      </c>
      <c r="S932" s="3">
        <v>20979.8</v>
      </c>
      <c r="T932" s="3">
        <v>4191.97</v>
      </c>
      <c r="U932" s="3">
        <v>997.88</v>
      </c>
      <c r="V932" s="3">
        <v>3099.5</v>
      </c>
      <c r="W932" s="3">
        <v>708.12</v>
      </c>
      <c r="X932" s="3">
        <v>29977.279999999999</v>
      </c>
      <c r="Y932" s="3">
        <v>16762.86</v>
      </c>
      <c r="Z932" s="3">
        <f t="shared" si="61"/>
        <v>7765.3899999999994</v>
      </c>
      <c r="AA932" s="37">
        <f t="shared" si="62"/>
        <v>0.20574564544585744</v>
      </c>
      <c r="AB932" s="3">
        <v>-3861.97</v>
      </c>
      <c r="AC932" s="3">
        <v>0</v>
      </c>
      <c r="AD932" s="3">
        <v>6793.68</v>
      </c>
      <c r="AE932" s="3">
        <v>44536.35</v>
      </c>
      <c r="AF932" t="str">
        <f>IF(tbl_FinancialData[[#This Row],[City]]="","Unknown",PROPER(TRIM(tbl_FinancialData[[#This Row],[City]])))</f>
        <v>Chennai</v>
      </c>
      <c r="AG932" t="str">
        <f>_xlfn.LET(_xlpm.city,LOWER(TRIM(tbl_FinancialData[[#This Row],[City]])),_xlpm.st,PROPER(TRIM(tbl_FinancialData[[#This Row],[State]])),IF(_xlpm.city="pune","Maharashtra",IF(_xlpm.city="jamshedpur","Jharkhand",IF(_xlpm.city="bhilai","Chhattisgarh",IF(_xlpm.city="mumbai","Maharashtra",_xlpm.st)))))</f>
        <v>Tamil Nadu</v>
      </c>
      <c r="AH932" t="str">
        <f>_xlfn.LET(_xlpm.d,PROPER(TRIM(tbl_FinancialData[[#This Row],[Department]])),IF(_xlpm.d="It","IT",_xlpm.d))</f>
        <v>Sales</v>
      </c>
      <c r="AI932" t="str">
        <f>_xlfn.LET(_xlpm.pid,tbl_FinancialData[[#This Row],[Product ID]],_xlpm.n,PROPER(TRIM(tbl_FinancialData[[#This Row],[Product Name]])),IF(_xlpm.pid="P020","Document Scanner",IF(_xlpm.pid="P015","Network Router",SUBSTITUTE(SUBSTITUTE(_xlpm.n,"Crm","CRM"),"Ups","UPS"))))</f>
        <v>Projector</v>
      </c>
      <c r="AJ932" s="3" t="str">
        <f>UPPER(TRIM(tbl_FinancialData[[#This Row],[Cost Center]]))</f>
        <v>CC-1002</v>
      </c>
    </row>
    <row r="933" spans="1:36" x14ac:dyDescent="0.25">
      <c r="A933" s="3" t="s">
        <v>1137</v>
      </c>
      <c r="B933" s="2">
        <v>46043</v>
      </c>
      <c r="C933" t="s">
        <v>77</v>
      </c>
      <c r="D933" s="3" t="str">
        <f t="shared" si="59"/>
        <v>Q4</v>
      </c>
      <c r="E933" s="3" t="str">
        <f t="shared" si="60"/>
        <v>FY2026</v>
      </c>
      <c r="F933" s="8" t="s">
        <v>34</v>
      </c>
      <c r="G933" s="3" t="s">
        <v>35</v>
      </c>
      <c r="H933" t="s">
        <v>134</v>
      </c>
      <c r="I933" t="s">
        <v>154</v>
      </c>
      <c r="J933" s="3" t="s">
        <v>100</v>
      </c>
      <c r="K933" t="s">
        <v>39</v>
      </c>
      <c r="L933" s="3" t="s">
        <v>94</v>
      </c>
      <c r="M933" s="3" t="s">
        <v>211</v>
      </c>
      <c r="N933" t="s">
        <v>212</v>
      </c>
      <c r="O933" t="s">
        <v>112</v>
      </c>
      <c r="P933" t="s">
        <v>113</v>
      </c>
      <c r="Q933" s="3">
        <v>12650.5</v>
      </c>
      <c r="R933" s="3">
        <v>13007.18</v>
      </c>
      <c r="S933" s="3">
        <v>6331.9</v>
      </c>
      <c r="T933" s="3">
        <v>1511.66</v>
      </c>
      <c r="U933" s="3">
        <v>545.54</v>
      </c>
      <c r="V933" s="3">
        <v>712.07</v>
      </c>
      <c r="W933" s="3">
        <v>250.89</v>
      </c>
      <c r="X933" s="3">
        <v>9352.07</v>
      </c>
      <c r="Y933" s="3">
        <v>6318.6</v>
      </c>
      <c r="Z933" s="3">
        <f t="shared" si="61"/>
        <v>3298.4300000000003</v>
      </c>
      <c r="AA933" s="37">
        <f t="shared" si="62"/>
        <v>0.26073514880834753</v>
      </c>
      <c r="AB933" s="3">
        <v>-356.69</v>
      </c>
      <c r="AC933" s="3">
        <v>632.52</v>
      </c>
      <c r="AD933" s="3">
        <v>600.9</v>
      </c>
      <c r="AE933" s="3">
        <v>12618.87</v>
      </c>
      <c r="AF933" t="str">
        <f>IF(tbl_FinancialData[[#This Row],[City]]="","Unknown",PROPER(TRIM(tbl_FinancialData[[#This Row],[City]])))</f>
        <v>Udaipur</v>
      </c>
      <c r="AG933" t="str">
        <f>_xlfn.LET(_xlpm.city,LOWER(TRIM(tbl_FinancialData[[#This Row],[City]])),_xlpm.st,PROPER(TRIM(tbl_FinancialData[[#This Row],[State]])),IF(_xlpm.city="pune","Maharashtra",IF(_xlpm.city="jamshedpur","Jharkhand",IF(_xlpm.city="bhilai","Chhattisgarh",IF(_xlpm.city="mumbai","Maharashtra",_xlpm.st)))))</f>
        <v>Rajasthan</v>
      </c>
      <c r="AH933" t="str">
        <f>_xlfn.LET(_xlpm.d,PROPER(TRIM(tbl_FinancialData[[#This Row],[Department]])),IF(_xlpm.d="It","IT",_xlpm.d))</f>
        <v>Operations</v>
      </c>
      <c r="AI933" t="str">
        <f>_xlfn.LET(_xlpm.pid,tbl_FinancialData[[#This Row],[Product ID]],_xlpm.n,PROPER(TRIM(tbl_FinancialData[[#This Row],[Product Name]])),IF(_xlpm.pid="P020","Document Scanner",IF(_xlpm.pid="P015","Network Router",SUBSTITUTE(SUBSTITUTE(_xlpm.n,"Crm","CRM"),"Ups","UPS"))))</f>
        <v>Office Chair</v>
      </c>
      <c r="AJ933" s="3" t="str">
        <f>UPPER(TRIM(tbl_FinancialData[[#This Row],[Cost Center]]))</f>
        <v>CC-1001</v>
      </c>
    </row>
    <row r="934" spans="1:36" x14ac:dyDescent="0.25">
      <c r="A934" s="3" t="s">
        <v>1138</v>
      </c>
      <c r="B934" s="2">
        <v>46099</v>
      </c>
      <c r="C934" t="s">
        <v>125</v>
      </c>
      <c r="D934" s="3" t="str">
        <f t="shared" si="59"/>
        <v>Q4</v>
      </c>
      <c r="E934" s="3" t="str">
        <f t="shared" si="60"/>
        <v>FY2026</v>
      </c>
      <c r="F934" s="8" t="s">
        <v>59</v>
      </c>
      <c r="G934" s="3" t="s">
        <v>35</v>
      </c>
      <c r="H934" t="s">
        <v>60</v>
      </c>
      <c r="I934" t="s">
        <v>185</v>
      </c>
      <c r="J934" s="3" t="s">
        <v>100</v>
      </c>
      <c r="K934" t="s">
        <v>50</v>
      </c>
      <c r="L934" s="3" t="s">
        <v>81</v>
      </c>
      <c r="M934" s="3" t="s">
        <v>197</v>
      </c>
      <c r="N934" t="s">
        <v>198</v>
      </c>
      <c r="O934" t="s">
        <v>43</v>
      </c>
      <c r="P934" t="s">
        <v>163</v>
      </c>
      <c r="Q934" s="3">
        <v>28923.75</v>
      </c>
      <c r="R934" s="3">
        <v>28472.12</v>
      </c>
      <c r="S934" s="3">
        <v>15202.92</v>
      </c>
      <c r="T934" s="3">
        <v>2954.33</v>
      </c>
      <c r="U934" s="3">
        <v>778.11</v>
      </c>
      <c r="V934" s="3">
        <v>1832.45</v>
      </c>
      <c r="W934" s="3">
        <v>841.13</v>
      </c>
      <c r="X934" s="3">
        <v>21608.93</v>
      </c>
      <c r="Y934" s="3">
        <v>13720.84</v>
      </c>
      <c r="Z934" s="3">
        <f t="shared" si="61"/>
        <v>7314.82</v>
      </c>
      <c r="AA934" s="37">
        <f t="shared" si="62"/>
        <v>0.25290012532953021</v>
      </c>
      <c r="AB934" s="3">
        <v>451.64</v>
      </c>
      <c r="AC934" s="3">
        <v>578.48</v>
      </c>
      <c r="AD934" s="3">
        <v>3401.43</v>
      </c>
      <c r="AE934" s="3">
        <v>31746.71</v>
      </c>
      <c r="AF934" t="str">
        <f>IF(tbl_FinancialData[[#This Row],[City]]="","Unknown",PROPER(TRIM(tbl_FinancialData[[#This Row],[City]])))</f>
        <v>Kanpur</v>
      </c>
      <c r="AG934" t="str">
        <f>_xlfn.LET(_xlpm.city,LOWER(TRIM(tbl_FinancialData[[#This Row],[City]])),_xlpm.st,PROPER(TRIM(tbl_FinancialData[[#This Row],[State]])),IF(_xlpm.city="pune","Maharashtra",IF(_xlpm.city="jamshedpur","Jharkhand",IF(_xlpm.city="bhilai","Chhattisgarh",IF(_xlpm.city="mumbai","Maharashtra",_xlpm.st)))))</f>
        <v>Uttar Pradesh</v>
      </c>
      <c r="AH934" t="str">
        <f>_xlfn.LET(_xlpm.d,PROPER(TRIM(tbl_FinancialData[[#This Row],[Department]])),IF(_xlpm.d="It","IT",_xlpm.d))</f>
        <v>Sales</v>
      </c>
      <c r="AI934" t="str">
        <f>_xlfn.LET(_xlpm.pid,tbl_FinancialData[[#This Row],[Product ID]],_xlpm.n,PROPER(TRIM(tbl_FinancialData[[#This Row],[Product Name]])),IF(_xlpm.pid="P020","Document Scanner",IF(_xlpm.pid="P015","Network Router",SUBSTITUTE(SUBSTITUTE(_xlpm.n,"Crm","CRM"),"Ups","UPS"))))</f>
        <v>Smartphone</v>
      </c>
      <c r="AJ934" s="3" t="str">
        <f>UPPER(TRIM(tbl_FinancialData[[#This Row],[Cost Center]]))</f>
        <v>CC-1005</v>
      </c>
    </row>
    <row r="935" spans="1:36" x14ac:dyDescent="0.25">
      <c r="A935" s="3" t="s">
        <v>1139</v>
      </c>
      <c r="B935" s="2">
        <v>46087</v>
      </c>
      <c r="C935" t="s">
        <v>125</v>
      </c>
      <c r="D935" s="3" t="str">
        <f t="shared" si="59"/>
        <v>Q4</v>
      </c>
      <c r="E935" s="3" t="str">
        <f t="shared" si="60"/>
        <v>FY2026</v>
      </c>
      <c r="F935" s="8" t="s">
        <v>85</v>
      </c>
      <c r="G935" s="3" t="s">
        <v>35</v>
      </c>
      <c r="H935" t="s">
        <v>60</v>
      </c>
      <c r="I935" t="s">
        <v>108</v>
      </c>
      <c r="J935" s="3" t="s">
        <v>100</v>
      </c>
      <c r="K935" t="s">
        <v>39</v>
      </c>
      <c r="L935" s="3" t="s">
        <v>40</v>
      </c>
      <c r="M935" s="3" t="s">
        <v>95</v>
      </c>
      <c r="N935" t="s">
        <v>96</v>
      </c>
      <c r="O935" t="s">
        <v>43</v>
      </c>
      <c r="P935" t="s">
        <v>90</v>
      </c>
      <c r="Q935" s="3">
        <v>28708.51</v>
      </c>
      <c r="R935" s="3">
        <v>28396.62</v>
      </c>
      <c r="S935" s="3">
        <v>18851.53</v>
      </c>
      <c r="T935" s="3">
        <v>2613.5700000000002</v>
      </c>
      <c r="U935" s="3">
        <v>2096.1</v>
      </c>
      <c r="V935" s="3">
        <v>3232.1</v>
      </c>
      <c r="W935" s="3">
        <v>1212.53</v>
      </c>
      <c r="X935" s="3">
        <v>28005.83</v>
      </c>
      <c r="Y935" s="3">
        <v>9856.98</v>
      </c>
      <c r="Z935" s="3">
        <f t="shared" si="61"/>
        <v>702.67999999999665</v>
      </c>
      <c r="AA935" s="37">
        <f t="shared" si="62"/>
        <v>2.4476366067065016E-2</v>
      </c>
      <c r="AB935" s="3">
        <v>311.89</v>
      </c>
      <c r="AC935" s="3">
        <v>1435.43</v>
      </c>
      <c r="AD935" s="3">
        <v>3272.77</v>
      </c>
      <c r="AE935" s="3">
        <v>30545.86</v>
      </c>
      <c r="AF935" t="str">
        <f>IF(tbl_FinancialData[[#This Row],[City]]="","Unknown",PROPER(TRIM(tbl_FinancialData[[#This Row],[City]])))</f>
        <v>Agra</v>
      </c>
      <c r="AG935" t="str">
        <f>_xlfn.LET(_xlpm.city,LOWER(TRIM(tbl_FinancialData[[#This Row],[City]])),_xlpm.st,PROPER(TRIM(tbl_FinancialData[[#This Row],[State]])),IF(_xlpm.city="pune","Maharashtra",IF(_xlpm.city="jamshedpur","Jharkhand",IF(_xlpm.city="bhilai","Chhattisgarh",IF(_xlpm.city="mumbai","Maharashtra",_xlpm.st)))))</f>
        <v>Uttar Pradesh</v>
      </c>
      <c r="AH935" t="str">
        <f>_xlfn.LET(_xlpm.d,PROPER(TRIM(tbl_FinancialData[[#This Row],[Department]])),IF(_xlpm.d="It","IT",_xlpm.d))</f>
        <v>Operations</v>
      </c>
      <c r="AI935" t="str">
        <f>_xlfn.LET(_xlpm.pid,tbl_FinancialData[[#This Row],[Product ID]],_xlpm.n,PROPER(TRIM(tbl_FinancialData[[#This Row],[Product Name]])),IF(_xlpm.pid="P020","Document Scanner",IF(_xlpm.pid="P015","Network Router",SUBSTITUTE(SUBSTITUTE(_xlpm.n,"Crm","CRM"),"Ups","UPS"))))</f>
        <v>Document Scanner</v>
      </c>
      <c r="AJ935" s="3" t="str">
        <f>UPPER(TRIM(tbl_FinancialData[[#This Row],[Cost Center]]))</f>
        <v>CC-1002</v>
      </c>
    </row>
    <row r="936" spans="1:36" x14ac:dyDescent="0.25">
      <c r="A936" s="3" t="s">
        <v>1140</v>
      </c>
      <c r="B936" s="2">
        <v>46024</v>
      </c>
      <c r="C936" t="s">
        <v>77</v>
      </c>
      <c r="D936" s="3" t="str">
        <f t="shared" si="59"/>
        <v>Q4</v>
      </c>
      <c r="E936" s="3" t="str">
        <f t="shared" si="60"/>
        <v>FY2026</v>
      </c>
      <c r="F936" s="8" t="s">
        <v>59</v>
      </c>
      <c r="G936" s="3" t="s">
        <v>35</v>
      </c>
      <c r="H936" t="s">
        <v>230</v>
      </c>
      <c r="I936" t="s">
        <v>301</v>
      </c>
      <c r="J936" s="3" t="s">
        <v>100</v>
      </c>
      <c r="K936" t="s">
        <v>50</v>
      </c>
      <c r="L936" s="3" t="s">
        <v>51</v>
      </c>
      <c r="M936" s="3" t="s">
        <v>235</v>
      </c>
      <c r="N936" t="s">
        <v>236</v>
      </c>
      <c r="O936" t="s">
        <v>104</v>
      </c>
      <c r="P936" t="s">
        <v>237</v>
      </c>
      <c r="Q936" s="3">
        <v>18124.87</v>
      </c>
      <c r="R936" s="3">
        <v>19494.86</v>
      </c>
      <c r="S936" s="3">
        <v>12669.98</v>
      </c>
      <c r="T936" s="3">
        <v>2114.77</v>
      </c>
      <c r="U936" s="3">
        <v>1263.17</v>
      </c>
      <c r="V936" s="3">
        <v>1241.3399999999999</v>
      </c>
      <c r="W936" s="3">
        <v>334.2</v>
      </c>
      <c r="X936" s="3">
        <v>17623.47</v>
      </c>
      <c r="Y936" s="3">
        <v>5454.89</v>
      </c>
      <c r="Z936" s="3">
        <f t="shared" si="61"/>
        <v>501.39999999999782</v>
      </c>
      <c r="AA936" s="37">
        <f t="shared" si="62"/>
        <v>2.7663646690983045E-2</v>
      </c>
      <c r="AB936" s="3">
        <v>-1369.99</v>
      </c>
      <c r="AC936" s="3">
        <v>362.5</v>
      </c>
      <c r="AD936" s="3">
        <v>3197.23</v>
      </c>
      <c r="AE936" s="3">
        <v>20959.599999999999</v>
      </c>
      <c r="AF936" t="str">
        <f>IF(tbl_FinancialData[[#This Row],[City]]="","Unknown",PROPER(TRIM(tbl_FinancialData[[#This Row],[City]])))</f>
        <v>Amritsar</v>
      </c>
      <c r="AG936" t="str">
        <f>_xlfn.LET(_xlpm.city,LOWER(TRIM(tbl_FinancialData[[#This Row],[City]])),_xlpm.st,PROPER(TRIM(tbl_FinancialData[[#This Row],[State]])),IF(_xlpm.city="pune","Maharashtra",IF(_xlpm.city="jamshedpur","Jharkhand",IF(_xlpm.city="bhilai","Chhattisgarh",IF(_xlpm.city="mumbai","Maharashtra",_xlpm.st)))))</f>
        <v>Punjab</v>
      </c>
      <c r="AH936" t="str">
        <f>_xlfn.LET(_xlpm.d,PROPER(TRIM(tbl_FinancialData[[#This Row],[Department]])),IF(_xlpm.d="It","IT",_xlpm.d))</f>
        <v>Sales</v>
      </c>
      <c r="AI936" t="str">
        <f>_xlfn.LET(_xlpm.pid,tbl_FinancialData[[#This Row],[Product ID]],_xlpm.n,PROPER(TRIM(tbl_FinancialData[[#This Row],[Product Name]])),IF(_xlpm.pid="P020","Document Scanner",IF(_xlpm.pid="P015","Network Router",SUBSTITUTE(SUBSTITUTE(_xlpm.n,"Crm","CRM"),"Ups","UPS"))))</f>
        <v>Data Storage</v>
      </c>
      <c r="AJ936" s="3" t="str">
        <f>UPPER(TRIM(tbl_FinancialData[[#This Row],[Cost Center]]))</f>
        <v>CC-1003</v>
      </c>
    </row>
    <row r="937" spans="1:36" x14ac:dyDescent="0.25">
      <c r="A937" s="3" t="s">
        <v>1141</v>
      </c>
      <c r="B937" s="2">
        <v>45859</v>
      </c>
      <c r="C937" t="s">
        <v>32</v>
      </c>
      <c r="D937" s="3" t="str">
        <f t="shared" si="59"/>
        <v>Q2</v>
      </c>
      <c r="E937" s="3" t="str">
        <f t="shared" si="60"/>
        <v>FY2026</v>
      </c>
      <c r="F937" s="8" t="s">
        <v>47</v>
      </c>
      <c r="G937" s="3" t="s">
        <v>35</v>
      </c>
      <c r="H937" t="s">
        <v>48</v>
      </c>
      <c r="I937" t="s">
        <v>49</v>
      </c>
      <c r="J937" s="3" t="s">
        <v>80</v>
      </c>
      <c r="K937" t="s">
        <v>39</v>
      </c>
      <c r="L937" s="3" t="s">
        <v>81</v>
      </c>
      <c r="M937" s="3" t="s">
        <v>161</v>
      </c>
      <c r="N937" t="s">
        <v>162</v>
      </c>
      <c r="O937" t="s">
        <v>43</v>
      </c>
      <c r="P937" t="s">
        <v>163</v>
      </c>
      <c r="Q937" s="3">
        <v>35111.69</v>
      </c>
      <c r="R937" s="3">
        <v>32478.07</v>
      </c>
      <c r="S937" s="3">
        <v>23459.49</v>
      </c>
      <c r="T937" s="3">
        <v>2689.41</v>
      </c>
      <c r="U937" s="3">
        <v>2227.39</v>
      </c>
      <c r="V937" s="3">
        <v>3414.65</v>
      </c>
      <c r="W937" s="3">
        <v>1443.67</v>
      </c>
      <c r="X937" s="3">
        <v>33234.61</v>
      </c>
      <c r="Y937" s="3">
        <v>11652.2</v>
      </c>
      <c r="Z937" s="3">
        <f t="shared" si="61"/>
        <v>1877.0800000000017</v>
      </c>
      <c r="AA937" s="37">
        <f t="shared" si="62"/>
        <v>5.3460257822964423E-2</v>
      </c>
      <c r="AB937" s="3">
        <v>2633.62</v>
      </c>
      <c r="AC937" s="3">
        <v>2808.94</v>
      </c>
      <c r="AD937" s="3">
        <v>5814.5</v>
      </c>
      <c r="AE937" s="3">
        <v>38117.25</v>
      </c>
      <c r="AF937" t="str">
        <f>IF(tbl_FinancialData[[#This Row],[City]]="","Unknown",PROPER(TRIM(tbl_FinancialData[[#This Row],[City]])))</f>
        <v>Chennai</v>
      </c>
      <c r="AG937" t="str">
        <f>_xlfn.LET(_xlpm.city,LOWER(TRIM(tbl_FinancialData[[#This Row],[City]])),_xlpm.st,PROPER(TRIM(tbl_FinancialData[[#This Row],[State]])),IF(_xlpm.city="pune","Maharashtra",IF(_xlpm.city="jamshedpur","Jharkhand",IF(_xlpm.city="bhilai","Chhattisgarh",IF(_xlpm.city="mumbai","Maharashtra",_xlpm.st)))))</f>
        <v>Tamil Nadu</v>
      </c>
      <c r="AH937" t="str">
        <f>_xlfn.LET(_xlpm.d,PROPER(TRIM(tbl_FinancialData[[#This Row],[Department]])),IF(_xlpm.d="It","IT",_xlpm.d))</f>
        <v>Operations</v>
      </c>
      <c r="AI937" t="str">
        <f>_xlfn.LET(_xlpm.pid,tbl_FinancialData[[#This Row],[Product ID]],_xlpm.n,PROPER(TRIM(tbl_FinancialData[[#This Row],[Product Name]])),IF(_xlpm.pid="P020","Document Scanner",IF(_xlpm.pid="P015","Network Router",SUBSTITUTE(SUBSTITUTE(_xlpm.n,"Crm","CRM"),"Ups","UPS"))))</f>
        <v>Tablet</v>
      </c>
      <c r="AJ937" s="3" t="str">
        <f>UPPER(TRIM(tbl_FinancialData[[#This Row],[Cost Center]]))</f>
        <v>CC-1005</v>
      </c>
    </row>
    <row r="938" spans="1:36" x14ac:dyDescent="0.25">
      <c r="A938" s="3" t="s">
        <v>1142</v>
      </c>
      <c r="B938" s="2">
        <v>45825</v>
      </c>
      <c r="C938" t="s">
        <v>156</v>
      </c>
      <c r="D938" s="3" t="str">
        <f t="shared" si="59"/>
        <v>Q1</v>
      </c>
      <c r="E938" s="3" t="str">
        <f t="shared" si="60"/>
        <v>FY2026</v>
      </c>
      <c r="F938" s="8" t="s">
        <v>47</v>
      </c>
      <c r="G938" s="3" t="s">
        <v>35</v>
      </c>
      <c r="H938" t="s">
        <v>78</v>
      </c>
      <c r="I938" t="s">
        <v>183</v>
      </c>
      <c r="J938" s="3" t="s">
        <v>70</v>
      </c>
      <c r="K938" t="s">
        <v>50</v>
      </c>
      <c r="L938" s="3" t="s">
        <v>94</v>
      </c>
      <c r="M938" s="3" t="s">
        <v>110</v>
      </c>
      <c r="N938" t="s">
        <v>111</v>
      </c>
      <c r="O938" t="s">
        <v>112</v>
      </c>
      <c r="P938" t="s">
        <v>113</v>
      </c>
      <c r="Q938" s="3">
        <v>25300.01</v>
      </c>
      <c r="R938" s="3">
        <v>24785.62</v>
      </c>
      <c r="S938" s="3">
        <v>14641.56</v>
      </c>
      <c r="T938" s="3">
        <v>2485.16</v>
      </c>
      <c r="U938" s="3">
        <v>2276.6799999999998</v>
      </c>
      <c r="V938" s="3">
        <v>2009.82</v>
      </c>
      <c r="W938" s="3">
        <v>437.62</v>
      </c>
      <c r="X938" s="3">
        <v>21850.84</v>
      </c>
      <c r="Y938" s="3">
        <v>10658.45</v>
      </c>
      <c r="Z938" s="3">
        <f t="shared" si="61"/>
        <v>3449.1699999999983</v>
      </c>
      <c r="AA938" s="37">
        <f t="shared" si="62"/>
        <v>0.13633077615384337</v>
      </c>
      <c r="AB938" s="3">
        <v>514.39</v>
      </c>
      <c r="AC938" s="3">
        <v>0</v>
      </c>
      <c r="AD938" s="3">
        <v>1265</v>
      </c>
      <c r="AE938" s="3">
        <v>26565.01</v>
      </c>
      <c r="AF938" t="str">
        <f>IF(tbl_FinancialData[[#This Row],[City]]="","Unknown",PROPER(TRIM(tbl_FinancialData[[#This Row],[City]])))</f>
        <v>Kozhikode</v>
      </c>
      <c r="AG938" t="str">
        <f>_xlfn.LET(_xlpm.city,LOWER(TRIM(tbl_FinancialData[[#This Row],[City]])),_xlpm.st,PROPER(TRIM(tbl_FinancialData[[#This Row],[State]])),IF(_xlpm.city="pune","Maharashtra",IF(_xlpm.city="jamshedpur","Jharkhand",IF(_xlpm.city="bhilai","Chhattisgarh",IF(_xlpm.city="mumbai","Maharashtra",_xlpm.st)))))</f>
        <v>Kerala</v>
      </c>
      <c r="AH938" t="str">
        <f>_xlfn.LET(_xlpm.d,PROPER(TRIM(tbl_FinancialData[[#This Row],[Department]])),IF(_xlpm.d="It","IT",_xlpm.d))</f>
        <v>Sales</v>
      </c>
      <c r="AI938" t="str">
        <f>_xlfn.LET(_xlpm.pid,tbl_FinancialData[[#This Row],[Product ID]],_xlpm.n,PROPER(TRIM(tbl_FinancialData[[#This Row],[Product Name]])),IF(_xlpm.pid="P020","Document Scanner",IF(_xlpm.pid="P015","Network Router",SUBSTITUTE(SUBSTITUTE(_xlpm.n,"Crm","CRM"),"Ups","UPS"))))</f>
        <v>Office Desk</v>
      </c>
      <c r="AJ938" s="3" t="str">
        <f>UPPER(TRIM(tbl_FinancialData[[#This Row],[Cost Center]]))</f>
        <v>CC-1001</v>
      </c>
    </row>
    <row r="939" spans="1:36" x14ac:dyDescent="0.25">
      <c r="A939" s="3" t="s">
        <v>1143</v>
      </c>
      <c r="B939" s="2">
        <v>46101</v>
      </c>
      <c r="C939" t="s">
        <v>125</v>
      </c>
      <c r="D939" s="3" t="str">
        <f t="shared" si="59"/>
        <v>Q4</v>
      </c>
      <c r="E939" s="3" t="str">
        <f t="shared" si="60"/>
        <v>FY2026</v>
      </c>
      <c r="F939" s="8" t="s">
        <v>34</v>
      </c>
      <c r="G939" s="3" t="s">
        <v>35</v>
      </c>
      <c r="H939" t="s">
        <v>134</v>
      </c>
      <c r="I939" t="s">
        <v>176</v>
      </c>
      <c r="J939" s="3" t="s">
        <v>80</v>
      </c>
      <c r="K939" t="s">
        <v>39</v>
      </c>
      <c r="L939" s="3" t="s">
        <v>81</v>
      </c>
      <c r="M939" s="3" t="s">
        <v>221</v>
      </c>
      <c r="N939" t="s">
        <v>222</v>
      </c>
      <c r="O939" t="s">
        <v>104</v>
      </c>
      <c r="P939" t="s">
        <v>223</v>
      </c>
      <c r="Q939" s="3">
        <v>22037.279999999999</v>
      </c>
      <c r="R939" s="3">
        <v>20517.37</v>
      </c>
      <c r="S939" s="3">
        <v>12249.47</v>
      </c>
      <c r="T939" s="3">
        <v>2668.46</v>
      </c>
      <c r="U939" s="3">
        <v>1353.75</v>
      </c>
      <c r="V939" s="3">
        <v>1910</v>
      </c>
      <c r="W939" s="3">
        <v>589.1</v>
      </c>
      <c r="X939" s="3">
        <v>18770.78</v>
      </c>
      <c r="Y939" s="3">
        <v>9787.81</v>
      </c>
      <c r="Z939" s="3">
        <f t="shared" si="61"/>
        <v>3266.5</v>
      </c>
      <c r="AA939" s="37">
        <f t="shared" si="62"/>
        <v>0.14822609686857907</v>
      </c>
      <c r="AB939" s="3">
        <v>1519.9</v>
      </c>
      <c r="AC939" s="3">
        <v>1101.8599999999999</v>
      </c>
      <c r="AD939" s="3">
        <v>1046.77</v>
      </c>
      <c r="AE939" s="3">
        <v>21982.18</v>
      </c>
      <c r="AF939" t="str">
        <f>IF(tbl_FinancialData[[#This Row],[City]]="","Unknown",PROPER(TRIM(tbl_FinancialData[[#This Row],[City]])))</f>
        <v>Jaipur</v>
      </c>
      <c r="AG939" t="str">
        <f>_xlfn.LET(_xlpm.city,LOWER(TRIM(tbl_FinancialData[[#This Row],[City]])),_xlpm.st,PROPER(TRIM(tbl_FinancialData[[#This Row],[State]])),IF(_xlpm.city="pune","Maharashtra",IF(_xlpm.city="jamshedpur","Jharkhand",IF(_xlpm.city="bhilai","Chhattisgarh",IF(_xlpm.city="mumbai","Maharashtra",_xlpm.st)))))</f>
        <v>Rajasthan</v>
      </c>
      <c r="AH939" t="str">
        <f>_xlfn.LET(_xlpm.d,PROPER(TRIM(tbl_FinancialData[[#This Row],[Department]])),IF(_xlpm.d="It","IT",_xlpm.d))</f>
        <v>Operations</v>
      </c>
      <c r="AI939" t="str">
        <f>_xlfn.LET(_xlpm.pid,tbl_FinancialData[[#This Row],[Product ID]],_xlpm.n,PROPER(TRIM(tbl_FinancialData[[#This Row],[Product Name]])),IF(_xlpm.pid="P020","Document Scanner",IF(_xlpm.pid="P015","Network Router",SUBSTITUTE(SUBSTITUTE(_xlpm.n,"Crm","CRM"),"Ups","UPS"))))</f>
        <v>Cloud Software</v>
      </c>
      <c r="AJ939" s="3" t="str">
        <f>UPPER(TRIM(tbl_FinancialData[[#This Row],[Cost Center]]))</f>
        <v>CC-1005</v>
      </c>
    </row>
    <row r="940" spans="1:36" x14ac:dyDescent="0.25">
      <c r="A940" s="3" t="s">
        <v>1144</v>
      </c>
      <c r="B940" s="2">
        <v>45748</v>
      </c>
      <c r="C940" t="s">
        <v>128</v>
      </c>
      <c r="D940" s="3" t="str">
        <f t="shared" si="59"/>
        <v>Q1</v>
      </c>
      <c r="E940" s="3" t="str">
        <f t="shared" si="60"/>
        <v>FY2026</v>
      </c>
      <c r="F940" s="8" t="s">
        <v>34</v>
      </c>
      <c r="G940" s="3" t="s">
        <v>35</v>
      </c>
      <c r="H940" t="s">
        <v>36</v>
      </c>
      <c r="I940" t="s">
        <v>245</v>
      </c>
      <c r="J940" s="3" t="s">
        <v>70</v>
      </c>
      <c r="K940" t="s">
        <v>50</v>
      </c>
      <c r="L940" s="3" t="s">
        <v>40</v>
      </c>
      <c r="M940" s="3" t="s">
        <v>73</v>
      </c>
      <c r="N940" t="s">
        <v>74</v>
      </c>
      <c r="O940" t="s">
        <v>43</v>
      </c>
      <c r="P940" t="s">
        <v>75</v>
      </c>
      <c r="Q940" s="3">
        <v>31284.85</v>
      </c>
      <c r="R940" s="3">
        <v>34539.230000000003</v>
      </c>
      <c r="S940" s="3">
        <v>19241.439999999999</v>
      </c>
      <c r="T940" s="3">
        <v>1772.73</v>
      </c>
      <c r="U940" s="3">
        <v>1159.5</v>
      </c>
      <c r="V940" s="3">
        <v>1800.33</v>
      </c>
      <c r="W940" s="3">
        <v>595.20000000000005</v>
      </c>
      <c r="X940" s="3">
        <v>24569.200000000001</v>
      </c>
      <c r="Y940" s="3">
        <v>12043.42</v>
      </c>
      <c r="Z940" s="3">
        <f t="shared" si="61"/>
        <v>6715.6499999999978</v>
      </c>
      <c r="AA940" s="37">
        <f t="shared" si="62"/>
        <v>0.21466140959601845</v>
      </c>
      <c r="AB940" s="3">
        <v>-3254.38</v>
      </c>
      <c r="AC940" s="3">
        <v>1564.24</v>
      </c>
      <c r="AD940" s="3">
        <v>3566.47</v>
      </c>
      <c r="AE940" s="3">
        <v>33287.08</v>
      </c>
      <c r="AF940" t="str">
        <f>IF(tbl_FinancialData[[#This Row],[City]]="","Unknown",PROPER(TRIM(tbl_FinancialData[[#This Row],[City]])))</f>
        <v>Margao</v>
      </c>
      <c r="AG940" t="str">
        <f>_xlfn.LET(_xlpm.city,LOWER(TRIM(tbl_FinancialData[[#This Row],[City]])),_xlpm.st,PROPER(TRIM(tbl_FinancialData[[#This Row],[State]])),IF(_xlpm.city="pune","Maharashtra",IF(_xlpm.city="jamshedpur","Jharkhand",IF(_xlpm.city="bhilai","Chhattisgarh",IF(_xlpm.city="mumbai","Maharashtra",_xlpm.st)))))</f>
        <v>Goa</v>
      </c>
      <c r="AH940" t="str">
        <f>_xlfn.LET(_xlpm.d,PROPER(TRIM(tbl_FinancialData[[#This Row],[Department]])),IF(_xlpm.d="It","IT",_xlpm.d))</f>
        <v>Sales</v>
      </c>
      <c r="AI940" t="str">
        <f>_xlfn.LET(_xlpm.pid,tbl_FinancialData[[#This Row],[Product ID]],_xlpm.n,PROPER(TRIM(tbl_FinancialData[[#This Row],[Product Name]])),IF(_xlpm.pid="P020","Document Scanner",IF(_xlpm.pid="P015","Network Router",SUBSTITUTE(SUBSTITUTE(_xlpm.n,"Crm","CRM"),"Ups","UPS"))))</f>
        <v>Monitor</v>
      </c>
      <c r="AJ940" s="3" t="str">
        <f>UPPER(TRIM(tbl_FinancialData[[#This Row],[Cost Center]]))</f>
        <v>CC-1002</v>
      </c>
    </row>
    <row r="941" spans="1:36" x14ac:dyDescent="0.25">
      <c r="A941" s="3" t="s">
        <v>1145</v>
      </c>
      <c r="B941" s="2">
        <v>45780</v>
      </c>
      <c r="C941" t="s">
        <v>65</v>
      </c>
      <c r="D941" s="3" t="str">
        <f t="shared" si="59"/>
        <v>Q1</v>
      </c>
      <c r="E941" s="3" t="str">
        <f t="shared" si="60"/>
        <v>FY2026</v>
      </c>
      <c r="F941" s="8" t="s">
        <v>34</v>
      </c>
      <c r="G941" s="3" t="s">
        <v>35</v>
      </c>
      <c r="H941" t="s">
        <v>134</v>
      </c>
      <c r="I941" t="s">
        <v>154</v>
      </c>
      <c r="J941" s="3" t="s">
        <v>100</v>
      </c>
      <c r="K941" t="s">
        <v>101</v>
      </c>
      <c r="L941" s="3" t="s">
        <v>72</v>
      </c>
      <c r="M941" s="3" t="s">
        <v>82</v>
      </c>
      <c r="N941" t="s">
        <v>83</v>
      </c>
      <c r="O941" t="s">
        <v>43</v>
      </c>
      <c r="P941" t="s">
        <v>75</v>
      </c>
      <c r="Q941" s="3">
        <v>64157.27</v>
      </c>
      <c r="R941" s="3">
        <v>68682.3</v>
      </c>
      <c r="S941" s="3">
        <v>44730.86</v>
      </c>
      <c r="T941" s="3">
        <v>6790.28</v>
      </c>
      <c r="U941" s="3">
        <v>3150.9</v>
      </c>
      <c r="V941" s="3">
        <v>3496.61</v>
      </c>
      <c r="W941" s="3">
        <v>2717.87</v>
      </c>
      <c r="X941" s="3">
        <v>60886.53</v>
      </c>
      <c r="Y941" s="3">
        <v>19426.41</v>
      </c>
      <c r="Z941" s="3">
        <f t="shared" si="61"/>
        <v>3270.739999999998</v>
      </c>
      <c r="AA941" s="37">
        <f t="shared" si="62"/>
        <v>5.0980037024642696E-2</v>
      </c>
      <c r="AB941" s="3">
        <v>-4525.0200000000004</v>
      </c>
      <c r="AC941" s="3">
        <v>0</v>
      </c>
      <c r="AD941" s="3">
        <v>7698.87</v>
      </c>
      <c r="AE941" s="3">
        <v>71856.149999999994</v>
      </c>
      <c r="AF941" t="str">
        <f>IF(tbl_FinancialData[[#This Row],[City]]="","Unknown",PROPER(TRIM(tbl_FinancialData[[#This Row],[City]])))</f>
        <v>Udaipur</v>
      </c>
      <c r="AG941" t="str">
        <f>_xlfn.LET(_xlpm.city,LOWER(TRIM(tbl_FinancialData[[#This Row],[City]])),_xlpm.st,PROPER(TRIM(tbl_FinancialData[[#This Row],[State]])),IF(_xlpm.city="pune","Maharashtra",IF(_xlpm.city="jamshedpur","Jharkhand",IF(_xlpm.city="bhilai","Chhattisgarh",IF(_xlpm.city="mumbai","Maharashtra",_xlpm.st)))))</f>
        <v>Rajasthan</v>
      </c>
      <c r="AH941" t="str">
        <f>_xlfn.LET(_xlpm.d,PROPER(TRIM(tbl_FinancialData[[#This Row],[Department]])),IF(_xlpm.d="It","IT",_xlpm.d))</f>
        <v>Finance</v>
      </c>
      <c r="AI941" t="str">
        <f>_xlfn.LET(_xlpm.pid,tbl_FinancialData[[#This Row],[Product ID]],_xlpm.n,PROPER(TRIM(tbl_FinancialData[[#This Row],[Product Name]])),IF(_xlpm.pid="P020","Document Scanner",IF(_xlpm.pid="P015","Network Router",SUBSTITUTE(SUBSTITUTE(_xlpm.n,"Crm","CRM"),"Ups","UPS"))))</f>
        <v>Business Laptop</v>
      </c>
      <c r="AJ941" s="3" t="str">
        <f>UPPER(TRIM(tbl_FinancialData[[#This Row],[Cost Center]]))</f>
        <v>CC-1004</v>
      </c>
    </row>
    <row r="942" spans="1:36" x14ac:dyDescent="0.25">
      <c r="A942" s="3" t="s">
        <v>1146</v>
      </c>
      <c r="B942" s="2">
        <v>45940</v>
      </c>
      <c r="C942" t="s">
        <v>92</v>
      </c>
      <c r="D942" s="3" t="str">
        <f t="shared" si="59"/>
        <v>Q3</v>
      </c>
      <c r="E942" s="3" t="str">
        <f t="shared" si="60"/>
        <v>FY2026</v>
      </c>
      <c r="F942" s="8" t="s">
        <v>47</v>
      </c>
      <c r="G942" s="3" t="s">
        <v>35</v>
      </c>
      <c r="H942" t="s">
        <v>48</v>
      </c>
      <c r="I942" t="s">
        <v>126</v>
      </c>
      <c r="J942" s="3" t="s">
        <v>70</v>
      </c>
      <c r="K942" t="s">
        <v>160</v>
      </c>
      <c r="L942" s="3" t="s">
        <v>81</v>
      </c>
      <c r="M942" s="3" t="s">
        <v>221</v>
      </c>
      <c r="N942" t="s">
        <v>222</v>
      </c>
      <c r="O942" t="s">
        <v>104</v>
      </c>
      <c r="P942" t="s">
        <v>223</v>
      </c>
      <c r="Q942" s="3">
        <v>7741.77</v>
      </c>
      <c r="R942" s="3">
        <v>8227.3700000000008</v>
      </c>
      <c r="S942" s="3">
        <v>5216.0600000000004</v>
      </c>
      <c r="T942" s="3">
        <v>624.84</v>
      </c>
      <c r="U942" s="3">
        <v>430.98</v>
      </c>
      <c r="V942" s="3">
        <v>847.79</v>
      </c>
      <c r="W942" s="3">
        <v>189.83</v>
      </c>
      <c r="X942" s="3">
        <v>7309.49</v>
      </c>
      <c r="Y942" s="3">
        <v>2525.71</v>
      </c>
      <c r="Z942" s="3">
        <f t="shared" si="61"/>
        <v>432.28000000000065</v>
      </c>
      <c r="AA942" s="37">
        <f t="shared" si="62"/>
        <v>5.5837360190240812E-2</v>
      </c>
      <c r="AB942" s="3">
        <v>-485.6</v>
      </c>
      <c r="AC942" s="3">
        <v>387.09</v>
      </c>
      <c r="AD942" s="3">
        <v>367.73</v>
      </c>
      <c r="AE942" s="3">
        <v>7722.41</v>
      </c>
      <c r="AF942" t="str">
        <f>IF(tbl_FinancialData[[#This Row],[City]]="","Unknown",PROPER(TRIM(tbl_FinancialData[[#This Row],[City]])))</f>
        <v>Coimbatore</v>
      </c>
      <c r="AG942" t="str">
        <f>_xlfn.LET(_xlpm.city,LOWER(TRIM(tbl_FinancialData[[#This Row],[City]])),_xlpm.st,PROPER(TRIM(tbl_FinancialData[[#This Row],[State]])),IF(_xlpm.city="pune","Maharashtra",IF(_xlpm.city="jamshedpur","Jharkhand",IF(_xlpm.city="bhilai","Chhattisgarh",IF(_xlpm.city="mumbai","Maharashtra",_xlpm.st)))))</f>
        <v>Tamil Nadu</v>
      </c>
      <c r="AH942" t="str">
        <f>_xlfn.LET(_xlpm.d,PROPER(TRIM(tbl_FinancialData[[#This Row],[Department]])),IF(_xlpm.d="It","IT",_xlpm.d))</f>
        <v>IT</v>
      </c>
      <c r="AI942" t="str">
        <f>_xlfn.LET(_xlpm.pid,tbl_FinancialData[[#This Row],[Product ID]],_xlpm.n,PROPER(TRIM(tbl_FinancialData[[#This Row],[Product Name]])),IF(_xlpm.pid="P020","Document Scanner",IF(_xlpm.pid="P015","Network Router",SUBSTITUTE(SUBSTITUTE(_xlpm.n,"Crm","CRM"),"Ups","UPS"))))</f>
        <v>Cloud Software</v>
      </c>
      <c r="AJ942" s="3" t="str">
        <f>UPPER(TRIM(tbl_FinancialData[[#This Row],[Cost Center]]))</f>
        <v>CC-1005</v>
      </c>
    </row>
    <row r="943" spans="1:36" x14ac:dyDescent="0.25">
      <c r="A943" s="3" t="s">
        <v>1147</v>
      </c>
      <c r="B943" s="2">
        <v>46020</v>
      </c>
      <c r="C943" t="s">
        <v>107</v>
      </c>
      <c r="D943" s="3" t="str">
        <f t="shared" si="59"/>
        <v>Q3</v>
      </c>
      <c r="E943" s="3" t="str">
        <f t="shared" si="60"/>
        <v>FY2026</v>
      </c>
      <c r="F943" s="8" t="s">
        <v>59</v>
      </c>
      <c r="G943" s="3" t="s">
        <v>35</v>
      </c>
      <c r="H943" t="s">
        <v>139</v>
      </c>
      <c r="I943" t="s">
        <v>140</v>
      </c>
      <c r="J943" s="3" t="s">
        <v>70</v>
      </c>
      <c r="K943" t="s">
        <v>39</v>
      </c>
      <c r="L943" s="3" t="s">
        <v>40</v>
      </c>
      <c r="M943" s="3" t="s">
        <v>82</v>
      </c>
      <c r="N943" t="s">
        <v>83</v>
      </c>
      <c r="O943" t="s">
        <v>43</v>
      </c>
      <c r="P943" t="s">
        <v>75</v>
      </c>
      <c r="Q943" s="3">
        <v>59440.22</v>
      </c>
      <c r="R943" s="3">
        <v>60399.87</v>
      </c>
      <c r="S943" s="3">
        <v>37522.720000000001</v>
      </c>
      <c r="T943" s="3">
        <v>5537.81</v>
      </c>
      <c r="U943" s="3">
        <v>1688.09</v>
      </c>
      <c r="V943" s="3">
        <v>5909.81</v>
      </c>
      <c r="W943" s="3">
        <v>952.99</v>
      </c>
      <c r="X943" s="3">
        <v>51611.42</v>
      </c>
      <c r="Y943" s="3">
        <v>21917.5</v>
      </c>
      <c r="Z943" s="3">
        <f t="shared" si="61"/>
        <v>7828.8000000000029</v>
      </c>
      <c r="AA943" s="37">
        <f t="shared" si="62"/>
        <v>0.13170879919354272</v>
      </c>
      <c r="AB943" s="3">
        <v>-959.65</v>
      </c>
      <c r="AC943" s="3">
        <v>0</v>
      </c>
      <c r="AD943" s="3">
        <v>7132.83</v>
      </c>
      <c r="AE943" s="3">
        <v>66573.05</v>
      </c>
      <c r="AF943" t="str">
        <f>IF(tbl_FinancialData[[#This Row],[City]]="","Unknown",PROPER(TRIM(tbl_FinancialData[[#This Row],[City]])))</f>
        <v>Faridabad</v>
      </c>
      <c r="AG943" t="str">
        <f>_xlfn.LET(_xlpm.city,LOWER(TRIM(tbl_FinancialData[[#This Row],[City]])),_xlpm.st,PROPER(TRIM(tbl_FinancialData[[#This Row],[State]])),IF(_xlpm.city="pune","Maharashtra",IF(_xlpm.city="jamshedpur","Jharkhand",IF(_xlpm.city="bhilai","Chhattisgarh",IF(_xlpm.city="mumbai","Maharashtra",_xlpm.st)))))</f>
        <v>Haryana</v>
      </c>
      <c r="AH943" t="str">
        <f>_xlfn.LET(_xlpm.d,PROPER(TRIM(tbl_FinancialData[[#This Row],[Department]])),IF(_xlpm.d="It","IT",_xlpm.d))</f>
        <v>Operations</v>
      </c>
      <c r="AI943" t="str">
        <f>_xlfn.LET(_xlpm.pid,tbl_FinancialData[[#This Row],[Product ID]],_xlpm.n,PROPER(TRIM(tbl_FinancialData[[#This Row],[Product Name]])),IF(_xlpm.pid="P020","Document Scanner",IF(_xlpm.pid="P015","Network Router",SUBSTITUTE(SUBSTITUTE(_xlpm.n,"Crm","CRM"),"Ups","UPS"))))</f>
        <v>Business Laptop</v>
      </c>
      <c r="AJ943" s="3" t="str">
        <f>UPPER(TRIM(tbl_FinancialData[[#This Row],[Cost Center]]))</f>
        <v>CC-1002</v>
      </c>
    </row>
    <row r="944" spans="1:36" x14ac:dyDescent="0.25">
      <c r="A944" s="3" t="s">
        <v>1148</v>
      </c>
      <c r="B944" s="2">
        <v>45946</v>
      </c>
      <c r="C944" t="s">
        <v>92</v>
      </c>
      <c r="D944" s="3" t="str">
        <f t="shared" si="59"/>
        <v>Q3</v>
      </c>
      <c r="E944" s="3" t="str">
        <f t="shared" si="60"/>
        <v>FY2026</v>
      </c>
      <c r="F944" s="8" t="s">
        <v>47</v>
      </c>
      <c r="G944" s="3" t="s">
        <v>35</v>
      </c>
      <c r="H944" t="s">
        <v>214</v>
      </c>
      <c r="I944" t="s">
        <v>220</v>
      </c>
      <c r="J944" s="3" t="s">
        <v>80</v>
      </c>
      <c r="K944" t="s">
        <v>50</v>
      </c>
      <c r="L944" s="3" t="s">
        <v>81</v>
      </c>
      <c r="M944" s="3" t="s">
        <v>120</v>
      </c>
      <c r="N944" t="s">
        <v>121</v>
      </c>
      <c r="O944" t="s">
        <v>43</v>
      </c>
      <c r="P944" t="s">
        <v>122</v>
      </c>
      <c r="Q944" s="3">
        <v>66940.94</v>
      </c>
      <c r="R944" s="3">
        <v>72882.559999999998</v>
      </c>
      <c r="S944" s="3">
        <v>39963.26</v>
      </c>
      <c r="T944" s="3">
        <v>5302.88</v>
      </c>
      <c r="U944" s="3">
        <v>3307.76</v>
      </c>
      <c r="V944" s="3">
        <v>5371.72</v>
      </c>
      <c r="W944" s="3">
        <v>850.55</v>
      </c>
      <c r="X944" s="3">
        <v>54796.18</v>
      </c>
      <c r="Y944" s="3">
        <v>26977.69</v>
      </c>
      <c r="Z944" s="3">
        <f t="shared" si="61"/>
        <v>12144.760000000002</v>
      </c>
      <c r="AA944" s="37">
        <f t="shared" si="62"/>
        <v>0.18142499940992765</v>
      </c>
      <c r="AB944" s="3">
        <v>-5941.62</v>
      </c>
      <c r="AC944" s="3">
        <v>3347.05</v>
      </c>
      <c r="AD944" s="3">
        <v>7631.27</v>
      </c>
      <c r="AE944" s="3">
        <v>71225.16</v>
      </c>
      <c r="AF944" t="str">
        <f>IF(tbl_FinancialData[[#This Row],[City]]="","Unknown",PROPER(TRIM(tbl_FinancialData[[#This Row],[City]])))</f>
        <v>Mysuru</v>
      </c>
      <c r="AG944" t="str">
        <f>_xlfn.LET(_xlpm.city,LOWER(TRIM(tbl_FinancialData[[#This Row],[City]])),_xlpm.st,PROPER(TRIM(tbl_FinancialData[[#This Row],[State]])),IF(_xlpm.city="pune","Maharashtra",IF(_xlpm.city="jamshedpur","Jharkhand",IF(_xlpm.city="bhilai","Chhattisgarh",IF(_xlpm.city="mumbai","Maharashtra",_xlpm.st)))))</f>
        <v>Karnataka</v>
      </c>
      <c r="AH944" t="str">
        <f>_xlfn.LET(_xlpm.d,PROPER(TRIM(tbl_FinancialData[[#This Row],[Department]])),IF(_xlpm.d="It","IT",_xlpm.d))</f>
        <v>Sales</v>
      </c>
      <c r="AI944" t="str">
        <f>_xlfn.LET(_xlpm.pid,tbl_FinancialData[[#This Row],[Product ID]],_xlpm.n,PROPER(TRIM(tbl_FinancialData[[#This Row],[Product Name]])),IF(_xlpm.pid="P020","Document Scanner",IF(_xlpm.pid="P015","Network Router",SUBSTITUTE(SUBSTITUTE(_xlpm.n,"Crm","CRM"),"Ups","UPS"))))</f>
        <v>Projector</v>
      </c>
      <c r="AJ944" s="3" t="str">
        <f>UPPER(TRIM(tbl_FinancialData[[#This Row],[Cost Center]]))</f>
        <v>CC-1005</v>
      </c>
    </row>
    <row r="945" spans="1:36" x14ac:dyDescent="0.25">
      <c r="A945" s="3" t="s">
        <v>1149</v>
      </c>
      <c r="B945" s="2">
        <v>45885</v>
      </c>
      <c r="C945" t="s">
        <v>117</v>
      </c>
      <c r="D945" s="3" t="str">
        <f t="shared" si="59"/>
        <v>Q2</v>
      </c>
      <c r="E945" s="3" t="str">
        <f t="shared" si="60"/>
        <v>FY2026</v>
      </c>
      <c r="F945" s="8" t="s">
        <v>67</v>
      </c>
      <c r="G945" s="3" t="s">
        <v>35</v>
      </c>
      <c r="H945" t="s">
        <v>118</v>
      </c>
      <c r="I945" t="s">
        <v>209</v>
      </c>
      <c r="J945" s="3" t="s">
        <v>38</v>
      </c>
      <c r="K945" t="s">
        <v>160</v>
      </c>
      <c r="L945" s="3" t="s">
        <v>94</v>
      </c>
      <c r="M945" s="3" t="s">
        <v>110</v>
      </c>
      <c r="N945" t="s">
        <v>111</v>
      </c>
      <c r="O945" t="s">
        <v>112</v>
      </c>
      <c r="P945" t="s">
        <v>113</v>
      </c>
      <c r="Q945" s="3">
        <v>29984.33</v>
      </c>
      <c r="R945" s="3">
        <v>34189.19</v>
      </c>
      <c r="S945" s="3">
        <v>17803.96</v>
      </c>
      <c r="T945" s="3">
        <v>3724.37</v>
      </c>
      <c r="U945" s="3">
        <v>1161.8</v>
      </c>
      <c r="V945" s="3">
        <v>2529.94</v>
      </c>
      <c r="W945" s="3">
        <v>431.9</v>
      </c>
      <c r="X945" s="3">
        <v>25651.98</v>
      </c>
      <c r="Y945" s="3">
        <v>12180.37</v>
      </c>
      <c r="Z945" s="3">
        <f t="shared" si="61"/>
        <v>4332.3500000000022</v>
      </c>
      <c r="AA945" s="37">
        <f t="shared" si="62"/>
        <v>0.14448713711461961</v>
      </c>
      <c r="AB945" s="3">
        <v>-4204.8599999999997</v>
      </c>
      <c r="AC945" s="3">
        <v>899.53</v>
      </c>
      <c r="AD945" s="3">
        <v>3490.18</v>
      </c>
      <c r="AE945" s="3">
        <v>32574.98</v>
      </c>
      <c r="AF945" t="str">
        <f>IF(tbl_FinancialData[[#This Row],[City]]="","Unknown",PROPER(TRIM(tbl_FinancialData[[#This Row],[City]])))</f>
        <v>Jamshedpur</v>
      </c>
      <c r="AG945" t="str">
        <f>_xlfn.LET(_xlpm.city,LOWER(TRIM(tbl_FinancialData[[#This Row],[City]])),_xlpm.st,PROPER(TRIM(tbl_FinancialData[[#This Row],[State]])),IF(_xlpm.city="pune","Maharashtra",IF(_xlpm.city="jamshedpur","Jharkhand",IF(_xlpm.city="bhilai","Chhattisgarh",IF(_xlpm.city="mumbai","Maharashtra",_xlpm.st)))))</f>
        <v>Jharkhand</v>
      </c>
      <c r="AH945" t="str">
        <f>_xlfn.LET(_xlpm.d,PROPER(TRIM(tbl_FinancialData[[#This Row],[Department]])),IF(_xlpm.d="It","IT",_xlpm.d))</f>
        <v>IT</v>
      </c>
      <c r="AI945" t="str">
        <f>_xlfn.LET(_xlpm.pid,tbl_FinancialData[[#This Row],[Product ID]],_xlpm.n,PROPER(TRIM(tbl_FinancialData[[#This Row],[Product Name]])),IF(_xlpm.pid="P020","Document Scanner",IF(_xlpm.pid="P015","Network Router",SUBSTITUTE(SUBSTITUTE(_xlpm.n,"Crm","CRM"),"Ups","UPS"))))</f>
        <v>Office Desk</v>
      </c>
      <c r="AJ945" s="3" t="str">
        <f>UPPER(TRIM(tbl_FinancialData[[#This Row],[Cost Center]]))</f>
        <v>CC-1001</v>
      </c>
    </row>
    <row r="946" spans="1:36" x14ac:dyDescent="0.25">
      <c r="A946" s="3" t="s">
        <v>1150</v>
      </c>
      <c r="B946" s="2">
        <v>45765</v>
      </c>
      <c r="C946" t="s">
        <v>128</v>
      </c>
      <c r="D946" s="3" t="str">
        <f t="shared" si="59"/>
        <v>Q1</v>
      </c>
      <c r="E946" s="3" t="str">
        <f t="shared" si="60"/>
        <v>FY2026</v>
      </c>
      <c r="F946" s="8" t="s">
        <v>47</v>
      </c>
      <c r="G946" s="3" t="s">
        <v>35</v>
      </c>
      <c r="H946" t="s">
        <v>206</v>
      </c>
      <c r="I946" t="s">
        <v>296</v>
      </c>
      <c r="J946" s="3" t="s">
        <v>100</v>
      </c>
      <c r="K946" t="s">
        <v>39</v>
      </c>
      <c r="L946" s="3" t="s">
        <v>81</v>
      </c>
      <c r="M946" s="3" t="s">
        <v>186</v>
      </c>
      <c r="N946" t="s">
        <v>187</v>
      </c>
      <c r="O946" t="s">
        <v>173</v>
      </c>
      <c r="P946" t="s">
        <v>174</v>
      </c>
      <c r="Q946" s="3">
        <v>43942.91</v>
      </c>
      <c r="R946" s="3">
        <v>49962.29</v>
      </c>
      <c r="S946" s="3">
        <v>29992.28</v>
      </c>
      <c r="T946" s="3">
        <v>2544.02</v>
      </c>
      <c r="U946" s="3">
        <v>3936.07</v>
      </c>
      <c r="V946" s="3">
        <v>3165.23</v>
      </c>
      <c r="W946" s="3">
        <v>690.31</v>
      </c>
      <c r="X946" s="3">
        <v>40327.910000000003</v>
      </c>
      <c r="Y946" s="3">
        <v>13950.63</v>
      </c>
      <c r="Z946" s="3">
        <f t="shared" si="61"/>
        <v>3615</v>
      </c>
      <c r="AA946" s="37">
        <f t="shared" si="62"/>
        <v>8.2265830824585801E-2</v>
      </c>
      <c r="AB946" s="3">
        <v>-6019.38</v>
      </c>
      <c r="AC946" s="3">
        <v>3515.43</v>
      </c>
      <c r="AD946" s="3">
        <v>2021.37</v>
      </c>
      <c r="AE946" s="3">
        <v>42448.85</v>
      </c>
      <c r="AF946" t="str">
        <f>IF(tbl_FinancialData[[#This Row],[City]]="","Unknown",PROPER(TRIM(tbl_FinancialData[[#This Row],[City]])))</f>
        <v>Warangal</v>
      </c>
      <c r="AG946" t="str">
        <f>_xlfn.LET(_xlpm.city,LOWER(TRIM(tbl_FinancialData[[#This Row],[City]])),_xlpm.st,PROPER(TRIM(tbl_FinancialData[[#This Row],[State]])),IF(_xlpm.city="pune","Maharashtra",IF(_xlpm.city="jamshedpur","Jharkhand",IF(_xlpm.city="bhilai","Chhattisgarh",IF(_xlpm.city="mumbai","Maharashtra",_xlpm.st)))))</f>
        <v>Telangana</v>
      </c>
      <c r="AH946" t="str">
        <f>_xlfn.LET(_xlpm.d,PROPER(TRIM(tbl_FinancialData[[#This Row],[Department]])),IF(_xlpm.d="It","IT",_xlpm.d))</f>
        <v>Operations</v>
      </c>
      <c r="AI946" t="str">
        <f>_xlfn.LET(_xlpm.pid,tbl_FinancialData[[#This Row],[Product ID]],_xlpm.n,PROPER(TRIM(tbl_FinancialData[[#This Row],[Product Name]])),IF(_xlpm.pid="P020","Document Scanner",IF(_xlpm.pid="P015","Network Router",SUBSTITUTE(SUBSTITUTE(_xlpm.n,"Crm","CRM"),"Ups","UPS"))))</f>
        <v>Network Router</v>
      </c>
      <c r="AJ946" s="3" t="str">
        <f>UPPER(TRIM(tbl_FinancialData[[#This Row],[Cost Center]]))</f>
        <v>CC-1005</v>
      </c>
    </row>
    <row r="947" spans="1:36" x14ac:dyDescent="0.25">
      <c r="A947" s="3" t="s">
        <v>1151</v>
      </c>
      <c r="B947" s="2">
        <v>46032</v>
      </c>
      <c r="C947" t="s">
        <v>77</v>
      </c>
      <c r="D947" s="3" t="str">
        <f t="shared" si="59"/>
        <v>Q4</v>
      </c>
      <c r="E947" s="3" t="str">
        <f t="shared" si="60"/>
        <v>FY2026</v>
      </c>
      <c r="F947" s="8" t="s">
        <v>59</v>
      </c>
      <c r="G947" s="3" t="s">
        <v>35</v>
      </c>
      <c r="H947" t="s">
        <v>60</v>
      </c>
      <c r="I947" t="s">
        <v>108</v>
      </c>
      <c r="J947" s="3" t="s">
        <v>38</v>
      </c>
      <c r="K947" t="s">
        <v>39</v>
      </c>
      <c r="L947" s="3" t="s">
        <v>51</v>
      </c>
      <c r="M947" s="3" t="s">
        <v>197</v>
      </c>
      <c r="N947" t="s">
        <v>198</v>
      </c>
      <c r="O947" t="s">
        <v>43</v>
      </c>
      <c r="P947" t="s">
        <v>163</v>
      </c>
      <c r="Q947" s="3">
        <v>22137</v>
      </c>
      <c r="R947" s="3">
        <v>22594.86</v>
      </c>
      <c r="S947" s="3">
        <v>12015.72</v>
      </c>
      <c r="T947" s="3">
        <v>2738.97</v>
      </c>
      <c r="U947" s="3">
        <v>1154.5899999999999</v>
      </c>
      <c r="V947" s="3">
        <v>2415.79</v>
      </c>
      <c r="W947" s="3">
        <v>306.33999999999997</v>
      </c>
      <c r="X947" s="3">
        <v>18631.41</v>
      </c>
      <c r="Y947" s="3">
        <v>10121.280000000001</v>
      </c>
      <c r="Z947" s="3">
        <f t="shared" si="61"/>
        <v>3505.59</v>
      </c>
      <c r="AA947" s="37">
        <f t="shared" si="62"/>
        <v>0.15835885621357909</v>
      </c>
      <c r="AB947" s="3">
        <v>-457.86</v>
      </c>
      <c r="AC947" s="3">
        <v>442.74</v>
      </c>
      <c r="AD947" s="3">
        <v>1084.71</v>
      </c>
      <c r="AE947" s="3">
        <v>22778.98</v>
      </c>
      <c r="AF947" t="str">
        <f>IF(tbl_FinancialData[[#This Row],[City]]="","Unknown",PROPER(TRIM(tbl_FinancialData[[#This Row],[City]])))</f>
        <v>Agra</v>
      </c>
      <c r="AG947" t="str">
        <f>_xlfn.LET(_xlpm.city,LOWER(TRIM(tbl_FinancialData[[#This Row],[City]])),_xlpm.st,PROPER(TRIM(tbl_FinancialData[[#This Row],[State]])),IF(_xlpm.city="pune","Maharashtra",IF(_xlpm.city="jamshedpur","Jharkhand",IF(_xlpm.city="bhilai","Chhattisgarh",IF(_xlpm.city="mumbai","Maharashtra",_xlpm.st)))))</f>
        <v>Uttar Pradesh</v>
      </c>
      <c r="AH947" t="str">
        <f>_xlfn.LET(_xlpm.d,PROPER(TRIM(tbl_FinancialData[[#This Row],[Department]])),IF(_xlpm.d="It","IT",_xlpm.d))</f>
        <v>Operations</v>
      </c>
      <c r="AI947" t="str">
        <f>_xlfn.LET(_xlpm.pid,tbl_FinancialData[[#This Row],[Product ID]],_xlpm.n,PROPER(TRIM(tbl_FinancialData[[#This Row],[Product Name]])),IF(_xlpm.pid="P020","Document Scanner",IF(_xlpm.pid="P015","Network Router",SUBSTITUTE(SUBSTITUTE(_xlpm.n,"Crm","CRM"),"Ups","UPS"))))</f>
        <v>Smartphone</v>
      </c>
      <c r="AJ947" s="3" t="str">
        <f>UPPER(TRIM(tbl_FinancialData[[#This Row],[Cost Center]]))</f>
        <v>CC-1003</v>
      </c>
    </row>
    <row r="948" spans="1:36" x14ac:dyDescent="0.25">
      <c r="A948" s="3" t="s">
        <v>1152</v>
      </c>
      <c r="B948" s="2">
        <v>45757</v>
      </c>
      <c r="C948" t="s">
        <v>128</v>
      </c>
      <c r="D948" s="3" t="str">
        <f t="shared" si="59"/>
        <v>Q1</v>
      </c>
      <c r="E948" s="3" t="str">
        <f t="shared" si="60"/>
        <v>FY2026</v>
      </c>
      <c r="F948" s="8" t="s">
        <v>59</v>
      </c>
      <c r="G948" s="3" t="s">
        <v>35</v>
      </c>
      <c r="H948" t="s">
        <v>60</v>
      </c>
      <c r="I948" t="s">
        <v>185</v>
      </c>
      <c r="J948" s="3" t="s">
        <v>100</v>
      </c>
      <c r="K948" t="s">
        <v>50</v>
      </c>
      <c r="L948" s="3" t="s">
        <v>94</v>
      </c>
      <c r="M948" s="3" t="s">
        <v>95</v>
      </c>
      <c r="N948" t="s">
        <v>96</v>
      </c>
      <c r="O948" t="s">
        <v>43</v>
      </c>
      <c r="P948" t="s">
        <v>90</v>
      </c>
      <c r="Q948" s="3">
        <v>49586.38</v>
      </c>
      <c r="R948" s="3">
        <v>56399.75</v>
      </c>
      <c r="S948" s="3">
        <v>27876.05</v>
      </c>
      <c r="T948" s="3">
        <v>3537.13</v>
      </c>
      <c r="U948" s="3">
        <v>4414</v>
      </c>
      <c r="V948" s="3">
        <v>5597.85</v>
      </c>
      <c r="W948" s="3">
        <v>546.17999999999995</v>
      </c>
      <c r="X948" s="3">
        <v>41971.21</v>
      </c>
      <c r="Y948" s="3">
        <v>21710.32</v>
      </c>
      <c r="Z948" s="3">
        <f t="shared" si="61"/>
        <v>7615.1699999999983</v>
      </c>
      <c r="AA948" s="37">
        <f t="shared" si="62"/>
        <v>0.15357382410250553</v>
      </c>
      <c r="AB948" s="3">
        <v>-6813.37</v>
      </c>
      <c r="AC948" s="3">
        <v>2479.3200000000002</v>
      </c>
      <c r="AD948" s="3">
        <v>2355.35</v>
      </c>
      <c r="AE948" s="3">
        <v>49462.41</v>
      </c>
      <c r="AF948" t="str">
        <f>IF(tbl_FinancialData[[#This Row],[City]]="","Unknown",PROPER(TRIM(tbl_FinancialData[[#This Row],[City]])))</f>
        <v>Kanpur</v>
      </c>
      <c r="AG948" t="str">
        <f>_xlfn.LET(_xlpm.city,LOWER(TRIM(tbl_FinancialData[[#This Row],[City]])),_xlpm.st,PROPER(TRIM(tbl_FinancialData[[#This Row],[State]])),IF(_xlpm.city="pune","Maharashtra",IF(_xlpm.city="jamshedpur","Jharkhand",IF(_xlpm.city="bhilai","Chhattisgarh",IF(_xlpm.city="mumbai","Maharashtra",_xlpm.st)))))</f>
        <v>Uttar Pradesh</v>
      </c>
      <c r="AH948" t="str">
        <f>_xlfn.LET(_xlpm.d,PROPER(TRIM(tbl_FinancialData[[#This Row],[Department]])),IF(_xlpm.d="It","IT",_xlpm.d))</f>
        <v>Sales</v>
      </c>
      <c r="AI948" t="str">
        <f>_xlfn.LET(_xlpm.pid,tbl_FinancialData[[#This Row],[Product ID]],_xlpm.n,PROPER(TRIM(tbl_FinancialData[[#This Row],[Product Name]])),IF(_xlpm.pid="P020","Document Scanner",IF(_xlpm.pid="P015","Network Router",SUBSTITUTE(SUBSTITUTE(_xlpm.n,"Crm","CRM"),"Ups","UPS"))))</f>
        <v>Document Scanner</v>
      </c>
      <c r="AJ948" s="3" t="str">
        <f>UPPER(TRIM(tbl_FinancialData[[#This Row],[Cost Center]]))</f>
        <v>CC-1001</v>
      </c>
    </row>
    <row r="949" spans="1:36" x14ac:dyDescent="0.25">
      <c r="A949" s="3" t="s">
        <v>1153</v>
      </c>
      <c r="B949" s="2">
        <v>46024</v>
      </c>
      <c r="C949" t="s">
        <v>77</v>
      </c>
      <c r="D949" s="3" t="str">
        <f t="shared" si="59"/>
        <v>Q4</v>
      </c>
      <c r="E949" s="3" t="str">
        <f t="shared" si="60"/>
        <v>FY2026</v>
      </c>
      <c r="F949" s="8" t="s">
        <v>67</v>
      </c>
      <c r="G949" s="3" t="s">
        <v>35</v>
      </c>
      <c r="H949" t="s">
        <v>217</v>
      </c>
      <c r="I949" t="s">
        <v>218</v>
      </c>
      <c r="J949" s="3" t="s">
        <v>100</v>
      </c>
      <c r="K949" t="s">
        <v>71</v>
      </c>
      <c r="L949" s="3" t="s">
        <v>40</v>
      </c>
      <c r="M949" s="3" t="s">
        <v>102</v>
      </c>
      <c r="N949" t="s">
        <v>103</v>
      </c>
      <c r="O949" t="s">
        <v>104</v>
      </c>
      <c r="P949" t="s">
        <v>105</v>
      </c>
      <c r="Q949" s="3">
        <v>10111.879999999999</v>
      </c>
      <c r="R949" s="3">
        <v>9145.42</v>
      </c>
      <c r="S949" s="3">
        <v>6524.4</v>
      </c>
      <c r="T949" s="3">
        <v>689.03</v>
      </c>
      <c r="U949" s="3">
        <v>275.92</v>
      </c>
      <c r="V949" s="3">
        <v>452.72</v>
      </c>
      <c r="W949" s="3">
        <v>233.31</v>
      </c>
      <c r="X949" s="3">
        <v>8175.39</v>
      </c>
      <c r="Y949" s="3">
        <v>3587.48</v>
      </c>
      <c r="Z949" s="3">
        <f t="shared" si="61"/>
        <v>1936.4899999999989</v>
      </c>
      <c r="AA949" s="37">
        <f t="shared" si="62"/>
        <v>0.19150642610474006</v>
      </c>
      <c r="AB949" s="3">
        <v>966.46</v>
      </c>
      <c r="AC949" s="3">
        <v>0</v>
      </c>
      <c r="AD949" s="3">
        <v>1213.43</v>
      </c>
      <c r="AE949" s="3">
        <v>11325.31</v>
      </c>
      <c r="AF949" t="str">
        <f>IF(tbl_FinancialData[[#This Row],[City]]="","Unknown",PROPER(TRIM(tbl_FinancialData[[#This Row],[City]])))</f>
        <v>Gaya</v>
      </c>
      <c r="AG949" t="str">
        <f>_xlfn.LET(_xlpm.city,LOWER(TRIM(tbl_FinancialData[[#This Row],[City]])),_xlpm.st,PROPER(TRIM(tbl_FinancialData[[#This Row],[State]])),IF(_xlpm.city="pune","Maharashtra",IF(_xlpm.city="jamshedpur","Jharkhand",IF(_xlpm.city="bhilai","Chhattisgarh",IF(_xlpm.city="mumbai","Maharashtra",_xlpm.st)))))</f>
        <v>Bihar</v>
      </c>
      <c r="AH949" t="str">
        <f>_xlfn.LET(_xlpm.d,PROPER(TRIM(tbl_FinancialData[[#This Row],[Department]])),IF(_xlpm.d="It","IT",_xlpm.d))</f>
        <v>Marketing</v>
      </c>
      <c r="AI949" t="str">
        <f>_xlfn.LET(_xlpm.pid,tbl_FinancialData[[#This Row],[Product ID]],_xlpm.n,PROPER(TRIM(tbl_FinancialData[[#This Row],[Product Name]])),IF(_xlpm.pid="P020","Document Scanner",IF(_xlpm.pid="P015","Network Router",SUBSTITUTE(SUBSTITUTE(_xlpm.n,"Crm","CRM"),"Ups","UPS"))))</f>
        <v>Accounting Software</v>
      </c>
      <c r="AJ949" s="3" t="str">
        <f>UPPER(TRIM(tbl_FinancialData[[#This Row],[Cost Center]]))</f>
        <v>CC-1002</v>
      </c>
    </row>
    <row r="950" spans="1:36" x14ac:dyDescent="0.25">
      <c r="A950" s="3" t="s">
        <v>1154</v>
      </c>
      <c r="B950" s="2">
        <v>45917</v>
      </c>
      <c r="C950" t="s">
        <v>46</v>
      </c>
      <c r="D950" s="3" t="str">
        <f t="shared" si="59"/>
        <v>Q2</v>
      </c>
      <c r="E950" s="3" t="str">
        <f t="shared" si="60"/>
        <v>FY2026</v>
      </c>
      <c r="F950" s="8" t="s">
        <v>85</v>
      </c>
      <c r="G950" s="3" t="s">
        <v>35</v>
      </c>
      <c r="H950" t="s">
        <v>178</v>
      </c>
      <c r="I950" t="s">
        <v>179</v>
      </c>
      <c r="J950" s="3" t="s">
        <v>38</v>
      </c>
      <c r="K950" t="s">
        <v>101</v>
      </c>
      <c r="L950" s="3" t="s">
        <v>94</v>
      </c>
      <c r="M950" s="3" t="s">
        <v>130</v>
      </c>
      <c r="N950" t="s">
        <v>131</v>
      </c>
      <c r="O950" t="s">
        <v>43</v>
      </c>
      <c r="P950" t="s">
        <v>132</v>
      </c>
      <c r="Q950" s="3">
        <v>41810.19</v>
      </c>
      <c r="R950" s="3">
        <v>40975.53</v>
      </c>
      <c r="S950" s="3">
        <v>24499.279999999999</v>
      </c>
      <c r="T950" s="3">
        <v>3860.55</v>
      </c>
      <c r="U950" s="3">
        <v>2266.48</v>
      </c>
      <c r="V950" s="3">
        <v>3322.06</v>
      </c>
      <c r="W950" s="3">
        <v>855.04</v>
      </c>
      <c r="X950" s="3">
        <v>34803.42</v>
      </c>
      <c r="Y950" s="3">
        <v>17310.900000000001</v>
      </c>
      <c r="Z950" s="3">
        <f t="shared" si="61"/>
        <v>7006.7700000000041</v>
      </c>
      <c r="AA950" s="37">
        <f t="shared" si="62"/>
        <v>0.16758522264548437</v>
      </c>
      <c r="AB950" s="3">
        <v>834.65</v>
      </c>
      <c r="AC950" s="3">
        <v>0</v>
      </c>
      <c r="AD950" s="3">
        <v>2090.5100000000002</v>
      </c>
      <c r="AE950" s="3">
        <v>43900.7</v>
      </c>
      <c r="AF950" t="str">
        <f>IF(tbl_FinancialData[[#This Row],[City]]="","Unknown",PROPER(TRIM(tbl_FinancialData[[#This Row],[City]])))</f>
        <v>Bilaspur</v>
      </c>
      <c r="AG950" t="str">
        <f>_xlfn.LET(_xlpm.city,LOWER(TRIM(tbl_FinancialData[[#This Row],[City]])),_xlpm.st,PROPER(TRIM(tbl_FinancialData[[#This Row],[State]])),IF(_xlpm.city="pune","Maharashtra",IF(_xlpm.city="jamshedpur","Jharkhand",IF(_xlpm.city="bhilai","Chhattisgarh",IF(_xlpm.city="mumbai","Maharashtra",_xlpm.st)))))</f>
        <v>Chhattisgarh</v>
      </c>
      <c r="AH950" t="str">
        <f>_xlfn.LET(_xlpm.d,PROPER(TRIM(tbl_FinancialData[[#This Row],[Department]])),IF(_xlpm.d="It","IT",_xlpm.d))</f>
        <v>Finance</v>
      </c>
      <c r="AI950" t="str">
        <f>_xlfn.LET(_xlpm.pid,tbl_FinancialData[[#This Row],[Product ID]],_xlpm.n,PROPER(TRIM(tbl_FinancialData[[#This Row],[Product Name]])),IF(_xlpm.pid="P020","Document Scanner",IF(_xlpm.pid="P015","Network Router",SUBSTITUTE(SUBSTITUTE(_xlpm.n,"Crm","CRM"),"Ups","UPS"))))</f>
        <v>UPS System</v>
      </c>
      <c r="AJ950" s="3" t="str">
        <f>UPPER(TRIM(tbl_FinancialData[[#This Row],[Cost Center]]))</f>
        <v>CC-1001</v>
      </c>
    </row>
    <row r="951" spans="1:36" x14ac:dyDescent="0.25">
      <c r="A951" s="3" t="s">
        <v>1155</v>
      </c>
      <c r="B951" s="2">
        <v>46071</v>
      </c>
      <c r="C951" t="s">
        <v>57</v>
      </c>
      <c r="D951" s="3" t="str">
        <f t="shared" si="59"/>
        <v>Q4</v>
      </c>
      <c r="E951" s="3" t="str">
        <f t="shared" si="60"/>
        <v>FY2026</v>
      </c>
      <c r="F951" s="8" t="s">
        <v>85</v>
      </c>
      <c r="G951" s="3" t="s">
        <v>35</v>
      </c>
      <c r="H951" t="s">
        <v>86</v>
      </c>
      <c r="I951" t="s">
        <v>87</v>
      </c>
      <c r="J951" s="3" t="s">
        <v>70</v>
      </c>
      <c r="K951" t="s">
        <v>50</v>
      </c>
      <c r="L951" s="3" t="s">
        <v>72</v>
      </c>
      <c r="M951" s="3" t="s">
        <v>211</v>
      </c>
      <c r="N951" t="s">
        <v>212</v>
      </c>
      <c r="O951" t="s">
        <v>112</v>
      </c>
      <c r="P951" t="s">
        <v>113</v>
      </c>
      <c r="Q951" s="3">
        <v>22846.26</v>
      </c>
      <c r="R951" s="3">
        <v>26626.17</v>
      </c>
      <c r="S951" s="3">
        <v>14882.88</v>
      </c>
      <c r="T951" s="3">
        <v>1739.53</v>
      </c>
      <c r="U951" s="3">
        <v>1001.13</v>
      </c>
      <c r="V951" s="3">
        <v>1871.01</v>
      </c>
      <c r="W951" s="3">
        <v>291.75</v>
      </c>
      <c r="X951" s="3">
        <v>19786.3</v>
      </c>
      <c r="Y951" s="3">
        <v>7963.38</v>
      </c>
      <c r="Z951" s="3">
        <f t="shared" si="61"/>
        <v>3059.9599999999991</v>
      </c>
      <c r="AA951" s="37">
        <f t="shared" si="62"/>
        <v>0.13393702076401123</v>
      </c>
      <c r="AB951" s="3">
        <v>-3779.91</v>
      </c>
      <c r="AC951" s="3">
        <v>0</v>
      </c>
      <c r="AD951" s="3">
        <v>1142.31</v>
      </c>
      <c r="AE951" s="3">
        <v>23988.57</v>
      </c>
      <c r="AF951" t="str">
        <f>IF(tbl_FinancialData[[#This Row],[City]]="","Unknown",PROPER(TRIM(tbl_FinancialData[[#This Row],[City]])))</f>
        <v>Indore</v>
      </c>
      <c r="AG951" t="str">
        <f>_xlfn.LET(_xlpm.city,LOWER(TRIM(tbl_FinancialData[[#This Row],[City]])),_xlpm.st,PROPER(TRIM(tbl_FinancialData[[#This Row],[State]])),IF(_xlpm.city="pune","Maharashtra",IF(_xlpm.city="jamshedpur","Jharkhand",IF(_xlpm.city="bhilai","Chhattisgarh",IF(_xlpm.city="mumbai","Maharashtra",_xlpm.st)))))</f>
        <v>Madhya Pradesh</v>
      </c>
      <c r="AH951" t="str">
        <f>_xlfn.LET(_xlpm.d,PROPER(TRIM(tbl_FinancialData[[#This Row],[Department]])),IF(_xlpm.d="It","IT",_xlpm.d))</f>
        <v>Sales</v>
      </c>
      <c r="AI951" t="str">
        <f>_xlfn.LET(_xlpm.pid,tbl_FinancialData[[#This Row],[Product ID]],_xlpm.n,PROPER(TRIM(tbl_FinancialData[[#This Row],[Product Name]])),IF(_xlpm.pid="P020","Document Scanner",IF(_xlpm.pid="P015","Network Router",SUBSTITUTE(SUBSTITUTE(_xlpm.n,"Crm","CRM"),"Ups","UPS"))))</f>
        <v>Office Chair</v>
      </c>
      <c r="AJ951" s="3" t="str">
        <f>UPPER(TRIM(tbl_FinancialData[[#This Row],[Cost Center]]))</f>
        <v>CC-1004</v>
      </c>
    </row>
    <row r="952" spans="1:36" x14ac:dyDescent="0.25">
      <c r="A952" s="3" t="s">
        <v>1156</v>
      </c>
      <c r="B952" s="2">
        <v>46022</v>
      </c>
      <c r="C952" t="s">
        <v>107</v>
      </c>
      <c r="D952" s="3" t="str">
        <f t="shared" si="59"/>
        <v>Q3</v>
      </c>
      <c r="E952" s="3" t="str">
        <f t="shared" si="60"/>
        <v>FY2026</v>
      </c>
      <c r="F952" s="8" t="s">
        <v>67</v>
      </c>
      <c r="G952" s="3" t="s">
        <v>35</v>
      </c>
      <c r="H952" t="s">
        <v>68</v>
      </c>
      <c r="I952" t="s">
        <v>69</v>
      </c>
      <c r="J952" s="3" t="s">
        <v>80</v>
      </c>
      <c r="K952" t="s">
        <v>39</v>
      </c>
      <c r="L952" s="3" t="s">
        <v>81</v>
      </c>
      <c r="M952" s="3" t="s">
        <v>120</v>
      </c>
      <c r="N952" t="s">
        <v>121</v>
      </c>
      <c r="O952" t="s">
        <v>43</v>
      </c>
      <c r="P952" t="s">
        <v>122</v>
      </c>
      <c r="Q952" s="3">
        <v>30338.55</v>
      </c>
      <c r="R952" s="3">
        <v>35609.75</v>
      </c>
      <c r="S952" s="3">
        <v>15097.27</v>
      </c>
      <c r="T952" s="3">
        <v>2206.02</v>
      </c>
      <c r="U952" s="3">
        <v>1237.6600000000001</v>
      </c>
      <c r="V952" s="3">
        <v>1816.79</v>
      </c>
      <c r="W952" s="3">
        <v>705.51</v>
      </c>
      <c r="X952" s="3">
        <v>21063.26</v>
      </c>
      <c r="Y952" s="3">
        <v>15241.28</v>
      </c>
      <c r="Z952" s="3">
        <f t="shared" si="61"/>
        <v>9275.2900000000009</v>
      </c>
      <c r="AA952" s="37">
        <f t="shared" si="62"/>
        <v>0.30572621301940933</v>
      </c>
      <c r="AB952" s="3">
        <v>-5271.2</v>
      </c>
      <c r="AC952" s="3">
        <v>2427.08</v>
      </c>
      <c r="AD952" s="3">
        <v>5024.0600000000004</v>
      </c>
      <c r="AE952" s="3">
        <v>32935.53</v>
      </c>
      <c r="AF952" t="str">
        <f>IF(tbl_FinancialData[[#This Row],[City]]="","Unknown",PROPER(TRIM(tbl_FinancialData[[#This Row],[City]])))</f>
        <v>Bhubaneswar</v>
      </c>
      <c r="AG952" t="str">
        <f>_xlfn.LET(_xlpm.city,LOWER(TRIM(tbl_FinancialData[[#This Row],[City]])),_xlpm.st,PROPER(TRIM(tbl_FinancialData[[#This Row],[State]])),IF(_xlpm.city="pune","Maharashtra",IF(_xlpm.city="jamshedpur","Jharkhand",IF(_xlpm.city="bhilai","Chhattisgarh",IF(_xlpm.city="mumbai","Maharashtra",_xlpm.st)))))</f>
        <v>Odisha</v>
      </c>
      <c r="AH952" t="str">
        <f>_xlfn.LET(_xlpm.d,PROPER(TRIM(tbl_FinancialData[[#This Row],[Department]])),IF(_xlpm.d="It","IT",_xlpm.d))</f>
        <v>Operations</v>
      </c>
      <c r="AI952" t="str">
        <f>_xlfn.LET(_xlpm.pid,tbl_FinancialData[[#This Row],[Product ID]],_xlpm.n,PROPER(TRIM(tbl_FinancialData[[#This Row],[Product Name]])),IF(_xlpm.pid="P020","Document Scanner",IF(_xlpm.pid="P015","Network Router",SUBSTITUTE(SUBSTITUTE(_xlpm.n,"Crm","CRM"),"Ups","UPS"))))</f>
        <v>Projector</v>
      </c>
      <c r="AJ952" s="3" t="str">
        <f>UPPER(TRIM(tbl_FinancialData[[#This Row],[Cost Center]]))</f>
        <v>CC-1005</v>
      </c>
    </row>
    <row r="953" spans="1:36" x14ac:dyDescent="0.25">
      <c r="A953" s="3" t="s">
        <v>1157</v>
      </c>
      <c r="B953" s="2">
        <v>45783</v>
      </c>
      <c r="C953" t="s">
        <v>65</v>
      </c>
      <c r="D953" s="3" t="str">
        <f t="shared" si="59"/>
        <v>Q1</v>
      </c>
      <c r="E953" s="3" t="str">
        <f t="shared" si="60"/>
        <v>FY2026</v>
      </c>
      <c r="F953" s="8" t="s">
        <v>34</v>
      </c>
      <c r="G953" s="3" t="s">
        <v>35</v>
      </c>
      <c r="H953" t="s">
        <v>134</v>
      </c>
      <c r="I953" t="s">
        <v>135</v>
      </c>
      <c r="J953" s="3" t="s">
        <v>38</v>
      </c>
      <c r="K953" t="s">
        <v>50</v>
      </c>
      <c r="L953" s="3" t="s">
        <v>51</v>
      </c>
      <c r="M953" s="3" t="s">
        <v>211</v>
      </c>
      <c r="N953" t="s">
        <v>212</v>
      </c>
      <c r="O953" t="s">
        <v>112</v>
      </c>
      <c r="P953" t="s">
        <v>113</v>
      </c>
      <c r="Q953" s="3">
        <v>20652.080000000002</v>
      </c>
      <c r="R953" s="3">
        <v>22904.84</v>
      </c>
      <c r="S953" s="3">
        <v>10577.16</v>
      </c>
      <c r="T953" s="3">
        <v>1178.8499999999999</v>
      </c>
      <c r="U953" s="3">
        <v>1735.39</v>
      </c>
      <c r="V953" s="3">
        <v>1710.83</v>
      </c>
      <c r="W953" s="3">
        <v>826.56</v>
      </c>
      <c r="X953" s="3">
        <v>16028.8</v>
      </c>
      <c r="Y953" s="3">
        <v>10074.92</v>
      </c>
      <c r="Z953" s="3">
        <f t="shared" si="61"/>
        <v>4623.2800000000025</v>
      </c>
      <c r="AA953" s="37">
        <f t="shared" si="62"/>
        <v>0.22386510220762276</v>
      </c>
      <c r="AB953" s="3">
        <v>-2252.7600000000002</v>
      </c>
      <c r="AC953" s="3">
        <v>0</v>
      </c>
      <c r="AD953" s="3">
        <v>2478.25</v>
      </c>
      <c r="AE953" s="3">
        <v>23130.33</v>
      </c>
      <c r="AF953" t="str">
        <f>IF(tbl_FinancialData[[#This Row],[City]]="","Unknown",PROPER(TRIM(tbl_FinancialData[[#This Row],[City]])))</f>
        <v>Jodhpur</v>
      </c>
      <c r="AG953" t="str">
        <f>_xlfn.LET(_xlpm.city,LOWER(TRIM(tbl_FinancialData[[#This Row],[City]])),_xlpm.st,PROPER(TRIM(tbl_FinancialData[[#This Row],[State]])),IF(_xlpm.city="pune","Maharashtra",IF(_xlpm.city="jamshedpur","Jharkhand",IF(_xlpm.city="bhilai","Chhattisgarh",IF(_xlpm.city="mumbai","Maharashtra",_xlpm.st)))))</f>
        <v>Rajasthan</v>
      </c>
      <c r="AH953" t="str">
        <f>_xlfn.LET(_xlpm.d,PROPER(TRIM(tbl_FinancialData[[#This Row],[Department]])),IF(_xlpm.d="It","IT",_xlpm.d))</f>
        <v>Sales</v>
      </c>
      <c r="AI953" t="str">
        <f>_xlfn.LET(_xlpm.pid,tbl_FinancialData[[#This Row],[Product ID]],_xlpm.n,PROPER(TRIM(tbl_FinancialData[[#This Row],[Product Name]])),IF(_xlpm.pid="P020","Document Scanner",IF(_xlpm.pid="P015","Network Router",SUBSTITUTE(SUBSTITUTE(_xlpm.n,"Crm","CRM"),"Ups","UPS"))))</f>
        <v>Office Chair</v>
      </c>
      <c r="AJ953" s="3" t="str">
        <f>UPPER(TRIM(tbl_FinancialData[[#This Row],[Cost Center]]))</f>
        <v>CC-1003</v>
      </c>
    </row>
    <row r="954" spans="1:36" x14ac:dyDescent="0.25">
      <c r="A954" s="3" t="s">
        <v>1158</v>
      </c>
      <c r="B954" s="2">
        <v>46067</v>
      </c>
      <c r="C954" t="s">
        <v>57</v>
      </c>
      <c r="D954" s="3" t="str">
        <f t="shared" si="59"/>
        <v>Q4</v>
      </c>
      <c r="E954" s="3" t="str">
        <f t="shared" si="60"/>
        <v>FY2026</v>
      </c>
      <c r="F954" s="8" t="s">
        <v>47</v>
      </c>
      <c r="G954" s="3" t="s">
        <v>35</v>
      </c>
      <c r="H954" t="s">
        <v>48</v>
      </c>
      <c r="I954" t="s">
        <v>265</v>
      </c>
      <c r="J954" s="3" t="s">
        <v>70</v>
      </c>
      <c r="K954" t="s">
        <v>50</v>
      </c>
      <c r="L954" s="3" t="s">
        <v>40</v>
      </c>
      <c r="M954" s="3" t="s">
        <v>95</v>
      </c>
      <c r="N954" t="s">
        <v>96</v>
      </c>
      <c r="O954" t="s">
        <v>43</v>
      </c>
      <c r="P954" t="s">
        <v>90</v>
      </c>
      <c r="Q954" s="3">
        <v>77085.31</v>
      </c>
      <c r="R954" s="3">
        <v>90792.42</v>
      </c>
      <c r="S954" s="3">
        <v>54746.48</v>
      </c>
      <c r="T954" s="3">
        <v>3890.91</v>
      </c>
      <c r="U954" s="3">
        <v>2166.1799999999998</v>
      </c>
      <c r="V954" s="3">
        <v>3993.68</v>
      </c>
      <c r="W954" s="3">
        <v>1712.08</v>
      </c>
      <c r="X954" s="3">
        <v>66509.33</v>
      </c>
      <c r="Y954" s="3">
        <v>22338.83</v>
      </c>
      <c r="Z954" s="3">
        <f t="shared" si="61"/>
        <v>10575.979999999996</v>
      </c>
      <c r="AA954" s="37">
        <f t="shared" si="62"/>
        <v>0.13719838449115657</v>
      </c>
      <c r="AB954" s="3">
        <v>-13707.11</v>
      </c>
      <c r="AC954" s="3">
        <v>6166.82</v>
      </c>
      <c r="AD954" s="3">
        <v>12765.33</v>
      </c>
      <c r="AE954" s="3">
        <v>83683.81</v>
      </c>
      <c r="AF954" t="str">
        <f>IF(tbl_FinancialData[[#This Row],[City]]="","Unknown",PROPER(TRIM(tbl_FinancialData[[#This Row],[City]])))</f>
        <v>Madurai</v>
      </c>
      <c r="AG954" t="str">
        <f>_xlfn.LET(_xlpm.city,LOWER(TRIM(tbl_FinancialData[[#This Row],[City]])),_xlpm.st,PROPER(TRIM(tbl_FinancialData[[#This Row],[State]])),IF(_xlpm.city="pune","Maharashtra",IF(_xlpm.city="jamshedpur","Jharkhand",IF(_xlpm.city="bhilai","Chhattisgarh",IF(_xlpm.city="mumbai","Maharashtra",_xlpm.st)))))</f>
        <v>Tamil Nadu</v>
      </c>
      <c r="AH954" t="str">
        <f>_xlfn.LET(_xlpm.d,PROPER(TRIM(tbl_FinancialData[[#This Row],[Department]])),IF(_xlpm.d="It","IT",_xlpm.d))</f>
        <v>Sales</v>
      </c>
      <c r="AI954" t="str">
        <f>_xlfn.LET(_xlpm.pid,tbl_FinancialData[[#This Row],[Product ID]],_xlpm.n,PROPER(TRIM(tbl_FinancialData[[#This Row],[Product Name]])),IF(_xlpm.pid="P020","Document Scanner",IF(_xlpm.pid="P015","Network Router",SUBSTITUTE(SUBSTITUTE(_xlpm.n,"Crm","CRM"),"Ups","UPS"))))</f>
        <v>Document Scanner</v>
      </c>
      <c r="AJ954" s="3" t="str">
        <f>UPPER(TRIM(tbl_FinancialData[[#This Row],[Cost Center]]))</f>
        <v>CC-1002</v>
      </c>
    </row>
    <row r="955" spans="1:36" x14ac:dyDescent="0.25">
      <c r="A955" s="3" t="s">
        <v>1159</v>
      </c>
      <c r="B955" s="2">
        <v>46038</v>
      </c>
      <c r="C955" t="s">
        <v>77</v>
      </c>
      <c r="D955" s="3" t="str">
        <f t="shared" si="59"/>
        <v>Q4</v>
      </c>
      <c r="E955" s="3" t="str">
        <f t="shared" si="60"/>
        <v>FY2026</v>
      </c>
      <c r="F955" s="8" t="s">
        <v>67</v>
      </c>
      <c r="G955" s="3" t="s">
        <v>35</v>
      </c>
      <c r="H955" t="s">
        <v>217</v>
      </c>
      <c r="I955" t="s">
        <v>284</v>
      </c>
      <c r="J955" s="3" t="s">
        <v>38</v>
      </c>
      <c r="K955" t="s">
        <v>101</v>
      </c>
      <c r="L955" s="3" t="s">
        <v>72</v>
      </c>
      <c r="M955" s="3" t="s">
        <v>141</v>
      </c>
      <c r="N955" t="s">
        <v>142</v>
      </c>
      <c r="O955" t="s">
        <v>54</v>
      </c>
      <c r="P955" t="s">
        <v>143</v>
      </c>
      <c r="Q955" s="3">
        <v>4653.95</v>
      </c>
      <c r="R955" s="3">
        <v>4901.99</v>
      </c>
      <c r="S955" s="3">
        <v>2723.85</v>
      </c>
      <c r="T955" s="3">
        <v>239.16</v>
      </c>
      <c r="U955" s="3">
        <v>417.04</v>
      </c>
      <c r="V955" s="3">
        <v>388.53</v>
      </c>
      <c r="W955" s="3">
        <v>123.69</v>
      </c>
      <c r="X955" s="3">
        <v>3892.26</v>
      </c>
      <c r="Y955" s="3">
        <v>1930.09</v>
      </c>
      <c r="Z955" s="3">
        <f t="shared" si="61"/>
        <v>761.6899999999996</v>
      </c>
      <c r="AA955" s="37">
        <f t="shared" si="62"/>
        <v>0.16366527358480423</v>
      </c>
      <c r="AB955" s="3">
        <v>-248.04</v>
      </c>
      <c r="AC955" s="3">
        <v>465.39</v>
      </c>
      <c r="AD955" s="3">
        <v>209.43</v>
      </c>
      <c r="AE955" s="3">
        <v>4397.9799999999996</v>
      </c>
      <c r="AF955" t="str">
        <f>IF(tbl_FinancialData[[#This Row],[City]]="","Unknown",PROPER(TRIM(tbl_FinancialData[[#This Row],[City]])))</f>
        <v>Patna</v>
      </c>
      <c r="AG955" t="str">
        <f>_xlfn.LET(_xlpm.city,LOWER(TRIM(tbl_FinancialData[[#This Row],[City]])),_xlpm.st,PROPER(TRIM(tbl_FinancialData[[#This Row],[State]])),IF(_xlpm.city="pune","Maharashtra",IF(_xlpm.city="jamshedpur","Jharkhand",IF(_xlpm.city="bhilai","Chhattisgarh",IF(_xlpm.city="mumbai","Maharashtra",_xlpm.st)))))</f>
        <v>Bihar</v>
      </c>
      <c r="AH955" t="str">
        <f>_xlfn.LET(_xlpm.d,PROPER(TRIM(tbl_FinancialData[[#This Row],[Department]])),IF(_xlpm.d="It","IT",_xlpm.d))</f>
        <v>Finance</v>
      </c>
      <c r="AI955" t="str">
        <f>_xlfn.LET(_xlpm.pid,tbl_FinancialData[[#This Row],[Product ID]],_xlpm.n,PROPER(TRIM(tbl_FinancialData[[#This Row],[Product Name]])),IF(_xlpm.pid="P020","Document Scanner",IF(_xlpm.pid="P015","Network Router",SUBSTITUTE(SUBSTITUTE(_xlpm.n,"Crm","CRM"),"Ups","UPS"))))</f>
        <v>Headset</v>
      </c>
      <c r="AJ955" s="3" t="str">
        <f>UPPER(TRIM(tbl_FinancialData[[#This Row],[Cost Center]]))</f>
        <v>CC-1004</v>
      </c>
    </row>
    <row r="956" spans="1:36" x14ac:dyDescent="0.25">
      <c r="A956" s="3" t="s">
        <v>1160</v>
      </c>
      <c r="B956" s="2">
        <v>45810</v>
      </c>
      <c r="C956" t="s">
        <v>156</v>
      </c>
      <c r="D956" s="3" t="str">
        <f t="shared" si="59"/>
        <v>Q1</v>
      </c>
      <c r="E956" s="3" t="str">
        <f t="shared" si="60"/>
        <v>FY2026</v>
      </c>
      <c r="F956" s="8" t="s">
        <v>59</v>
      </c>
      <c r="G956" s="3" t="s">
        <v>35</v>
      </c>
      <c r="H956" t="s">
        <v>254</v>
      </c>
      <c r="I956" t="s">
        <v>200</v>
      </c>
      <c r="J956" s="3" t="s">
        <v>38</v>
      </c>
      <c r="K956" t="s">
        <v>71</v>
      </c>
      <c r="L956" s="3" t="s">
        <v>72</v>
      </c>
      <c r="M956" s="3" t="s">
        <v>171</v>
      </c>
      <c r="N956" t="s">
        <v>172</v>
      </c>
      <c r="O956" t="s">
        <v>173</v>
      </c>
      <c r="P956" t="s">
        <v>174</v>
      </c>
      <c r="Q956" s="3">
        <v>17749.43</v>
      </c>
      <c r="R956" s="3">
        <v>17307.09</v>
      </c>
      <c r="S956" s="3">
        <v>11120.88</v>
      </c>
      <c r="T956" s="3">
        <v>2260.36</v>
      </c>
      <c r="U956" s="3">
        <v>1217.57</v>
      </c>
      <c r="V956" s="3">
        <v>1224.94</v>
      </c>
      <c r="W956" s="3">
        <v>758.81</v>
      </c>
      <c r="X956" s="3">
        <v>16582.560000000001</v>
      </c>
      <c r="Y956" s="3">
        <v>6628.55</v>
      </c>
      <c r="Z956" s="3">
        <f t="shared" si="61"/>
        <v>1166.869999999999</v>
      </c>
      <c r="AA956" s="37">
        <f t="shared" si="62"/>
        <v>6.574126605755784E-2</v>
      </c>
      <c r="AB956" s="3">
        <v>442.34</v>
      </c>
      <c r="AC956" s="3">
        <v>887.47</v>
      </c>
      <c r="AD956" s="3">
        <v>843.1</v>
      </c>
      <c r="AE956" s="3">
        <v>17705.060000000001</v>
      </c>
      <c r="AF956" t="str">
        <f>IF(tbl_FinancialData[[#This Row],[City]]="","Unknown",PROPER(TRIM(tbl_FinancialData[[#This Row],[City]])))</f>
        <v>Gurugram</v>
      </c>
      <c r="AG956" t="str">
        <f>_xlfn.LET(_xlpm.city,LOWER(TRIM(tbl_FinancialData[[#This Row],[City]])),_xlpm.st,PROPER(TRIM(tbl_FinancialData[[#This Row],[State]])),IF(_xlpm.city="pune","Maharashtra",IF(_xlpm.city="jamshedpur","Jharkhand",IF(_xlpm.city="bhilai","Chhattisgarh",IF(_xlpm.city="mumbai","Maharashtra",_xlpm.st)))))</f>
        <v>Delhi</v>
      </c>
      <c r="AH956" t="str">
        <f>_xlfn.LET(_xlpm.d,PROPER(TRIM(tbl_FinancialData[[#This Row],[Department]])),IF(_xlpm.d="It","IT",_xlpm.d))</f>
        <v>Marketing</v>
      </c>
      <c r="AI956" t="str">
        <f>_xlfn.LET(_xlpm.pid,tbl_FinancialData[[#This Row],[Product ID]],_xlpm.n,PROPER(TRIM(tbl_FinancialData[[#This Row],[Product Name]])),IF(_xlpm.pid="P020","Document Scanner",IF(_xlpm.pid="P015","Network Router",SUBSTITUTE(SUBSTITUTE(_xlpm.n,"Crm","CRM"),"Ups","UPS"))))</f>
        <v>Network Switch</v>
      </c>
      <c r="AJ956" s="3" t="str">
        <f>UPPER(TRIM(tbl_FinancialData[[#This Row],[Cost Center]]))</f>
        <v>CC-1004</v>
      </c>
    </row>
    <row r="957" spans="1:36" x14ac:dyDescent="0.25">
      <c r="A957" s="3" t="s">
        <v>1161</v>
      </c>
      <c r="B957" s="2">
        <v>45752</v>
      </c>
      <c r="C957" t="s">
        <v>128</v>
      </c>
      <c r="D957" s="3" t="str">
        <f t="shared" si="59"/>
        <v>Q1</v>
      </c>
      <c r="E957" s="3" t="str">
        <f t="shared" si="60"/>
        <v>FY2026</v>
      </c>
      <c r="F957" s="8" t="s">
        <v>34</v>
      </c>
      <c r="G957" s="3" t="s">
        <v>35</v>
      </c>
      <c r="H957" t="s">
        <v>134</v>
      </c>
      <c r="I957" t="s">
        <v>176</v>
      </c>
      <c r="J957" s="3" t="s">
        <v>100</v>
      </c>
      <c r="K957" t="s">
        <v>160</v>
      </c>
      <c r="L957" s="3" t="s">
        <v>94</v>
      </c>
      <c r="M957" s="3" t="s">
        <v>102</v>
      </c>
      <c r="N957" t="s">
        <v>103</v>
      </c>
      <c r="O957" t="s">
        <v>104</v>
      </c>
      <c r="P957" t="s">
        <v>105</v>
      </c>
      <c r="Q957" s="3">
        <v>6812.52</v>
      </c>
      <c r="R957" s="3">
        <v>7504.03</v>
      </c>
      <c r="S957" s="3">
        <v>4570.09</v>
      </c>
      <c r="T957" s="3">
        <v>563.73</v>
      </c>
      <c r="U957" s="3">
        <v>345.63</v>
      </c>
      <c r="V957" s="3">
        <v>792.56</v>
      </c>
      <c r="W957" s="3">
        <v>286.7</v>
      </c>
      <c r="X957" s="3">
        <v>6558.72</v>
      </c>
      <c r="Y957" s="3">
        <v>2242.42</v>
      </c>
      <c r="Z957" s="3">
        <f t="shared" si="61"/>
        <v>253.80000000000018</v>
      </c>
      <c r="AA957" s="37">
        <f t="shared" si="62"/>
        <v>3.7254936499269017E-2</v>
      </c>
      <c r="AB957" s="3">
        <v>-691.51</v>
      </c>
      <c r="AC957" s="3">
        <v>136.25</v>
      </c>
      <c r="AD957" s="3">
        <v>1201.73</v>
      </c>
      <c r="AE957" s="3">
        <v>7877.99</v>
      </c>
      <c r="AF957" t="str">
        <f>IF(tbl_FinancialData[[#This Row],[City]]="","Unknown",PROPER(TRIM(tbl_FinancialData[[#This Row],[City]])))</f>
        <v>Jaipur</v>
      </c>
      <c r="AG957" t="str">
        <f>_xlfn.LET(_xlpm.city,LOWER(TRIM(tbl_FinancialData[[#This Row],[City]])),_xlpm.st,PROPER(TRIM(tbl_FinancialData[[#This Row],[State]])),IF(_xlpm.city="pune","Maharashtra",IF(_xlpm.city="jamshedpur","Jharkhand",IF(_xlpm.city="bhilai","Chhattisgarh",IF(_xlpm.city="mumbai","Maharashtra",_xlpm.st)))))</f>
        <v>Rajasthan</v>
      </c>
      <c r="AH957" t="str">
        <f>_xlfn.LET(_xlpm.d,PROPER(TRIM(tbl_FinancialData[[#This Row],[Department]])),IF(_xlpm.d="It","IT",_xlpm.d))</f>
        <v>IT</v>
      </c>
      <c r="AI957" t="str">
        <f>_xlfn.LET(_xlpm.pid,tbl_FinancialData[[#This Row],[Product ID]],_xlpm.n,PROPER(TRIM(tbl_FinancialData[[#This Row],[Product Name]])),IF(_xlpm.pid="P020","Document Scanner",IF(_xlpm.pid="P015","Network Router",SUBSTITUTE(SUBSTITUTE(_xlpm.n,"Crm","CRM"),"Ups","UPS"))))</f>
        <v>Accounting Software</v>
      </c>
      <c r="AJ957" s="3" t="str">
        <f>UPPER(TRIM(tbl_FinancialData[[#This Row],[Cost Center]]))</f>
        <v>CC-1001</v>
      </c>
    </row>
    <row r="958" spans="1:36" x14ac:dyDescent="0.25">
      <c r="A958" s="3" t="s">
        <v>1162</v>
      </c>
      <c r="B958" s="2">
        <v>46020</v>
      </c>
      <c r="C958" t="s">
        <v>107</v>
      </c>
      <c r="D958" s="3" t="str">
        <f t="shared" si="59"/>
        <v>Q3</v>
      </c>
      <c r="E958" s="3" t="str">
        <f t="shared" si="60"/>
        <v>FY2026</v>
      </c>
      <c r="F958" s="8" t="s">
        <v>67</v>
      </c>
      <c r="G958" s="3" t="s">
        <v>35</v>
      </c>
      <c r="H958" t="s">
        <v>217</v>
      </c>
      <c r="I958" t="s">
        <v>241</v>
      </c>
      <c r="J958" s="3" t="s">
        <v>80</v>
      </c>
      <c r="K958" t="s">
        <v>160</v>
      </c>
      <c r="L958" s="3" t="s">
        <v>40</v>
      </c>
      <c r="M958" s="3" t="s">
        <v>73</v>
      </c>
      <c r="N958" t="s">
        <v>74</v>
      </c>
      <c r="O958" t="s">
        <v>43</v>
      </c>
      <c r="P958" t="s">
        <v>75</v>
      </c>
      <c r="Q958" s="3">
        <v>75340.639999999999</v>
      </c>
      <c r="R958" s="3">
        <v>76451.31</v>
      </c>
      <c r="S958" s="3">
        <v>45863.11</v>
      </c>
      <c r="T958" s="3">
        <v>8239.81</v>
      </c>
      <c r="U958" s="3">
        <v>5292.64</v>
      </c>
      <c r="V958" s="3">
        <v>8381.9699999999993</v>
      </c>
      <c r="W958" s="3">
        <v>2642.32</v>
      </c>
      <c r="X958" s="3">
        <v>70419.850000000006</v>
      </c>
      <c r="Y958" s="3">
        <v>29477.53</v>
      </c>
      <c r="Z958" s="3">
        <f t="shared" si="61"/>
        <v>4920.7899999999936</v>
      </c>
      <c r="AA958" s="37">
        <f t="shared" si="62"/>
        <v>6.5313886369959079E-2</v>
      </c>
      <c r="AB958" s="3">
        <v>-1110.6600000000001</v>
      </c>
      <c r="AC958" s="3">
        <v>7534.06</v>
      </c>
      <c r="AD958" s="3">
        <v>8136.79</v>
      </c>
      <c r="AE958" s="3">
        <v>75943.37</v>
      </c>
      <c r="AF958" t="str">
        <f>IF(tbl_FinancialData[[#This Row],[City]]="","Unknown",PROPER(TRIM(tbl_FinancialData[[#This Row],[City]])))</f>
        <v>Muzaffarpur</v>
      </c>
      <c r="AG958" t="str">
        <f>_xlfn.LET(_xlpm.city,LOWER(TRIM(tbl_FinancialData[[#This Row],[City]])),_xlpm.st,PROPER(TRIM(tbl_FinancialData[[#This Row],[State]])),IF(_xlpm.city="pune","Maharashtra",IF(_xlpm.city="jamshedpur","Jharkhand",IF(_xlpm.city="bhilai","Chhattisgarh",IF(_xlpm.city="mumbai","Maharashtra",_xlpm.st)))))</f>
        <v>Bihar</v>
      </c>
      <c r="AH958" t="str">
        <f>_xlfn.LET(_xlpm.d,PROPER(TRIM(tbl_FinancialData[[#This Row],[Department]])),IF(_xlpm.d="It","IT",_xlpm.d))</f>
        <v>IT</v>
      </c>
      <c r="AI958" t="str">
        <f>_xlfn.LET(_xlpm.pid,tbl_FinancialData[[#This Row],[Product ID]],_xlpm.n,PROPER(TRIM(tbl_FinancialData[[#This Row],[Product Name]])),IF(_xlpm.pid="P020","Document Scanner",IF(_xlpm.pid="P015","Network Router",SUBSTITUTE(SUBSTITUTE(_xlpm.n,"Crm","CRM"),"Ups","UPS"))))</f>
        <v>Monitor</v>
      </c>
      <c r="AJ958" s="3" t="str">
        <f>UPPER(TRIM(tbl_FinancialData[[#This Row],[Cost Center]]))</f>
        <v>CC-1002</v>
      </c>
    </row>
    <row r="959" spans="1:36" x14ac:dyDescent="0.25">
      <c r="A959" s="3" t="s">
        <v>1163</v>
      </c>
      <c r="B959" s="2">
        <v>46025</v>
      </c>
      <c r="C959" t="s">
        <v>77</v>
      </c>
      <c r="D959" s="3" t="str">
        <f t="shared" si="59"/>
        <v>Q4</v>
      </c>
      <c r="E959" s="3" t="str">
        <f t="shared" si="60"/>
        <v>FY2026</v>
      </c>
      <c r="F959" s="8" t="s">
        <v>47</v>
      </c>
      <c r="G959" s="3" t="s">
        <v>35</v>
      </c>
      <c r="H959" t="s">
        <v>214</v>
      </c>
      <c r="I959" t="s">
        <v>215</v>
      </c>
      <c r="J959" s="3" t="s">
        <v>100</v>
      </c>
      <c r="K959" t="s">
        <v>50</v>
      </c>
      <c r="L959" s="3" t="s">
        <v>72</v>
      </c>
      <c r="M959" s="3" t="s">
        <v>211</v>
      </c>
      <c r="N959" t="s">
        <v>212</v>
      </c>
      <c r="O959" t="s">
        <v>112</v>
      </c>
      <c r="P959" t="s">
        <v>113</v>
      </c>
      <c r="Q959" s="3">
        <v>24502.68</v>
      </c>
      <c r="R959" s="3">
        <v>26160.26</v>
      </c>
      <c r="S959" s="3">
        <v>14067.29</v>
      </c>
      <c r="T959" s="3">
        <v>3164.86</v>
      </c>
      <c r="U959" s="3">
        <v>1375.19</v>
      </c>
      <c r="V959" s="3">
        <v>1427.66</v>
      </c>
      <c r="W959" s="3">
        <v>572.51</v>
      </c>
      <c r="X959" s="3">
        <v>20607.509999999998</v>
      </c>
      <c r="Y959" s="3">
        <v>10435.39</v>
      </c>
      <c r="Z959" s="3">
        <f t="shared" si="61"/>
        <v>3895.1700000000019</v>
      </c>
      <c r="AA959" s="37">
        <f t="shared" si="62"/>
        <v>0.15896914133474388</v>
      </c>
      <c r="AB959" s="3">
        <v>-1657.58</v>
      </c>
      <c r="AC959" s="3">
        <v>1225.1300000000001</v>
      </c>
      <c r="AD959" s="3">
        <v>1163.8800000000001</v>
      </c>
      <c r="AE959" s="3">
        <v>24441.42</v>
      </c>
      <c r="AF959" t="str">
        <f>IF(tbl_FinancialData[[#This Row],[City]]="","Unknown",PROPER(TRIM(tbl_FinancialData[[#This Row],[City]])))</f>
        <v>Mangaluru</v>
      </c>
      <c r="AG959" t="str">
        <f>_xlfn.LET(_xlpm.city,LOWER(TRIM(tbl_FinancialData[[#This Row],[City]])),_xlpm.st,PROPER(TRIM(tbl_FinancialData[[#This Row],[State]])),IF(_xlpm.city="pune","Maharashtra",IF(_xlpm.city="jamshedpur","Jharkhand",IF(_xlpm.city="bhilai","Chhattisgarh",IF(_xlpm.city="mumbai","Maharashtra",_xlpm.st)))))</f>
        <v>Karnataka</v>
      </c>
      <c r="AH959" t="str">
        <f>_xlfn.LET(_xlpm.d,PROPER(TRIM(tbl_FinancialData[[#This Row],[Department]])),IF(_xlpm.d="It","IT",_xlpm.d))</f>
        <v>Sales</v>
      </c>
      <c r="AI959" t="str">
        <f>_xlfn.LET(_xlpm.pid,tbl_FinancialData[[#This Row],[Product ID]],_xlpm.n,PROPER(TRIM(tbl_FinancialData[[#This Row],[Product Name]])),IF(_xlpm.pid="P020","Document Scanner",IF(_xlpm.pid="P015","Network Router",SUBSTITUTE(SUBSTITUTE(_xlpm.n,"Crm","CRM"),"Ups","UPS"))))</f>
        <v>Office Chair</v>
      </c>
      <c r="AJ959" s="3" t="str">
        <f>UPPER(TRIM(tbl_FinancialData[[#This Row],[Cost Center]]))</f>
        <v>CC-1004</v>
      </c>
    </row>
    <row r="960" spans="1:36" x14ac:dyDescent="0.25">
      <c r="A960" s="3" t="s">
        <v>1164</v>
      </c>
      <c r="B960" s="2">
        <v>45987</v>
      </c>
      <c r="C960" t="s">
        <v>147</v>
      </c>
      <c r="D960" s="3" t="str">
        <f t="shared" si="59"/>
        <v>Q3</v>
      </c>
      <c r="E960" s="3" t="str">
        <f t="shared" si="60"/>
        <v>FY2026</v>
      </c>
      <c r="F960" s="8" t="s">
        <v>85</v>
      </c>
      <c r="G960" s="3" t="s">
        <v>35</v>
      </c>
      <c r="H960" t="s">
        <v>178</v>
      </c>
      <c r="I960" t="s">
        <v>249</v>
      </c>
      <c r="J960" s="3" t="s">
        <v>38</v>
      </c>
      <c r="K960" t="s">
        <v>160</v>
      </c>
      <c r="L960" s="3" t="s">
        <v>51</v>
      </c>
      <c r="M960" s="3" t="s">
        <v>186</v>
      </c>
      <c r="N960" t="s">
        <v>187</v>
      </c>
      <c r="O960" t="s">
        <v>173</v>
      </c>
      <c r="P960" t="s">
        <v>174</v>
      </c>
      <c r="Q960" s="3">
        <v>20225.53</v>
      </c>
      <c r="R960" s="3">
        <v>19551.91</v>
      </c>
      <c r="S960" s="3">
        <v>13294.23</v>
      </c>
      <c r="T960" s="3">
        <v>1059.1600000000001</v>
      </c>
      <c r="U960" s="3">
        <v>1006.45</v>
      </c>
      <c r="V960" s="3">
        <v>1468.43</v>
      </c>
      <c r="W960" s="3">
        <v>545.66</v>
      </c>
      <c r="X960" s="3">
        <v>17373.93</v>
      </c>
      <c r="Y960" s="3">
        <v>6931.3</v>
      </c>
      <c r="Z960" s="3">
        <f t="shared" si="61"/>
        <v>2851.5999999999985</v>
      </c>
      <c r="AA960" s="37">
        <f t="shared" si="62"/>
        <v>0.14099012485704943</v>
      </c>
      <c r="AB960" s="3">
        <v>673.61</v>
      </c>
      <c r="AC960" s="3">
        <v>1011.28</v>
      </c>
      <c r="AD960" s="3">
        <v>2305.71</v>
      </c>
      <c r="AE960" s="3">
        <v>21519.96</v>
      </c>
      <c r="AF960" t="str">
        <f>IF(tbl_FinancialData[[#This Row],[City]]="","Unknown",PROPER(TRIM(tbl_FinancialData[[#This Row],[City]])))</f>
        <v>Bhilai</v>
      </c>
      <c r="AG960" t="str">
        <f>_xlfn.LET(_xlpm.city,LOWER(TRIM(tbl_FinancialData[[#This Row],[City]])),_xlpm.st,PROPER(TRIM(tbl_FinancialData[[#This Row],[State]])),IF(_xlpm.city="pune","Maharashtra",IF(_xlpm.city="jamshedpur","Jharkhand",IF(_xlpm.city="bhilai","Chhattisgarh",IF(_xlpm.city="mumbai","Maharashtra",_xlpm.st)))))</f>
        <v>Chhattisgarh</v>
      </c>
      <c r="AH960" t="str">
        <f>_xlfn.LET(_xlpm.d,PROPER(TRIM(tbl_FinancialData[[#This Row],[Department]])),IF(_xlpm.d="It","IT",_xlpm.d))</f>
        <v>IT</v>
      </c>
      <c r="AI960" t="str">
        <f>_xlfn.LET(_xlpm.pid,tbl_FinancialData[[#This Row],[Product ID]],_xlpm.n,PROPER(TRIM(tbl_FinancialData[[#This Row],[Product Name]])),IF(_xlpm.pid="P020","Document Scanner",IF(_xlpm.pid="P015","Network Router",SUBSTITUTE(SUBSTITUTE(_xlpm.n,"Crm","CRM"),"Ups","UPS"))))</f>
        <v>Network Router</v>
      </c>
      <c r="AJ960" s="3" t="str">
        <f>UPPER(TRIM(tbl_FinancialData[[#This Row],[Cost Center]]))</f>
        <v>CC-1003</v>
      </c>
    </row>
    <row r="961" spans="1:36" x14ac:dyDescent="0.25">
      <c r="A961" s="3" t="s">
        <v>1165</v>
      </c>
      <c r="B961" s="2">
        <v>46039</v>
      </c>
      <c r="C961" t="s">
        <v>77</v>
      </c>
      <c r="D961" s="3" t="str">
        <f t="shared" si="59"/>
        <v>Q4</v>
      </c>
      <c r="E961" s="3" t="str">
        <f t="shared" si="60"/>
        <v>FY2026</v>
      </c>
      <c r="F961" s="8" t="s">
        <v>85</v>
      </c>
      <c r="G961" s="3" t="s">
        <v>35</v>
      </c>
      <c r="H961" t="s">
        <v>178</v>
      </c>
      <c r="I961" t="s">
        <v>329</v>
      </c>
      <c r="J961" s="3" t="s">
        <v>100</v>
      </c>
      <c r="K961" t="s">
        <v>50</v>
      </c>
      <c r="L961" s="3" t="s">
        <v>94</v>
      </c>
      <c r="M961" s="3" t="s">
        <v>102</v>
      </c>
      <c r="N961" t="s">
        <v>103</v>
      </c>
      <c r="O961" t="s">
        <v>104</v>
      </c>
      <c r="P961" t="s">
        <v>105</v>
      </c>
      <c r="Q961" s="3">
        <v>28630.89</v>
      </c>
      <c r="R961" s="3">
        <v>25690.29</v>
      </c>
      <c r="S961" s="3">
        <v>20183.14</v>
      </c>
      <c r="T961" s="3">
        <v>2774.37</v>
      </c>
      <c r="U961" s="3">
        <v>2016.98</v>
      </c>
      <c r="V961" s="3">
        <v>2348.14</v>
      </c>
      <c r="W961" s="3">
        <v>1122.78</v>
      </c>
      <c r="X961" s="3">
        <v>28445.41</v>
      </c>
      <c r="Y961" s="3">
        <v>8447.75</v>
      </c>
      <c r="Z961" s="3">
        <f t="shared" si="61"/>
        <v>185.47999999999956</v>
      </c>
      <c r="AA961" s="37">
        <f t="shared" si="62"/>
        <v>6.4783176492243019E-3</v>
      </c>
      <c r="AB961" s="3">
        <v>2940.6</v>
      </c>
      <c r="AC961" s="3">
        <v>0</v>
      </c>
      <c r="AD961" s="3">
        <v>3435.71</v>
      </c>
      <c r="AE961" s="3">
        <v>32066.6</v>
      </c>
      <c r="AF961" t="str">
        <f>IF(tbl_FinancialData[[#This Row],[City]]="","Unknown",PROPER(TRIM(tbl_FinancialData[[#This Row],[City]])))</f>
        <v>Raipur</v>
      </c>
      <c r="AG961" t="str">
        <f>_xlfn.LET(_xlpm.city,LOWER(TRIM(tbl_FinancialData[[#This Row],[City]])),_xlpm.st,PROPER(TRIM(tbl_FinancialData[[#This Row],[State]])),IF(_xlpm.city="pune","Maharashtra",IF(_xlpm.city="jamshedpur","Jharkhand",IF(_xlpm.city="bhilai","Chhattisgarh",IF(_xlpm.city="mumbai","Maharashtra",_xlpm.st)))))</f>
        <v>Chhattisgarh</v>
      </c>
      <c r="AH961" t="str">
        <f>_xlfn.LET(_xlpm.d,PROPER(TRIM(tbl_FinancialData[[#This Row],[Department]])),IF(_xlpm.d="It","IT",_xlpm.d))</f>
        <v>Sales</v>
      </c>
      <c r="AI961" t="str">
        <f>_xlfn.LET(_xlpm.pid,tbl_FinancialData[[#This Row],[Product ID]],_xlpm.n,PROPER(TRIM(tbl_FinancialData[[#This Row],[Product Name]])),IF(_xlpm.pid="P020","Document Scanner",IF(_xlpm.pid="P015","Network Router",SUBSTITUTE(SUBSTITUTE(_xlpm.n,"Crm","CRM"),"Ups","UPS"))))</f>
        <v>Accounting Software</v>
      </c>
      <c r="AJ961" s="3" t="str">
        <f>UPPER(TRIM(tbl_FinancialData[[#This Row],[Cost Center]]))</f>
        <v>CC-1001</v>
      </c>
    </row>
    <row r="962" spans="1:36" x14ac:dyDescent="0.25">
      <c r="A962" s="3" t="s">
        <v>1166</v>
      </c>
      <c r="B962" s="2">
        <v>46096</v>
      </c>
      <c r="C962" t="s">
        <v>125</v>
      </c>
      <c r="D962" s="3" t="str">
        <f t="shared" ref="D962:D1001" si="63">"Q"&amp;INT(MOD(MONTH(B962)-4,12)/3)+1</f>
        <v>Q4</v>
      </c>
      <c r="E962" s="3" t="str">
        <f t="shared" ref="E962:E1001" si="64">"FY"&amp; (YEAR(B962)+(MONTH(B962)&gt;=4))</f>
        <v>FY2026</v>
      </c>
      <c r="F962" s="8" t="s">
        <v>59</v>
      </c>
      <c r="G962" s="3" t="s">
        <v>35</v>
      </c>
      <c r="H962" t="s">
        <v>60</v>
      </c>
      <c r="I962" t="s">
        <v>185</v>
      </c>
      <c r="J962" s="3" t="s">
        <v>100</v>
      </c>
      <c r="K962" t="s">
        <v>50</v>
      </c>
      <c r="L962" s="3" t="s">
        <v>72</v>
      </c>
      <c r="M962" s="3" t="s">
        <v>52</v>
      </c>
      <c r="N962" t="s">
        <v>53</v>
      </c>
      <c r="O962" t="s">
        <v>54</v>
      </c>
      <c r="P962" t="s">
        <v>55</v>
      </c>
      <c r="Q962" s="3">
        <v>8520.2900000000009</v>
      </c>
      <c r="R962" s="3">
        <v>8507.61</v>
      </c>
      <c r="S962" s="3">
        <v>5243.49</v>
      </c>
      <c r="T962" s="3">
        <v>581.21</v>
      </c>
      <c r="U962" s="3">
        <v>557.59</v>
      </c>
      <c r="V962" s="3">
        <v>349.08</v>
      </c>
      <c r="W962" s="3">
        <v>230.92</v>
      </c>
      <c r="X962" s="3">
        <v>6962.3</v>
      </c>
      <c r="Y962" s="3">
        <v>3276.8</v>
      </c>
      <c r="Z962" s="3">
        <f t="shared" si="61"/>
        <v>1557.9900000000007</v>
      </c>
      <c r="AA962" s="37">
        <f t="shared" si="62"/>
        <v>0.18285645206911977</v>
      </c>
      <c r="AB962" s="3">
        <v>12.68</v>
      </c>
      <c r="AC962" s="3">
        <v>426.01</v>
      </c>
      <c r="AD962" s="3">
        <v>1456.97</v>
      </c>
      <c r="AE962" s="3">
        <v>9551.25</v>
      </c>
      <c r="AF962" t="str">
        <f>IF(tbl_FinancialData[[#This Row],[City]]="","Unknown",PROPER(TRIM(tbl_FinancialData[[#This Row],[City]])))</f>
        <v>Kanpur</v>
      </c>
      <c r="AG962" t="str">
        <f>_xlfn.LET(_xlpm.city,LOWER(TRIM(tbl_FinancialData[[#This Row],[City]])),_xlpm.st,PROPER(TRIM(tbl_FinancialData[[#This Row],[State]])),IF(_xlpm.city="pune","Maharashtra",IF(_xlpm.city="jamshedpur","Jharkhand",IF(_xlpm.city="bhilai","Chhattisgarh",IF(_xlpm.city="mumbai","Maharashtra",_xlpm.st)))))</f>
        <v>Uttar Pradesh</v>
      </c>
      <c r="AH962" t="str">
        <f>_xlfn.LET(_xlpm.d,PROPER(TRIM(tbl_FinancialData[[#This Row],[Department]])),IF(_xlpm.d="It","IT",_xlpm.d))</f>
        <v>Sales</v>
      </c>
      <c r="AI962" t="str">
        <f>_xlfn.LET(_xlpm.pid,tbl_FinancialData[[#This Row],[Product ID]],_xlpm.n,PROPER(TRIM(tbl_FinancialData[[#This Row],[Product Name]])),IF(_xlpm.pid="P020","Document Scanner",IF(_xlpm.pid="P015","Network Router",SUBSTITUTE(SUBSTITUTE(_xlpm.n,"Crm","CRM"),"Ups","UPS"))))</f>
        <v>Mouse</v>
      </c>
      <c r="AJ962" s="3" t="str">
        <f>UPPER(TRIM(tbl_FinancialData[[#This Row],[Cost Center]]))</f>
        <v>CC-1004</v>
      </c>
    </row>
    <row r="963" spans="1:36" x14ac:dyDescent="0.25">
      <c r="A963" s="3" t="s">
        <v>1167</v>
      </c>
      <c r="B963" s="2">
        <v>46099</v>
      </c>
      <c r="C963" t="s">
        <v>125</v>
      </c>
      <c r="D963" s="3" t="str">
        <f t="shared" si="63"/>
        <v>Q4</v>
      </c>
      <c r="E963" s="3" t="str">
        <f t="shared" si="64"/>
        <v>FY2026</v>
      </c>
      <c r="F963" s="8" t="s">
        <v>85</v>
      </c>
      <c r="G963" s="3" t="s">
        <v>35</v>
      </c>
      <c r="H963" t="s">
        <v>178</v>
      </c>
      <c r="I963" t="s">
        <v>329</v>
      </c>
      <c r="J963" s="3" t="s">
        <v>38</v>
      </c>
      <c r="K963" t="s">
        <v>160</v>
      </c>
      <c r="L963" s="3" t="s">
        <v>40</v>
      </c>
      <c r="M963" s="3" t="s">
        <v>235</v>
      </c>
      <c r="N963" t="s">
        <v>236</v>
      </c>
      <c r="O963" t="s">
        <v>104</v>
      </c>
      <c r="P963" t="s">
        <v>237</v>
      </c>
      <c r="Q963" s="3">
        <v>17898.580000000002</v>
      </c>
      <c r="R963" s="3">
        <v>19368.45</v>
      </c>
      <c r="S963" s="3">
        <v>11048.2</v>
      </c>
      <c r="T963" s="3">
        <v>2308.19</v>
      </c>
      <c r="U963" s="3">
        <v>1408.28</v>
      </c>
      <c r="V963" s="3">
        <v>1094.96</v>
      </c>
      <c r="W963" s="3">
        <v>633.64</v>
      </c>
      <c r="X963" s="3">
        <v>16493.28</v>
      </c>
      <c r="Y963" s="3">
        <v>6850.38</v>
      </c>
      <c r="Z963" s="3">
        <f t="shared" ref="Z963:Z1001" si="65">Q963-X963</f>
        <v>1405.3000000000029</v>
      </c>
      <c r="AA963" s="37">
        <f t="shared" ref="AA963:AA1001" si="66">Z963/Q963</f>
        <v>7.8514608421450346E-2</v>
      </c>
      <c r="AB963" s="3">
        <v>-1469.87</v>
      </c>
      <c r="AC963" s="3">
        <v>357.97</v>
      </c>
      <c r="AD963" s="3">
        <v>3157.31</v>
      </c>
      <c r="AE963" s="3">
        <v>20697.919999999998</v>
      </c>
      <c r="AF963" t="str">
        <f>IF(tbl_FinancialData[[#This Row],[City]]="","Unknown",PROPER(TRIM(tbl_FinancialData[[#This Row],[City]])))</f>
        <v>Raipur</v>
      </c>
      <c r="AG963" t="str">
        <f>_xlfn.LET(_xlpm.city,LOWER(TRIM(tbl_FinancialData[[#This Row],[City]])),_xlpm.st,PROPER(TRIM(tbl_FinancialData[[#This Row],[State]])),IF(_xlpm.city="pune","Maharashtra",IF(_xlpm.city="jamshedpur","Jharkhand",IF(_xlpm.city="bhilai","Chhattisgarh",IF(_xlpm.city="mumbai","Maharashtra",_xlpm.st)))))</f>
        <v>Chhattisgarh</v>
      </c>
      <c r="AH963" t="str">
        <f>_xlfn.LET(_xlpm.d,PROPER(TRIM(tbl_FinancialData[[#This Row],[Department]])),IF(_xlpm.d="It","IT",_xlpm.d))</f>
        <v>IT</v>
      </c>
      <c r="AI963" t="str">
        <f>_xlfn.LET(_xlpm.pid,tbl_FinancialData[[#This Row],[Product ID]],_xlpm.n,PROPER(TRIM(tbl_FinancialData[[#This Row],[Product Name]])),IF(_xlpm.pid="P020","Document Scanner",IF(_xlpm.pid="P015","Network Router",SUBSTITUTE(SUBSTITUTE(_xlpm.n,"Crm","CRM"),"Ups","UPS"))))</f>
        <v>Data Storage</v>
      </c>
      <c r="AJ963" s="3" t="str">
        <f>UPPER(TRIM(tbl_FinancialData[[#This Row],[Cost Center]]))</f>
        <v>CC-1002</v>
      </c>
    </row>
    <row r="964" spans="1:36" x14ac:dyDescent="0.25">
      <c r="A964" s="3" t="s">
        <v>1168</v>
      </c>
      <c r="B964" s="2">
        <v>45851</v>
      </c>
      <c r="C964" t="s">
        <v>32</v>
      </c>
      <c r="D964" s="3" t="str">
        <f t="shared" si="63"/>
        <v>Q2</v>
      </c>
      <c r="E964" s="3" t="str">
        <f t="shared" si="64"/>
        <v>FY2026</v>
      </c>
      <c r="F964" s="8" t="s">
        <v>59</v>
      </c>
      <c r="G964" s="3" t="s">
        <v>35</v>
      </c>
      <c r="H964" t="s">
        <v>230</v>
      </c>
      <c r="I964" t="s">
        <v>301</v>
      </c>
      <c r="J964" s="3" t="s">
        <v>70</v>
      </c>
      <c r="K964" t="s">
        <v>71</v>
      </c>
      <c r="L964" s="3" t="s">
        <v>94</v>
      </c>
      <c r="M964" s="3" t="s">
        <v>82</v>
      </c>
      <c r="N964" t="s">
        <v>83</v>
      </c>
      <c r="O964" t="s">
        <v>43</v>
      </c>
      <c r="P964" t="s">
        <v>75</v>
      </c>
      <c r="Q964" s="3">
        <v>68065.820000000007</v>
      </c>
      <c r="R964" s="3">
        <v>76845.460000000006</v>
      </c>
      <c r="S964" s="3">
        <v>35947.08</v>
      </c>
      <c r="T964" s="3">
        <v>8243.52</v>
      </c>
      <c r="U964" s="3">
        <v>3127.12</v>
      </c>
      <c r="V964" s="3">
        <v>2795.63</v>
      </c>
      <c r="W964" s="3">
        <v>2689.87</v>
      </c>
      <c r="X964" s="3">
        <v>52803.22</v>
      </c>
      <c r="Y964" s="3">
        <v>32118.75</v>
      </c>
      <c r="Z964" s="3">
        <f t="shared" si="65"/>
        <v>15262.600000000006</v>
      </c>
      <c r="AA964" s="37">
        <f t="shared" si="66"/>
        <v>0.2242329556890669</v>
      </c>
      <c r="AB964" s="3">
        <v>-8779.6299999999992</v>
      </c>
      <c r="AC964" s="3">
        <v>6806.58</v>
      </c>
      <c r="AD964" s="3">
        <v>11026.66</v>
      </c>
      <c r="AE964" s="3">
        <v>72285.91</v>
      </c>
      <c r="AF964" t="str">
        <f>IF(tbl_FinancialData[[#This Row],[City]]="","Unknown",PROPER(TRIM(tbl_FinancialData[[#This Row],[City]])))</f>
        <v>Amritsar</v>
      </c>
      <c r="AG964" t="str">
        <f>_xlfn.LET(_xlpm.city,LOWER(TRIM(tbl_FinancialData[[#This Row],[City]])),_xlpm.st,PROPER(TRIM(tbl_FinancialData[[#This Row],[State]])),IF(_xlpm.city="pune","Maharashtra",IF(_xlpm.city="jamshedpur","Jharkhand",IF(_xlpm.city="bhilai","Chhattisgarh",IF(_xlpm.city="mumbai","Maharashtra",_xlpm.st)))))</f>
        <v>Punjab</v>
      </c>
      <c r="AH964" t="str">
        <f>_xlfn.LET(_xlpm.d,PROPER(TRIM(tbl_FinancialData[[#This Row],[Department]])),IF(_xlpm.d="It","IT",_xlpm.d))</f>
        <v>Marketing</v>
      </c>
      <c r="AI964" t="str">
        <f>_xlfn.LET(_xlpm.pid,tbl_FinancialData[[#This Row],[Product ID]],_xlpm.n,PROPER(TRIM(tbl_FinancialData[[#This Row],[Product Name]])),IF(_xlpm.pid="P020","Document Scanner",IF(_xlpm.pid="P015","Network Router",SUBSTITUTE(SUBSTITUTE(_xlpm.n,"Crm","CRM"),"Ups","UPS"))))</f>
        <v>Business Laptop</v>
      </c>
      <c r="AJ964" s="3" t="str">
        <f>UPPER(TRIM(tbl_FinancialData[[#This Row],[Cost Center]]))</f>
        <v>CC-1001</v>
      </c>
    </row>
    <row r="965" spans="1:36" x14ac:dyDescent="0.25">
      <c r="A965" s="3" t="s">
        <v>1169</v>
      </c>
      <c r="B965" s="2">
        <v>45838</v>
      </c>
      <c r="C965" t="s">
        <v>156</v>
      </c>
      <c r="D965" s="3" t="str">
        <f t="shared" si="63"/>
        <v>Q1</v>
      </c>
      <c r="E965" s="3" t="str">
        <f t="shared" si="64"/>
        <v>FY2026</v>
      </c>
      <c r="F965" s="8" t="s">
        <v>34</v>
      </c>
      <c r="G965" s="3" t="s">
        <v>35</v>
      </c>
      <c r="H965" t="s">
        <v>157</v>
      </c>
      <c r="I965" t="s">
        <v>158</v>
      </c>
      <c r="J965" s="3" t="s">
        <v>80</v>
      </c>
      <c r="K965" t="s">
        <v>50</v>
      </c>
      <c r="L965" s="3" t="s">
        <v>81</v>
      </c>
      <c r="M965" s="3" t="s">
        <v>141</v>
      </c>
      <c r="N965" t="s">
        <v>142</v>
      </c>
      <c r="O965" t="s">
        <v>54</v>
      </c>
      <c r="P965" t="s">
        <v>143</v>
      </c>
      <c r="Q965" s="3">
        <v>9775.2999999999993</v>
      </c>
      <c r="R965" s="3">
        <v>9855.93</v>
      </c>
      <c r="S965" s="3">
        <v>5548.58</v>
      </c>
      <c r="T965" s="3">
        <v>1116.1199999999999</v>
      </c>
      <c r="U965" s="3">
        <v>580.80999999999995</v>
      </c>
      <c r="V965" s="3">
        <v>926.27</v>
      </c>
      <c r="W965" s="3">
        <v>310.83999999999997</v>
      </c>
      <c r="X965" s="3">
        <v>8482.6299999999992</v>
      </c>
      <c r="Y965" s="3">
        <v>4226.72</v>
      </c>
      <c r="Z965" s="3">
        <f t="shared" si="65"/>
        <v>1292.67</v>
      </c>
      <c r="AA965" s="37">
        <f t="shared" si="66"/>
        <v>0.13223839677554655</v>
      </c>
      <c r="AB965" s="3">
        <v>-80.63</v>
      </c>
      <c r="AC965" s="3">
        <v>0</v>
      </c>
      <c r="AD965" s="3">
        <v>1759.55</v>
      </c>
      <c r="AE965" s="3">
        <v>11534.85</v>
      </c>
      <c r="AF965" t="str">
        <f>IF(tbl_FinancialData[[#This Row],[City]]="","Unknown",PROPER(TRIM(tbl_FinancialData[[#This Row],[City]])))</f>
        <v>Ahmedabad</v>
      </c>
      <c r="AG965" t="str">
        <f>_xlfn.LET(_xlpm.city,LOWER(TRIM(tbl_FinancialData[[#This Row],[City]])),_xlpm.st,PROPER(TRIM(tbl_FinancialData[[#This Row],[State]])),IF(_xlpm.city="pune","Maharashtra",IF(_xlpm.city="jamshedpur","Jharkhand",IF(_xlpm.city="bhilai","Chhattisgarh",IF(_xlpm.city="mumbai","Maharashtra",_xlpm.st)))))</f>
        <v>Gujarat</v>
      </c>
      <c r="AH965" t="str">
        <f>_xlfn.LET(_xlpm.d,PROPER(TRIM(tbl_FinancialData[[#This Row],[Department]])),IF(_xlpm.d="It","IT",_xlpm.d))</f>
        <v>Sales</v>
      </c>
      <c r="AI965" t="str">
        <f>_xlfn.LET(_xlpm.pid,tbl_FinancialData[[#This Row],[Product ID]],_xlpm.n,PROPER(TRIM(tbl_FinancialData[[#This Row],[Product Name]])),IF(_xlpm.pid="P020","Document Scanner",IF(_xlpm.pid="P015","Network Router",SUBSTITUTE(SUBSTITUTE(_xlpm.n,"Crm","CRM"),"Ups","UPS"))))</f>
        <v>Headset</v>
      </c>
      <c r="AJ965" s="3" t="str">
        <f>UPPER(TRIM(tbl_FinancialData[[#This Row],[Cost Center]]))</f>
        <v>CC-1005</v>
      </c>
    </row>
    <row r="966" spans="1:36" x14ac:dyDescent="0.25">
      <c r="A966" s="3" t="s">
        <v>1170</v>
      </c>
      <c r="B966" s="2">
        <v>46077</v>
      </c>
      <c r="C966" t="s">
        <v>57</v>
      </c>
      <c r="D966" s="3" t="str">
        <f t="shared" si="63"/>
        <v>Q4</v>
      </c>
      <c r="E966" s="3" t="str">
        <f t="shared" si="64"/>
        <v>FY2026</v>
      </c>
      <c r="F966" s="8" t="s">
        <v>34</v>
      </c>
      <c r="G966" s="3" t="s">
        <v>35</v>
      </c>
      <c r="H966" t="s">
        <v>134</v>
      </c>
      <c r="I966" t="s">
        <v>176</v>
      </c>
      <c r="J966" s="3" t="s">
        <v>100</v>
      </c>
      <c r="K966" t="s">
        <v>71</v>
      </c>
      <c r="L966" s="3" t="s">
        <v>40</v>
      </c>
      <c r="M966" s="3" t="s">
        <v>221</v>
      </c>
      <c r="N966" t="s">
        <v>222</v>
      </c>
      <c r="O966" t="s">
        <v>104</v>
      </c>
      <c r="P966" t="s">
        <v>223</v>
      </c>
      <c r="Q966" s="3">
        <v>11521.3</v>
      </c>
      <c r="R966" s="3">
        <v>12723.75</v>
      </c>
      <c r="S966" s="3">
        <v>7069.88</v>
      </c>
      <c r="T966" s="3">
        <v>1389.89</v>
      </c>
      <c r="U966" s="3">
        <v>518.22</v>
      </c>
      <c r="V966" s="3">
        <v>1098.6600000000001</v>
      </c>
      <c r="W966" s="3">
        <v>418.84</v>
      </c>
      <c r="X966" s="3">
        <v>10495.48</v>
      </c>
      <c r="Y966" s="3">
        <v>4451.42</v>
      </c>
      <c r="Z966" s="3">
        <f t="shared" si="65"/>
        <v>1025.8199999999997</v>
      </c>
      <c r="AA966" s="37">
        <f t="shared" si="66"/>
        <v>8.9036827441347749E-2</v>
      </c>
      <c r="AB966" s="3">
        <v>-1202.45</v>
      </c>
      <c r="AC966" s="3">
        <v>0</v>
      </c>
      <c r="AD966" s="3">
        <v>1382.56</v>
      </c>
      <c r="AE966" s="3">
        <v>12903.85</v>
      </c>
      <c r="AF966" t="str">
        <f>IF(tbl_FinancialData[[#This Row],[City]]="","Unknown",PROPER(TRIM(tbl_FinancialData[[#This Row],[City]])))</f>
        <v>Jaipur</v>
      </c>
      <c r="AG966" t="str">
        <f>_xlfn.LET(_xlpm.city,LOWER(TRIM(tbl_FinancialData[[#This Row],[City]])),_xlpm.st,PROPER(TRIM(tbl_FinancialData[[#This Row],[State]])),IF(_xlpm.city="pune","Maharashtra",IF(_xlpm.city="jamshedpur","Jharkhand",IF(_xlpm.city="bhilai","Chhattisgarh",IF(_xlpm.city="mumbai","Maharashtra",_xlpm.st)))))</f>
        <v>Rajasthan</v>
      </c>
      <c r="AH966" t="str">
        <f>_xlfn.LET(_xlpm.d,PROPER(TRIM(tbl_FinancialData[[#This Row],[Department]])),IF(_xlpm.d="It","IT",_xlpm.d))</f>
        <v>Marketing</v>
      </c>
      <c r="AI966" t="str">
        <f>_xlfn.LET(_xlpm.pid,tbl_FinancialData[[#This Row],[Product ID]],_xlpm.n,PROPER(TRIM(tbl_FinancialData[[#This Row],[Product Name]])),IF(_xlpm.pid="P020","Document Scanner",IF(_xlpm.pid="P015","Network Router",SUBSTITUTE(SUBSTITUTE(_xlpm.n,"Crm","CRM"),"Ups","UPS"))))</f>
        <v>Cloud Software</v>
      </c>
      <c r="AJ966" s="3" t="str">
        <f>UPPER(TRIM(tbl_FinancialData[[#This Row],[Cost Center]]))</f>
        <v>CC-1002</v>
      </c>
    </row>
    <row r="967" spans="1:36" x14ac:dyDescent="0.25">
      <c r="A967" s="3" t="s">
        <v>1171</v>
      </c>
      <c r="B967" s="2">
        <v>45789</v>
      </c>
      <c r="C967" t="s">
        <v>65</v>
      </c>
      <c r="D967" s="3" t="str">
        <f t="shared" si="63"/>
        <v>Q1</v>
      </c>
      <c r="E967" s="3" t="str">
        <f t="shared" si="64"/>
        <v>FY2026</v>
      </c>
      <c r="F967" s="8" t="s">
        <v>47</v>
      </c>
      <c r="G967" s="3" t="s">
        <v>35</v>
      </c>
      <c r="H967" t="s">
        <v>48</v>
      </c>
      <c r="I967" t="s">
        <v>126</v>
      </c>
      <c r="J967" s="3" t="s">
        <v>70</v>
      </c>
      <c r="K967" t="s">
        <v>39</v>
      </c>
      <c r="L967" s="3" t="s">
        <v>81</v>
      </c>
      <c r="M967" s="3" t="s">
        <v>161</v>
      </c>
      <c r="N967" t="s">
        <v>162</v>
      </c>
      <c r="O967" t="s">
        <v>43</v>
      </c>
      <c r="P967" t="s">
        <v>163</v>
      </c>
      <c r="Q967" s="3">
        <v>67467.710000000006</v>
      </c>
      <c r="R967" s="3">
        <v>71747.199999999997</v>
      </c>
      <c r="S967" s="3">
        <v>33500.68</v>
      </c>
      <c r="T967" s="3">
        <v>8039.33</v>
      </c>
      <c r="U967" s="3">
        <v>2938.5</v>
      </c>
      <c r="V967" s="3">
        <v>6018.4</v>
      </c>
      <c r="W967" s="3">
        <v>2986.72</v>
      </c>
      <c r="X967" s="3">
        <v>53483.62</v>
      </c>
      <c r="Y967" s="3">
        <v>33967.03</v>
      </c>
      <c r="Z967" s="3">
        <f t="shared" si="65"/>
        <v>13984.090000000004</v>
      </c>
      <c r="AA967" s="37">
        <f t="shared" si="66"/>
        <v>0.20727085593982666</v>
      </c>
      <c r="AB967" s="3">
        <v>-4279.5</v>
      </c>
      <c r="AC967" s="3">
        <v>3373.39</v>
      </c>
      <c r="AD967" s="3">
        <v>11536.98</v>
      </c>
      <c r="AE967" s="3">
        <v>75631.3</v>
      </c>
      <c r="AF967" t="str">
        <f>IF(tbl_FinancialData[[#This Row],[City]]="","Unknown",PROPER(TRIM(tbl_FinancialData[[#This Row],[City]])))</f>
        <v>Coimbatore</v>
      </c>
      <c r="AG967" t="str">
        <f>_xlfn.LET(_xlpm.city,LOWER(TRIM(tbl_FinancialData[[#This Row],[City]])),_xlpm.st,PROPER(TRIM(tbl_FinancialData[[#This Row],[State]])),IF(_xlpm.city="pune","Maharashtra",IF(_xlpm.city="jamshedpur","Jharkhand",IF(_xlpm.city="bhilai","Chhattisgarh",IF(_xlpm.city="mumbai","Maharashtra",_xlpm.st)))))</f>
        <v>Tamil Nadu</v>
      </c>
      <c r="AH967" t="str">
        <f>_xlfn.LET(_xlpm.d,PROPER(TRIM(tbl_FinancialData[[#This Row],[Department]])),IF(_xlpm.d="It","IT",_xlpm.d))</f>
        <v>Operations</v>
      </c>
      <c r="AI967" t="str">
        <f>_xlfn.LET(_xlpm.pid,tbl_FinancialData[[#This Row],[Product ID]],_xlpm.n,PROPER(TRIM(tbl_FinancialData[[#This Row],[Product Name]])),IF(_xlpm.pid="P020","Document Scanner",IF(_xlpm.pid="P015","Network Router",SUBSTITUTE(SUBSTITUTE(_xlpm.n,"Crm","CRM"),"Ups","UPS"))))</f>
        <v>Tablet</v>
      </c>
      <c r="AJ967" s="3" t="str">
        <f>UPPER(TRIM(tbl_FinancialData[[#This Row],[Cost Center]]))</f>
        <v>CC-1005</v>
      </c>
    </row>
    <row r="968" spans="1:36" x14ac:dyDescent="0.25">
      <c r="A968" s="3" t="s">
        <v>1172</v>
      </c>
      <c r="B968" s="2">
        <v>46108</v>
      </c>
      <c r="C968" t="s">
        <v>125</v>
      </c>
      <c r="D968" s="3" t="str">
        <f t="shared" si="63"/>
        <v>Q4</v>
      </c>
      <c r="E968" s="3" t="str">
        <f t="shared" si="64"/>
        <v>FY2026</v>
      </c>
      <c r="F968" s="8" t="s">
        <v>47</v>
      </c>
      <c r="G968" s="3" t="s">
        <v>35</v>
      </c>
      <c r="H968" t="s">
        <v>78</v>
      </c>
      <c r="I968" t="s">
        <v>183</v>
      </c>
      <c r="J968" s="3" t="s">
        <v>38</v>
      </c>
      <c r="K968" t="s">
        <v>160</v>
      </c>
      <c r="L968" s="3" t="s">
        <v>94</v>
      </c>
      <c r="M968" s="3" t="s">
        <v>235</v>
      </c>
      <c r="N968" t="s">
        <v>236</v>
      </c>
      <c r="O968" t="s">
        <v>104</v>
      </c>
      <c r="P968" t="s">
        <v>237</v>
      </c>
      <c r="Q968" s="3">
        <v>20973.51</v>
      </c>
      <c r="R968" s="3">
        <v>21692.52</v>
      </c>
      <c r="S968" s="3">
        <v>13073.13</v>
      </c>
      <c r="T968" s="3">
        <v>1816.38</v>
      </c>
      <c r="U968" s="3">
        <v>988.89</v>
      </c>
      <c r="V968" s="3">
        <v>1623.88</v>
      </c>
      <c r="W968" s="3">
        <v>438.34</v>
      </c>
      <c r="X968" s="3">
        <v>17940.62</v>
      </c>
      <c r="Y968" s="3">
        <v>7900.38</v>
      </c>
      <c r="Z968" s="3">
        <f t="shared" si="65"/>
        <v>3032.8899999999994</v>
      </c>
      <c r="AA968" s="37">
        <f t="shared" si="66"/>
        <v>0.14460574314933455</v>
      </c>
      <c r="AB968" s="3">
        <v>-719</v>
      </c>
      <c r="AC968" s="3">
        <v>629.21</v>
      </c>
      <c r="AD968" s="3">
        <v>2441.3200000000002</v>
      </c>
      <c r="AE968" s="3">
        <v>22785.62</v>
      </c>
      <c r="AF968" t="str">
        <f>IF(tbl_FinancialData[[#This Row],[City]]="","Unknown",PROPER(TRIM(tbl_FinancialData[[#This Row],[City]])))</f>
        <v>Kozhikode</v>
      </c>
      <c r="AG968" t="str">
        <f>_xlfn.LET(_xlpm.city,LOWER(TRIM(tbl_FinancialData[[#This Row],[City]])),_xlpm.st,PROPER(TRIM(tbl_FinancialData[[#This Row],[State]])),IF(_xlpm.city="pune","Maharashtra",IF(_xlpm.city="jamshedpur","Jharkhand",IF(_xlpm.city="bhilai","Chhattisgarh",IF(_xlpm.city="mumbai","Maharashtra",_xlpm.st)))))</f>
        <v>Kerala</v>
      </c>
      <c r="AH968" t="str">
        <f>_xlfn.LET(_xlpm.d,PROPER(TRIM(tbl_FinancialData[[#This Row],[Department]])),IF(_xlpm.d="It","IT",_xlpm.d))</f>
        <v>IT</v>
      </c>
      <c r="AI968" t="str">
        <f>_xlfn.LET(_xlpm.pid,tbl_FinancialData[[#This Row],[Product ID]],_xlpm.n,PROPER(TRIM(tbl_FinancialData[[#This Row],[Product Name]])),IF(_xlpm.pid="P020","Document Scanner",IF(_xlpm.pid="P015","Network Router",SUBSTITUTE(SUBSTITUTE(_xlpm.n,"Crm","CRM"),"Ups","UPS"))))</f>
        <v>Data Storage</v>
      </c>
      <c r="AJ968" s="3" t="str">
        <f>UPPER(TRIM(tbl_FinancialData[[#This Row],[Cost Center]]))</f>
        <v>CC-1001</v>
      </c>
    </row>
    <row r="969" spans="1:36" x14ac:dyDescent="0.25">
      <c r="A969" s="3" t="s">
        <v>1173</v>
      </c>
      <c r="B969" s="2">
        <v>45907</v>
      </c>
      <c r="C969" t="s">
        <v>46</v>
      </c>
      <c r="D969" s="3" t="str">
        <f t="shared" si="63"/>
        <v>Q2</v>
      </c>
      <c r="E969" s="3" t="str">
        <f t="shared" si="64"/>
        <v>FY2026</v>
      </c>
      <c r="F969" s="8" t="s">
        <v>85</v>
      </c>
      <c r="G969" s="3" t="s">
        <v>35</v>
      </c>
      <c r="H969" t="s">
        <v>86</v>
      </c>
      <c r="I969" t="s">
        <v>87</v>
      </c>
      <c r="J969" s="3" t="s">
        <v>100</v>
      </c>
      <c r="K969" t="s">
        <v>50</v>
      </c>
      <c r="L969" s="3" t="s">
        <v>40</v>
      </c>
      <c r="M969" s="3" t="s">
        <v>62</v>
      </c>
      <c r="N969" t="s">
        <v>63</v>
      </c>
      <c r="O969" t="s">
        <v>54</v>
      </c>
      <c r="P969" t="s">
        <v>55</v>
      </c>
      <c r="Q969" s="3">
        <v>2376.16</v>
      </c>
      <c r="R969" s="3">
        <v>2746.57</v>
      </c>
      <c r="S969" s="3">
        <v>1541.37</v>
      </c>
      <c r="T969" s="3">
        <v>264.91000000000003</v>
      </c>
      <c r="U969" s="3">
        <v>117.64</v>
      </c>
      <c r="V969" s="3">
        <v>267.87</v>
      </c>
      <c r="W969" s="3">
        <v>89.41</v>
      </c>
      <c r="X969" s="3">
        <v>2281.21</v>
      </c>
      <c r="Y969" s="3">
        <v>834.78</v>
      </c>
      <c r="Z969" s="3">
        <f t="shared" si="65"/>
        <v>94.949999999999818</v>
      </c>
      <c r="AA969" s="37">
        <f t="shared" si="66"/>
        <v>3.9959430341391079E-2</v>
      </c>
      <c r="AB969" s="3">
        <v>-370.41</v>
      </c>
      <c r="AC969" s="3">
        <v>118.81</v>
      </c>
      <c r="AD969" s="3">
        <v>406.32</v>
      </c>
      <c r="AE969" s="3">
        <v>2663.67</v>
      </c>
      <c r="AF969" t="str">
        <f>IF(tbl_FinancialData[[#This Row],[City]]="","Unknown",PROPER(TRIM(tbl_FinancialData[[#This Row],[City]])))</f>
        <v>Indore</v>
      </c>
      <c r="AG969" t="str">
        <f>_xlfn.LET(_xlpm.city,LOWER(TRIM(tbl_FinancialData[[#This Row],[City]])),_xlpm.st,PROPER(TRIM(tbl_FinancialData[[#This Row],[State]])),IF(_xlpm.city="pune","Maharashtra",IF(_xlpm.city="jamshedpur","Jharkhand",IF(_xlpm.city="bhilai","Chhattisgarh",IF(_xlpm.city="mumbai","Maharashtra",_xlpm.st)))))</f>
        <v>Madhya Pradesh</v>
      </c>
      <c r="AH969" t="str">
        <f>_xlfn.LET(_xlpm.d,PROPER(TRIM(tbl_FinancialData[[#This Row],[Department]])),IF(_xlpm.d="It","IT",_xlpm.d))</f>
        <v>Sales</v>
      </c>
      <c r="AI969" t="str">
        <f>_xlfn.LET(_xlpm.pid,tbl_FinancialData[[#This Row],[Product ID]],_xlpm.n,PROPER(TRIM(tbl_FinancialData[[#This Row],[Product Name]])),IF(_xlpm.pid="P020","Document Scanner",IF(_xlpm.pid="P015","Network Router",SUBSTITUTE(SUBSTITUTE(_xlpm.n,"Crm","CRM"),"Ups","UPS"))))</f>
        <v>Keyboard</v>
      </c>
      <c r="AJ969" s="3" t="str">
        <f>UPPER(TRIM(tbl_FinancialData[[#This Row],[Cost Center]]))</f>
        <v>CC-1002</v>
      </c>
    </row>
    <row r="970" spans="1:36" x14ac:dyDescent="0.25">
      <c r="A970" s="3" t="s">
        <v>1174</v>
      </c>
      <c r="B970" s="2">
        <v>46098</v>
      </c>
      <c r="C970" t="s">
        <v>125</v>
      </c>
      <c r="D970" s="3" t="str">
        <f t="shared" si="63"/>
        <v>Q4</v>
      </c>
      <c r="E970" s="3" t="str">
        <f t="shared" si="64"/>
        <v>FY2026</v>
      </c>
      <c r="F970" s="8" t="s">
        <v>34</v>
      </c>
      <c r="G970" s="3" t="s">
        <v>35</v>
      </c>
      <c r="H970" t="s">
        <v>98</v>
      </c>
      <c r="I970" t="s">
        <v>149</v>
      </c>
      <c r="J970" s="3" t="s">
        <v>80</v>
      </c>
      <c r="K970" t="s">
        <v>50</v>
      </c>
      <c r="L970" s="3" t="s">
        <v>40</v>
      </c>
      <c r="M970" s="3" t="s">
        <v>197</v>
      </c>
      <c r="N970" t="s">
        <v>198</v>
      </c>
      <c r="O970" t="s">
        <v>43</v>
      </c>
      <c r="P970" t="s">
        <v>163</v>
      </c>
      <c r="Q970" s="3">
        <v>51887.5</v>
      </c>
      <c r="R970" s="3">
        <v>48528</v>
      </c>
      <c r="S970" s="3">
        <v>35892.699999999997</v>
      </c>
      <c r="T970" s="3">
        <v>4019.2</v>
      </c>
      <c r="U970" s="3">
        <v>2604.04</v>
      </c>
      <c r="V970" s="3">
        <v>4866.6400000000003</v>
      </c>
      <c r="W970" s="3">
        <v>1406.56</v>
      </c>
      <c r="X970" s="3">
        <v>48789.14</v>
      </c>
      <c r="Y970" s="3">
        <v>15994.8</v>
      </c>
      <c r="Z970" s="3">
        <f t="shared" si="65"/>
        <v>3098.3600000000006</v>
      </c>
      <c r="AA970" s="37">
        <f t="shared" si="66"/>
        <v>5.971303300409541E-2</v>
      </c>
      <c r="AB970" s="3">
        <v>3359.5</v>
      </c>
      <c r="AC970" s="3">
        <v>0</v>
      </c>
      <c r="AD970" s="3">
        <v>6226.5</v>
      </c>
      <c r="AE970" s="3">
        <v>58114.01</v>
      </c>
      <c r="AF970" t="str">
        <f>IF(tbl_FinancialData[[#This Row],[City]]="","Unknown",PROPER(TRIM(tbl_FinancialData[[#This Row],[City]])))</f>
        <v>Nagpur</v>
      </c>
      <c r="AG970" t="str">
        <f>_xlfn.LET(_xlpm.city,LOWER(TRIM(tbl_FinancialData[[#This Row],[City]])),_xlpm.st,PROPER(TRIM(tbl_FinancialData[[#This Row],[State]])),IF(_xlpm.city="pune","Maharashtra",IF(_xlpm.city="jamshedpur","Jharkhand",IF(_xlpm.city="bhilai","Chhattisgarh",IF(_xlpm.city="mumbai","Maharashtra",_xlpm.st)))))</f>
        <v>Maharashtra</v>
      </c>
      <c r="AH970" t="str">
        <f>_xlfn.LET(_xlpm.d,PROPER(TRIM(tbl_FinancialData[[#This Row],[Department]])),IF(_xlpm.d="It","IT",_xlpm.d))</f>
        <v>Sales</v>
      </c>
      <c r="AI970" t="str">
        <f>_xlfn.LET(_xlpm.pid,tbl_FinancialData[[#This Row],[Product ID]],_xlpm.n,PROPER(TRIM(tbl_FinancialData[[#This Row],[Product Name]])),IF(_xlpm.pid="P020","Document Scanner",IF(_xlpm.pid="P015","Network Router",SUBSTITUTE(SUBSTITUTE(_xlpm.n,"Crm","CRM"),"Ups","UPS"))))</f>
        <v>Smartphone</v>
      </c>
      <c r="AJ970" s="3" t="str">
        <f>UPPER(TRIM(tbl_FinancialData[[#This Row],[Cost Center]]))</f>
        <v>CC-1002</v>
      </c>
    </row>
    <row r="971" spans="1:36" x14ac:dyDescent="0.25">
      <c r="A971" s="3" t="s">
        <v>1175</v>
      </c>
      <c r="B971" s="2">
        <v>45866</v>
      </c>
      <c r="C971" t="s">
        <v>32</v>
      </c>
      <c r="D971" s="3" t="str">
        <f t="shared" si="63"/>
        <v>Q2</v>
      </c>
      <c r="E971" s="3" t="str">
        <f t="shared" si="64"/>
        <v>FY2026</v>
      </c>
      <c r="F971" s="8" t="s">
        <v>34</v>
      </c>
      <c r="G971" s="3" t="s">
        <v>35</v>
      </c>
      <c r="H971" t="s">
        <v>157</v>
      </c>
      <c r="I971" t="s">
        <v>194</v>
      </c>
      <c r="J971" s="3" t="s">
        <v>70</v>
      </c>
      <c r="K971" t="s">
        <v>71</v>
      </c>
      <c r="L971" s="3" t="s">
        <v>40</v>
      </c>
      <c r="M971" s="3" t="s">
        <v>141</v>
      </c>
      <c r="N971" t="s">
        <v>142</v>
      </c>
      <c r="O971" t="s">
        <v>54</v>
      </c>
      <c r="P971" t="s">
        <v>143</v>
      </c>
      <c r="Q971" s="3">
        <v>6881.97</v>
      </c>
      <c r="R971" s="3">
        <v>6449.8</v>
      </c>
      <c r="S971" s="3">
        <v>4216.24</v>
      </c>
      <c r="T971" s="3">
        <v>568.41999999999996</v>
      </c>
      <c r="U971" s="3">
        <v>346.52</v>
      </c>
      <c r="V971" s="3">
        <v>721.09</v>
      </c>
      <c r="W971" s="3">
        <v>167</v>
      </c>
      <c r="X971" s="3">
        <v>6019.27</v>
      </c>
      <c r="Y971" s="3">
        <v>2665.73</v>
      </c>
      <c r="Z971" s="3">
        <f t="shared" si="65"/>
        <v>862.69999999999982</v>
      </c>
      <c r="AA971" s="37">
        <f t="shared" si="66"/>
        <v>0.12535654761645282</v>
      </c>
      <c r="AB971" s="3">
        <v>432.17</v>
      </c>
      <c r="AC971" s="3">
        <v>0</v>
      </c>
      <c r="AD971" s="3">
        <v>344.1</v>
      </c>
      <c r="AE971" s="3">
        <v>7226.07</v>
      </c>
      <c r="AF971" t="str">
        <f>IF(tbl_FinancialData[[#This Row],[City]]="","Unknown",PROPER(TRIM(tbl_FinancialData[[#This Row],[City]])))</f>
        <v>Surat</v>
      </c>
      <c r="AG971" t="str">
        <f>_xlfn.LET(_xlpm.city,LOWER(TRIM(tbl_FinancialData[[#This Row],[City]])),_xlpm.st,PROPER(TRIM(tbl_FinancialData[[#This Row],[State]])),IF(_xlpm.city="pune","Maharashtra",IF(_xlpm.city="jamshedpur","Jharkhand",IF(_xlpm.city="bhilai","Chhattisgarh",IF(_xlpm.city="mumbai","Maharashtra",_xlpm.st)))))</f>
        <v>Gujarat</v>
      </c>
      <c r="AH971" t="str">
        <f>_xlfn.LET(_xlpm.d,PROPER(TRIM(tbl_FinancialData[[#This Row],[Department]])),IF(_xlpm.d="It","IT",_xlpm.d))</f>
        <v>Marketing</v>
      </c>
      <c r="AI971" t="str">
        <f>_xlfn.LET(_xlpm.pid,tbl_FinancialData[[#This Row],[Product ID]],_xlpm.n,PROPER(TRIM(tbl_FinancialData[[#This Row],[Product Name]])),IF(_xlpm.pid="P020","Document Scanner",IF(_xlpm.pid="P015","Network Router",SUBSTITUTE(SUBSTITUTE(_xlpm.n,"Crm","CRM"),"Ups","UPS"))))</f>
        <v>Headset</v>
      </c>
      <c r="AJ971" s="3" t="str">
        <f>UPPER(TRIM(tbl_FinancialData[[#This Row],[Cost Center]]))</f>
        <v>CC-1002</v>
      </c>
    </row>
    <row r="972" spans="1:36" x14ac:dyDescent="0.25">
      <c r="A972" s="3" t="s">
        <v>1176</v>
      </c>
      <c r="B972" s="2">
        <v>46066</v>
      </c>
      <c r="C972" t="s">
        <v>57</v>
      </c>
      <c r="D972" s="3" t="str">
        <f t="shared" si="63"/>
        <v>Q4</v>
      </c>
      <c r="E972" s="3" t="str">
        <f t="shared" si="64"/>
        <v>FY2026</v>
      </c>
      <c r="F972" s="8" t="s">
        <v>85</v>
      </c>
      <c r="G972" s="3" t="s">
        <v>35</v>
      </c>
      <c r="H972" t="s">
        <v>60</v>
      </c>
      <c r="I972" t="s">
        <v>61</v>
      </c>
      <c r="J972" s="3" t="s">
        <v>100</v>
      </c>
      <c r="K972" t="s">
        <v>50</v>
      </c>
      <c r="L972" s="3" t="s">
        <v>40</v>
      </c>
      <c r="M972" s="3" t="s">
        <v>130</v>
      </c>
      <c r="N972" t="s">
        <v>131</v>
      </c>
      <c r="O972" t="s">
        <v>43</v>
      </c>
      <c r="P972" t="s">
        <v>132</v>
      </c>
      <c r="Q972" s="3">
        <v>69769.06</v>
      </c>
      <c r="R972" s="3">
        <v>69332.429999999993</v>
      </c>
      <c r="S972" s="3">
        <v>41504.82</v>
      </c>
      <c r="T972" s="3">
        <v>4527.3500000000004</v>
      </c>
      <c r="U972" s="3">
        <v>3068.51</v>
      </c>
      <c r="V972" s="3">
        <v>7133.89</v>
      </c>
      <c r="W972" s="3">
        <v>2880.71</v>
      </c>
      <c r="X972" s="3">
        <v>59115.28</v>
      </c>
      <c r="Y972" s="3">
        <v>28264.25</v>
      </c>
      <c r="Z972" s="3">
        <f t="shared" si="65"/>
        <v>10653.779999999999</v>
      </c>
      <c r="AA972" s="37">
        <f t="shared" si="66"/>
        <v>0.15270063836319422</v>
      </c>
      <c r="AB972" s="3">
        <v>436.63</v>
      </c>
      <c r="AC972" s="3">
        <v>3488.45</v>
      </c>
      <c r="AD972" s="3">
        <v>7953.67</v>
      </c>
      <c r="AE972" s="3">
        <v>74234.28</v>
      </c>
      <c r="AF972" t="str">
        <f>IF(tbl_FinancialData[[#This Row],[City]]="","Unknown",PROPER(TRIM(tbl_FinancialData[[#This Row],[City]])))</f>
        <v>Lucknow</v>
      </c>
      <c r="AG972" t="str">
        <f>_xlfn.LET(_xlpm.city,LOWER(TRIM(tbl_FinancialData[[#This Row],[City]])),_xlpm.st,PROPER(TRIM(tbl_FinancialData[[#This Row],[State]])),IF(_xlpm.city="pune","Maharashtra",IF(_xlpm.city="jamshedpur","Jharkhand",IF(_xlpm.city="bhilai","Chhattisgarh",IF(_xlpm.city="mumbai","Maharashtra",_xlpm.st)))))</f>
        <v>Uttar Pradesh</v>
      </c>
      <c r="AH972" t="str">
        <f>_xlfn.LET(_xlpm.d,PROPER(TRIM(tbl_FinancialData[[#This Row],[Department]])),IF(_xlpm.d="It","IT",_xlpm.d))</f>
        <v>Sales</v>
      </c>
      <c r="AI972" t="str">
        <f>_xlfn.LET(_xlpm.pid,tbl_FinancialData[[#This Row],[Product ID]],_xlpm.n,PROPER(TRIM(tbl_FinancialData[[#This Row],[Product Name]])),IF(_xlpm.pid="P020","Document Scanner",IF(_xlpm.pid="P015","Network Router",SUBSTITUTE(SUBSTITUTE(_xlpm.n,"Crm","CRM"),"Ups","UPS"))))</f>
        <v>UPS System</v>
      </c>
      <c r="AJ972" s="3" t="str">
        <f>UPPER(TRIM(tbl_FinancialData[[#This Row],[Cost Center]]))</f>
        <v>CC-1002</v>
      </c>
    </row>
    <row r="973" spans="1:36" x14ac:dyDescent="0.25">
      <c r="A973" s="3" t="s">
        <v>1177</v>
      </c>
      <c r="B973" s="2">
        <v>45913</v>
      </c>
      <c r="C973" t="s">
        <v>46</v>
      </c>
      <c r="D973" s="3" t="str">
        <f t="shared" si="63"/>
        <v>Q2</v>
      </c>
      <c r="E973" s="3" t="str">
        <f t="shared" si="64"/>
        <v>FY2026</v>
      </c>
      <c r="F973" s="8" t="s">
        <v>67</v>
      </c>
      <c r="G973" s="3" t="s">
        <v>35</v>
      </c>
      <c r="H973" t="s">
        <v>68</v>
      </c>
      <c r="I973" t="s">
        <v>69</v>
      </c>
      <c r="J973" s="3" t="s">
        <v>70</v>
      </c>
      <c r="K973" t="s">
        <v>101</v>
      </c>
      <c r="L973" s="3" t="s">
        <v>40</v>
      </c>
      <c r="M973" s="3" t="s">
        <v>221</v>
      </c>
      <c r="N973" t="s">
        <v>222</v>
      </c>
      <c r="O973" t="s">
        <v>104</v>
      </c>
      <c r="P973" t="s">
        <v>223</v>
      </c>
      <c r="Q973" s="3">
        <v>6919.75</v>
      </c>
      <c r="R973" s="3">
        <v>6844.89</v>
      </c>
      <c r="S973" s="3">
        <v>4729.9399999999996</v>
      </c>
      <c r="T973" s="3">
        <v>642.13</v>
      </c>
      <c r="U973" s="3">
        <v>231.66</v>
      </c>
      <c r="V973" s="3">
        <v>718.31</v>
      </c>
      <c r="W973" s="3">
        <v>241.11</v>
      </c>
      <c r="X973" s="3">
        <v>6563.16</v>
      </c>
      <c r="Y973" s="3">
        <v>2189.8000000000002</v>
      </c>
      <c r="Z973" s="3">
        <f t="shared" si="65"/>
        <v>356.59000000000015</v>
      </c>
      <c r="AA973" s="37">
        <f t="shared" si="66"/>
        <v>5.1532208533545308E-2</v>
      </c>
      <c r="AB973" s="3">
        <v>74.86</v>
      </c>
      <c r="AC973" s="3">
        <v>207.59</v>
      </c>
      <c r="AD973" s="3">
        <v>805.46</v>
      </c>
      <c r="AE973" s="3">
        <v>7517.61</v>
      </c>
      <c r="AF973" t="str">
        <f>IF(tbl_FinancialData[[#This Row],[City]]="","Unknown",PROPER(TRIM(tbl_FinancialData[[#This Row],[City]])))</f>
        <v>Bhubaneswar</v>
      </c>
      <c r="AG973" t="str">
        <f>_xlfn.LET(_xlpm.city,LOWER(TRIM(tbl_FinancialData[[#This Row],[City]])),_xlpm.st,PROPER(TRIM(tbl_FinancialData[[#This Row],[State]])),IF(_xlpm.city="pune","Maharashtra",IF(_xlpm.city="jamshedpur","Jharkhand",IF(_xlpm.city="bhilai","Chhattisgarh",IF(_xlpm.city="mumbai","Maharashtra",_xlpm.st)))))</f>
        <v>Odisha</v>
      </c>
      <c r="AH973" t="str">
        <f>_xlfn.LET(_xlpm.d,PROPER(TRIM(tbl_FinancialData[[#This Row],[Department]])),IF(_xlpm.d="It","IT",_xlpm.d))</f>
        <v>Finance</v>
      </c>
      <c r="AI973" t="str">
        <f>_xlfn.LET(_xlpm.pid,tbl_FinancialData[[#This Row],[Product ID]],_xlpm.n,PROPER(TRIM(tbl_FinancialData[[#This Row],[Product Name]])),IF(_xlpm.pid="P020","Document Scanner",IF(_xlpm.pid="P015","Network Router",SUBSTITUTE(SUBSTITUTE(_xlpm.n,"Crm","CRM"),"Ups","UPS"))))</f>
        <v>Cloud Software</v>
      </c>
      <c r="AJ973" s="3" t="str">
        <f>UPPER(TRIM(tbl_FinancialData[[#This Row],[Cost Center]]))</f>
        <v>CC-1002</v>
      </c>
    </row>
    <row r="974" spans="1:36" x14ac:dyDescent="0.25">
      <c r="A974" s="3" t="s">
        <v>1178</v>
      </c>
      <c r="B974" s="2">
        <v>45794</v>
      </c>
      <c r="C974" t="s">
        <v>65</v>
      </c>
      <c r="D974" s="3" t="str">
        <f t="shared" si="63"/>
        <v>Q1</v>
      </c>
      <c r="E974" s="3" t="str">
        <f t="shared" si="64"/>
        <v>FY2026</v>
      </c>
      <c r="F974" s="8" t="s">
        <v>85</v>
      </c>
      <c r="G974" s="3" t="s">
        <v>35</v>
      </c>
      <c r="H974" t="s">
        <v>86</v>
      </c>
      <c r="I974" t="s">
        <v>181</v>
      </c>
      <c r="J974" s="3" t="s">
        <v>70</v>
      </c>
      <c r="K974" t="s">
        <v>50</v>
      </c>
      <c r="L974" s="3" t="s">
        <v>72</v>
      </c>
      <c r="M974" s="3" t="s">
        <v>110</v>
      </c>
      <c r="N974" t="s">
        <v>111</v>
      </c>
      <c r="O974" t="s">
        <v>112</v>
      </c>
      <c r="P974" t="s">
        <v>113</v>
      </c>
      <c r="Q974" s="3">
        <v>23973.78</v>
      </c>
      <c r="R974" s="3">
        <v>25385.79</v>
      </c>
      <c r="S974" s="3">
        <v>13899.74</v>
      </c>
      <c r="T974" s="3">
        <v>1774.04</v>
      </c>
      <c r="U974" s="3">
        <v>674.97</v>
      </c>
      <c r="V974" s="3">
        <v>2386.41</v>
      </c>
      <c r="W974" s="3">
        <v>865.77</v>
      </c>
      <c r="X974" s="3">
        <v>19600.939999999999</v>
      </c>
      <c r="Y974" s="3">
        <v>10074.040000000001</v>
      </c>
      <c r="Z974" s="3">
        <f t="shared" si="65"/>
        <v>4372.84</v>
      </c>
      <c r="AA974" s="37">
        <f t="shared" si="66"/>
        <v>0.18240093969328158</v>
      </c>
      <c r="AB974" s="3">
        <v>-1412.01</v>
      </c>
      <c r="AC974" s="3">
        <v>1198.69</v>
      </c>
      <c r="AD974" s="3">
        <v>4099.5200000000004</v>
      </c>
      <c r="AE974" s="3">
        <v>26874.61</v>
      </c>
      <c r="AF974" t="str">
        <f>IF(tbl_FinancialData[[#This Row],[City]]="","Unknown",PROPER(TRIM(tbl_FinancialData[[#This Row],[City]])))</f>
        <v>Bhopal</v>
      </c>
      <c r="AG974" t="str">
        <f>_xlfn.LET(_xlpm.city,LOWER(TRIM(tbl_FinancialData[[#This Row],[City]])),_xlpm.st,PROPER(TRIM(tbl_FinancialData[[#This Row],[State]])),IF(_xlpm.city="pune","Maharashtra",IF(_xlpm.city="jamshedpur","Jharkhand",IF(_xlpm.city="bhilai","Chhattisgarh",IF(_xlpm.city="mumbai","Maharashtra",_xlpm.st)))))</f>
        <v>Madhya Pradesh</v>
      </c>
      <c r="AH974" t="str">
        <f>_xlfn.LET(_xlpm.d,PROPER(TRIM(tbl_FinancialData[[#This Row],[Department]])),IF(_xlpm.d="It","IT",_xlpm.d))</f>
        <v>Sales</v>
      </c>
      <c r="AI974" t="str">
        <f>_xlfn.LET(_xlpm.pid,tbl_FinancialData[[#This Row],[Product ID]],_xlpm.n,PROPER(TRIM(tbl_FinancialData[[#This Row],[Product Name]])),IF(_xlpm.pid="P020","Document Scanner",IF(_xlpm.pid="P015","Network Router",SUBSTITUTE(SUBSTITUTE(_xlpm.n,"Crm","CRM"),"Ups","UPS"))))</f>
        <v>Office Desk</v>
      </c>
      <c r="AJ974" s="3" t="str">
        <f>UPPER(TRIM(tbl_FinancialData[[#This Row],[Cost Center]]))</f>
        <v>CC-1004</v>
      </c>
    </row>
    <row r="975" spans="1:36" x14ac:dyDescent="0.25">
      <c r="A975" s="3" t="s">
        <v>1179</v>
      </c>
      <c r="B975" s="2">
        <v>46003</v>
      </c>
      <c r="C975" t="s">
        <v>107</v>
      </c>
      <c r="D975" s="3" t="str">
        <f t="shared" si="63"/>
        <v>Q3</v>
      </c>
      <c r="E975" s="3" t="str">
        <f t="shared" si="64"/>
        <v>FY2026</v>
      </c>
      <c r="F975" s="8" t="s">
        <v>34</v>
      </c>
      <c r="G975" s="3" t="s">
        <v>35</v>
      </c>
      <c r="H975" t="s">
        <v>134</v>
      </c>
      <c r="I975" t="s">
        <v>135</v>
      </c>
      <c r="J975" s="3" t="s">
        <v>100</v>
      </c>
      <c r="K975" t="s">
        <v>101</v>
      </c>
      <c r="L975" s="3" t="s">
        <v>94</v>
      </c>
      <c r="M975" s="3" t="s">
        <v>41</v>
      </c>
      <c r="N975" t="s">
        <v>42</v>
      </c>
      <c r="O975" t="s">
        <v>43</v>
      </c>
      <c r="P975" t="s">
        <v>44</v>
      </c>
      <c r="Q975" s="3">
        <v>62520.87</v>
      </c>
      <c r="R975" s="3">
        <v>69538.649999999994</v>
      </c>
      <c r="S975" s="3">
        <v>37068.49</v>
      </c>
      <c r="T975" s="3">
        <v>4602.68</v>
      </c>
      <c r="U975" s="3">
        <v>4567.29</v>
      </c>
      <c r="V975" s="3">
        <v>6493.18</v>
      </c>
      <c r="W975" s="3">
        <v>1069.07</v>
      </c>
      <c r="X975" s="3">
        <v>53800.7</v>
      </c>
      <c r="Y975" s="3">
        <v>25452.38</v>
      </c>
      <c r="Z975" s="3">
        <f t="shared" si="65"/>
        <v>8720.1700000000055</v>
      </c>
      <c r="AA975" s="37">
        <f t="shared" si="66"/>
        <v>0.13947614612528592</v>
      </c>
      <c r="AB975" s="3">
        <v>-7017.78</v>
      </c>
      <c r="AC975" s="3">
        <v>1250.42</v>
      </c>
      <c r="AD975" s="3">
        <v>7352.45</v>
      </c>
      <c r="AE975" s="3">
        <v>68622.899999999994</v>
      </c>
      <c r="AF975" t="str">
        <f>IF(tbl_FinancialData[[#This Row],[City]]="","Unknown",PROPER(TRIM(tbl_FinancialData[[#This Row],[City]])))</f>
        <v>Jodhpur</v>
      </c>
      <c r="AG975" t="str">
        <f>_xlfn.LET(_xlpm.city,LOWER(TRIM(tbl_FinancialData[[#This Row],[City]])),_xlpm.st,PROPER(TRIM(tbl_FinancialData[[#This Row],[State]])),IF(_xlpm.city="pune","Maharashtra",IF(_xlpm.city="jamshedpur","Jharkhand",IF(_xlpm.city="bhilai","Chhattisgarh",IF(_xlpm.city="mumbai","Maharashtra",_xlpm.st)))))</f>
        <v>Rajasthan</v>
      </c>
      <c r="AH975" t="str">
        <f>_xlfn.LET(_xlpm.d,PROPER(TRIM(tbl_FinancialData[[#This Row],[Department]])),IF(_xlpm.d="It","IT",_xlpm.d))</f>
        <v>Finance</v>
      </c>
      <c r="AI975" t="str">
        <f>_xlfn.LET(_xlpm.pid,tbl_FinancialData[[#This Row],[Product ID]],_xlpm.n,PROPER(TRIM(tbl_FinancialData[[#This Row],[Product Name]])),IF(_xlpm.pid="P020","Document Scanner",IF(_xlpm.pid="P015","Network Router",SUBSTITUTE(SUBSTITUTE(_xlpm.n,"Crm","CRM"),"Ups","UPS"))))</f>
        <v>Conference Camera</v>
      </c>
      <c r="AJ975" s="3" t="str">
        <f>UPPER(TRIM(tbl_FinancialData[[#This Row],[Cost Center]]))</f>
        <v>CC-1001</v>
      </c>
    </row>
    <row r="976" spans="1:36" x14ac:dyDescent="0.25">
      <c r="A976" s="3" t="s">
        <v>1180</v>
      </c>
      <c r="B976" s="2">
        <v>46010</v>
      </c>
      <c r="C976" t="s">
        <v>107</v>
      </c>
      <c r="D976" s="3" t="str">
        <f t="shared" si="63"/>
        <v>Q3</v>
      </c>
      <c r="E976" s="3" t="str">
        <f t="shared" si="64"/>
        <v>FY2026</v>
      </c>
      <c r="F976" s="8" t="s">
        <v>47</v>
      </c>
      <c r="G976" s="3" t="s">
        <v>35</v>
      </c>
      <c r="H976" t="s">
        <v>48</v>
      </c>
      <c r="I976" t="s">
        <v>126</v>
      </c>
      <c r="J976" s="3" t="s">
        <v>100</v>
      </c>
      <c r="K976" t="s">
        <v>39</v>
      </c>
      <c r="L976" s="3" t="s">
        <v>94</v>
      </c>
      <c r="M976" s="3" t="s">
        <v>235</v>
      </c>
      <c r="N976" t="s">
        <v>236</v>
      </c>
      <c r="O976" t="s">
        <v>104</v>
      </c>
      <c r="P976" t="s">
        <v>237</v>
      </c>
      <c r="Q976" s="3">
        <v>19654.2</v>
      </c>
      <c r="R976" s="3">
        <v>20659.82</v>
      </c>
      <c r="S976" s="3">
        <v>13577.13</v>
      </c>
      <c r="T976" s="3">
        <v>1290.69</v>
      </c>
      <c r="U976" s="3">
        <v>704.67</v>
      </c>
      <c r="V976" s="3">
        <v>1691.17</v>
      </c>
      <c r="W976" s="3">
        <v>515.26</v>
      </c>
      <c r="X976" s="3">
        <v>17778.919999999998</v>
      </c>
      <c r="Y976" s="3">
        <v>6077.07</v>
      </c>
      <c r="Z976" s="3">
        <f t="shared" si="65"/>
        <v>1875.2800000000025</v>
      </c>
      <c r="AA976" s="37">
        <f t="shared" si="66"/>
        <v>9.5413702923548269E-2</v>
      </c>
      <c r="AB976" s="3">
        <v>-1005.62</v>
      </c>
      <c r="AC976" s="3">
        <v>982.71</v>
      </c>
      <c r="AD976" s="3">
        <v>3360.87</v>
      </c>
      <c r="AE976" s="3">
        <v>22032.36</v>
      </c>
      <c r="AF976" t="str">
        <f>IF(tbl_FinancialData[[#This Row],[City]]="","Unknown",PROPER(TRIM(tbl_FinancialData[[#This Row],[City]])))</f>
        <v>Coimbatore</v>
      </c>
      <c r="AG976" t="str">
        <f>_xlfn.LET(_xlpm.city,LOWER(TRIM(tbl_FinancialData[[#This Row],[City]])),_xlpm.st,PROPER(TRIM(tbl_FinancialData[[#This Row],[State]])),IF(_xlpm.city="pune","Maharashtra",IF(_xlpm.city="jamshedpur","Jharkhand",IF(_xlpm.city="bhilai","Chhattisgarh",IF(_xlpm.city="mumbai","Maharashtra",_xlpm.st)))))</f>
        <v>Tamil Nadu</v>
      </c>
      <c r="AH976" t="str">
        <f>_xlfn.LET(_xlpm.d,PROPER(TRIM(tbl_FinancialData[[#This Row],[Department]])),IF(_xlpm.d="It","IT",_xlpm.d))</f>
        <v>Operations</v>
      </c>
      <c r="AI976" t="str">
        <f>_xlfn.LET(_xlpm.pid,tbl_FinancialData[[#This Row],[Product ID]],_xlpm.n,PROPER(TRIM(tbl_FinancialData[[#This Row],[Product Name]])),IF(_xlpm.pid="P020","Document Scanner",IF(_xlpm.pid="P015","Network Router",SUBSTITUTE(SUBSTITUTE(_xlpm.n,"Crm","CRM"),"Ups","UPS"))))</f>
        <v>Data Storage</v>
      </c>
      <c r="AJ976" s="3" t="str">
        <f>UPPER(TRIM(tbl_FinancialData[[#This Row],[Cost Center]]))</f>
        <v>CC-1001</v>
      </c>
    </row>
    <row r="977" spans="1:36" x14ac:dyDescent="0.25">
      <c r="A977" s="3" t="s">
        <v>1181</v>
      </c>
      <c r="B977" s="2">
        <v>45966</v>
      </c>
      <c r="C977" t="s">
        <v>147</v>
      </c>
      <c r="D977" s="3" t="str">
        <f t="shared" si="63"/>
        <v>Q3</v>
      </c>
      <c r="E977" s="3" t="str">
        <f t="shared" si="64"/>
        <v>FY2026</v>
      </c>
      <c r="F977" s="8" t="s">
        <v>47</v>
      </c>
      <c r="G977" s="3" t="s">
        <v>35</v>
      </c>
      <c r="H977" t="s">
        <v>214</v>
      </c>
      <c r="I977" t="s">
        <v>220</v>
      </c>
      <c r="J977" s="3" t="s">
        <v>80</v>
      </c>
      <c r="K977" t="s">
        <v>50</v>
      </c>
      <c r="L977" s="3" t="s">
        <v>94</v>
      </c>
      <c r="M977" s="3" t="s">
        <v>189</v>
      </c>
      <c r="N977" t="s">
        <v>190</v>
      </c>
      <c r="O977" t="s">
        <v>104</v>
      </c>
      <c r="P977" t="s">
        <v>105</v>
      </c>
      <c r="Q977" s="3">
        <v>6968.31</v>
      </c>
      <c r="R977" s="3">
        <v>6566.7</v>
      </c>
      <c r="S977" s="3">
        <v>4008</v>
      </c>
      <c r="T977" s="3">
        <v>410.41</v>
      </c>
      <c r="U977" s="3">
        <v>188.63</v>
      </c>
      <c r="V977" s="3">
        <v>644.87</v>
      </c>
      <c r="W977" s="3">
        <v>218.52</v>
      </c>
      <c r="X977" s="3">
        <v>5470.43</v>
      </c>
      <c r="Y977" s="3">
        <v>2960.31</v>
      </c>
      <c r="Z977" s="3">
        <f t="shared" si="65"/>
        <v>1497.88</v>
      </c>
      <c r="AA977" s="37">
        <f t="shared" si="66"/>
        <v>0.21495599363403753</v>
      </c>
      <c r="AB977" s="3">
        <v>401.61</v>
      </c>
      <c r="AC977" s="3">
        <v>348.42</v>
      </c>
      <c r="AD977" s="3">
        <v>1191.58</v>
      </c>
      <c r="AE977" s="3">
        <v>7811.48</v>
      </c>
      <c r="AF977" t="str">
        <f>IF(tbl_FinancialData[[#This Row],[City]]="","Unknown",PROPER(TRIM(tbl_FinancialData[[#This Row],[City]])))</f>
        <v>Mysuru</v>
      </c>
      <c r="AG977" t="str">
        <f>_xlfn.LET(_xlpm.city,LOWER(TRIM(tbl_FinancialData[[#This Row],[City]])),_xlpm.st,PROPER(TRIM(tbl_FinancialData[[#This Row],[State]])),IF(_xlpm.city="pune","Maharashtra",IF(_xlpm.city="jamshedpur","Jharkhand",IF(_xlpm.city="bhilai","Chhattisgarh",IF(_xlpm.city="mumbai","Maharashtra",_xlpm.st)))))</f>
        <v>Karnataka</v>
      </c>
      <c r="AH977" t="str">
        <f>_xlfn.LET(_xlpm.d,PROPER(TRIM(tbl_FinancialData[[#This Row],[Department]])),IF(_xlpm.d="It","IT",_xlpm.d))</f>
        <v>Sales</v>
      </c>
      <c r="AI977" t="str">
        <f>_xlfn.LET(_xlpm.pid,tbl_FinancialData[[#This Row],[Product ID]],_xlpm.n,PROPER(TRIM(tbl_FinancialData[[#This Row],[Product Name]])),IF(_xlpm.pid="P020","Document Scanner",IF(_xlpm.pid="P015","Network Router",SUBSTITUTE(SUBSTITUTE(_xlpm.n,"Crm","CRM"),"Ups","UPS"))))</f>
        <v>CRM Software</v>
      </c>
      <c r="AJ977" s="3" t="str">
        <f>UPPER(TRIM(tbl_FinancialData[[#This Row],[Cost Center]]))</f>
        <v>CC-1001</v>
      </c>
    </row>
    <row r="978" spans="1:36" x14ac:dyDescent="0.25">
      <c r="A978" s="3" t="s">
        <v>1182</v>
      </c>
      <c r="B978" s="2">
        <v>45877</v>
      </c>
      <c r="C978" t="s">
        <v>117</v>
      </c>
      <c r="D978" s="3" t="str">
        <f t="shared" si="63"/>
        <v>Q2</v>
      </c>
      <c r="E978" s="3" t="str">
        <f t="shared" si="64"/>
        <v>FY2026</v>
      </c>
      <c r="F978" s="8" t="s">
        <v>67</v>
      </c>
      <c r="G978" s="3" t="s">
        <v>35</v>
      </c>
      <c r="H978" t="s">
        <v>217</v>
      </c>
      <c r="I978" t="s">
        <v>284</v>
      </c>
      <c r="J978" s="3" t="s">
        <v>80</v>
      </c>
      <c r="K978" t="s">
        <v>39</v>
      </c>
      <c r="L978" s="3" t="s">
        <v>51</v>
      </c>
      <c r="M978" s="3" t="s">
        <v>73</v>
      </c>
      <c r="N978" t="s">
        <v>74</v>
      </c>
      <c r="O978" t="s">
        <v>43</v>
      </c>
      <c r="P978" t="s">
        <v>75</v>
      </c>
      <c r="Q978" s="3">
        <v>48962.01</v>
      </c>
      <c r="R978" s="3">
        <v>44738.17</v>
      </c>
      <c r="S978" s="3">
        <v>24495.25</v>
      </c>
      <c r="T978" s="3">
        <v>2621.4</v>
      </c>
      <c r="U978" s="3">
        <v>2929.34</v>
      </c>
      <c r="V978" s="3">
        <v>4724.76</v>
      </c>
      <c r="W978" s="3">
        <v>713.29</v>
      </c>
      <c r="X978" s="3">
        <v>35484.050000000003</v>
      </c>
      <c r="Y978" s="3">
        <v>24466.76</v>
      </c>
      <c r="Z978" s="3">
        <f t="shared" si="65"/>
        <v>13477.96</v>
      </c>
      <c r="AA978" s="37">
        <f t="shared" si="66"/>
        <v>0.27527382964874192</v>
      </c>
      <c r="AB978" s="3">
        <v>4223.8500000000004</v>
      </c>
      <c r="AC978" s="3">
        <v>2448.1</v>
      </c>
      <c r="AD978" s="3">
        <v>5581.67</v>
      </c>
      <c r="AE978" s="3">
        <v>52095.58</v>
      </c>
      <c r="AF978" t="str">
        <f>IF(tbl_FinancialData[[#This Row],[City]]="","Unknown",PROPER(TRIM(tbl_FinancialData[[#This Row],[City]])))</f>
        <v>Patna</v>
      </c>
      <c r="AG978" t="str">
        <f>_xlfn.LET(_xlpm.city,LOWER(TRIM(tbl_FinancialData[[#This Row],[City]])),_xlpm.st,PROPER(TRIM(tbl_FinancialData[[#This Row],[State]])),IF(_xlpm.city="pune","Maharashtra",IF(_xlpm.city="jamshedpur","Jharkhand",IF(_xlpm.city="bhilai","Chhattisgarh",IF(_xlpm.city="mumbai","Maharashtra",_xlpm.st)))))</f>
        <v>Bihar</v>
      </c>
      <c r="AH978" t="str">
        <f>_xlfn.LET(_xlpm.d,PROPER(TRIM(tbl_FinancialData[[#This Row],[Department]])),IF(_xlpm.d="It","IT",_xlpm.d))</f>
        <v>Operations</v>
      </c>
      <c r="AI978" t="str">
        <f>_xlfn.LET(_xlpm.pid,tbl_FinancialData[[#This Row],[Product ID]],_xlpm.n,PROPER(TRIM(tbl_FinancialData[[#This Row],[Product Name]])),IF(_xlpm.pid="P020","Document Scanner",IF(_xlpm.pid="P015","Network Router",SUBSTITUTE(SUBSTITUTE(_xlpm.n,"Crm","CRM"),"Ups","UPS"))))</f>
        <v>Monitor</v>
      </c>
      <c r="AJ978" s="3" t="str">
        <f>UPPER(TRIM(tbl_FinancialData[[#This Row],[Cost Center]]))</f>
        <v>CC-1003</v>
      </c>
    </row>
    <row r="979" spans="1:36" x14ac:dyDescent="0.25">
      <c r="A979" s="3" t="s">
        <v>1183</v>
      </c>
      <c r="B979" s="2">
        <v>45804</v>
      </c>
      <c r="C979" t="s">
        <v>65</v>
      </c>
      <c r="D979" s="3" t="str">
        <f t="shared" si="63"/>
        <v>Q1</v>
      </c>
      <c r="E979" s="3" t="str">
        <f t="shared" si="64"/>
        <v>FY2026</v>
      </c>
      <c r="F979" s="8" t="s">
        <v>47</v>
      </c>
      <c r="G979" s="3" t="s">
        <v>35</v>
      </c>
      <c r="H979" t="s">
        <v>214</v>
      </c>
      <c r="I979" t="s">
        <v>321</v>
      </c>
      <c r="J979" s="3" t="s">
        <v>100</v>
      </c>
      <c r="K979" t="s">
        <v>160</v>
      </c>
      <c r="L979" s="3" t="s">
        <v>72</v>
      </c>
      <c r="M979" s="3" t="s">
        <v>88</v>
      </c>
      <c r="N979" t="s">
        <v>89</v>
      </c>
      <c r="O979" t="s">
        <v>43</v>
      </c>
      <c r="P979" t="s">
        <v>90</v>
      </c>
      <c r="Q979" s="3">
        <v>40467.839999999997</v>
      </c>
      <c r="R979" s="3">
        <v>40811.93</v>
      </c>
      <c r="S979" s="3">
        <v>24585.65</v>
      </c>
      <c r="T979" s="3">
        <v>2909.1</v>
      </c>
      <c r="U979" s="3">
        <v>3449.53</v>
      </c>
      <c r="V979" s="3">
        <v>3205.8</v>
      </c>
      <c r="W979" s="3">
        <v>1597.28</v>
      </c>
      <c r="X979" s="3">
        <v>35747.360000000001</v>
      </c>
      <c r="Y979" s="3">
        <v>15882.19</v>
      </c>
      <c r="Z979" s="3">
        <f t="shared" si="65"/>
        <v>4720.4799999999959</v>
      </c>
      <c r="AA979" s="37">
        <f t="shared" si="66"/>
        <v>0.11664768863373969</v>
      </c>
      <c r="AB979" s="3">
        <v>-344.09</v>
      </c>
      <c r="AC979" s="3">
        <v>1214.04</v>
      </c>
      <c r="AD979" s="3">
        <v>7065.68</v>
      </c>
      <c r="AE979" s="3">
        <v>46319.49</v>
      </c>
      <c r="AF979" t="str">
        <f>IF(tbl_FinancialData[[#This Row],[City]]="","Unknown",PROPER(TRIM(tbl_FinancialData[[#This Row],[City]])))</f>
        <v>Bengaluru</v>
      </c>
      <c r="AG979" t="str">
        <f>_xlfn.LET(_xlpm.city,LOWER(TRIM(tbl_FinancialData[[#This Row],[City]])),_xlpm.st,PROPER(TRIM(tbl_FinancialData[[#This Row],[State]])),IF(_xlpm.city="pune","Maharashtra",IF(_xlpm.city="jamshedpur","Jharkhand",IF(_xlpm.city="bhilai","Chhattisgarh",IF(_xlpm.city="mumbai","Maharashtra",_xlpm.st)))))</f>
        <v>Karnataka</v>
      </c>
      <c r="AH979" t="str">
        <f>_xlfn.LET(_xlpm.d,PROPER(TRIM(tbl_FinancialData[[#This Row],[Department]])),IF(_xlpm.d="It","IT",_xlpm.d))</f>
        <v>IT</v>
      </c>
      <c r="AI979" t="str">
        <f>_xlfn.LET(_xlpm.pid,tbl_FinancialData[[#This Row],[Product ID]],_xlpm.n,PROPER(TRIM(tbl_FinancialData[[#This Row],[Product Name]])),IF(_xlpm.pid="P020","Document Scanner",IF(_xlpm.pid="P015","Network Router",SUBSTITUTE(SUBSTITUTE(_xlpm.n,"Crm","CRM"),"Ups","UPS"))))</f>
        <v>Printer</v>
      </c>
      <c r="AJ979" s="3" t="str">
        <f>UPPER(TRIM(tbl_FinancialData[[#This Row],[Cost Center]]))</f>
        <v>CC-1004</v>
      </c>
    </row>
    <row r="980" spans="1:36" x14ac:dyDescent="0.25">
      <c r="A980" s="3" t="s">
        <v>1184</v>
      </c>
      <c r="B980" s="2">
        <v>46112</v>
      </c>
      <c r="C980" t="s">
        <v>125</v>
      </c>
      <c r="D980" s="3" t="str">
        <f t="shared" si="63"/>
        <v>Q4</v>
      </c>
      <c r="E980" s="3" t="str">
        <f t="shared" si="64"/>
        <v>FY2026</v>
      </c>
      <c r="F980" s="8" t="s">
        <v>34</v>
      </c>
      <c r="G980" s="3" t="s">
        <v>35</v>
      </c>
      <c r="H980" t="s">
        <v>157</v>
      </c>
      <c r="I980" t="s">
        <v>158</v>
      </c>
      <c r="J980" s="3" t="s">
        <v>38</v>
      </c>
      <c r="K980" t="s">
        <v>160</v>
      </c>
      <c r="L980" s="3" t="s">
        <v>81</v>
      </c>
      <c r="M980" s="3" t="s">
        <v>41</v>
      </c>
      <c r="N980" t="s">
        <v>42</v>
      </c>
      <c r="O980" t="s">
        <v>43</v>
      </c>
      <c r="P980" t="s">
        <v>44</v>
      </c>
      <c r="Q980" s="3">
        <v>49584.06</v>
      </c>
      <c r="R980" s="3">
        <v>44021.59</v>
      </c>
      <c r="S980" s="3">
        <v>30528.53</v>
      </c>
      <c r="T980" s="3">
        <v>2860.31</v>
      </c>
      <c r="U980" s="3">
        <v>3929</v>
      </c>
      <c r="V980" s="3">
        <v>4968.3999999999996</v>
      </c>
      <c r="W980" s="3">
        <v>1295.03</v>
      </c>
      <c r="X980" s="3">
        <v>43581.27</v>
      </c>
      <c r="Y980" s="3">
        <v>19055.53</v>
      </c>
      <c r="Z980" s="3">
        <f t="shared" si="65"/>
        <v>6002.7900000000009</v>
      </c>
      <c r="AA980" s="37">
        <f t="shared" si="66"/>
        <v>0.12106289803618342</v>
      </c>
      <c r="AB980" s="3">
        <v>5562.47</v>
      </c>
      <c r="AC980" s="3">
        <v>1487.52</v>
      </c>
      <c r="AD980" s="3">
        <v>8657.3799999999992</v>
      </c>
      <c r="AE980" s="3">
        <v>56753.91</v>
      </c>
      <c r="AF980" t="str">
        <f>IF(tbl_FinancialData[[#This Row],[City]]="","Unknown",PROPER(TRIM(tbl_FinancialData[[#This Row],[City]])))</f>
        <v>Ahmedabad</v>
      </c>
      <c r="AG980" t="str">
        <f>_xlfn.LET(_xlpm.city,LOWER(TRIM(tbl_FinancialData[[#This Row],[City]])),_xlpm.st,PROPER(TRIM(tbl_FinancialData[[#This Row],[State]])),IF(_xlpm.city="pune","Maharashtra",IF(_xlpm.city="jamshedpur","Jharkhand",IF(_xlpm.city="bhilai","Chhattisgarh",IF(_xlpm.city="mumbai","Maharashtra",_xlpm.st)))))</f>
        <v>Gujarat</v>
      </c>
      <c r="AH980" t="str">
        <f>_xlfn.LET(_xlpm.d,PROPER(TRIM(tbl_FinancialData[[#This Row],[Department]])),IF(_xlpm.d="It","IT",_xlpm.d))</f>
        <v>IT</v>
      </c>
      <c r="AI980" t="str">
        <f>_xlfn.LET(_xlpm.pid,tbl_FinancialData[[#This Row],[Product ID]],_xlpm.n,PROPER(TRIM(tbl_FinancialData[[#This Row],[Product Name]])),IF(_xlpm.pid="P020","Document Scanner",IF(_xlpm.pid="P015","Network Router",SUBSTITUTE(SUBSTITUTE(_xlpm.n,"Crm","CRM"),"Ups","UPS"))))</f>
        <v>Conference Camera</v>
      </c>
      <c r="AJ980" s="3" t="str">
        <f>UPPER(TRIM(tbl_FinancialData[[#This Row],[Cost Center]]))</f>
        <v>CC-1005</v>
      </c>
    </row>
    <row r="981" spans="1:36" x14ac:dyDescent="0.25">
      <c r="A981" s="3" t="s">
        <v>1185</v>
      </c>
      <c r="B981" s="2">
        <v>45765</v>
      </c>
      <c r="C981" t="s">
        <v>128</v>
      </c>
      <c r="D981" s="3" t="str">
        <f t="shared" si="63"/>
        <v>Q1</v>
      </c>
      <c r="E981" s="3" t="str">
        <f t="shared" si="64"/>
        <v>FY2026</v>
      </c>
      <c r="F981" s="8" t="s">
        <v>67</v>
      </c>
      <c r="G981" s="3" t="s">
        <v>35</v>
      </c>
      <c r="H981" t="s">
        <v>168</v>
      </c>
      <c r="I981" t="s">
        <v>278</v>
      </c>
      <c r="J981" s="3" t="s">
        <v>70</v>
      </c>
      <c r="K981" t="s">
        <v>71</v>
      </c>
      <c r="L981" s="3" t="s">
        <v>40</v>
      </c>
      <c r="M981" s="3" t="s">
        <v>197</v>
      </c>
      <c r="N981" t="s">
        <v>198</v>
      </c>
      <c r="O981" t="s">
        <v>43</v>
      </c>
      <c r="P981" t="s">
        <v>163</v>
      </c>
      <c r="Q981" s="3">
        <v>22716.95</v>
      </c>
      <c r="R981" s="3">
        <v>20168.310000000001</v>
      </c>
      <c r="S981" s="3">
        <v>12196.5</v>
      </c>
      <c r="T981" s="3">
        <v>2542.83</v>
      </c>
      <c r="U981" s="3">
        <v>922.36</v>
      </c>
      <c r="V981" s="3">
        <v>2233.7199999999998</v>
      </c>
      <c r="W981" s="3">
        <v>427.46</v>
      </c>
      <c r="X981" s="3">
        <v>18322.87</v>
      </c>
      <c r="Y981" s="3">
        <v>10520.45</v>
      </c>
      <c r="Z981" s="3">
        <f t="shared" si="65"/>
        <v>4394.0800000000017</v>
      </c>
      <c r="AA981" s="37">
        <f t="shared" si="66"/>
        <v>0.19342737471359497</v>
      </c>
      <c r="AB981" s="3">
        <v>2548.64</v>
      </c>
      <c r="AC981" s="3">
        <v>681.51</v>
      </c>
      <c r="AD981" s="3">
        <v>3966.38</v>
      </c>
      <c r="AE981" s="3">
        <v>26001.82</v>
      </c>
      <c r="AF981" t="str">
        <f>IF(tbl_FinancialData[[#This Row],[City]]="","Unknown",PROPER(TRIM(tbl_FinancialData[[#This Row],[City]])))</f>
        <v>Siliguri</v>
      </c>
      <c r="AG981" t="str">
        <f>_xlfn.LET(_xlpm.city,LOWER(TRIM(tbl_FinancialData[[#This Row],[City]])),_xlpm.st,PROPER(TRIM(tbl_FinancialData[[#This Row],[State]])),IF(_xlpm.city="pune","Maharashtra",IF(_xlpm.city="jamshedpur","Jharkhand",IF(_xlpm.city="bhilai","Chhattisgarh",IF(_xlpm.city="mumbai","Maharashtra",_xlpm.st)))))</f>
        <v>West Bengal</v>
      </c>
      <c r="AH981" t="str">
        <f>_xlfn.LET(_xlpm.d,PROPER(TRIM(tbl_FinancialData[[#This Row],[Department]])),IF(_xlpm.d="It","IT",_xlpm.d))</f>
        <v>Marketing</v>
      </c>
      <c r="AI981" t="str">
        <f>_xlfn.LET(_xlpm.pid,tbl_FinancialData[[#This Row],[Product ID]],_xlpm.n,PROPER(TRIM(tbl_FinancialData[[#This Row],[Product Name]])),IF(_xlpm.pid="P020","Document Scanner",IF(_xlpm.pid="P015","Network Router",SUBSTITUTE(SUBSTITUTE(_xlpm.n,"Crm","CRM"),"Ups","UPS"))))</f>
        <v>Smartphone</v>
      </c>
      <c r="AJ981" s="3" t="str">
        <f>UPPER(TRIM(tbl_FinancialData[[#This Row],[Cost Center]]))</f>
        <v>CC-1002</v>
      </c>
    </row>
    <row r="982" spans="1:36" x14ac:dyDescent="0.25">
      <c r="A982" s="3" t="s">
        <v>1186</v>
      </c>
      <c r="B982" s="2">
        <v>46096</v>
      </c>
      <c r="C982" t="s">
        <v>125</v>
      </c>
      <c r="D982" s="3" t="str">
        <f t="shared" si="63"/>
        <v>Q4</v>
      </c>
      <c r="E982" s="3" t="str">
        <f t="shared" si="64"/>
        <v>FY2026</v>
      </c>
      <c r="F982" s="8" t="s">
        <v>47</v>
      </c>
      <c r="G982" s="3" t="s">
        <v>35</v>
      </c>
      <c r="H982" t="s">
        <v>78</v>
      </c>
      <c r="I982" t="s">
        <v>79</v>
      </c>
      <c r="J982" s="3" t="s">
        <v>80</v>
      </c>
      <c r="K982" t="s">
        <v>50</v>
      </c>
      <c r="L982" s="3" t="s">
        <v>40</v>
      </c>
      <c r="M982" s="3" t="s">
        <v>171</v>
      </c>
      <c r="N982" t="s">
        <v>172</v>
      </c>
      <c r="O982" t="s">
        <v>173</v>
      </c>
      <c r="P982" t="s">
        <v>174</v>
      </c>
      <c r="Q982" s="3">
        <v>33355.06</v>
      </c>
      <c r="R982" s="3">
        <v>30795.919999999998</v>
      </c>
      <c r="S982" s="3">
        <v>20992</v>
      </c>
      <c r="T982" s="3">
        <v>2901.17</v>
      </c>
      <c r="U982" s="3">
        <v>2862.49</v>
      </c>
      <c r="V982" s="3">
        <v>2379.9299999999998</v>
      </c>
      <c r="W982" s="3">
        <v>803.87</v>
      </c>
      <c r="X982" s="3">
        <v>29939.46</v>
      </c>
      <c r="Y982" s="3">
        <v>12363.05</v>
      </c>
      <c r="Z982" s="3">
        <f t="shared" si="65"/>
        <v>3415.5999999999985</v>
      </c>
      <c r="AA982" s="37">
        <f t="shared" si="66"/>
        <v>0.10240125486208086</v>
      </c>
      <c r="AB982" s="3">
        <v>2559.13</v>
      </c>
      <c r="AC982" s="3">
        <v>1667.75</v>
      </c>
      <c r="AD982" s="3">
        <v>3802.48</v>
      </c>
      <c r="AE982" s="3">
        <v>35489.78</v>
      </c>
      <c r="AF982" t="str">
        <f>IF(tbl_FinancialData[[#This Row],[City]]="","Unknown",PROPER(TRIM(tbl_FinancialData[[#This Row],[City]])))</f>
        <v>Kochi</v>
      </c>
      <c r="AG982" t="str">
        <f>_xlfn.LET(_xlpm.city,LOWER(TRIM(tbl_FinancialData[[#This Row],[City]])),_xlpm.st,PROPER(TRIM(tbl_FinancialData[[#This Row],[State]])),IF(_xlpm.city="pune","Maharashtra",IF(_xlpm.city="jamshedpur","Jharkhand",IF(_xlpm.city="bhilai","Chhattisgarh",IF(_xlpm.city="mumbai","Maharashtra",_xlpm.st)))))</f>
        <v>Kerala</v>
      </c>
      <c r="AH982" t="str">
        <f>_xlfn.LET(_xlpm.d,PROPER(TRIM(tbl_FinancialData[[#This Row],[Department]])),IF(_xlpm.d="It","IT",_xlpm.d))</f>
        <v>Sales</v>
      </c>
      <c r="AI982" t="str">
        <f>_xlfn.LET(_xlpm.pid,tbl_FinancialData[[#This Row],[Product ID]],_xlpm.n,PROPER(TRIM(tbl_FinancialData[[#This Row],[Product Name]])),IF(_xlpm.pid="P020","Document Scanner",IF(_xlpm.pid="P015","Network Router",SUBSTITUTE(SUBSTITUTE(_xlpm.n,"Crm","CRM"),"Ups","UPS"))))</f>
        <v>Network Switch</v>
      </c>
      <c r="AJ982" s="3" t="str">
        <f>UPPER(TRIM(tbl_FinancialData[[#This Row],[Cost Center]]))</f>
        <v>CC-1002</v>
      </c>
    </row>
    <row r="983" spans="1:36" x14ac:dyDescent="0.25">
      <c r="A983" s="3" t="s">
        <v>1187</v>
      </c>
      <c r="B983" s="2">
        <v>45848</v>
      </c>
      <c r="C983" t="s">
        <v>32</v>
      </c>
      <c r="D983" s="3" t="str">
        <f t="shared" si="63"/>
        <v>Q2</v>
      </c>
      <c r="E983" s="3" t="str">
        <f t="shared" si="64"/>
        <v>FY2026</v>
      </c>
      <c r="F983" s="8" t="s">
        <v>34</v>
      </c>
      <c r="G983" s="3" t="s">
        <v>35</v>
      </c>
      <c r="H983" t="s">
        <v>36</v>
      </c>
      <c r="I983" t="s">
        <v>145</v>
      </c>
      <c r="J983" s="3" t="s">
        <v>100</v>
      </c>
      <c r="K983" t="s">
        <v>160</v>
      </c>
      <c r="L983" s="3" t="s">
        <v>81</v>
      </c>
      <c r="M983" s="3" t="s">
        <v>171</v>
      </c>
      <c r="N983" t="s">
        <v>172</v>
      </c>
      <c r="O983" t="s">
        <v>173</v>
      </c>
      <c r="P983" t="s">
        <v>174</v>
      </c>
      <c r="Q983" s="3">
        <v>13952.52</v>
      </c>
      <c r="R983" s="3">
        <v>12958.2</v>
      </c>
      <c r="S983" s="3">
        <v>9998.2800000000007</v>
      </c>
      <c r="T983" s="3">
        <v>1215.76</v>
      </c>
      <c r="U983" s="3">
        <v>890.57</v>
      </c>
      <c r="V983" s="3">
        <v>737.11</v>
      </c>
      <c r="W983" s="3">
        <v>280.83999999999997</v>
      </c>
      <c r="X983" s="3">
        <v>13122.56</v>
      </c>
      <c r="Y983" s="3">
        <v>3954.24</v>
      </c>
      <c r="Z983" s="3">
        <f t="shared" si="65"/>
        <v>829.96000000000095</v>
      </c>
      <c r="AA983" s="37">
        <f t="shared" si="66"/>
        <v>5.9484594897552624E-2</v>
      </c>
      <c r="AB983" s="3">
        <v>994.32</v>
      </c>
      <c r="AC983" s="3">
        <v>697.63</v>
      </c>
      <c r="AD983" s="3">
        <v>1590.59</v>
      </c>
      <c r="AE983" s="3">
        <v>14845.49</v>
      </c>
      <c r="AF983" t="str">
        <f>IF(tbl_FinancialData[[#This Row],[City]]="","Unknown",PROPER(TRIM(tbl_FinancialData[[#This Row],[City]])))</f>
        <v>Panaji</v>
      </c>
      <c r="AG983" t="str">
        <f>_xlfn.LET(_xlpm.city,LOWER(TRIM(tbl_FinancialData[[#This Row],[City]])),_xlpm.st,PROPER(TRIM(tbl_FinancialData[[#This Row],[State]])),IF(_xlpm.city="pune","Maharashtra",IF(_xlpm.city="jamshedpur","Jharkhand",IF(_xlpm.city="bhilai","Chhattisgarh",IF(_xlpm.city="mumbai","Maharashtra",_xlpm.st)))))</f>
        <v>Goa</v>
      </c>
      <c r="AH983" t="str">
        <f>_xlfn.LET(_xlpm.d,PROPER(TRIM(tbl_FinancialData[[#This Row],[Department]])),IF(_xlpm.d="It","IT",_xlpm.d))</f>
        <v>IT</v>
      </c>
      <c r="AI983" t="str">
        <f>_xlfn.LET(_xlpm.pid,tbl_FinancialData[[#This Row],[Product ID]],_xlpm.n,PROPER(TRIM(tbl_FinancialData[[#This Row],[Product Name]])),IF(_xlpm.pid="P020","Document Scanner",IF(_xlpm.pid="P015","Network Router",SUBSTITUTE(SUBSTITUTE(_xlpm.n,"Crm","CRM"),"Ups","UPS"))))</f>
        <v>Network Switch</v>
      </c>
      <c r="AJ983" s="3" t="str">
        <f>UPPER(TRIM(tbl_FinancialData[[#This Row],[Cost Center]]))</f>
        <v>CC-1005</v>
      </c>
    </row>
    <row r="984" spans="1:36" x14ac:dyDescent="0.25">
      <c r="A984" s="3" t="s">
        <v>1188</v>
      </c>
      <c r="B984" s="2">
        <v>46084</v>
      </c>
      <c r="C984" t="s">
        <v>125</v>
      </c>
      <c r="D984" s="3" t="str">
        <f t="shared" si="63"/>
        <v>Q4</v>
      </c>
      <c r="E984" s="3" t="str">
        <f t="shared" si="64"/>
        <v>FY2026</v>
      </c>
      <c r="F984" s="8" t="s">
        <v>34</v>
      </c>
      <c r="G984" s="3" t="s">
        <v>35</v>
      </c>
      <c r="H984" t="s">
        <v>134</v>
      </c>
      <c r="I984" t="s">
        <v>135</v>
      </c>
      <c r="J984" s="3" t="s">
        <v>100</v>
      </c>
      <c r="K984" t="s">
        <v>50</v>
      </c>
      <c r="L984" s="3" t="s">
        <v>51</v>
      </c>
      <c r="M984" s="3" t="s">
        <v>171</v>
      </c>
      <c r="N984" t="s">
        <v>172</v>
      </c>
      <c r="O984" t="s">
        <v>173</v>
      </c>
      <c r="P984" t="s">
        <v>174</v>
      </c>
      <c r="Q984" s="3">
        <v>36252.6</v>
      </c>
      <c r="R984" s="3">
        <v>38665.75</v>
      </c>
      <c r="S984" s="3">
        <v>21717.040000000001</v>
      </c>
      <c r="T984" s="3">
        <v>2678.88</v>
      </c>
      <c r="U984" s="3">
        <v>1187.31</v>
      </c>
      <c r="V984" s="3">
        <v>2636.51</v>
      </c>
      <c r="W984" s="3">
        <v>398.71</v>
      </c>
      <c r="X984" s="3">
        <v>28618.45</v>
      </c>
      <c r="Y984" s="3">
        <v>14535.56</v>
      </c>
      <c r="Z984" s="3">
        <f t="shared" si="65"/>
        <v>7634.1499999999978</v>
      </c>
      <c r="AA984" s="37">
        <f t="shared" si="66"/>
        <v>0.21058213755703034</v>
      </c>
      <c r="AB984" s="3">
        <v>-2413.15</v>
      </c>
      <c r="AC984" s="3">
        <v>725.05</v>
      </c>
      <c r="AD984" s="3">
        <v>4263.3100000000004</v>
      </c>
      <c r="AE984" s="3">
        <v>39790.85</v>
      </c>
      <c r="AF984" t="str">
        <f>IF(tbl_FinancialData[[#This Row],[City]]="","Unknown",PROPER(TRIM(tbl_FinancialData[[#This Row],[City]])))</f>
        <v>Jodhpur</v>
      </c>
      <c r="AG984" t="str">
        <f>_xlfn.LET(_xlpm.city,LOWER(TRIM(tbl_FinancialData[[#This Row],[City]])),_xlpm.st,PROPER(TRIM(tbl_FinancialData[[#This Row],[State]])),IF(_xlpm.city="pune","Maharashtra",IF(_xlpm.city="jamshedpur","Jharkhand",IF(_xlpm.city="bhilai","Chhattisgarh",IF(_xlpm.city="mumbai","Maharashtra",_xlpm.st)))))</f>
        <v>Rajasthan</v>
      </c>
      <c r="AH984" t="str">
        <f>_xlfn.LET(_xlpm.d,PROPER(TRIM(tbl_FinancialData[[#This Row],[Department]])),IF(_xlpm.d="It","IT",_xlpm.d))</f>
        <v>Sales</v>
      </c>
      <c r="AI984" t="str">
        <f>_xlfn.LET(_xlpm.pid,tbl_FinancialData[[#This Row],[Product ID]],_xlpm.n,PROPER(TRIM(tbl_FinancialData[[#This Row],[Product Name]])),IF(_xlpm.pid="P020","Document Scanner",IF(_xlpm.pid="P015","Network Router",SUBSTITUTE(SUBSTITUTE(_xlpm.n,"Crm","CRM"),"Ups","UPS"))))</f>
        <v>Network Switch</v>
      </c>
      <c r="AJ984" s="3" t="str">
        <f>UPPER(TRIM(tbl_FinancialData[[#This Row],[Cost Center]]))</f>
        <v>CC-1003</v>
      </c>
    </row>
    <row r="985" spans="1:36" x14ac:dyDescent="0.25">
      <c r="A985" s="3" t="s">
        <v>1189</v>
      </c>
      <c r="B985" s="2">
        <v>46009</v>
      </c>
      <c r="C985" t="s">
        <v>107</v>
      </c>
      <c r="D985" s="3" t="str">
        <f t="shared" si="63"/>
        <v>Q3</v>
      </c>
      <c r="E985" s="3" t="str">
        <f t="shared" si="64"/>
        <v>FY2026</v>
      </c>
      <c r="F985" s="8" t="s">
        <v>59</v>
      </c>
      <c r="G985" s="3" t="s">
        <v>35</v>
      </c>
      <c r="H985" t="s">
        <v>139</v>
      </c>
      <c r="I985" t="s">
        <v>152</v>
      </c>
      <c r="J985" s="3" t="s">
        <v>70</v>
      </c>
      <c r="K985" t="s">
        <v>160</v>
      </c>
      <c r="L985" s="3" t="s">
        <v>72</v>
      </c>
      <c r="M985" s="3" t="s">
        <v>62</v>
      </c>
      <c r="N985" t="s">
        <v>63</v>
      </c>
      <c r="O985" t="s">
        <v>54</v>
      </c>
      <c r="P985" t="s">
        <v>55</v>
      </c>
      <c r="Q985" s="3">
        <v>1803.65</v>
      </c>
      <c r="R985" s="3">
        <v>1909.64</v>
      </c>
      <c r="S985" s="3">
        <v>1088.21</v>
      </c>
      <c r="T985" s="3">
        <v>95.14</v>
      </c>
      <c r="U985" s="3">
        <v>121.67</v>
      </c>
      <c r="V985" s="3">
        <v>96.91</v>
      </c>
      <c r="W985" s="3">
        <v>76.819999999999993</v>
      </c>
      <c r="X985" s="3">
        <v>1478.76</v>
      </c>
      <c r="Y985" s="3">
        <v>715.43</v>
      </c>
      <c r="Z985" s="3">
        <f t="shared" si="65"/>
        <v>324.8900000000001</v>
      </c>
      <c r="AA985" s="37">
        <f t="shared" si="66"/>
        <v>0.18012918249105983</v>
      </c>
      <c r="AB985" s="3">
        <v>-105.99</v>
      </c>
      <c r="AC985" s="3">
        <v>90.18</v>
      </c>
      <c r="AD985" s="3">
        <v>308.42</v>
      </c>
      <c r="AE985" s="3">
        <v>2021.89</v>
      </c>
      <c r="AF985" t="str">
        <f>IF(tbl_FinancialData[[#This Row],[City]]="","Unknown",PROPER(TRIM(tbl_FinancialData[[#This Row],[City]])))</f>
        <v>Panipat</v>
      </c>
      <c r="AG985" t="str">
        <f>_xlfn.LET(_xlpm.city,LOWER(TRIM(tbl_FinancialData[[#This Row],[City]])),_xlpm.st,PROPER(TRIM(tbl_FinancialData[[#This Row],[State]])),IF(_xlpm.city="pune","Maharashtra",IF(_xlpm.city="jamshedpur","Jharkhand",IF(_xlpm.city="bhilai","Chhattisgarh",IF(_xlpm.city="mumbai","Maharashtra",_xlpm.st)))))</f>
        <v>Haryana</v>
      </c>
      <c r="AH985" t="str">
        <f>_xlfn.LET(_xlpm.d,PROPER(TRIM(tbl_FinancialData[[#This Row],[Department]])),IF(_xlpm.d="It","IT",_xlpm.d))</f>
        <v>IT</v>
      </c>
      <c r="AI985" t="str">
        <f>_xlfn.LET(_xlpm.pid,tbl_FinancialData[[#This Row],[Product ID]],_xlpm.n,PROPER(TRIM(tbl_FinancialData[[#This Row],[Product Name]])),IF(_xlpm.pid="P020","Document Scanner",IF(_xlpm.pid="P015","Network Router",SUBSTITUTE(SUBSTITUTE(_xlpm.n,"Crm","CRM"),"Ups","UPS"))))</f>
        <v>Keyboard</v>
      </c>
      <c r="AJ985" s="3" t="str">
        <f>UPPER(TRIM(tbl_FinancialData[[#This Row],[Cost Center]]))</f>
        <v>CC-1004</v>
      </c>
    </row>
    <row r="986" spans="1:36" x14ac:dyDescent="0.25">
      <c r="A986" s="3" t="s">
        <v>1190</v>
      </c>
      <c r="B986" s="2">
        <v>45854</v>
      </c>
      <c r="C986" t="s">
        <v>32</v>
      </c>
      <c r="D986" s="3" t="str">
        <f t="shared" si="63"/>
        <v>Q2</v>
      </c>
      <c r="E986" s="3" t="str">
        <f t="shared" si="64"/>
        <v>FY2026</v>
      </c>
      <c r="F986" s="8" t="s">
        <v>59</v>
      </c>
      <c r="G986" s="3" t="s">
        <v>35</v>
      </c>
      <c r="H986" t="s">
        <v>139</v>
      </c>
      <c r="I986" t="s">
        <v>200</v>
      </c>
      <c r="J986" s="3" t="s">
        <v>70</v>
      </c>
      <c r="K986" t="s">
        <v>101</v>
      </c>
      <c r="L986" s="3" t="s">
        <v>72</v>
      </c>
      <c r="M986" s="3" t="s">
        <v>52</v>
      </c>
      <c r="N986" t="s">
        <v>53</v>
      </c>
      <c r="O986" t="s">
        <v>54</v>
      </c>
      <c r="P986" t="s">
        <v>55</v>
      </c>
      <c r="Q986" s="3">
        <v>9539.2199999999993</v>
      </c>
      <c r="R986" s="3">
        <v>9471.01</v>
      </c>
      <c r="S986" s="3">
        <v>5737.84</v>
      </c>
      <c r="T986" s="3">
        <v>754.08</v>
      </c>
      <c r="U986" s="3">
        <v>397.88</v>
      </c>
      <c r="V986" s="3">
        <v>954.71</v>
      </c>
      <c r="W986" s="3">
        <v>208.79</v>
      </c>
      <c r="X986" s="3">
        <v>8053.31</v>
      </c>
      <c r="Y986" s="3">
        <v>3801.37</v>
      </c>
      <c r="Z986" s="3">
        <f t="shared" si="65"/>
        <v>1485.9099999999989</v>
      </c>
      <c r="AA986" s="37">
        <f t="shared" si="66"/>
        <v>0.15576850098855033</v>
      </c>
      <c r="AB986" s="3">
        <v>68.209999999999994</v>
      </c>
      <c r="AC986" s="3">
        <v>286.18</v>
      </c>
      <c r="AD986" s="3">
        <v>1110.3599999999999</v>
      </c>
      <c r="AE986" s="3">
        <v>10363.4</v>
      </c>
      <c r="AF986" t="str">
        <f>IF(tbl_FinancialData[[#This Row],[City]]="","Unknown",PROPER(TRIM(tbl_FinancialData[[#This Row],[City]])))</f>
        <v>Gurugram</v>
      </c>
      <c r="AG986" t="str">
        <f>_xlfn.LET(_xlpm.city,LOWER(TRIM(tbl_FinancialData[[#This Row],[City]])),_xlpm.st,PROPER(TRIM(tbl_FinancialData[[#This Row],[State]])),IF(_xlpm.city="pune","Maharashtra",IF(_xlpm.city="jamshedpur","Jharkhand",IF(_xlpm.city="bhilai","Chhattisgarh",IF(_xlpm.city="mumbai","Maharashtra",_xlpm.st)))))</f>
        <v>Haryana</v>
      </c>
      <c r="AH986" t="str">
        <f>_xlfn.LET(_xlpm.d,PROPER(TRIM(tbl_FinancialData[[#This Row],[Department]])),IF(_xlpm.d="It","IT",_xlpm.d))</f>
        <v>Finance</v>
      </c>
      <c r="AI986" t="str">
        <f>_xlfn.LET(_xlpm.pid,tbl_FinancialData[[#This Row],[Product ID]],_xlpm.n,PROPER(TRIM(tbl_FinancialData[[#This Row],[Product Name]])),IF(_xlpm.pid="P020","Document Scanner",IF(_xlpm.pid="P015","Network Router",SUBSTITUTE(SUBSTITUTE(_xlpm.n,"Crm","CRM"),"Ups","UPS"))))</f>
        <v>Mouse</v>
      </c>
      <c r="AJ986" s="3" t="str">
        <f>UPPER(TRIM(tbl_FinancialData[[#This Row],[Cost Center]]))</f>
        <v>CC-1004</v>
      </c>
    </row>
    <row r="987" spans="1:36" x14ac:dyDescent="0.25">
      <c r="A987" s="3" t="s">
        <v>1191</v>
      </c>
      <c r="B987" s="2">
        <v>46077</v>
      </c>
      <c r="C987" t="s">
        <v>57</v>
      </c>
      <c r="D987" s="3" t="str">
        <f t="shared" si="63"/>
        <v>Q4</v>
      </c>
      <c r="E987" s="3" t="str">
        <f t="shared" si="64"/>
        <v>FY2026</v>
      </c>
      <c r="F987" s="8" t="s">
        <v>67</v>
      </c>
      <c r="G987" s="3" t="s">
        <v>35</v>
      </c>
      <c r="H987" t="s">
        <v>217</v>
      </c>
      <c r="I987" t="s">
        <v>241</v>
      </c>
      <c r="J987" s="3" t="s">
        <v>100</v>
      </c>
      <c r="K987" t="s">
        <v>39</v>
      </c>
      <c r="L987" s="3" t="s">
        <v>51</v>
      </c>
      <c r="M987" s="3" t="s">
        <v>62</v>
      </c>
      <c r="N987" t="s">
        <v>63</v>
      </c>
      <c r="O987" t="s">
        <v>54</v>
      </c>
      <c r="P987" t="s">
        <v>55</v>
      </c>
      <c r="Q987" s="3">
        <v>1350.58</v>
      </c>
      <c r="R987" s="3">
        <v>1203.8800000000001</v>
      </c>
      <c r="S987" s="3">
        <v>796.35</v>
      </c>
      <c r="T987" s="3">
        <v>156.76</v>
      </c>
      <c r="U987" s="3">
        <v>61.25</v>
      </c>
      <c r="V987" s="3">
        <v>95.53</v>
      </c>
      <c r="W987" s="3">
        <v>56.5</v>
      </c>
      <c r="X987" s="3">
        <v>1166.3900000000001</v>
      </c>
      <c r="Y987" s="3">
        <v>554.23</v>
      </c>
      <c r="Z987" s="3">
        <f t="shared" si="65"/>
        <v>184.18999999999983</v>
      </c>
      <c r="AA987" s="37">
        <f t="shared" si="66"/>
        <v>0.13637844481630101</v>
      </c>
      <c r="AB987" s="3">
        <v>146.71</v>
      </c>
      <c r="AC987" s="3">
        <v>108.05</v>
      </c>
      <c r="AD987" s="3">
        <v>223.66</v>
      </c>
      <c r="AE987" s="3">
        <v>1466.19</v>
      </c>
      <c r="AF987" t="str">
        <f>IF(tbl_FinancialData[[#This Row],[City]]="","Unknown",PROPER(TRIM(tbl_FinancialData[[#This Row],[City]])))</f>
        <v>Muzaffarpur</v>
      </c>
      <c r="AG987" t="str">
        <f>_xlfn.LET(_xlpm.city,LOWER(TRIM(tbl_FinancialData[[#This Row],[City]])),_xlpm.st,PROPER(TRIM(tbl_FinancialData[[#This Row],[State]])),IF(_xlpm.city="pune","Maharashtra",IF(_xlpm.city="jamshedpur","Jharkhand",IF(_xlpm.city="bhilai","Chhattisgarh",IF(_xlpm.city="mumbai","Maharashtra",_xlpm.st)))))</f>
        <v>Bihar</v>
      </c>
      <c r="AH987" t="str">
        <f>_xlfn.LET(_xlpm.d,PROPER(TRIM(tbl_FinancialData[[#This Row],[Department]])),IF(_xlpm.d="It","IT",_xlpm.d))</f>
        <v>Operations</v>
      </c>
      <c r="AI987" t="str">
        <f>_xlfn.LET(_xlpm.pid,tbl_FinancialData[[#This Row],[Product ID]],_xlpm.n,PROPER(TRIM(tbl_FinancialData[[#This Row],[Product Name]])),IF(_xlpm.pid="P020","Document Scanner",IF(_xlpm.pid="P015","Network Router",SUBSTITUTE(SUBSTITUTE(_xlpm.n,"Crm","CRM"),"Ups","UPS"))))</f>
        <v>Keyboard</v>
      </c>
      <c r="AJ987" s="3" t="str">
        <f>UPPER(TRIM(tbl_FinancialData[[#This Row],[Cost Center]]))</f>
        <v>CC-1003</v>
      </c>
    </row>
    <row r="988" spans="1:36" x14ac:dyDescent="0.25">
      <c r="A988" s="3" t="s">
        <v>1192</v>
      </c>
      <c r="B988" s="2">
        <v>45911</v>
      </c>
      <c r="C988" t="s">
        <v>46</v>
      </c>
      <c r="D988" s="3" t="str">
        <f t="shared" si="63"/>
        <v>Q2</v>
      </c>
      <c r="E988" s="3" t="str">
        <f t="shared" si="64"/>
        <v>FY2026</v>
      </c>
      <c r="F988" s="8" t="s">
        <v>67</v>
      </c>
      <c r="G988" s="3" t="s">
        <v>35</v>
      </c>
      <c r="H988" t="s">
        <v>68</v>
      </c>
      <c r="I988" t="s">
        <v>260</v>
      </c>
      <c r="J988" s="3" t="s">
        <v>100</v>
      </c>
      <c r="K988" t="s">
        <v>50</v>
      </c>
      <c r="L988" s="3" t="s">
        <v>40</v>
      </c>
      <c r="M988" s="3" t="s">
        <v>130</v>
      </c>
      <c r="N988" t="s">
        <v>131</v>
      </c>
      <c r="O988" t="s">
        <v>43</v>
      </c>
      <c r="P988" t="s">
        <v>132</v>
      </c>
      <c r="Q988" s="3">
        <v>17473.13</v>
      </c>
      <c r="R988" s="3">
        <v>16325.57</v>
      </c>
      <c r="S988" s="3">
        <v>11037.35</v>
      </c>
      <c r="T988" s="3">
        <v>1734.44</v>
      </c>
      <c r="U988" s="3">
        <v>1062.3599999999999</v>
      </c>
      <c r="V988" s="3">
        <v>1049.0899999999999</v>
      </c>
      <c r="W988" s="3">
        <v>401.69</v>
      </c>
      <c r="X988" s="3">
        <v>15284.93</v>
      </c>
      <c r="Y988" s="3">
        <v>6435.78</v>
      </c>
      <c r="Z988" s="3">
        <f t="shared" si="65"/>
        <v>2188.2000000000007</v>
      </c>
      <c r="AA988" s="37">
        <f t="shared" si="66"/>
        <v>0.12523228522880564</v>
      </c>
      <c r="AB988" s="3">
        <v>1147.56</v>
      </c>
      <c r="AC988" s="3">
        <v>0</v>
      </c>
      <c r="AD988" s="3">
        <v>873.66</v>
      </c>
      <c r="AE988" s="3">
        <v>18346.78</v>
      </c>
      <c r="AF988" t="str">
        <f>IF(tbl_FinancialData[[#This Row],[City]]="","Unknown",PROPER(TRIM(tbl_FinancialData[[#This Row],[City]])))</f>
        <v>Rourkela</v>
      </c>
      <c r="AG988" t="str">
        <f>_xlfn.LET(_xlpm.city,LOWER(TRIM(tbl_FinancialData[[#This Row],[City]])),_xlpm.st,PROPER(TRIM(tbl_FinancialData[[#This Row],[State]])),IF(_xlpm.city="pune","Maharashtra",IF(_xlpm.city="jamshedpur","Jharkhand",IF(_xlpm.city="bhilai","Chhattisgarh",IF(_xlpm.city="mumbai","Maharashtra",_xlpm.st)))))</f>
        <v>Odisha</v>
      </c>
      <c r="AH988" t="str">
        <f>_xlfn.LET(_xlpm.d,PROPER(TRIM(tbl_FinancialData[[#This Row],[Department]])),IF(_xlpm.d="It","IT",_xlpm.d))</f>
        <v>Sales</v>
      </c>
      <c r="AI988" t="str">
        <f>_xlfn.LET(_xlpm.pid,tbl_FinancialData[[#This Row],[Product ID]],_xlpm.n,PROPER(TRIM(tbl_FinancialData[[#This Row],[Product Name]])),IF(_xlpm.pid="P020","Document Scanner",IF(_xlpm.pid="P015","Network Router",SUBSTITUTE(SUBSTITUTE(_xlpm.n,"Crm","CRM"),"Ups","UPS"))))</f>
        <v>UPS System</v>
      </c>
      <c r="AJ988" s="3" t="str">
        <f>UPPER(TRIM(tbl_FinancialData[[#This Row],[Cost Center]]))</f>
        <v>CC-1002</v>
      </c>
    </row>
    <row r="989" spans="1:36" x14ac:dyDescent="0.25">
      <c r="A989" s="3" t="s">
        <v>1193</v>
      </c>
      <c r="B989" s="2">
        <v>45874</v>
      </c>
      <c r="C989" t="s">
        <v>117</v>
      </c>
      <c r="D989" s="3" t="str">
        <f t="shared" si="63"/>
        <v>Q2</v>
      </c>
      <c r="E989" s="3" t="str">
        <f t="shared" si="64"/>
        <v>FY2026</v>
      </c>
      <c r="F989" s="8" t="s">
        <v>85</v>
      </c>
      <c r="G989" s="3" t="s">
        <v>35</v>
      </c>
      <c r="H989" t="s">
        <v>60</v>
      </c>
      <c r="I989" t="s">
        <v>61</v>
      </c>
      <c r="J989" s="3" t="s">
        <v>70</v>
      </c>
      <c r="K989" t="s">
        <v>160</v>
      </c>
      <c r="L989" s="3" t="s">
        <v>81</v>
      </c>
      <c r="M989" s="3" t="s">
        <v>120</v>
      </c>
      <c r="N989" t="s">
        <v>121</v>
      </c>
      <c r="O989" t="s">
        <v>43</v>
      </c>
      <c r="P989" t="s">
        <v>122</v>
      </c>
      <c r="Q989" s="3">
        <v>26249.89</v>
      </c>
      <c r="R989" s="3">
        <v>28871.03</v>
      </c>
      <c r="S989" s="3">
        <v>15077.62</v>
      </c>
      <c r="T989" s="3">
        <v>2827.67</v>
      </c>
      <c r="U989" s="3">
        <v>1210.47</v>
      </c>
      <c r="V989" s="3">
        <v>2707.08</v>
      </c>
      <c r="W989" s="3">
        <v>575.86</v>
      </c>
      <c r="X989" s="3">
        <v>22398.7</v>
      </c>
      <c r="Y989" s="3">
        <v>11172.27</v>
      </c>
      <c r="Z989" s="3">
        <f t="shared" si="65"/>
        <v>3851.1899999999987</v>
      </c>
      <c r="AA989" s="37">
        <f t="shared" si="66"/>
        <v>0.14671261479571909</v>
      </c>
      <c r="AB989" s="3">
        <v>-2621.14</v>
      </c>
      <c r="AC989" s="3">
        <v>525</v>
      </c>
      <c r="AD989" s="3">
        <v>4630.4799999999996</v>
      </c>
      <c r="AE989" s="3">
        <v>30355.37</v>
      </c>
      <c r="AF989" t="str">
        <f>IF(tbl_FinancialData[[#This Row],[City]]="","Unknown",PROPER(TRIM(tbl_FinancialData[[#This Row],[City]])))</f>
        <v>Lucknow</v>
      </c>
      <c r="AG989" t="str">
        <f>_xlfn.LET(_xlpm.city,LOWER(TRIM(tbl_FinancialData[[#This Row],[City]])),_xlpm.st,PROPER(TRIM(tbl_FinancialData[[#This Row],[State]])),IF(_xlpm.city="pune","Maharashtra",IF(_xlpm.city="jamshedpur","Jharkhand",IF(_xlpm.city="bhilai","Chhattisgarh",IF(_xlpm.city="mumbai","Maharashtra",_xlpm.st)))))</f>
        <v>Uttar Pradesh</v>
      </c>
      <c r="AH989" t="str">
        <f>_xlfn.LET(_xlpm.d,PROPER(TRIM(tbl_FinancialData[[#This Row],[Department]])),IF(_xlpm.d="It","IT",_xlpm.d))</f>
        <v>IT</v>
      </c>
      <c r="AI989" t="str">
        <f>_xlfn.LET(_xlpm.pid,tbl_FinancialData[[#This Row],[Product ID]],_xlpm.n,PROPER(TRIM(tbl_FinancialData[[#This Row],[Product Name]])),IF(_xlpm.pid="P020","Document Scanner",IF(_xlpm.pid="P015","Network Router",SUBSTITUTE(SUBSTITUTE(_xlpm.n,"Crm","CRM"),"Ups","UPS"))))</f>
        <v>Projector</v>
      </c>
      <c r="AJ989" s="3" t="str">
        <f>UPPER(TRIM(tbl_FinancialData[[#This Row],[Cost Center]]))</f>
        <v>CC-1005</v>
      </c>
    </row>
    <row r="990" spans="1:36" x14ac:dyDescent="0.25">
      <c r="A990" s="3" t="s">
        <v>1194</v>
      </c>
      <c r="B990" s="2">
        <v>46005</v>
      </c>
      <c r="C990" t="s">
        <v>107</v>
      </c>
      <c r="D990" s="3" t="str">
        <f t="shared" si="63"/>
        <v>Q3</v>
      </c>
      <c r="E990" s="3" t="str">
        <f t="shared" si="64"/>
        <v>FY2026</v>
      </c>
      <c r="F990" s="8" t="s">
        <v>67</v>
      </c>
      <c r="G990" s="3" t="s">
        <v>35</v>
      </c>
      <c r="H990" t="s">
        <v>118</v>
      </c>
      <c r="I990" t="s">
        <v>209</v>
      </c>
      <c r="J990" s="3" t="s">
        <v>70</v>
      </c>
      <c r="K990" t="s">
        <v>39</v>
      </c>
      <c r="L990" s="3" t="s">
        <v>81</v>
      </c>
      <c r="M990" s="3" t="s">
        <v>88</v>
      </c>
      <c r="N990" t="s">
        <v>89</v>
      </c>
      <c r="O990" t="s">
        <v>43</v>
      </c>
      <c r="P990" t="s">
        <v>90</v>
      </c>
      <c r="Q990" s="3">
        <v>59651.87</v>
      </c>
      <c r="R990" s="3">
        <v>64951.7</v>
      </c>
      <c r="S990" s="3">
        <v>32136.98</v>
      </c>
      <c r="T990" s="3">
        <v>6079</v>
      </c>
      <c r="U990" s="3">
        <v>3892.01</v>
      </c>
      <c r="V990" s="3">
        <v>6303.26</v>
      </c>
      <c r="W990" s="3">
        <v>968.43</v>
      </c>
      <c r="X990" s="3">
        <v>49379.68</v>
      </c>
      <c r="Y990" s="3">
        <v>27514.89</v>
      </c>
      <c r="Z990" s="3">
        <f t="shared" si="65"/>
        <v>10272.190000000002</v>
      </c>
      <c r="AA990" s="37">
        <f t="shared" si="66"/>
        <v>0.17220231318817</v>
      </c>
      <c r="AB990" s="3">
        <v>-5299.83</v>
      </c>
      <c r="AC990" s="3">
        <v>2982.59</v>
      </c>
      <c r="AD990" s="3">
        <v>2833.46</v>
      </c>
      <c r="AE990" s="3">
        <v>59502.74</v>
      </c>
      <c r="AF990" t="str">
        <f>IF(tbl_FinancialData[[#This Row],[City]]="","Unknown",PROPER(TRIM(tbl_FinancialData[[#This Row],[City]])))</f>
        <v>Jamshedpur</v>
      </c>
      <c r="AG990" t="str">
        <f>_xlfn.LET(_xlpm.city,LOWER(TRIM(tbl_FinancialData[[#This Row],[City]])),_xlpm.st,PROPER(TRIM(tbl_FinancialData[[#This Row],[State]])),IF(_xlpm.city="pune","Maharashtra",IF(_xlpm.city="jamshedpur","Jharkhand",IF(_xlpm.city="bhilai","Chhattisgarh",IF(_xlpm.city="mumbai","Maharashtra",_xlpm.st)))))</f>
        <v>Jharkhand</v>
      </c>
      <c r="AH990" t="str">
        <f>_xlfn.LET(_xlpm.d,PROPER(TRIM(tbl_FinancialData[[#This Row],[Department]])),IF(_xlpm.d="It","IT",_xlpm.d))</f>
        <v>Operations</v>
      </c>
      <c r="AI990" t="str">
        <f>_xlfn.LET(_xlpm.pid,tbl_FinancialData[[#This Row],[Product ID]],_xlpm.n,PROPER(TRIM(tbl_FinancialData[[#This Row],[Product Name]])),IF(_xlpm.pid="P020","Document Scanner",IF(_xlpm.pid="P015","Network Router",SUBSTITUTE(SUBSTITUTE(_xlpm.n,"Crm","CRM"),"Ups","UPS"))))</f>
        <v>Printer</v>
      </c>
      <c r="AJ990" s="3" t="str">
        <f>UPPER(TRIM(tbl_FinancialData[[#This Row],[Cost Center]]))</f>
        <v>CC-1005</v>
      </c>
    </row>
    <row r="991" spans="1:36" x14ac:dyDescent="0.25">
      <c r="A991" s="3" t="s">
        <v>1195</v>
      </c>
      <c r="B991" s="2">
        <v>46015</v>
      </c>
      <c r="C991" t="s">
        <v>107</v>
      </c>
      <c r="D991" s="3" t="str">
        <f t="shared" si="63"/>
        <v>Q3</v>
      </c>
      <c r="E991" s="3" t="str">
        <f t="shared" si="64"/>
        <v>FY2026</v>
      </c>
      <c r="F991" s="8" t="s">
        <v>85</v>
      </c>
      <c r="G991" s="3" t="s">
        <v>35</v>
      </c>
      <c r="H991" t="s">
        <v>86</v>
      </c>
      <c r="I991" t="s">
        <v>87</v>
      </c>
      <c r="J991" s="3" t="s">
        <v>70</v>
      </c>
      <c r="K991" t="s">
        <v>39</v>
      </c>
      <c r="L991" s="3" t="s">
        <v>81</v>
      </c>
      <c r="M991" s="3" t="s">
        <v>120</v>
      </c>
      <c r="N991" t="s">
        <v>121</v>
      </c>
      <c r="O991" t="s">
        <v>43</v>
      </c>
      <c r="P991" t="s">
        <v>122</v>
      </c>
      <c r="Q991" s="3">
        <v>39263.89</v>
      </c>
      <c r="R991" s="3">
        <v>45144.98</v>
      </c>
      <c r="S991" s="3">
        <v>25693.27</v>
      </c>
      <c r="T991" s="3">
        <v>4196.6000000000004</v>
      </c>
      <c r="U991" s="3">
        <v>1956.44</v>
      </c>
      <c r="V991" s="3">
        <v>4433.46</v>
      </c>
      <c r="W991" s="3">
        <v>773.75</v>
      </c>
      <c r="X991" s="3">
        <v>37053.519999999997</v>
      </c>
      <c r="Y991" s="3">
        <v>13570.62</v>
      </c>
      <c r="Z991" s="3">
        <f t="shared" si="65"/>
        <v>2210.3700000000026</v>
      </c>
      <c r="AA991" s="37">
        <f t="shared" si="66"/>
        <v>5.6295237175939587E-2</v>
      </c>
      <c r="AB991" s="3">
        <v>-5881.09</v>
      </c>
      <c r="AC991" s="3">
        <v>785.28</v>
      </c>
      <c r="AD991" s="3">
        <v>4617.43</v>
      </c>
      <c r="AE991" s="3">
        <v>43096.04</v>
      </c>
      <c r="AF991" t="str">
        <f>IF(tbl_FinancialData[[#This Row],[City]]="","Unknown",PROPER(TRIM(tbl_FinancialData[[#This Row],[City]])))</f>
        <v>Indore</v>
      </c>
      <c r="AG991" t="str">
        <f>_xlfn.LET(_xlpm.city,LOWER(TRIM(tbl_FinancialData[[#This Row],[City]])),_xlpm.st,PROPER(TRIM(tbl_FinancialData[[#This Row],[State]])),IF(_xlpm.city="pune","Maharashtra",IF(_xlpm.city="jamshedpur","Jharkhand",IF(_xlpm.city="bhilai","Chhattisgarh",IF(_xlpm.city="mumbai","Maharashtra",_xlpm.st)))))</f>
        <v>Madhya Pradesh</v>
      </c>
      <c r="AH991" t="str">
        <f>_xlfn.LET(_xlpm.d,PROPER(TRIM(tbl_FinancialData[[#This Row],[Department]])),IF(_xlpm.d="It","IT",_xlpm.d))</f>
        <v>Operations</v>
      </c>
      <c r="AI991" t="str">
        <f>_xlfn.LET(_xlpm.pid,tbl_FinancialData[[#This Row],[Product ID]],_xlpm.n,PROPER(TRIM(tbl_FinancialData[[#This Row],[Product Name]])),IF(_xlpm.pid="P020","Document Scanner",IF(_xlpm.pid="P015","Network Router",SUBSTITUTE(SUBSTITUTE(_xlpm.n,"Crm","CRM"),"Ups","UPS"))))</f>
        <v>Projector</v>
      </c>
      <c r="AJ991" s="3" t="str">
        <f>UPPER(TRIM(tbl_FinancialData[[#This Row],[Cost Center]]))</f>
        <v>CC-1005</v>
      </c>
    </row>
    <row r="992" spans="1:36" x14ac:dyDescent="0.25">
      <c r="A992" s="3" t="s">
        <v>1196</v>
      </c>
      <c r="B992" s="2">
        <v>46091</v>
      </c>
      <c r="C992" t="s">
        <v>125</v>
      </c>
      <c r="D992" s="3" t="str">
        <f t="shared" si="63"/>
        <v>Q4</v>
      </c>
      <c r="E992" s="3" t="str">
        <f t="shared" si="64"/>
        <v>FY2026</v>
      </c>
      <c r="F992" s="8" t="s">
        <v>34</v>
      </c>
      <c r="G992" s="3" t="s">
        <v>35</v>
      </c>
      <c r="H992" t="s">
        <v>157</v>
      </c>
      <c r="I992" t="s">
        <v>166</v>
      </c>
      <c r="J992" s="3" t="s">
        <v>80</v>
      </c>
      <c r="K992" t="s">
        <v>71</v>
      </c>
      <c r="L992" s="3" t="s">
        <v>72</v>
      </c>
      <c r="M992" s="3" t="s">
        <v>211</v>
      </c>
      <c r="N992" t="s">
        <v>212</v>
      </c>
      <c r="O992" t="s">
        <v>112</v>
      </c>
      <c r="P992" t="s">
        <v>113</v>
      </c>
      <c r="Q992" s="3">
        <v>21249.9</v>
      </c>
      <c r="R992" s="3">
        <v>19781.02</v>
      </c>
      <c r="S992" s="3">
        <v>14600.21</v>
      </c>
      <c r="T992" s="3">
        <v>1909.34</v>
      </c>
      <c r="U992" s="3">
        <v>870.95</v>
      </c>
      <c r="V992" s="3">
        <v>2020.83</v>
      </c>
      <c r="W992" s="3">
        <v>875.83</v>
      </c>
      <c r="X992" s="3">
        <v>20277.16</v>
      </c>
      <c r="Y992" s="3">
        <v>6649.69</v>
      </c>
      <c r="Z992" s="3">
        <f t="shared" si="65"/>
        <v>972.7400000000016</v>
      </c>
      <c r="AA992" s="37">
        <f t="shared" si="66"/>
        <v>4.5776215417484389E-2</v>
      </c>
      <c r="AB992" s="3">
        <v>1468.88</v>
      </c>
      <c r="AC992" s="3">
        <v>1062.5</v>
      </c>
      <c r="AD992" s="3">
        <v>2422.4899999999998</v>
      </c>
      <c r="AE992" s="3">
        <v>22609.89</v>
      </c>
      <c r="AF992" t="str">
        <f>IF(tbl_FinancialData[[#This Row],[City]]="","Unknown",PROPER(TRIM(tbl_FinancialData[[#This Row],[City]])))</f>
        <v>Vadodara</v>
      </c>
      <c r="AG992" t="str">
        <f>_xlfn.LET(_xlpm.city,LOWER(TRIM(tbl_FinancialData[[#This Row],[City]])),_xlpm.st,PROPER(TRIM(tbl_FinancialData[[#This Row],[State]])),IF(_xlpm.city="pune","Maharashtra",IF(_xlpm.city="jamshedpur","Jharkhand",IF(_xlpm.city="bhilai","Chhattisgarh",IF(_xlpm.city="mumbai","Maharashtra",_xlpm.st)))))</f>
        <v>Gujarat</v>
      </c>
      <c r="AH992" t="str">
        <f>_xlfn.LET(_xlpm.d,PROPER(TRIM(tbl_FinancialData[[#This Row],[Department]])),IF(_xlpm.d="It","IT",_xlpm.d))</f>
        <v>Marketing</v>
      </c>
      <c r="AI992" t="str">
        <f>_xlfn.LET(_xlpm.pid,tbl_FinancialData[[#This Row],[Product ID]],_xlpm.n,PROPER(TRIM(tbl_FinancialData[[#This Row],[Product Name]])),IF(_xlpm.pid="P020","Document Scanner",IF(_xlpm.pid="P015","Network Router",SUBSTITUTE(SUBSTITUTE(_xlpm.n,"Crm","CRM"),"Ups","UPS"))))</f>
        <v>Office Chair</v>
      </c>
      <c r="AJ992" s="3" t="str">
        <f>UPPER(TRIM(tbl_FinancialData[[#This Row],[Cost Center]]))</f>
        <v>CC-1004</v>
      </c>
    </row>
    <row r="993" spans="1:36" x14ac:dyDescent="0.25">
      <c r="A993" s="3" t="s">
        <v>1197</v>
      </c>
      <c r="B993" s="2">
        <v>45834</v>
      </c>
      <c r="C993" t="s">
        <v>156</v>
      </c>
      <c r="D993" s="3" t="str">
        <f t="shared" si="63"/>
        <v>Q1</v>
      </c>
      <c r="E993" s="3" t="str">
        <f t="shared" si="64"/>
        <v>FY2026</v>
      </c>
      <c r="F993" s="8" t="s">
        <v>85</v>
      </c>
      <c r="G993" s="3" t="s">
        <v>35</v>
      </c>
      <c r="H993" t="s">
        <v>60</v>
      </c>
      <c r="I993" t="s">
        <v>108</v>
      </c>
      <c r="J993" s="3" t="s">
        <v>38</v>
      </c>
      <c r="K993" t="s">
        <v>50</v>
      </c>
      <c r="L993" s="3" t="s">
        <v>81</v>
      </c>
      <c r="M993" s="3" t="s">
        <v>102</v>
      </c>
      <c r="N993" t="s">
        <v>103</v>
      </c>
      <c r="O993" t="s">
        <v>104</v>
      </c>
      <c r="P993" t="s">
        <v>105</v>
      </c>
      <c r="Q993" s="3">
        <v>10423.24</v>
      </c>
      <c r="R993" s="3">
        <v>11014.86</v>
      </c>
      <c r="S993" s="3">
        <v>6809.1</v>
      </c>
      <c r="T993" s="3">
        <v>1166.17</v>
      </c>
      <c r="U993" s="3">
        <v>362.08</v>
      </c>
      <c r="V993" s="3">
        <v>787.3</v>
      </c>
      <c r="W993" s="3">
        <v>168.75</v>
      </c>
      <c r="X993" s="3">
        <v>9293.4</v>
      </c>
      <c r="Y993" s="3">
        <v>3614.13</v>
      </c>
      <c r="Z993" s="3">
        <f t="shared" si="65"/>
        <v>1129.8400000000001</v>
      </c>
      <c r="AA993" s="37">
        <f t="shared" si="66"/>
        <v>0.1083962376382008</v>
      </c>
      <c r="AB993" s="3">
        <v>-591.63</v>
      </c>
      <c r="AC993" s="3">
        <v>521.16</v>
      </c>
      <c r="AD993" s="3">
        <v>495.1</v>
      </c>
      <c r="AE993" s="3">
        <v>10397.18</v>
      </c>
      <c r="AF993" t="str">
        <f>IF(tbl_FinancialData[[#This Row],[City]]="","Unknown",PROPER(TRIM(tbl_FinancialData[[#This Row],[City]])))</f>
        <v>Agra</v>
      </c>
      <c r="AG993" t="str">
        <f>_xlfn.LET(_xlpm.city,LOWER(TRIM(tbl_FinancialData[[#This Row],[City]])),_xlpm.st,PROPER(TRIM(tbl_FinancialData[[#This Row],[State]])),IF(_xlpm.city="pune","Maharashtra",IF(_xlpm.city="jamshedpur","Jharkhand",IF(_xlpm.city="bhilai","Chhattisgarh",IF(_xlpm.city="mumbai","Maharashtra",_xlpm.st)))))</f>
        <v>Uttar Pradesh</v>
      </c>
      <c r="AH993" t="str">
        <f>_xlfn.LET(_xlpm.d,PROPER(TRIM(tbl_FinancialData[[#This Row],[Department]])),IF(_xlpm.d="It","IT",_xlpm.d))</f>
        <v>Sales</v>
      </c>
      <c r="AI993" t="str">
        <f>_xlfn.LET(_xlpm.pid,tbl_FinancialData[[#This Row],[Product ID]],_xlpm.n,PROPER(TRIM(tbl_FinancialData[[#This Row],[Product Name]])),IF(_xlpm.pid="P020","Document Scanner",IF(_xlpm.pid="P015","Network Router",SUBSTITUTE(SUBSTITUTE(_xlpm.n,"Crm","CRM"),"Ups","UPS"))))</f>
        <v>Accounting Software</v>
      </c>
      <c r="AJ993" s="3" t="str">
        <f>UPPER(TRIM(tbl_FinancialData[[#This Row],[Cost Center]]))</f>
        <v>CC-1005</v>
      </c>
    </row>
    <row r="994" spans="1:36" x14ac:dyDescent="0.25">
      <c r="A994" s="3" t="s">
        <v>1198</v>
      </c>
      <c r="B994" s="2">
        <v>46034</v>
      </c>
      <c r="C994" t="s">
        <v>77</v>
      </c>
      <c r="D994" s="3" t="str">
        <f t="shared" si="63"/>
        <v>Q4</v>
      </c>
      <c r="E994" s="3" t="str">
        <f t="shared" si="64"/>
        <v>FY2026</v>
      </c>
      <c r="F994" s="8" t="s">
        <v>47</v>
      </c>
      <c r="G994" s="3" t="s">
        <v>35</v>
      </c>
      <c r="H994" t="s">
        <v>206</v>
      </c>
      <c r="I994" t="s">
        <v>296</v>
      </c>
      <c r="J994" s="3" t="s">
        <v>80</v>
      </c>
      <c r="K994" t="s">
        <v>50</v>
      </c>
      <c r="L994" s="3" t="s">
        <v>81</v>
      </c>
      <c r="M994" s="3" t="s">
        <v>102</v>
      </c>
      <c r="N994" t="s">
        <v>103</v>
      </c>
      <c r="O994" t="s">
        <v>104</v>
      </c>
      <c r="P994" t="s">
        <v>105</v>
      </c>
      <c r="Q994" s="3">
        <v>16410.79</v>
      </c>
      <c r="R994" s="3">
        <v>16372.7</v>
      </c>
      <c r="S994" s="3">
        <v>9606.26</v>
      </c>
      <c r="T994" s="3">
        <v>1866.97</v>
      </c>
      <c r="U994" s="3">
        <v>510.15</v>
      </c>
      <c r="V994" s="3">
        <v>895.78</v>
      </c>
      <c r="W994" s="3">
        <v>723.46</v>
      </c>
      <c r="X994" s="3">
        <v>13602.63</v>
      </c>
      <c r="Y994" s="3">
        <v>6804.53</v>
      </c>
      <c r="Z994" s="3">
        <f t="shared" si="65"/>
        <v>2808.1600000000017</v>
      </c>
      <c r="AA994" s="37">
        <f t="shared" si="66"/>
        <v>0.17111668603400576</v>
      </c>
      <c r="AB994" s="3">
        <v>38.1</v>
      </c>
      <c r="AC994" s="3">
        <v>492.32</v>
      </c>
      <c r="AD994" s="3">
        <v>795.92</v>
      </c>
      <c r="AE994" s="3">
        <v>16714.39</v>
      </c>
      <c r="AF994" t="str">
        <f>IF(tbl_FinancialData[[#This Row],[City]]="","Unknown",PROPER(TRIM(tbl_FinancialData[[#This Row],[City]])))</f>
        <v>Warangal</v>
      </c>
      <c r="AG994" t="str">
        <f>_xlfn.LET(_xlpm.city,LOWER(TRIM(tbl_FinancialData[[#This Row],[City]])),_xlpm.st,PROPER(TRIM(tbl_FinancialData[[#This Row],[State]])),IF(_xlpm.city="pune","Maharashtra",IF(_xlpm.city="jamshedpur","Jharkhand",IF(_xlpm.city="bhilai","Chhattisgarh",IF(_xlpm.city="mumbai","Maharashtra",_xlpm.st)))))</f>
        <v>Telangana</v>
      </c>
      <c r="AH994" t="str">
        <f>_xlfn.LET(_xlpm.d,PROPER(TRIM(tbl_FinancialData[[#This Row],[Department]])),IF(_xlpm.d="It","IT",_xlpm.d))</f>
        <v>Sales</v>
      </c>
      <c r="AI994" t="str">
        <f>_xlfn.LET(_xlpm.pid,tbl_FinancialData[[#This Row],[Product ID]],_xlpm.n,PROPER(TRIM(tbl_FinancialData[[#This Row],[Product Name]])),IF(_xlpm.pid="P020","Document Scanner",IF(_xlpm.pid="P015","Network Router",SUBSTITUTE(SUBSTITUTE(_xlpm.n,"Crm","CRM"),"Ups","UPS"))))</f>
        <v>Accounting Software</v>
      </c>
      <c r="AJ994" s="3" t="str">
        <f>UPPER(TRIM(tbl_FinancialData[[#This Row],[Cost Center]]))</f>
        <v>CC-1005</v>
      </c>
    </row>
    <row r="995" spans="1:36" x14ac:dyDescent="0.25">
      <c r="A995" s="3" t="s">
        <v>1199</v>
      </c>
      <c r="B995" s="2">
        <v>45971</v>
      </c>
      <c r="C995" t="s">
        <v>147</v>
      </c>
      <c r="D995" s="3" t="str">
        <f t="shared" si="63"/>
        <v>Q3</v>
      </c>
      <c r="E995" s="3" t="str">
        <f t="shared" si="64"/>
        <v>FY2026</v>
      </c>
      <c r="F995" s="8" t="s">
        <v>47</v>
      </c>
      <c r="G995" s="3" t="s">
        <v>35</v>
      </c>
      <c r="H995" t="s">
        <v>48</v>
      </c>
      <c r="I995" t="s">
        <v>126</v>
      </c>
      <c r="J995" s="3" t="s">
        <v>100</v>
      </c>
      <c r="K995" t="s">
        <v>101</v>
      </c>
      <c r="L995" s="3" t="s">
        <v>51</v>
      </c>
      <c r="M995" s="3" t="s">
        <v>102</v>
      </c>
      <c r="N995" t="s">
        <v>103</v>
      </c>
      <c r="O995" t="s">
        <v>104</v>
      </c>
      <c r="P995" t="s">
        <v>105</v>
      </c>
      <c r="Q995" s="3">
        <v>22013.01</v>
      </c>
      <c r="R995" s="3">
        <v>19435.28</v>
      </c>
      <c r="S995" s="3">
        <v>10953.58</v>
      </c>
      <c r="T995" s="3">
        <v>1494.02</v>
      </c>
      <c r="U995" s="3">
        <v>597.95000000000005</v>
      </c>
      <c r="V995" s="3">
        <v>1766.05</v>
      </c>
      <c r="W995" s="3">
        <v>462.12</v>
      </c>
      <c r="X995" s="3">
        <v>15273.72</v>
      </c>
      <c r="Y995" s="3">
        <v>11059.42</v>
      </c>
      <c r="Z995" s="3">
        <f t="shared" si="65"/>
        <v>6739.2899999999991</v>
      </c>
      <c r="AA995" s="37">
        <f t="shared" si="66"/>
        <v>0.30615031747134985</v>
      </c>
      <c r="AB995" s="3">
        <v>2577.73</v>
      </c>
      <c r="AC995" s="3">
        <v>440.26</v>
      </c>
      <c r="AD995" s="3">
        <v>3883.09</v>
      </c>
      <c r="AE995" s="3">
        <v>25455.84</v>
      </c>
      <c r="AF995" t="str">
        <f>IF(tbl_FinancialData[[#This Row],[City]]="","Unknown",PROPER(TRIM(tbl_FinancialData[[#This Row],[City]])))</f>
        <v>Coimbatore</v>
      </c>
      <c r="AG995" t="str">
        <f>_xlfn.LET(_xlpm.city,LOWER(TRIM(tbl_FinancialData[[#This Row],[City]])),_xlpm.st,PROPER(TRIM(tbl_FinancialData[[#This Row],[State]])),IF(_xlpm.city="pune","Maharashtra",IF(_xlpm.city="jamshedpur","Jharkhand",IF(_xlpm.city="bhilai","Chhattisgarh",IF(_xlpm.city="mumbai","Maharashtra",_xlpm.st)))))</f>
        <v>Tamil Nadu</v>
      </c>
      <c r="AH995" t="str">
        <f>_xlfn.LET(_xlpm.d,PROPER(TRIM(tbl_FinancialData[[#This Row],[Department]])),IF(_xlpm.d="It","IT",_xlpm.d))</f>
        <v>Finance</v>
      </c>
      <c r="AI995" t="str">
        <f>_xlfn.LET(_xlpm.pid,tbl_FinancialData[[#This Row],[Product ID]],_xlpm.n,PROPER(TRIM(tbl_FinancialData[[#This Row],[Product Name]])),IF(_xlpm.pid="P020","Document Scanner",IF(_xlpm.pid="P015","Network Router",SUBSTITUTE(SUBSTITUTE(_xlpm.n,"Crm","CRM"),"Ups","UPS"))))</f>
        <v>Accounting Software</v>
      </c>
      <c r="AJ995" s="3" t="str">
        <f>UPPER(TRIM(tbl_FinancialData[[#This Row],[Cost Center]]))</f>
        <v>CC-1003</v>
      </c>
    </row>
    <row r="996" spans="1:36" x14ac:dyDescent="0.25">
      <c r="A996" s="3" t="s">
        <v>1200</v>
      </c>
      <c r="B996" s="2">
        <v>45764</v>
      </c>
      <c r="C996" t="s">
        <v>128</v>
      </c>
      <c r="D996" s="3" t="str">
        <f t="shared" si="63"/>
        <v>Q1</v>
      </c>
      <c r="E996" s="3" t="str">
        <f t="shared" si="64"/>
        <v>FY2026</v>
      </c>
      <c r="F996" s="8" t="s">
        <v>67</v>
      </c>
      <c r="G996" s="3" t="s">
        <v>35</v>
      </c>
      <c r="H996" t="s">
        <v>68</v>
      </c>
      <c r="I996" t="s">
        <v>260</v>
      </c>
      <c r="J996" s="3" t="s">
        <v>70</v>
      </c>
      <c r="K996" t="s">
        <v>39</v>
      </c>
      <c r="L996" s="3" t="s">
        <v>81</v>
      </c>
      <c r="M996" s="3" t="s">
        <v>110</v>
      </c>
      <c r="N996" t="s">
        <v>111</v>
      </c>
      <c r="O996" t="s">
        <v>112</v>
      </c>
      <c r="P996" t="s">
        <v>113</v>
      </c>
      <c r="Q996" s="3">
        <v>9264.2199999999993</v>
      </c>
      <c r="R996" s="3">
        <v>10527.19</v>
      </c>
      <c r="S996" s="3">
        <v>5754.14</v>
      </c>
      <c r="T996" s="3">
        <v>668.41</v>
      </c>
      <c r="U996" s="3">
        <v>471.08</v>
      </c>
      <c r="V996" s="3">
        <v>874.74</v>
      </c>
      <c r="W996" s="3">
        <v>381.49</v>
      </c>
      <c r="X996" s="3">
        <v>8149.85</v>
      </c>
      <c r="Y996" s="3">
        <v>3510.09</v>
      </c>
      <c r="Z996" s="3">
        <f t="shared" si="65"/>
        <v>1114.369999999999</v>
      </c>
      <c r="AA996" s="37">
        <f t="shared" si="66"/>
        <v>0.12028751476109149</v>
      </c>
      <c r="AB996" s="3">
        <v>-1262.96</v>
      </c>
      <c r="AC996" s="3">
        <v>0</v>
      </c>
      <c r="AD996" s="3">
        <v>463.21</v>
      </c>
      <c r="AE996" s="3">
        <v>9727.43</v>
      </c>
      <c r="AF996" t="str">
        <f>IF(tbl_FinancialData[[#This Row],[City]]="","Unknown",PROPER(TRIM(tbl_FinancialData[[#This Row],[City]])))</f>
        <v>Rourkela</v>
      </c>
      <c r="AG996" t="str">
        <f>_xlfn.LET(_xlpm.city,LOWER(TRIM(tbl_FinancialData[[#This Row],[City]])),_xlpm.st,PROPER(TRIM(tbl_FinancialData[[#This Row],[State]])),IF(_xlpm.city="pune","Maharashtra",IF(_xlpm.city="jamshedpur","Jharkhand",IF(_xlpm.city="bhilai","Chhattisgarh",IF(_xlpm.city="mumbai","Maharashtra",_xlpm.st)))))</f>
        <v>Odisha</v>
      </c>
      <c r="AH996" t="str">
        <f>_xlfn.LET(_xlpm.d,PROPER(TRIM(tbl_FinancialData[[#This Row],[Department]])),IF(_xlpm.d="It","IT",_xlpm.d))</f>
        <v>Operations</v>
      </c>
      <c r="AI996" t="str">
        <f>_xlfn.LET(_xlpm.pid,tbl_FinancialData[[#This Row],[Product ID]],_xlpm.n,PROPER(TRIM(tbl_FinancialData[[#This Row],[Product Name]])),IF(_xlpm.pid="P020","Document Scanner",IF(_xlpm.pid="P015","Network Router",SUBSTITUTE(SUBSTITUTE(_xlpm.n,"Crm","CRM"),"Ups","UPS"))))</f>
        <v>Office Desk</v>
      </c>
      <c r="AJ996" s="3" t="str">
        <f>UPPER(TRIM(tbl_FinancialData[[#This Row],[Cost Center]]))</f>
        <v>CC-1005</v>
      </c>
    </row>
    <row r="997" spans="1:36" x14ac:dyDescent="0.25">
      <c r="A997" s="3" t="s">
        <v>1201</v>
      </c>
      <c r="B997" s="2">
        <v>46109</v>
      </c>
      <c r="C997" t="s">
        <v>125</v>
      </c>
      <c r="D997" s="3" t="str">
        <f t="shared" si="63"/>
        <v>Q4</v>
      </c>
      <c r="E997" s="3" t="str">
        <f t="shared" si="64"/>
        <v>FY2026</v>
      </c>
      <c r="F997" s="8" t="s">
        <v>47</v>
      </c>
      <c r="G997" s="3" t="s">
        <v>35</v>
      </c>
      <c r="H997" t="s">
        <v>78</v>
      </c>
      <c r="I997" t="s">
        <v>115</v>
      </c>
      <c r="J997" s="3" t="s">
        <v>38</v>
      </c>
      <c r="K997" t="s">
        <v>50</v>
      </c>
      <c r="L997" s="3" t="s">
        <v>81</v>
      </c>
      <c r="M997" s="3" t="s">
        <v>130</v>
      </c>
      <c r="N997" t="s">
        <v>131</v>
      </c>
      <c r="O997" t="s">
        <v>43</v>
      </c>
      <c r="P997" t="s">
        <v>132</v>
      </c>
      <c r="Q997" s="3">
        <v>42585.33</v>
      </c>
      <c r="R997" s="3">
        <v>40587.910000000003</v>
      </c>
      <c r="S997" s="3">
        <v>30221.71</v>
      </c>
      <c r="T997" s="3">
        <v>3702.45</v>
      </c>
      <c r="U997" s="3">
        <v>1146.0899999999999</v>
      </c>
      <c r="V997" s="3">
        <v>2861.2</v>
      </c>
      <c r="W997" s="3">
        <v>1297.03</v>
      </c>
      <c r="X997" s="3">
        <v>39228.47</v>
      </c>
      <c r="Y997" s="3">
        <v>12363.62</v>
      </c>
      <c r="Z997" s="3">
        <f t="shared" si="65"/>
        <v>3356.8600000000006</v>
      </c>
      <c r="AA997" s="37">
        <f t="shared" si="66"/>
        <v>7.8826675758999654E-2</v>
      </c>
      <c r="AB997" s="3">
        <v>1997.41</v>
      </c>
      <c r="AC997" s="3">
        <v>851.71</v>
      </c>
      <c r="AD997" s="3">
        <v>2086.6799999999998</v>
      </c>
      <c r="AE997" s="3">
        <v>43820.3</v>
      </c>
      <c r="AF997" t="str">
        <f>IF(tbl_FinancialData[[#This Row],[City]]="","Unknown",PROPER(TRIM(tbl_FinancialData[[#This Row],[City]])))</f>
        <v>Thiruvananthapuram</v>
      </c>
      <c r="AG997" t="str">
        <f>_xlfn.LET(_xlpm.city,LOWER(TRIM(tbl_FinancialData[[#This Row],[City]])),_xlpm.st,PROPER(TRIM(tbl_FinancialData[[#This Row],[State]])),IF(_xlpm.city="pune","Maharashtra",IF(_xlpm.city="jamshedpur","Jharkhand",IF(_xlpm.city="bhilai","Chhattisgarh",IF(_xlpm.city="mumbai","Maharashtra",_xlpm.st)))))</f>
        <v>Kerala</v>
      </c>
      <c r="AH997" t="str">
        <f>_xlfn.LET(_xlpm.d,PROPER(TRIM(tbl_FinancialData[[#This Row],[Department]])),IF(_xlpm.d="It","IT",_xlpm.d))</f>
        <v>Sales</v>
      </c>
      <c r="AI997" t="str">
        <f>_xlfn.LET(_xlpm.pid,tbl_FinancialData[[#This Row],[Product ID]],_xlpm.n,PROPER(TRIM(tbl_FinancialData[[#This Row],[Product Name]])),IF(_xlpm.pid="P020","Document Scanner",IF(_xlpm.pid="P015","Network Router",SUBSTITUTE(SUBSTITUTE(_xlpm.n,"Crm","CRM"),"Ups","UPS"))))</f>
        <v>UPS System</v>
      </c>
      <c r="AJ997" s="3" t="str">
        <f>UPPER(TRIM(tbl_FinancialData[[#This Row],[Cost Center]]))</f>
        <v>CC-1005</v>
      </c>
    </row>
    <row r="998" spans="1:36" x14ac:dyDescent="0.25">
      <c r="A998" s="3" t="s">
        <v>1202</v>
      </c>
      <c r="B998" s="2">
        <v>45770</v>
      </c>
      <c r="C998" t="s">
        <v>128</v>
      </c>
      <c r="D998" s="3" t="str">
        <f t="shared" si="63"/>
        <v>Q1</v>
      </c>
      <c r="E998" s="3" t="str">
        <f t="shared" si="64"/>
        <v>FY2026</v>
      </c>
      <c r="F998" s="8" t="s">
        <v>34</v>
      </c>
      <c r="G998" s="3" t="s">
        <v>35</v>
      </c>
      <c r="H998" t="s">
        <v>98</v>
      </c>
      <c r="I998" t="s">
        <v>99</v>
      </c>
      <c r="J998" s="3" t="s">
        <v>100</v>
      </c>
      <c r="K998" t="s">
        <v>160</v>
      </c>
      <c r="L998" s="3" t="s">
        <v>81</v>
      </c>
      <c r="M998" s="3" t="s">
        <v>41</v>
      </c>
      <c r="N998" t="s">
        <v>42</v>
      </c>
      <c r="O998" t="s">
        <v>43</v>
      </c>
      <c r="P998" t="s">
        <v>44</v>
      </c>
      <c r="Q998" s="3">
        <v>29317.69</v>
      </c>
      <c r="R998" s="3">
        <v>25928.23</v>
      </c>
      <c r="S998" s="3">
        <v>20259.62</v>
      </c>
      <c r="T998" s="3">
        <v>1828.42</v>
      </c>
      <c r="U998" s="3">
        <v>2374.61</v>
      </c>
      <c r="V998" s="3">
        <v>1945.26</v>
      </c>
      <c r="W998" s="3">
        <v>670.93</v>
      </c>
      <c r="X998" s="3">
        <v>27078.83</v>
      </c>
      <c r="Y998" s="3">
        <v>9058.08</v>
      </c>
      <c r="Z998" s="3">
        <f t="shared" si="65"/>
        <v>2238.8599999999969</v>
      </c>
      <c r="AA998" s="37">
        <f t="shared" si="66"/>
        <v>7.6365498100293611E-2</v>
      </c>
      <c r="AB998" s="3">
        <v>3389.46</v>
      </c>
      <c r="AC998" s="3">
        <v>0</v>
      </c>
      <c r="AD998" s="3">
        <v>3518.12</v>
      </c>
      <c r="AE998" s="3">
        <v>32835.82</v>
      </c>
      <c r="AF998" t="str">
        <f>IF(tbl_FinancialData[[#This Row],[City]]="","Unknown",PROPER(TRIM(tbl_FinancialData[[#This Row],[City]])))</f>
        <v>Mumbai</v>
      </c>
      <c r="AG998" t="str">
        <f>_xlfn.LET(_xlpm.city,LOWER(TRIM(tbl_FinancialData[[#This Row],[City]])),_xlpm.st,PROPER(TRIM(tbl_FinancialData[[#This Row],[State]])),IF(_xlpm.city="pune","Maharashtra",IF(_xlpm.city="jamshedpur","Jharkhand",IF(_xlpm.city="bhilai","Chhattisgarh",IF(_xlpm.city="mumbai","Maharashtra",_xlpm.st)))))</f>
        <v>Maharashtra</v>
      </c>
      <c r="AH998" t="str">
        <f>_xlfn.LET(_xlpm.d,PROPER(TRIM(tbl_FinancialData[[#This Row],[Department]])),IF(_xlpm.d="It","IT",_xlpm.d))</f>
        <v>IT</v>
      </c>
      <c r="AI998" t="str">
        <f>_xlfn.LET(_xlpm.pid,tbl_FinancialData[[#This Row],[Product ID]],_xlpm.n,PROPER(TRIM(tbl_FinancialData[[#This Row],[Product Name]])),IF(_xlpm.pid="P020","Document Scanner",IF(_xlpm.pid="P015","Network Router",SUBSTITUTE(SUBSTITUTE(_xlpm.n,"Crm","CRM"),"Ups","UPS"))))</f>
        <v>Conference Camera</v>
      </c>
      <c r="AJ998" s="3" t="str">
        <f>UPPER(TRIM(tbl_FinancialData[[#This Row],[Cost Center]]))</f>
        <v>CC-1005</v>
      </c>
    </row>
    <row r="999" spans="1:36" x14ac:dyDescent="0.25">
      <c r="A999" s="3" t="s">
        <v>1203</v>
      </c>
      <c r="B999" s="2">
        <v>46109</v>
      </c>
      <c r="C999" t="s">
        <v>125</v>
      </c>
      <c r="D999" s="3" t="str">
        <f t="shared" si="63"/>
        <v>Q4</v>
      </c>
      <c r="E999" s="3" t="str">
        <f t="shared" si="64"/>
        <v>FY2026</v>
      </c>
      <c r="F999" s="8" t="s">
        <v>59</v>
      </c>
      <c r="G999" s="3" t="s">
        <v>35</v>
      </c>
      <c r="H999" t="s">
        <v>254</v>
      </c>
      <c r="I999" t="s">
        <v>314</v>
      </c>
      <c r="J999" s="3" t="s">
        <v>80</v>
      </c>
      <c r="K999" t="s">
        <v>50</v>
      </c>
      <c r="L999" s="3" t="s">
        <v>94</v>
      </c>
      <c r="M999" s="3" t="s">
        <v>95</v>
      </c>
      <c r="N999" t="s">
        <v>96</v>
      </c>
      <c r="O999" t="s">
        <v>43</v>
      </c>
      <c r="P999" t="s">
        <v>90</v>
      </c>
      <c r="Q999" s="3">
        <v>52298.9</v>
      </c>
      <c r="R999" s="3">
        <v>57668.25</v>
      </c>
      <c r="S999" s="3">
        <v>33739.58</v>
      </c>
      <c r="T999" s="3">
        <v>4024.62</v>
      </c>
      <c r="U999" s="3">
        <v>1687.28</v>
      </c>
      <c r="V999" s="3">
        <v>3270.63</v>
      </c>
      <c r="W999" s="3">
        <v>907.93</v>
      </c>
      <c r="X999" s="3">
        <v>43630.04</v>
      </c>
      <c r="Y999" s="3">
        <v>18559.32</v>
      </c>
      <c r="Z999" s="3">
        <f t="shared" si="65"/>
        <v>8668.86</v>
      </c>
      <c r="AA999" s="37">
        <f t="shared" si="66"/>
        <v>0.1657560675272329</v>
      </c>
      <c r="AB999" s="3">
        <v>-5369.35</v>
      </c>
      <c r="AC999" s="3">
        <v>0</v>
      </c>
      <c r="AD999" s="3">
        <v>2614.94</v>
      </c>
      <c r="AE999" s="3">
        <v>54913.84</v>
      </c>
      <c r="AF999" t="str">
        <f>IF(tbl_FinancialData[[#This Row],[City]]="","Unknown",PROPER(TRIM(tbl_FinancialData[[#This Row],[City]])))</f>
        <v>New Delhi</v>
      </c>
      <c r="AG999" t="str">
        <f>_xlfn.LET(_xlpm.city,LOWER(TRIM(tbl_FinancialData[[#This Row],[City]])),_xlpm.st,PROPER(TRIM(tbl_FinancialData[[#This Row],[State]])),IF(_xlpm.city="pune","Maharashtra",IF(_xlpm.city="jamshedpur","Jharkhand",IF(_xlpm.city="bhilai","Chhattisgarh",IF(_xlpm.city="mumbai","Maharashtra",_xlpm.st)))))</f>
        <v>Delhi</v>
      </c>
      <c r="AH999" t="str">
        <f>_xlfn.LET(_xlpm.d,PROPER(TRIM(tbl_FinancialData[[#This Row],[Department]])),IF(_xlpm.d="It","IT",_xlpm.d))</f>
        <v>Sales</v>
      </c>
      <c r="AI999" t="str">
        <f>_xlfn.LET(_xlpm.pid,tbl_FinancialData[[#This Row],[Product ID]],_xlpm.n,PROPER(TRIM(tbl_FinancialData[[#This Row],[Product Name]])),IF(_xlpm.pid="P020","Document Scanner",IF(_xlpm.pid="P015","Network Router",SUBSTITUTE(SUBSTITUTE(_xlpm.n,"Crm","CRM"),"Ups","UPS"))))</f>
        <v>Document Scanner</v>
      </c>
      <c r="AJ999" s="3" t="str">
        <f>UPPER(TRIM(tbl_FinancialData[[#This Row],[Cost Center]]))</f>
        <v>CC-1001</v>
      </c>
    </row>
    <row r="1000" spans="1:36" x14ac:dyDescent="0.25">
      <c r="A1000" s="3" t="s">
        <v>1204</v>
      </c>
      <c r="B1000" s="2">
        <v>45929</v>
      </c>
      <c r="C1000" t="s">
        <v>46</v>
      </c>
      <c r="D1000" s="3" t="str">
        <f t="shared" si="63"/>
        <v>Q2</v>
      </c>
      <c r="E1000" s="3" t="str">
        <f t="shared" si="64"/>
        <v>FY2026</v>
      </c>
      <c r="F1000" s="8" t="s">
        <v>67</v>
      </c>
      <c r="G1000" s="3" t="s">
        <v>35</v>
      </c>
      <c r="H1000" t="s">
        <v>68</v>
      </c>
      <c r="I1000" t="s">
        <v>69</v>
      </c>
      <c r="J1000" s="3" t="s">
        <v>70</v>
      </c>
      <c r="K1000" t="s">
        <v>50</v>
      </c>
      <c r="L1000" s="3" t="s">
        <v>72</v>
      </c>
      <c r="M1000" s="3" t="s">
        <v>82</v>
      </c>
      <c r="N1000" t="s">
        <v>83</v>
      </c>
      <c r="O1000" t="s">
        <v>43</v>
      </c>
      <c r="P1000" t="s">
        <v>75</v>
      </c>
      <c r="Q1000" s="3">
        <v>36351.79</v>
      </c>
      <c r="R1000" s="3">
        <v>32907.5</v>
      </c>
      <c r="S1000" s="3">
        <v>19295.57</v>
      </c>
      <c r="T1000" s="3">
        <v>2052.34</v>
      </c>
      <c r="U1000" s="3">
        <v>3225.31</v>
      </c>
      <c r="V1000" s="3">
        <v>4124.95</v>
      </c>
      <c r="W1000" s="3">
        <v>1275.3</v>
      </c>
      <c r="X1000" s="3">
        <v>29973.47</v>
      </c>
      <c r="Y1000" s="3">
        <v>17056.22</v>
      </c>
      <c r="Z1000" s="3">
        <f t="shared" si="65"/>
        <v>6378.32</v>
      </c>
      <c r="AA1000" s="37">
        <f t="shared" si="66"/>
        <v>0.17546096079450282</v>
      </c>
      <c r="AB1000" s="3">
        <v>3444.29</v>
      </c>
      <c r="AC1000" s="3">
        <v>1090.55</v>
      </c>
      <c r="AD1000" s="3">
        <v>1763.06</v>
      </c>
      <c r="AE1000" s="3">
        <v>37024.300000000003</v>
      </c>
      <c r="AF1000" t="str">
        <f>IF(tbl_FinancialData[[#This Row],[City]]="","Unknown",PROPER(TRIM(tbl_FinancialData[[#This Row],[City]])))</f>
        <v>Bhubaneswar</v>
      </c>
      <c r="AG1000" t="str">
        <f>_xlfn.LET(_xlpm.city,LOWER(TRIM(tbl_FinancialData[[#This Row],[City]])),_xlpm.st,PROPER(TRIM(tbl_FinancialData[[#This Row],[State]])),IF(_xlpm.city="pune","Maharashtra",IF(_xlpm.city="jamshedpur","Jharkhand",IF(_xlpm.city="bhilai","Chhattisgarh",IF(_xlpm.city="mumbai","Maharashtra",_xlpm.st)))))</f>
        <v>Odisha</v>
      </c>
      <c r="AH1000" t="str">
        <f>_xlfn.LET(_xlpm.d,PROPER(TRIM(tbl_FinancialData[[#This Row],[Department]])),IF(_xlpm.d="It","IT",_xlpm.d))</f>
        <v>Sales</v>
      </c>
      <c r="AI1000" t="str">
        <f>_xlfn.LET(_xlpm.pid,tbl_FinancialData[[#This Row],[Product ID]],_xlpm.n,PROPER(TRIM(tbl_FinancialData[[#This Row],[Product Name]])),IF(_xlpm.pid="P020","Document Scanner",IF(_xlpm.pid="P015","Network Router",SUBSTITUTE(SUBSTITUTE(_xlpm.n,"Crm","CRM"),"Ups","UPS"))))</f>
        <v>Business Laptop</v>
      </c>
      <c r="AJ1000" s="3" t="str">
        <f>UPPER(TRIM(tbl_FinancialData[[#This Row],[Cost Center]]))</f>
        <v>CC-1004</v>
      </c>
    </row>
    <row r="1001" spans="1:36" x14ac:dyDescent="0.25">
      <c r="A1001" s="3" t="s">
        <v>1205</v>
      </c>
      <c r="B1001" s="2">
        <v>46000</v>
      </c>
      <c r="C1001" t="s">
        <v>107</v>
      </c>
      <c r="D1001" s="3" t="str">
        <f t="shared" si="63"/>
        <v>Q3</v>
      </c>
      <c r="E1001" s="3" t="str">
        <f t="shared" si="64"/>
        <v>FY2026</v>
      </c>
      <c r="F1001" s="8" t="s">
        <v>34</v>
      </c>
      <c r="G1001" s="3" t="s">
        <v>35</v>
      </c>
      <c r="H1001" t="s">
        <v>98</v>
      </c>
      <c r="I1001" t="s">
        <v>149</v>
      </c>
      <c r="J1001" s="3" t="s">
        <v>80</v>
      </c>
      <c r="K1001" t="s">
        <v>101</v>
      </c>
      <c r="L1001" s="3" t="s">
        <v>51</v>
      </c>
      <c r="M1001" s="3" t="s">
        <v>171</v>
      </c>
      <c r="N1001" t="s">
        <v>172</v>
      </c>
      <c r="O1001" t="s">
        <v>173</v>
      </c>
      <c r="P1001" t="s">
        <v>174</v>
      </c>
      <c r="Q1001" s="3">
        <v>34733.42</v>
      </c>
      <c r="R1001" s="3">
        <v>30619.73</v>
      </c>
      <c r="S1001" s="3">
        <v>24454.69</v>
      </c>
      <c r="T1001" s="3">
        <v>3158</v>
      </c>
      <c r="U1001" s="3">
        <v>2450.36</v>
      </c>
      <c r="V1001" s="3">
        <v>3766.84</v>
      </c>
      <c r="W1001" s="3">
        <v>915.18</v>
      </c>
      <c r="X1001" s="3">
        <v>34745.07</v>
      </c>
      <c r="Y1001" s="3">
        <v>10278.73</v>
      </c>
      <c r="Z1001" s="3">
        <f t="shared" si="65"/>
        <v>-11.650000000001455</v>
      </c>
      <c r="AA1001" s="37">
        <f t="shared" si="66"/>
        <v>-3.3541183102618328E-4</v>
      </c>
      <c r="AB1001" s="3">
        <v>4113.7</v>
      </c>
      <c r="AC1001" s="3">
        <v>2778.67</v>
      </c>
      <c r="AD1001" s="3">
        <v>1597.74</v>
      </c>
      <c r="AE1001" s="3">
        <v>33552.49</v>
      </c>
      <c r="AF1001" t="str">
        <f>IF(tbl_FinancialData[[#This Row],[City]]="","Unknown",PROPER(TRIM(tbl_FinancialData[[#This Row],[City]])))</f>
        <v>Nagpur</v>
      </c>
      <c r="AG1001" t="str">
        <f>_xlfn.LET(_xlpm.city,LOWER(TRIM(tbl_FinancialData[[#This Row],[City]])),_xlpm.st,PROPER(TRIM(tbl_FinancialData[[#This Row],[State]])),IF(_xlpm.city="pune","Maharashtra",IF(_xlpm.city="jamshedpur","Jharkhand",IF(_xlpm.city="bhilai","Chhattisgarh",IF(_xlpm.city="mumbai","Maharashtra",_xlpm.st)))))</f>
        <v>Maharashtra</v>
      </c>
      <c r="AH1001" t="str">
        <f>_xlfn.LET(_xlpm.d,PROPER(TRIM(tbl_FinancialData[[#This Row],[Department]])),IF(_xlpm.d="It","IT",_xlpm.d))</f>
        <v>Finance</v>
      </c>
      <c r="AI1001" t="str">
        <f>_xlfn.LET(_xlpm.pid,tbl_FinancialData[[#This Row],[Product ID]],_xlpm.n,PROPER(TRIM(tbl_FinancialData[[#This Row],[Product Name]])),IF(_xlpm.pid="P020","Document Scanner",IF(_xlpm.pid="P015","Network Router",SUBSTITUTE(SUBSTITUTE(_xlpm.n,"Crm","CRM"),"Ups","UPS"))))</f>
        <v>Network Switch</v>
      </c>
      <c r="AJ1001" s="3" t="str">
        <f>UPPER(TRIM(tbl_FinancialData[[#This Row],[Cost Center]]))</f>
        <v>CC-1003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984EC-4627-47FC-8909-C65F700A2A6C}">
  <dimension ref="B1:R89"/>
  <sheetViews>
    <sheetView showGridLines="0" showRowColHeaders="0" zoomScale="89" workbookViewId="0">
      <selection activeCell="B3" sqref="B3:C3"/>
    </sheetView>
  </sheetViews>
  <sheetFormatPr defaultRowHeight="15" x14ac:dyDescent="0.25"/>
  <cols>
    <col min="1" max="1" width="5.7109375" customWidth="1"/>
    <col min="2" max="2" width="24.85546875" style="12" bestFit="1" customWidth="1"/>
    <col min="3" max="3" width="14.42578125" bestFit="1" customWidth="1"/>
    <col min="4" max="4" width="5.7109375" customWidth="1"/>
    <col min="5" max="5" width="20.140625" bestFit="1" customWidth="1"/>
    <col min="6" max="6" width="14.7109375" bestFit="1" customWidth="1"/>
    <col min="7" max="7" width="3.7109375" customWidth="1"/>
    <col min="8" max="8" width="25.140625" bestFit="1" customWidth="1"/>
    <col min="9" max="9" width="14" bestFit="1" customWidth="1"/>
    <col min="10" max="10" width="3.7109375" customWidth="1"/>
    <col min="11" max="11" width="28.28515625" bestFit="1" customWidth="1"/>
    <col min="12" max="12" width="13.85546875" bestFit="1" customWidth="1"/>
    <col min="13" max="13" width="3.7109375" customWidth="1"/>
    <col min="14" max="14" width="23.28515625" customWidth="1"/>
    <col min="15" max="15" width="16.7109375" customWidth="1"/>
  </cols>
  <sheetData>
    <row r="1" spans="2:17" ht="30" customHeight="1" x14ac:dyDescent="0.25">
      <c r="B1" s="152" t="s">
        <v>1240</v>
      </c>
      <c r="C1" s="152"/>
      <c r="D1" s="152"/>
      <c r="E1" s="152"/>
      <c r="F1" s="152"/>
      <c r="G1" s="152"/>
      <c r="H1" s="152"/>
      <c r="I1" s="152"/>
      <c r="J1" s="152"/>
      <c r="K1" s="152"/>
      <c r="L1" s="152"/>
      <c r="M1" s="152"/>
      <c r="N1" s="152"/>
      <c r="O1" s="152"/>
    </row>
    <row r="3" spans="2:17" ht="18.75" x14ac:dyDescent="0.3">
      <c r="B3" s="148" t="s">
        <v>1241</v>
      </c>
      <c r="C3" s="148"/>
      <c r="E3" s="156" t="s">
        <v>1242</v>
      </c>
      <c r="F3" s="156"/>
      <c r="H3" s="154" t="s">
        <v>1244</v>
      </c>
      <c r="I3" s="154"/>
      <c r="K3" s="153" t="s">
        <v>1243</v>
      </c>
      <c r="L3" s="153"/>
      <c r="N3" s="149" t="s">
        <v>1279</v>
      </c>
      <c r="O3" s="149"/>
    </row>
    <row r="4" spans="2:17" x14ac:dyDescent="0.25">
      <c r="B4" s="16"/>
      <c r="C4" s="16"/>
      <c r="E4" s="16"/>
      <c r="F4" s="16"/>
      <c r="H4" s="3"/>
      <c r="I4" s="3"/>
      <c r="K4" s="3"/>
      <c r="L4" s="3"/>
    </row>
    <row r="5" spans="2:17" x14ac:dyDescent="0.25">
      <c r="B5" s="12" t="s">
        <v>1245</v>
      </c>
      <c r="C5" s="8" t="s">
        <v>1253</v>
      </c>
      <c r="E5" t="s">
        <v>1245</v>
      </c>
      <c r="F5" t="s">
        <v>1253</v>
      </c>
      <c r="H5" t="s">
        <v>1245</v>
      </c>
      <c r="I5" t="s">
        <v>1253</v>
      </c>
      <c r="K5" t="s">
        <v>1245</v>
      </c>
      <c r="L5" t="s">
        <v>1253</v>
      </c>
      <c r="N5" t="s">
        <v>1245</v>
      </c>
      <c r="O5" t="s">
        <v>1253</v>
      </c>
      <c r="Q5" s="10"/>
    </row>
    <row r="6" spans="2:17" x14ac:dyDescent="0.25">
      <c r="B6" s="13" t="s">
        <v>1246</v>
      </c>
      <c r="C6" s="15">
        <f>SUM(tbl_FinancialData[Revenue])</f>
        <v>28075370.159999978</v>
      </c>
      <c r="E6" s="11" t="s">
        <v>1254</v>
      </c>
      <c r="F6" s="17">
        <f>IF(C16=0,0,C14/C16)</f>
        <v>0.36874695902519261</v>
      </c>
      <c r="H6" s="11" t="s">
        <v>1267</v>
      </c>
      <c r="I6" s="18">
        <f>COUNTA(tbl_FinancialData[Transaction ID])</f>
        <v>1000</v>
      </c>
      <c r="K6" s="11" t="s">
        <v>1247</v>
      </c>
      <c r="L6" s="18">
        <f>C7</f>
        <v>29125874.710000023</v>
      </c>
      <c r="N6" t="s">
        <v>1280</v>
      </c>
      <c r="O6" s="8" t="str">
        <f>IF(C6=SUM(tbl_FinancialData[Revenue]),"PASS","CHECK")</f>
        <v>PASS</v>
      </c>
      <c r="Q6" s="14"/>
    </row>
    <row r="7" spans="2:17" x14ac:dyDescent="0.25">
      <c r="B7" s="13" t="s">
        <v>1247</v>
      </c>
      <c r="C7" s="15">
        <f>SUM(tbl_FinancialData[Budget Revenue])</f>
        <v>29125874.710000023</v>
      </c>
      <c r="E7" s="11" t="s">
        <v>1255</v>
      </c>
      <c r="F7" s="17">
        <f>IF(C16=0,0,C15/C16)</f>
        <v>0.13343411873751709</v>
      </c>
      <c r="H7" s="11" t="s">
        <v>1273</v>
      </c>
      <c r="I7" s="18">
        <f>SUM(tbl_FinancialData[Tax])</f>
        <v>3388579.6399999955</v>
      </c>
      <c r="K7" s="11" t="s">
        <v>1263</v>
      </c>
      <c r="L7" s="18">
        <f>C6</f>
        <v>28075370.159999978</v>
      </c>
      <c r="N7" t="s">
        <v>1281</v>
      </c>
      <c r="O7" s="8" t="str">
        <f>IF(C15=SUM(tbl_FinancialData[Net Profit]),"PASS","CHECK")</f>
        <v>PASS</v>
      </c>
      <c r="Q7" s="10"/>
    </row>
    <row r="8" spans="2:17" x14ac:dyDescent="0.25">
      <c r="B8" s="13" t="s">
        <v>1248</v>
      </c>
      <c r="C8" s="15">
        <f>SUM(tbl_FinancialData[COGS])</f>
        <v>16885274.510000005</v>
      </c>
      <c r="E8" s="11" t="s">
        <v>1256</v>
      </c>
      <c r="F8" s="17">
        <f>IF(C6=0,0,C8/C6)</f>
        <v>0.60142660323877339</v>
      </c>
      <c r="H8" s="11" t="s">
        <v>1268</v>
      </c>
      <c r="I8" s="18">
        <f>IF(I6=0,0,C6/I6)</f>
        <v>28075.370159999977</v>
      </c>
      <c r="K8" s="11" t="s">
        <v>27</v>
      </c>
      <c r="L8" s="18">
        <f>L7-L6</f>
        <v>-1050504.5500000454</v>
      </c>
      <c r="N8" t="s">
        <v>1282</v>
      </c>
      <c r="O8" s="8" t="str">
        <f>IF(C13=SUM(tbl_FinancialData[Total Expense]),"PASS","CHECK")</f>
        <v>PASS</v>
      </c>
      <c r="Q8" s="10"/>
    </row>
    <row r="9" spans="2:17" x14ac:dyDescent="0.25">
      <c r="B9" s="13" t="s">
        <v>1249</v>
      </c>
      <c r="C9" s="15">
        <f>SUM(tbl_FinancialData[Operating Expense])</f>
        <v>2553433.5199999991</v>
      </c>
      <c r="E9" s="11" t="s">
        <v>1257</v>
      </c>
      <c r="F9" s="17">
        <f>IF(C6=0,0,C9/C6)</f>
        <v>9.0949237906682009E-2</v>
      </c>
      <c r="H9" s="11" t="s">
        <v>1269</v>
      </c>
      <c r="I9" s="18">
        <f>IF(I6=0,0,C16/I6)</f>
        <v>30346.272439999997</v>
      </c>
      <c r="J9" t="s">
        <v>1261</v>
      </c>
      <c r="K9" s="11" t="s">
        <v>1264</v>
      </c>
      <c r="L9" s="19">
        <f>IF(L6=0,0,L7/L6)</f>
        <v>0.96393225747004374</v>
      </c>
      <c r="N9" t="s">
        <v>1283</v>
      </c>
      <c r="O9" s="8" t="str">
        <f>IF(L8=L7-L6,"PASS","CHECK")</f>
        <v>PASS</v>
      </c>
      <c r="Q9" s="10"/>
    </row>
    <row r="10" spans="2:17" x14ac:dyDescent="0.25">
      <c r="B10" s="13" t="s">
        <v>1250</v>
      </c>
      <c r="C10" s="15">
        <f>SUM(tbl_FinancialData[Marketing Expense])</f>
        <v>1601652.5799999994</v>
      </c>
      <c r="E10" s="11" t="s">
        <v>1258</v>
      </c>
      <c r="F10" s="17">
        <f>IF(C6=0,0,C10/C6)</f>
        <v>5.7048315689954221E-2</v>
      </c>
      <c r="H10" s="11" t="s">
        <v>1270</v>
      </c>
      <c r="I10" s="18">
        <f>IF(I6=0,0,C15/I6)</f>
        <v>4049.228120000002</v>
      </c>
      <c r="K10" s="11" t="s">
        <v>1265</v>
      </c>
      <c r="L10" cm="1">
        <f t="array" ref="L10">SUMPRODUCT(--(tbl_FinancialData[Revenue]&gt;tbl_FinancialData[Budget Revenue]))</f>
        <v>393</v>
      </c>
      <c r="N10" t="s">
        <v>1284</v>
      </c>
      <c r="O10" s="8" t="str">
        <f>IF(ABS(F7-(C15/C16))&lt;0.000001,"PASS","CHECK")</f>
        <v>PASS</v>
      </c>
      <c r="Q10" s="10"/>
    </row>
    <row r="11" spans="2:17" x14ac:dyDescent="0.25">
      <c r="B11" s="13" t="s">
        <v>1251</v>
      </c>
      <c r="C11" s="15">
        <f>SUM(tbl_FinancialData[Salary Expense])</f>
        <v>2240126.7199999974</v>
      </c>
      <c r="E11" s="11" t="s">
        <v>1259</v>
      </c>
      <c r="F11" s="17">
        <f>IF(C6=0,0,C11/C6)</f>
        <v>7.9789748353579645E-2</v>
      </c>
      <c r="H11" s="11" t="s">
        <v>1271</v>
      </c>
      <c r="I11" s="18">
        <f>MAX(tbl_FinancialData[Revenue])</f>
        <v>82566.39</v>
      </c>
      <c r="K11" s="11" t="s">
        <v>1266</v>
      </c>
      <c r="L11" cm="1">
        <f t="array" ref="L11">SUMPRODUCT(--(tbl_FinancialData[Revenue]&lt;tbl_FinancialData[Budget Revenue]))</f>
        <v>607</v>
      </c>
      <c r="N11" t="s">
        <v>1285</v>
      </c>
      <c r="O11" s="8">
        <f>COUNTIF(tbl_FinancialData[Net Profit],"&lt;0")</f>
        <v>26</v>
      </c>
      <c r="Q11" s="10"/>
    </row>
    <row r="12" spans="2:17" x14ac:dyDescent="0.25">
      <c r="B12" s="13" t="s">
        <v>1252</v>
      </c>
      <c r="C12" s="15">
        <f>SUM(tbl_FinancialData[Misc Expense])</f>
        <v>745654.55000000016</v>
      </c>
      <c r="E12" s="11" t="s">
        <v>1260</v>
      </c>
      <c r="F12" s="17">
        <f>IF(C6=0,0,C13/C6)</f>
        <v>0.85577293916612163</v>
      </c>
      <c r="H12" s="11" t="s">
        <v>1272</v>
      </c>
      <c r="I12" s="18">
        <f>MIN(tbl_FinancialData[Revenue])</f>
        <v>997.19</v>
      </c>
      <c r="K12" s="11"/>
      <c r="N12" t="s">
        <v>1286</v>
      </c>
      <c r="O12" s="8">
        <f>COUNTBLANK(tbl_FinancialData[Revenue])</f>
        <v>0</v>
      </c>
      <c r="Q12" s="10"/>
    </row>
    <row r="13" spans="2:17" x14ac:dyDescent="0.25">
      <c r="B13" s="13" t="s">
        <v>23</v>
      </c>
      <c r="C13" s="15">
        <f>SUM(tbl_FinancialData[Total Expense])</f>
        <v>24026142.040000007</v>
      </c>
      <c r="E13" s="11" t="s">
        <v>1262</v>
      </c>
      <c r="F13" s="17">
        <f>IF(C6=0,0,SUM(tbl_FinancialData[Tax])/C6)</f>
        <v>0.12069581347240189</v>
      </c>
      <c r="H13" s="11" t="s">
        <v>1288</v>
      </c>
      <c r="I13" s="19">
        <f>AVERAGE(tbl_FinancialData[Discount])</f>
        <v>1117.6775899999996</v>
      </c>
      <c r="K13" s="11"/>
      <c r="N13" t="s">
        <v>1287</v>
      </c>
      <c r="O13" s="8" t="str">
        <f>IF(COUNTIF(O6:O10,"CHECK")=0,"PASS","CHECK")</f>
        <v>PASS</v>
      </c>
      <c r="Q13" s="10"/>
    </row>
    <row r="14" spans="2:17" x14ac:dyDescent="0.25">
      <c r="B14" s="13" t="s">
        <v>24</v>
      </c>
      <c r="C14" s="15">
        <f>SUM(tbl_FinancialData[Gross Profit])</f>
        <v>11190095.680000011</v>
      </c>
      <c r="E14" s="11"/>
      <c r="F14" s="17"/>
      <c r="H14" s="11"/>
      <c r="I14" s="18"/>
      <c r="K14" s="11"/>
      <c r="O14" s="8"/>
      <c r="Q14" s="10"/>
    </row>
    <row r="15" spans="2:17" x14ac:dyDescent="0.25">
      <c r="B15" s="13" t="s">
        <v>25</v>
      </c>
      <c r="C15" s="15">
        <f>SUM(tbl_FinancialData[Net Profit])</f>
        <v>4049228.120000002</v>
      </c>
      <c r="E15" s="11"/>
      <c r="F15" s="17"/>
      <c r="H15" s="11"/>
      <c r="I15" s="18"/>
      <c r="K15" s="11"/>
      <c r="O15" s="8"/>
      <c r="Q15" s="10"/>
    </row>
    <row r="16" spans="2:17" x14ac:dyDescent="0.25">
      <c r="B16" s="13" t="s">
        <v>30</v>
      </c>
      <c r="C16" s="15">
        <f>SUM(tbl_FinancialData[Net Revenue])</f>
        <v>30346272.439999998</v>
      </c>
      <c r="E16" s="11"/>
      <c r="F16" s="17"/>
      <c r="H16" s="11"/>
      <c r="I16" s="18"/>
      <c r="K16" s="11"/>
      <c r="O16" s="8"/>
      <c r="Q16" s="10"/>
    </row>
    <row r="17" spans="2:15" x14ac:dyDescent="0.25">
      <c r="O17" s="8"/>
    </row>
    <row r="18" spans="2:15" x14ac:dyDescent="0.25">
      <c r="L18" s="14"/>
      <c r="O18" s="8"/>
    </row>
    <row r="19" spans="2:15" ht="18.75" x14ac:dyDescent="0.3">
      <c r="B19" s="155" t="s">
        <v>1274</v>
      </c>
      <c r="C19" s="155"/>
      <c r="D19" s="155"/>
      <c r="E19" s="155"/>
      <c r="F19" s="155"/>
      <c r="H19" s="148" t="s">
        <v>1277</v>
      </c>
      <c r="I19" s="148"/>
      <c r="J19" s="148"/>
      <c r="K19" s="148"/>
      <c r="L19" s="148"/>
      <c r="M19" s="148"/>
      <c r="N19" s="148"/>
      <c r="O19" s="8"/>
    </row>
    <row r="20" spans="2:15" x14ac:dyDescent="0.25">
      <c r="H20" s="12"/>
    </row>
    <row r="21" spans="2:15" x14ac:dyDescent="0.25">
      <c r="B21" s="21" t="s">
        <v>2</v>
      </c>
      <c r="C21" s="21" t="s">
        <v>16</v>
      </c>
      <c r="D21" s="146" t="s">
        <v>30</v>
      </c>
      <c r="E21" s="147"/>
      <c r="F21" s="21" t="s">
        <v>25</v>
      </c>
      <c r="H21" s="25" t="s">
        <v>13</v>
      </c>
      <c r="I21" s="150" t="s">
        <v>16</v>
      </c>
      <c r="J21" s="151"/>
      <c r="K21" s="26" t="s">
        <v>30</v>
      </c>
      <c r="L21" s="150" t="s">
        <v>25</v>
      </c>
      <c r="M21" s="151"/>
      <c r="N21" s="21" t="s">
        <v>26</v>
      </c>
    </row>
    <row r="22" spans="2:15" x14ac:dyDescent="0.25">
      <c r="B22" s="5" t="s">
        <v>77</v>
      </c>
      <c r="C22" s="20">
        <f>SUMIFS(tbl_FinancialData[Revenue],tbl_FinancialData[Month],B22)</f>
        <v>2181355.64</v>
      </c>
      <c r="D22" s="135">
        <f>SUMIFS(tbl_FinancialData[Net Revenue],tbl_FinancialData[Month],B22)</f>
        <v>2372895.5499999998</v>
      </c>
      <c r="E22" s="136"/>
      <c r="F22" s="20">
        <f>SUMIFS(tbl_FinancialData[Net Profit],tbl_FinancialData[Month],B22)</f>
        <v>366183.00999999995</v>
      </c>
      <c r="H22" s="4" t="str" cm="1">
        <f t="array" ref="H22:H41">_xlfn.UNIQUE(tbl_FinancialData[Clean Product Name])</f>
        <v>Conference Camera</v>
      </c>
      <c r="I22" s="145">
        <f>SUMIFS(tbl_FinancialData[Revenue],tbl_FinancialData[Clean Product Name],H22)</f>
        <v>2339747.2000000002</v>
      </c>
      <c r="J22" s="145"/>
      <c r="K22" s="5">
        <f>SUMIFS(tbl_FinancialData[Net Revenue],tbl_FinancialData[Clean Product Name],H22)</f>
        <v>2563627.0299999998</v>
      </c>
      <c r="L22" s="145">
        <f>SUMIFS(tbl_FinancialData[Net Profit],tbl_FinancialData[Clean Product Name],H22)</f>
        <v>352156.88999999978</v>
      </c>
      <c r="M22" s="145"/>
      <c r="N22" s="34">
        <f>IF(K22=0,0,L22/K22)</f>
        <v>0.13736666288777577</v>
      </c>
    </row>
    <row r="23" spans="2:15" x14ac:dyDescent="0.25">
      <c r="B23" s="5" t="s">
        <v>57</v>
      </c>
      <c r="C23" s="20">
        <f>SUMIFS(tbl_FinancialData[Revenue],tbl_FinancialData[Month],B23)</f>
        <v>1911886.88</v>
      </c>
      <c r="D23" s="135">
        <f>SUMIFS(tbl_FinancialData[Net Revenue],tbl_FinancialData[Month],B23)</f>
        <v>2058530.86</v>
      </c>
      <c r="E23" s="136"/>
      <c r="F23" s="20">
        <f>SUMIFS(tbl_FinancialData[Net Profit],tbl_FinancialData[Month],B23)</f>
        <v>264165.76000000007</v>
      </c>
      <c r="H23" s="4" t="str">
        <v>Mouse</v>
      </c>
      <c r="I23" s="145">
        <f>SUMIFS(tbl_FinancialData[Revenue],tbl_FinancialData[Clean Product Name],H23)</f>
        <v>342884.68</v>
      </c>
      <c r="J23" s="145"/>
      <c r="K23" s="5">
        <f>SUMIFS(tbl_FinancialData[Net Revenue],tbl_FinancialData[Clean Product Name],H23)</f>
        <v>371332.2300000001</v>
      </c>
      <c r="L23" s="145">
        <f>SUMIFS(tbl_FinancialData[Net Profit],tbl_FinancialData[Clean Product Name],H23)</f>
        <v>51211.289999999979</v>
      </c>
      <c r="M23" s="145"/>
      <c r="N23" s="34">
        <f t="shared" ref="N23:N41" si="0">IF(K23=0,0,L23/K23)</f>
        <v>0.13791232180411586</v>
      </c>
    </row>
    <row r="24" spans="2:15" x14ac:dyDescent="0.25">
      <c r="B24" s="5" t="s">
        <v>125</v>
      </c>
      <c r="C24" s="20">
        <f>SUMIFS(tbl_FinancialData[Revenue],tbl_FinancialData[Month],B24)</f>
        <v>2601921.38</v>
      </c>
      <c r="D24" s="135">
        <f>SUMIFS(tbl_FinancialData[Net Revenue],tbl_FinancialData[Month],B24)</f>
        <v>2807903.26</v>
      </c>
      <c r="E24" s="136"/>
      <c r="F24" s="20">
        <f>SUMIFS(tbl_FinancialData[Net Profit],tbl_FinancialData[Month],B24)</f>
        <v>380179.06999999995</v>
      </c>
      <c r="H24" s="4" t="str">
        <v>Keyboard</v>
      </c>
      <c r="I24" s="145">
        <f>SUMIFS(tbl_FinancialData[Revenue],tbl_FinancialData[Clean Product Name],H24)</f>
        <v>223374.12999999998</v>
      </c>
      <c r="J24" s="145"/>
      <c r="K24" s="5">
        <f>SUMIFS(tbl_FinancialData[Net Revenue],tbl_FinancialData[Clean Product Name],H24)</f>
        <v>242203.65000000011</v>
      </c>
      <c r="L24" s="145">
        <f>SUMIFS(tbl_FinancialData[Net Profit],tbl_FinancialData[Clean Product Name],H24)</f>
        <v>33471.57</v>
      </c>
      <c r="M24" s="145"/>
      <c r="N24" s="34">
        <f t="shared" si="0"/>
        <v>0.13819597681537824</v>
      </c>
    </row>
    <row r="25" spans="2:15" x14ac:dyDescent="0.25">
      <c r="B25" s="5" t="s">
        <v>128</v>
      </c>
      <c r="C25" s="20">
        <f>SUMIFS(tbl_FinancialData[Revenue],tbl_FinancialData[Month],B25)</f>
        <v>2623230.9700000007</v>
      </c>
      <c r="D25" s="135">
        <f>SUMIFS(tbl_FinancialData[Net Revenue],tbl_FinancialData[Month],B25)</f>
        <v>2840517.9300000011</v>
      </c>
      <c r="E25" s="136"/>
      <c r="F25" s="20">
        <f>SUMIFS(tbl_FinancialData[Net Profit],tbl_FinancialData[Month],B25)</f>
        <v>339729.95</v>
      </c>
      <c r="H25" s="4" t="str">
        <v>Monitor</v>
      </c>
      <c r="I25" s="145">
        <f>SUMIFS(tbl_FinancialData[Revenue],tbl_FinancialData[Clean Product Name],H25)</f>
        <v>2193240.0899999994</v>
      </c>
      <c r="J25" s="145"/>
      <c r="K25" s="5">
        <f>SUMIFS(tbl_FinancialData[Net Revenue],tbl_FinancialData[Clean Product Name],H25)</f>
        <v>2321909.4900000002</v>
      </c>
      <c r="L25" s="145">
        <f>SUMIFS(tbl_FinancialData[Net Profit],tbl_FinancialData[Clean Product Name],H25)</f>
        <v>300414.70999999996</v>
      </c>
      <c r="M25" s="145"/>
      <c r="N25" s="34">
        <f t="shared" si="0"/>
        <v>0.12938261000001336</v>
      </c>
    </row>
    <row r="26" spans="2:15" x14ac:dyDescent="0.25">
      <c r="B26" s="5" t="s">
        <v>65</v>
      </c>
      <c r="C26" s="20">
        <f>SUMIFS(tbl_FinancialData[Revenue],tbl_FinancialData[Month],B26)</f>
        <v>2589723.3199999989</v>
      </c>
      <c r="D26" s="135">
        <f>SUMIFS(tbl_FinancialData[Net Revenue],tbl_FinancialData[Month],B26)</f>
        <v>2814373.9900000007</v>
      </c>
      <c r="E26" s="136"/>
      <c r="F26" s="20">
        <f>SUMIFS(tbl_FinancialData[Net Profit],tbl_FinancialData[Month],B26)</f>
        <v>390479.71999999991</v>
      </c>
      <c r="H26" s="4" t="str">
        <v>Business Laptop</v>
      </c>
      <c r="I26" s="145">
        <f>SUMIFS(tbl_FinancialData[Revenue],tbl_FinancialData[Clean Product Name],H26)</f>
        <v>1944377.23</v>
      </c>
      <c r="J26" s="145"/>
      <c r="K26" s="5">
        <f>SUMIFS(tbl_FinancialData[Net Revenue],tbl_FinancialData[Clean Product Name],H26)</f>
        <v>2120819.7599999998</v>
      </c>
      <c r="L26" s="145">
        <f>SUMIFS(tbl_FinancialData[Net Profit],tbl_FinancialData[Clean Product Name],H26)</f>
        <v>289724.32</v>
      </c>
      <c r="M26" s="145"/>
      <c r="N26" s="34">
        <f t="shared" si="0"/>
        <v>0.13660959100079303</v>
      </c>
    </row>
    <row r="27" spans="2:15" x14ac:dyDescent="0.25">
      <c r="B27" s="5" t="s">
        <v>156</v>
      </c>
      <c r="C27" s="20">
        <f>SUMIFS(tbl_FinancialData[Revenue],tbl_FinancialData[Month],B27)</f>
        <v>1864173.1099999996</v>
      </c>
      <c r="D27" s="135">
        <f>SUMIFS(tbl_FinancialData[Net Revenue],tbl_FinancialData[Month],B27)</f>
        <v>1998125.4599999997</v>
      </c>
      <c r="E27" s="136"/>
      <c r="F27" s="20">
        <f>SUMIFS(tbl_FinancialData[Net Profit],tbl_FinancialData[Month],B27)</f>
        <v>256654.27999999997</v>
      </c>
      <c r="H27" s="4" t="str">
        <v>Printer</v>
      </c>
      <c r="I27" s="145">
        <f>SUMIFS(tbl_FinancialData[Revenue],tbl_FinancialData[Clean Product Name],H27)</f>
        <v>2045796.96</v>
      </c>
      <c r="J27" s="145"/>
      <c r="K27" s="5">
        <f>SUMIFS(tbl_FinancialData[Net Revenue],tbl_FinancialData[Clean Product Name],H27)</f>
        <v>2220027.3100000005</v>
      </c>
      <c r="L27" s="145">
        <f>SUMIFS(tbl_FinancialData[Net Profit],tbl_FinancialData[Clean Product Name],H27)</f>
        <v>294715.26999999996</v>
      </c>
      <c r="M27" s="145"/>
      <c r="N27" s="34">
        <f t="shared" si="0"/>
        <v>0.13275299302511728</v>
      </c>
    </row>
    <row r="28" spans="2:15" x14ac:dyDescent="0.25">
      <c r="B28" s="5" t="s">
        <v>32</v>
      </c>
      <c r="C28" s="20">
        <f>SUMIFS(tbl_FinancialData[Revenue],tbl_FinancialData[Month],B28)</f>
        <v>2377772.3900000006</v>
      </c>
      <c r="D28" s="135">
        <f>SUMIFS(tbl_FinancialData[Net Revenue],tbl_FinancialData[Month],B28)</f>
        <v>2569787.3699999996</v>
      </c>
      <c r="E28" s="136"/>
      <c r="F28" s="20">
        <f>SUMIFS(tbl_FinancialData[Net Profit],tbl_FinancialData[Month],B28)</f>
        <v>358652.40000000008</v>
      </c>
      <c r="H28" s="4" t="str">
        <v>Document Scanner</v>
      </c>
      <c r="I28" s="145">
        <f>SUMIFS(tbl_FinancialData[Revenue],tbl_FinancialData[Clean Product Name],H28)</f>
        <v>2452090.0499999998</v>
      </c>
      <c r="J28" s="145"/>
      <c r="K28" s="5">
        <f>SUMIFS(tbl_FinancialData[Net Revenue],tbl_FinancialData[Clean Product Name],H28)</f>
        <v>2640552.0700000003</v>
      </c>
      <c r="L28" s="145">
        <f>SUMIFS(tbl_FinancialData[Net Profit],tbl_FinancialData[Clean Product Name],H28)</f>
        <v>402031.3899999999</v>
      </c>
      <c r="M28" s="145"/>
      <c r="N28" s="34">
        <f t="shared" si="0"/>
        <v>0.15225277871532367</v>
      </c>
    </row>
    <row r="29" spans="2:15" x14ac:dyDescent="0.25">
      <c r="B29" s="5" t="s">
        <v>117</v>
      </c>
      <c r="C29" s="20">
        <f>SUMIFS(tbl_FinancialData[Revenue],tbl_FinancialData[Month],B29)</f>
        <v>2205648.2700000005</v>
      </c>
      <c r="D29" s="135">
        <f>SUMIFS(tbl_FinancialData[Net Revenue],tbl_FinancialData[Month],B29)</f>
        <v>2430495.1400000006</v>
      </c>
      <c r="E29" s="136"/>
      <c r="F29" s="20">
        <f>SUMIFS(tbl_FinancialData[Net Profit],tbl_FinancialData[Month],B29)</f>
        <v>304569.70000000013</v>
      </c>
      <c r="H29" s="4" t="str">
        <v>Accounting Software</v>
      </c>
      <c r="I29" s="145">
        <f>SUMIFS(tbl_FinancialData[Revenue],tbl_FinancialData[Clean Product Name],H29)</f>
        <v>844749.67999999982</v>
      </c>
      <c r="J29" s="145"/>
      <c r="K29" s="5">
        <f>SUMIFS(tbl_FinancialData[Net Revenue],tbl_FinancialData[Clean Product Name],H29)</f>
        <v>926660.45000000019</v>
      </c>
      <c r="L29" s="145">
        <f>SUMIFS(tbl_FinancialData[Net Profit],tbl_FinancialData[Clean Product Name],H29)</f>
        <v>115635.15999999999</v>
      </c>
      <c r="M29" s="145"/>
      <c r="N29" s="34">
        <f t="shared" si="0"/>
        <v>0.12478698103496266</v>
      </c>
    </row>
    <row r="30" spans="2:15" x14ac:dyDescent="0.25">
      <c r="B30" s="5" t="s">
        <v>46</v>
      </c>
      <c r="C30" s="20">
        <f>SUMIFS(tbl_FinancialData[Revenue],tbl_FinancialData[Month],B30)</f>
        <v>2117877.86</v>
      </c>
      <c r="D30" s="135">
        <f>SUMIFS(tbl_FinancialData[Net Revenue],tbl_FinancialData[Month],B30)</f>
        <v>2281461.1800000002</v>
      </c>
      <c r="E30" s="136"/>
      <c r="F30" s="20">
        <f>SUMIFS(tbl_FinancialData[Net Profit],tbl_FinancialData[Month],B30)</f>
        <v>280013.70000000007</v>
      </c>
      <c r="H30" s="4" t="str">
        <v>Office Desk</v>
      </c>
      <c r="I30" s="145">
        <f>SUMIFS(tbl_FinancialData[Revenue],tbl_FinancialData[Clean Product Name],H30)</f>
        <v>971560.77000000014</v>
      </c>
      <c r="J30" s="145"/>
      <c r="K30" s="5">
        <f>SUMIFS(tbl_FinancialData[Net Revenue],tbl_FinancialData[Clean Product Name],H30)</f>
        <v>1048893.7699999998</v>
      </c>
      <c r="L30" s="145">
        <f>SUMIFS(tbl_FinancialData[Net Profit],tbl_FinancialData[Clean Product Name],H30)</f>
        <v>149953.56999999995</v>
      </c>
      <c r="M30" s="145"/>
      <c r="N30" s="34">
        <f t="shared" si="0"/>
        <v>0.14296354339105283</v>
      </c>
    </row>
    <row r="31" spans="2:15" x14ac:dyDescent="0.25">
      <c r="B31" s="5" t="s">
        <v>92</v>
      </c>
      <c r="C31" s="20">
        <f>SUMIFS(tbl_FinancialData[Revenue],tbl_FinancialData[Month],B31)</f>
        <v>2173483.1400000006</v>
      </c>
      <c r="D31" s="135">
        <f>SUMIFS(tbl_FinancialData[Net Revenue],tbl_FinancialData[Month],B31)</f>
        <v>2327518.1899999995</v>
      </c>
      <c r="E31" s="136"/>
      <c r="F31" s="20">
        <f>SUMIFS(tbl_FinancialData[Net Profit],tbl_FinancialData[Month],B31)</f>
        <v>316399.42000000016</v>
      </c>
      <c r="H31" s="4" t="str">
        <v>Projector</v>
      </c>
      <c r="I31" s="145">
        <f>SUMIFS(tbl_FinancialData[Revenue],tbl_FinancialData[Clean Product Name],H31)</f>
        <v>2203534.8199999998</v>
      </c>
      <c r="J31" s="145"/>
      <c r="K31" s="5">
        <f>SUMIFS(tbl_FinancialData[Net Revenue],tbl_FinancialData[Clean Product Name],H31)</f>
        <v>2395220.5699999998</v>
      </c>
      <c r="L31" s="145">
        <f>SUMIFS(tbl_FinancialData[Net Profit],tbl_FinancialData[Clean Product Name],H31)</f>
        <v>332435.91000000003</v>
      </c>
      <c r="M31" s="145"/>
      <c r="N31" s="34">
        <f t="shared" si="0"/>
        <v>0.13879135565373008</v>
      </c>
    </row>
    <row r="32" spans="2:15" x14ac:dyDescent="0.25">
      <c r="B32" s="5" t="s">
        <v>147</v>
      </c>
      <c r="C32" s="20">
        <f>SUMIFS(tbl_FinancialData[Revenue],tbl_FinancialData[Month],B32)</f>
        <v>2665320.71</v>
      </c>
      <c r="D32" s="135">
        <f>SUMIFS(tbl_FinancialData[Net Revenue],tbl_FinancialData[Month],B32)</f>
        <v>2863485.4100000006</v>
      </c>
      <c r="E32" s="136"/>
      <c r="F32" s="20">
        <f>SUMIFS(tbl_FinancialData[Net Profit],tbl_FinancialData[Month],B32)</f>
        <v>407916.85000000009</v>
      </c>
      <c r="H32" s="4" t="str">
        <v>UPS System</v>
      </c>
      <c r="I32" s="145">
        <f>SUMIFS(tbl_FinancialData[Revenue],tbl_FinancialData[Clean Product Name],H32)</f>
        <v>2426113.9300000006</v>
      </c>
      <c r="J32" s="145"/>
      <c r="K32" s="5">
        <f>SUMIFS(tbl_FinancialData[Net Revenue],tbl_FinancialData[Clean Product Name],H32)</f>
        <v>2608394.7900000005</v>
      </c>
      <c r="L32" s="145">
        <f>SUMIFS(tbl_FinancialData[Net Profit],tbl_FinancialData[Clean Product Name],H32)</f>
        <v>329561.61000000004</v>
      </c>
      <c r="M32" s="145"/>
      <c r="N32" s="34">
        <f t="shared" si="0"/>
        <v>0.12634652210756792</v>
      </c>
    </row>
    <row r="33" spans="2:18" x14ac:dyDescent="0.25">
      <c r="B33" s="5" t="s">
        <v>107</v>
      </c>
      <c r="C33" s="20">
        <f>SUMIFS(tbl_FinancialData[Revenue],tbl_FinancialData[Month],B33)</f>
        <v>2762976.4899999988</v>
      </c>
      <c r="D33" s="135">
        <f>SUMIFS(tbl_FinancialData[Net Revenue],tbl_FinancialData[Month],B33)</f>
        <v>2981178.1000000006</v>
      </c>
      <c r="E33" s="136"/>
      <c r="F33" s="20">
        <f>SUMIFS(tbl_FinancialData[Net Profit],tbl_FinancialData[Month],B33)</f>
        <v>384284.26000000007</v>
      </c>
      <c r="H33" s="4" t="str">
        <v>Headset</v>
      </c>
      <c r="I33" s="145">
        <f>SUMIFS(tbl_FinancialData[Revenue],tbl_FinancialData[Clean Product Name],H33)</f>
        <v>287113.26</v>
      </c>
      <c r="J33" s="145"/>
      <c r="K33" s="5">
        <f>SUMIFS(tbl_FinancialData[Net Revenue],tbl_FinancialData[Clean Product Name],H33)</f>
        <v>307143.99999999994</v>
      </c>
      <c r="L33" s="145">
        <f>SUMIFS(tbl_FinancialData[Net Profit],tbl_FinancialData[Clean Product Name],H33)</f>
        <v>41741.939999999973</v>
      </c>
      <c r="M33" s="145"/>
      <c r="N33" s="34">
        <f t="shared" si="0"/>
        <v>0.13590348501028826</v>
      </c>
    </row>
    <row r="34" spans="2:18" x14ac:dyDescent="0.25">
      <c r="B34" s="5" t="s">
        <v>1275</v>
      </c>
      <c r="C34" s="20">
        <f>SUM(C22:C33)</f>
        <v>28075370.16</v>
      </c>
      <c r="D34" s="135">
        <f>SUM(D22:D33)</f>
        <v>30346272.440000001</v>
      </c>
      <c r="E34" s="136"/>
      <c r="F34" s="20">
        <f>SUM(F22:F33)</f>
        <v>4049228.120000001</v>
      </c>
      <c r="H34" s="4" t="str">
        <v>Tablet</v>
      </c>
      <c r="I34" s="145">
        <f>SUMIFS(tbl_FinancialData[Revenue],tbl_FinancialData[Clean Product Name],H34)</f>
        <v>1831477.71</v>
      </c>
      <c r="J34" s="145"/>
      <c r="K34" s="5">
        <f>SUMIFS(tbl_FinancialData[Net Revenue],tbl_FinancialData[Clean Product Name],H34)</f>
        <v>1983163.9799999997</v>
      </c>
      <c r="L34" s="145">
        <f>SUMIFS(tbl_FinancialData[Net Profit],tbl_FinancialData[Clean Product Name],H34)</f>
        <v>213179.72999999995</v>
      </c>
      <c r="M34" s="145"/>
      <c r="N34" s="34">
        <f t="shared" si="0"/>
        <v>0.10749475693885888</v>
      </c>
    </row>
    <row r="35" spans="2:18" x14ac:dyDescent="0.25">
      <c r="H35" s="4" t="str">
        <v>Network Switch</v>
      </c>
      <c r="I35" s="145">
        <f>SUMIFS(tbl_FinancialData[Revenue],tbl_FinancialData[Clean Product Name],H35)</f>
        <v>1273809.8300000005</v>
      </c>
      <c r="J35" s="145"/>
      <c r="K35" s="5">
        <f>SUMIFS(tbl_FinancialData[Net Revenue],tbl_FinancialData[Clean Product Name],H35)</f>
        <v>1366829.2000000002</v>
      </c>
      <c r="L35" s="145">
        <f>SUMIFS(tbl_FinancialData[Net Profit],tbl_FinancialData[Clean Product Name],H35)</f>
        <v>173377.79000000004</v>
      </c>
      <c r="M35" s="145"/>
      <c r="N35" s="34">
        <f t="shared" si="0"/>
        <v>0.1268467120837044</v>
      </c>
    </row>
    <row r="36" spans="2:18" ht="15.75" customHeight="1" x14ac:dyDescent="0.3">
      <c r="B36" s="148" t="s">
        <v>1276</v>
      </c>
      <c r="C36" s="148"/>
      <c r="D36" s="148"/>
      <c r="E36" s="148"/>
      <c r="F36" s="148"/>
      <c r="H36" s="4" t="str">
        <v>Network Router</v>
      </c>
      <c r="I36" s="145">
        <f>SUMIFS(tbl_FinancialData[Revenue],tbl_FinancialData[Clean Product Name],H36)</f>
        <v>1197583.1199999999</v>
      </c>
      <c r="J36" s="145"/>
      <c r="K36" s="5">
        <f>SUMIFS(tbl_FinancialData[Net Revenue],tbl_FinancialData[Clean Product Name],H36)</f>
        <v>1285481.9500000004</v>
      </c>
      <c r="L36" s="145">
        <f>SUMIFS(tbl_FinancialData[Net Profit],tbl_FinancialData[Clean Product Name],H36)</f>
        <v>170136.85000000006</v>
      </c>
      <c r="M36" s="145"/>
      <c r="N36" s="34">
        <f t="shared" si="0"/>
        <v>0.13235257795724009</v>
      </c>
    </row>
    <row r="37" spans="2:18" x14ac:dyDescent="0.25">
      <c r="H37" s="4" t="str">
        <v>CRM Software</v>
      </c>
      <c r="I37" s="145">
        <f>SUMIFS(tbl_FinancialData[Revenue],tbl_FinancialData[Clean Product Name],H37)</f>
        <v>985676.13000000047</v>
      </c>
      <c r="J37" s="145"/>
      <c r="K37" s="5">
        <f>SUMIFS(tbl_FinancialData[Net Revenue],tbl_FinancialData[Clean Product Name],H37)</f>
        <v>1045782.7200000003</v>
      </c>
      <c r="L37" s="145">
        <f>SUMIFS(tbl_FinancialData[Net Profit],tbl_FinancialData[Clean Product Name],H37)</f>
        <v>135857.69000000003</v>
      </c>
      <c r="M37" s="145"/>
      <c r="N37" s="34">
        <f t="shared" si="0"/>
        <v>0.12991005435622419</v>
      </c>
    </row>
    <row r="38" spans="2:18" x14ac:dyDescent="0.25">
      <c r="B38" s="24" t="s">
        <v>5</v>
      </c>
      <c r="C38" s="21" t="s">
        <v>30</v>
      </c>
      <c r="D38" s="144" t="s">
        <v>25</v>
      </c>
      <c r="E38" s="144"/>
      <c r="F38" s="21" t="s">
        <v>26</v>
      </c>
      <c r="H38" s="4" t="str">
        <v>Smartphone</v>
      </c>
      <c r="I38" s="145">
        <f>SUMIFS(tbl_FinancialData[Revenue],tbl_FinancialData[Clean Product Name],H38)</f>
        <v>2111913.1</v>
      </c>
      <c r="J38" s="145"/>
      <c r="K38" s="5">
        <f>SUMIFS(tbl_FinancialData[Net Revenue],tbl_FinancialData[Clean Product Name],H38)</f>
        <v>2301634.7599999988</v>
      </c>
      <c r="L38" s="145">
        <f>SUMIFS(tbl_FinancialData[Net Profit],tbl_FinancialData[Clean Product Name],H38)</f>
        <v>305953.15000000002</v>
      </c>
      <c r="M38" s="145"/>
      <c r="N38" s="34">
        <f t="shared" si="0"/>
        <v>0.13292862765072255</v>
      </c>
      <c r="Q38" s="14"/>
      <c r="R38" s="14"/>
    </row>
    <row r="39" spans="2:18" x14ac:dyDescent="0.25">
      <c r="B39" s="22" t="str" cm="1">
        <f t="array" ref="B39:B43">_xlfn.UNIQUE(tbl_FinancialData[Region])</f>
        <v>West</v>
      </c>
      <c r="C39" s="28">
        <f>SUMIFS(tbl_FinancialData[Net Revenue],tbl_FinancialData[Region],B39)</f>
        <v>8752932.7799999975</v>
      </c>
      <c r="D39" s="141">
        <f>SUMIFS(tbl_FinancialData[Net Profit],tbl_FinancialData[Region],B39)</f>
        <v>1153460.6700000004</v>
      </c>
      <c r="E39" s="141"/>
      <c r="F39" s="29">
        <f>IF(C39=0,0,D39/C39)</f>
        <v>0.13177990725983854</v>
      </c>
      <c r="H39" s="4" t="str">
        <v>Office Chair</v>
      </c>
      <c r="I39" s="145">
        <f>SUMIFS(tbl_FinancialData[Revenue],tbl_FinancialData[Clean Product Name],H39)</f>
        <v>1054216.8700000001</v>
      </c>
      <c r="J39" s="145"/>
      <c r="K39" s="5">
        <f>SUMIFS(tbl_FinancialData[Net Revenue],tbl_FinancialData[Clean Product Name],H39)</f>
        <v>1133909.98</v>
      </c>
      <c r="L39" s="145">
        <f>SUMIFS(tbl_FinancialData[Net Profit],tbl_FinancialData[Clean Product Name],H39)</f>
        <v>156411.05999999997</v>
      </c>
      <c r="M39" s="145"/>
      <c r="N39" s="34">
        <f t="shared" si="0"/>
        <v>0.13793957435668744</v>
      </c>
      <c r="Q39" s="10"/>
    </row>
    <row r="40" spans="2:18" x14ac:dyDescent="0.25">
      <c r="B40" s="22" t="str">
        <v>South</v>
      </c>
      <c r="C40" s="30">
        <f>SUMIFS(tbl_FinancialData[Net Revenue],tbl_FinancialData[Region],B40)</f>
        <v>5662312.3999999966</v>
      </c>
      <c r="D40" s="141">
        <f>SUMIFS(tbl_FinancialData[Net Profit],tbl_FinancialData[Region],B40)</f>
        <v>766054.10999999975</v>
      </c>
      <c r="E40" s="141"/>
      <c r="F40" s="29">
        <f t="shared" ref="F40:F43" si="1">IF(C40=0,0,D40/C40)</f>
        <v>0.13528997622949948</v>
      </c>
      <c r="H40" s="4" t="str">
        <v>Cloud Software</v>
      </c>
      <c r="I40" s="145">
        <f>SUMIFS(tbl_FinancialData[Revenue],tbl_FinancialData[Clean Product Name],H40)</f>
        <v>590733.28000000014</v>
      </c>
      <c r="J40" s="145"/>
      <c r="K40" s="5">
        <f>SUMIFS(tbl_FinancialData[Net Revenue],tbl_FinancialData[Clean Product Name],H40)</f>
        <v>638903.02999999991</v>
      </c>
      <c r="L40" s="145">
        <f>SUMIFS(tbl_FinancialData[Net Profit],tbl_FinancialData[Clean Product Name],H40)</f>
        <v>86677.209999999992</v>
      </c>
      <c r="M40" s="145"/>
      <c r="N40" s="34">
        <f t="shared" si="0"/>
        <v>0.13566567370951427</v>
      </c>
      <c r="Q40" s="10"/>
    </row>
    <row r="41" spans="2:18" x14ac:dyDescent="0.25">
      <c r="B41" s="22" t="str">
        <v>North</v>
      </c>
      <c r="C41" s="28">
        <f>SUMIFS(tbl_FinancialData[Net Revenue],tbl_FinancialData[Region],B41)</f>
        <v>6212876.2100000028</v>
      </c>
      <c r="D41" s="141">
        <f>SUMIFS(tbl_FinancialData[Net Profit],tbl_FinancialData[Region],B41)</f>
        <v>803367.79999999946</v>
      </c>
      <c r="E41" s="141"/>
      <c r="F41" s="29">
        <f t="shared" si="1"/>
        <v>0.1293069059877501</v>
      </c>
      <c r="H41" s="4" t="str">
        <v>Data Storage</v>
      </c>
      <c r="I41" s="145">
        <f>SUMIFS(tbl_FinancialData[Revenue],tbl_FinancialData[Clean Product Name],H41)</f>
        <v>755377.32</v>
      </c>
      <c r="J41" s="145"/>
      <c r="K41" s="5">
        <f>SUMIFS(tbl_FinancialData[Net Revenue],tbl_FinancialData[Clean Product Name],H41)</f>
        <v>823781.70000000007</v>
      </c>
      <c r="L41" s="145">
        <f>SUMIFS(tbl_FinancialData[Net Profit],tbl_FinancialData[Clean Product Name],H41)</f>
        <v>114581.01000000004</v>
      </c>
      <c r="M41" s="145"/>
      <c r="N41" s="34">
        <f t="shared" si="0"/>
        <v>0.13909147289870608</v>
      </c>
      <c r="Q41" s="10"/>
    </row>
    <row r="42" spans="2:18" x14ac:dyDescent="0.25">
      <c r="B42" s="22" t="str">
        <v>East</v>
      </c>
      <c r="C42" s="28">
        <f>SUMIFS(tbl_FinancialData[Net Revenue],tbl_FinancialData[Region],B42)</f>
        <v>5762219.9200000027</v>
      </c>
      <c r="D42" s="141">
        <f>SUMIFS(tbl_FinancialData[Net Profit],tbl_FinancialData[Region],B42)</f>
        <v>797440.02000000025</v>
      </c>
      <c r="E42" s="141"/>
      <c r="F42" s="29">
        <f t="shared" si="1"/>
        <v>0.1383911115978371</v>
      </c>
      <c r="H42" s="4" t="s">
        <v>1275</v>
      </c>
      <c r="I42" s="145">
        <f>SUM(I22:I41)</f>
        <v>28075370.160000008</v>
      </c>
      <c r="J42" s="145"/>
      <c r="K42" s="5">
        <f>SUM(K22:K41)</f>
        <v>30346272.439999998</v>
      </c>
      <c r="L42" s="145">
        <f>SUM(L22:L41)</f>
        <v>4049228.1199999996</v>
      </c>
      <c r="M42" s="145"/>
      <c r="N42" s="34">
        <f>IF(K42=0,0,L42/K42)</f>
        <v>0.13343411873751701</v>
      </c>
      <c r="Q42" s="10"/>
    </row>
    <row r="43" spans="2:18" x14ac:dyDescent="0.25">
      <c r="B43" s="22" t="str">
        <v>Central</v>
      </c>
      <c r="C43" s="28">
        <f>SUMIFS(tbl_FinancialData[Net Revenue],tbl_FinancialData[Region],B43)</f>
        <v>3955931.129999999</v>
      </c>
      <c r="D43" s="141">
        <f>SUMIFS(tbl_FinancialData[Net Profit],tbl_FinancialData[Region],B43)</f>
        <v>528905.51999999979</v>
      </c>
      <c r="E43" s="141"/>
      <c r="F43" s="29">
        <f t="shared" si="1"/>
        <v>0.13369937509503607</v>
      </c>
      <c r="Q43" s="10"/>
    </row>
    <row r="44" spans="2:18" x14ac:dyDescent="0.25">
      <c r="Q44" s="10"/>
    </row>
    <row r="45" spans="2:18" x14ac:dyDescent="0.25">
      <c r="Q45" s="10"/>
    </row>
    <row r="46" spans="2:18" ht="25.5" customHeight="1" x14ac:dyDescent="0.25">
      <c r="B46" s="142" t="s">
        <v>1278</v>
      </c>
      <c r="C46" s="142"/>
      <c r="D46" s="142"/>
      <c r="E46" s="142"/>
      <c r="F46" s="142"/>
      <c r="G46" s="142"/>
      <c r="H46" s="142"/>
      <c r="I46" s="142"/>
      <c r="J46" s="142"/>
      <c r="K46" s="142"/>
      <c r="L46" s="142"/>
      <c r="M46" s="142"/>
      <c r="N46" s="142"/>
      <c r="O46" s="142"/>
      <c r="Q46" s="10"/>
    </row>
    <row r="47" spans="2:18" x14ac:dyDescent="0.25">
      <c r="Q47" s="10"/>
    </row>
    <row r="48" spans="2:18" x14ac:dyDescent="0.25">
      <c r="Q48" s="10"/>
    </row>
    <row r="50" spans="2:15" ht="12.75" customHeight="1" x14ac:dyDescent="0.25"/>
    <row r="51" spans="2:15" ht="29.25" customHeight="1" x14ac:dyDescent="0.4">
      <c r="B51" s="31" t="str">
        <f>INDEX(B39:B43,MATCH(MAX(C39:C43),C39:C43,0))</f>
        <v>West</v>
      </c>
      <c r="C51" s="139" t="str">
        <f>INDEX(B39:B43,MATCH(MIN(C39:C43),C39:C43,0))</f>
        <v>Central</v>
      </c>
      <c r="D51" s="139"/>
      <c r="E51" s="138" t="str">
        <f>INDEX(B22:B33,MATCH(MAX(F22:F33),F22:F33,0))</f>
        <v>November</v>
      </c>
      <c r="F51" s="138"/>
      <c r="G51" s="140" t="str">
        <f>INDEX(B22:B33,MATCH(MIN(F22:F33),F22:F33,0))</f>
        <v>June</v>
      </c>
      <c r="H51" s="140"/>
      <c r="I51" s="32" t="str">
        <f>INDEX(B39:B43,MATCH(MAX(D39:D43),D39:D43,0))</f>
        <v>West</v>
      </c>
      <c r="K51" s="33" t="str">
        <f>INDEX(H22:H41, MATCH(MAX(I22:I41), I22:I41, 0))</f>
        <v>Document Scanner</v>
      </c>
      <c r="L51" s="143">
        <f>L9</f>
        <v>0.96393225747004374</v>
      </c>
      <c r="M51" s="143"/>
      <c r="N51" s="137">
        <f>IF(C16=0,0,C15/C16)</f>
        <v>0.13343411873751709</v>
      </c>
      <c r="O51" s="137"/>
    </row>
    <row r="64" spans="2:15" x14ac:dyDescent="0.25">
      <c r="I64" s="157"/>
      <c r="J64" s="157"/>
      <c r="K64" s="157"/>
      <c r="L64" s="157"/>
      <c r="M64" s="157"/>
      <c r="N64" s="157"/>
    </row>
    <row r="65" spans="9:14" x14ac:dyDescent="0.25">
      <c r="L65" s="10"/>
      <c r="M65" s="10"/>
    </row>
    <row r="66" spans="9:14" x14ac:dyDescent="0.25">
      <c r="I66" s="23"/>
      <c r="J66" s="159"/>
      <c r="K66" s="159"/>
      <c r="L66" s="23"/>
      <c r="M66" s="23"/>
      <c r="N66" s="23"/>
    </row>
    <row r="67" spans="9:14" x14ac:dyDescent="0.25">
      <c r="J67" s="158"/>
      <c r="K67" s="158"/>
    </row>
    <row r="68" spans="9:14" x14ac:dyDescent="0.25">
      <c r="J68" s="158"/>
      <c r="K68" s="158"/>
      <c r="L68" s="10"/>
      <c r="M68" s="10"/>
      <c r="N68" s="10"/>
    </row>
    <row r="69" spans="9:14" x14ac:dyDescent="0.25">
      <c r="J69" s="158"/>
      <c r="K69" s="158"/>
      <c r="L69" s="10"/>
      <c r="M69" s="10"/>
      <c r="N69" s="10"/>
    </row>
    <row r="70" spans="9:14" x14ac:dyDescent="0.25">
      <c r="J70" s="158"/>
      <c r="K70" s="158"/>
      <c r="M70" s="10"/>
      <c r="N70" s="10"/>
    </row>
    <row r="71" spans="9:14" x14ac:dyDescent="0.25">
      <c r="J71" s="158"/>
      <c r="K71" s="158"/>
      <c r="L71" s="10"/>
      <c r="M71" s="10"/>
      <c r="N71" s="10"/>
    </row>
    <row r="77" spans="9:14" x14ac:dyDescent="0.25">
      <c r="I77" s="157"/>
      <c r="J77" s="157"/>
      <c r="K77" s="157"/>
    </row>
    <row r="79" spans="9:14" x14ac:dyDescent="0.25">
      <c r="I79" s="27"/>
      <c r="J79" s="27"/>
      <c r="K79" s="27"/>
    </row>
    <row r="80" spans="9:14" x14ac:dyDescent="0.25">
      <c r="I80" s="11"/>
    </row>
    <row r="81" spans="9:9" x14ac:dyDescent="0.25">
      <c r="I81" s="11"/>
    </row>
    <row r="82" spans="9:9" x14ac:dyDescent="0.25">
      <c r="I82" s="11"/>
    </row>
    <row r="83" spans="9:9" x14ac:dyDescent="0.25">
      <c r="I83" s="11"/>
    </row>
    <row r="84" spans="9:9" x14ac:dyDescent="0.25">
      <c r="I84" s="11"/>
    </row>
    <row r="85" spans="9:9" x14ac:dyDescent="0.25">
      <c r="I85" s="11"/>
    </row>
    <row r="86" spans="9:9" x14ac:dyDescent="0.25">
      <c r="I86" s="11"/>
    </row>
    <row r="87" spans="9:9" x14ac:dyDescent="0.25">
      <c r="I87" s="11"/>
    </row>
    <row r="88" spans="9:9" x14ac:dyDescent="0.25">
      <c r="I88" s="11"/>
    </row>
    <row r="89" spans="9:9" x14ac:dyDescent="0.25">
      <c r="I89" s="11"/>
    </row>
  </sheetData>
  <mergeCells count="87">
    <mergeCell ref="I28:J28"/>
    <mergeCell ref="L22:M22"/>
    <mergeCell ref="L23:M23"/>
    <mergeCell ref="L24:M24"/>
    <mergeCell ref="L25:M25"/>
    <mergeCell ref="L26:M26"/>
    <mergeCell ref="L27:M27"/>
    <mergeCell ref="I25:J25"/>
    <mergeCell ref="I26:J26"/>
    <mergeCell ref="I27:J27"/>
    <mergeCell ref="I77:K77"/>
    <mergeCell ref="L39:M39"/>
    <mergeCell ref="L40:M40"/>
    <mergeCell ref="L41:M41"/>
    <mergeCell ref="I39:J39"/>
    <mergeCell ref="I40:J40"/>
    <mergeCell ref="J70:K70"/>
    <mergeCell ref="J71:K71"/>
    <mergeCell ref="J66:K66"/>
    <mergeCell ref="I64:N64"/>
    <mergeCell ref="J67:K67"/>
    <mergeCell ref="J68:K68"/>
    <mergeCell ref="J69:K69"/>
    <mergeCell ref="I41:J41"/>
    <mergeCell ref="L42:M42"/>
    <mergeCell ref="I38:J38"/>
    <mergeCell ref="I21:J21"/>
    <mergeCell ref="L21:M21"/>
    <mergeCell ref="B1:O1"/>
    <mergeCell ref="H19:N19"/>
    <mergeCell ref="K3:L3"/>
    <mergeCell ref="H3:I3"/>
    <mergeCell ref="B19:F19"/>
    <mergeCell ref="B3:C3"/>
    <mergeCell ref="E3:F3"/>
    <mergeCell ref="L37:M37"/>
    <mergeCell ref="I22:J22"/>
    <mergeCell ref="I23:J23"/>
    <mergeCell ref="I24:J24"/>
    <mergeCell ref="L35:M35"/>
    <mergeCell ref="L36:M36"/>
    <mergeCell ref="D34:E34"/>
    <mergeCell ref="B36:F36"/>
    <mergeCell ref="D32:E32"/>
    <mergeCell ref="I42:J42"/>
    <mergeCell ref="N3:O3"/>
    <mergeCell ref="D27:E27"/>
    <mergeCell ref="D28:E28"/>
    <mergeCell ref="D42:E42"/>
    <mergeCell ref="L38:M38"/>
    <mergeCell ref="L28:M28"/>
    <mergeCell ref="L31:M31"/>
    <mergeCell ref="L32:M32"/>
    <mergeCell ref="L33:M33"/>
    <mergeCell ref="L29:M29"/>
    <mergeCell ref="L30:M30"/>
    <mergeCell ref="L34:M34"/>
    <mergeCell ref="I29:J29"/>
    <mergeCell ref="I30:J30"/>
    <mergeCell ref="I31:J31"/>
    <mergeCell ref="I32:J32"/>
    <mergeCell ref="I33:J33"/>
    <mergeCell ref="D21:E21"/>
    <mergeCell ref="D31:E31"/>
    <mergeCell ref="D30:E30"/>
    <mergeCell ref="D29:E29"/>
    <mergeCell ref="D24:E24"/>
    <mergeCell ref="D25:E25"/>
    <mergeCell ref="D26:E26"/>
    <mergeCell ref="D22:E22"/>
    <mergeCell ref="D23:E23"/>
    <mergeCell ref="D33:E33"/>
    <mergeCell ref="N51:O51"/>
    <mergeCell ref="E51:F51"/>
    <mergeCell ref="C51:D51"/>
    <mergeCell ref="G51:H51"/>
    <mergeCell ref="D41:E41"/>
    <mergeCell ref="D43:E43"/>
    <mergeCell ref="B46:O46"/>
    <mergeCell ref="L51:M51"/>
    <mergeCell ref="D38:E38"/>
    <mergeCell ref="D39:E39"/>
    <mergeCell ref="D40:E40"/>
    <mergeCell ref="I34:J34"/>
    <mergeCell ref="I35:J35"/>
    <mergeCell ref="I36:J36"/>
    <mergeCell ref="I37:J37"/>
  </mergeCells>
  <conditionalFormatting sqref="B5:C16">
    <cfRule type="cellIs" dxfId="14" priority="14" operator="lessThan">
      <formula>100000</formula>
    </cfRule>
  </conditionalFormatting>
  <conditionalFormatting sqref="C14">
    <cfRule type="cellIs" dxfId="13" priority="11" operator="equal">
      <formula>11190095.68</formula>
    </cfRule>
    <cfRule type="cellIs" dxfId="12" priority="13" operator="equal">
      <formula>11190095.68</formula>
    </cfRule>
  </conditionalFormatting>
  <conditionalFormatting sqref="C16">
    <cfRule type="cellIs" dxfId="11" priority="10" operator="equal">
      <formula>30346272.44</formula>
    </cfRule>
    <cfRule type="cellIs" dxfId="10" priority="12" operator="equal">
      <formula>30346272.44</formula>
    </cfRule>
  </conditionalFormatting>
  <conditionalFormatting sqref="E5:F13">
    <cfRule type="cellIs" dxfId="9" priority="7" operator="lessThan">
      <formula>0.01</formula>
    </cfRule>
  </conditionalFormatting>
  <conditionalFormatting sqref="F7">
    <cfRule type="cellIs" dxfId="8" priority="8" operator="equal">
      <formula>-0.423</formula>
    </cfRule>
  </conditionalFormatting>
  <conditionalFormatting sqref="F22:F34">
    <cfRule type="cellIs" dxfId="7" priority="3" operator="lessThan">
      <formula>100000</formula>
    </cfRule>
  </conditionalFormatting>
  <conditionalFormatting sqref="F39:F43">
    <cfRule type="cellIs" dxfId="6" priority="2" operator="lessThan">
      <formula>1</formula>
    </cfRule>
  </conditionalFormatting>
  <conditionalFormatting sqref="I6:I13">
    <cfRule type="cellIs" dxfId="5" priority="4" operator="lessThan">
      <formula>0</formula>
    </cfRule>
  </conditionalFormatting>
  <conditionalFormatting sqref="L5:L10">
    <cfRule type="cellIs" dxfId="4" priority="5" operator="lessThan">
      <formula>-1</formula>
    </cfRule>
  </conditionalFormatting>
  <conditionalFormatting sqref="L8">
    <cfRule type="cellIs" dxfId="3" priority="6" operator="equal">
      <formula>-1220397.73</formula>
    </cfRule>
  </conditionalFormatting>
  <pageMargins left="0.7" right="0.7" top="0.75" bottom="0.75" header="0.3" footer="0.3"/>
  <pageSetup orientation="portrait" r:id="rId1"/>
  <ignoredErrors>
    <ignoredError sqref="O7:O13" calculatedColumn="1"/>
  </ignoredErrors>
  <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6C7F0-EF35-4ACC-B9DE-C83E4F638844}">
  <dimension ref="A1:N90"/>
  <sheetViews>
    <sheetView showGridLines="0" showRowColHeaders="0" zoomScale="85" zoomScaleNormal="100" workbookViewId="0">
      <selection activeCell="I70" sqref="I70"/>
    </sheetView>
  </sheetViews>
  <sheetFormatPr defaultRowHeight="15" x14ac:dyDescent="0.25"/>
  <cols>
    <col min="1" max="1" width="20" style="42" customWidth="1"/>
    <col min="2" max="2" width="16.7109375" customWidth="1"/>
    <col min="3" max="3" width="24" customWidth="1"/>
    <col min="4" max="4" width="17.42578125" customWidth="1"/>
    <col min="5" max="5" width="3.7109375" customWidth="1"/>
    <col min="6" max="6" width="19.140625" style="42" customWidth="1"/>
    <col min="7" max="7" width="16.7109375" style="8" customWidth="1"/>
    <col min="8" max="8" width="24" style="8" customWidth="1"/>
    <col min="9" max="9" width="32" style="8" customWidth="1"/>
    <col min="10" max="10" width="3.7109375" customWidth="1"/>
    <col min="11" max="11" width="14.140625" style="42" bestFit="1" customWidth="1"/>
    <col min="12" max="12" width="16.7109375" style="8" bestFit="1" customWidth="1"/>
    <col min="13" max="13" width="24" style="8" customWidth="1"/>
  </cols>
  <sheetData>
    <row r="1" spans="1:14" ht="30" customHeight="1" x14ac:dyDescent="0.25">
      <c r="A1" s="152" t="s">
        <v>1289</v>
      </c>
      <c r="B1" s="152"/>
      <c r="C1" s="152"/>
      <c r="D1" s="152"/>
      <c r="E1" s="152"/>
      <c r="F1" s="152"/>
      <c r="G1" s="152"/>
      <c r="H1" s="152"/>
      <c r="I1" s="152"/>
      <c r="J1" s="152"/>
      <c r="K1" s="152"/>
      <c r="L1" s="152"/>
      <c r="M1" s="152"/>
      <c r="N1" s="38"/>
    </row>
    <row r="2" spans="1:14" ht="15" customHeight="1" x14ac:dyDescent="0.25">
      <c r="A2" s="71"/>
      <c r="B2" s="36"/>
      <c r="C2" s="36"/>
      <c r="D2" s="36"/>
      <c r="E2" s="36"/>
      <c r="F2" s="71"/>
      <c r="G2" s="36"/>
      <c r="H2" s="36"/>
      <c r="I2" s="36"/>
      <c r="J2" s="36"/>
      <c r="K2" s="71"/>
      <c r="L2" s="36"/>
      <c r="M2" s="36"/>
      <c r="N2" s="36"/>
    </row>
    <row r="3" spans="1:14" ht="18" customHeight="1" x14ac:dyDescent="0.3">
      <c r="A3" s="160" t="s">
        <v>1276</v>
      </c>
      <c r="B3" s="160"/>
      <c r="C3" s="160"/>
      <c r="D3" s="160"/>
      <c r="E3" s="36"/>
      <c r="F3" s="160" t="s">
        <v>1296</v>
      </c>
      <c r="G3" s="160"/>
      <c r="H3" s="160"/>
      <c r="I3" s="160"/>
      <c r="J3" s="36"/>
      <c r="K3" s="161" t="s">
        <v>1297</v>
      </c>
      <c r="L3" s="161"/>
      <c r="M3" s="161"/>
      <c r="N3" s="36"/>
    </row>
    <row r="5" spans="1:14" ht="15.75" x14ac:dyDescent="0.25">
      <c r="A5" s="70" t="s">
        <v>1290</v>
      </c>
      <c r="B5" s="40" t="s">
        <v>1292</v>
      </c>
      <c r="C5" s="69" t="s">
        <v>1293</v>
      </c>
      <c r="D5" s="40" t="s">
        <v>1294</v>
      </c>
      <c r="F5" s="70" t="s">
        <v>1290</v>
      </c>
      <c r="G5" s="40" t="s">
        <v>1292</v>
      </c>
      <c r="H5" s="40" t="s">
        <v>1294</v>
      </c>
      <c r="I5" s="40" t="s">
        <v>1295</v>
      </c>
      <c r="K5" s="70" t="s">
        <v>1290</v>
      </c>
      <c r="L5" s="40" t="s">
        <v>1292</v>
      </c>
      <c r="M5" s="40" t="s">
        <v>1293</v>
      </c>
    </row>
    <row r="6" spans="1:14" x14ac:dyDescent="0.25">
      <c r="A6" s="42" t="s">
        <v>85</v>
      </c>
      <c r="B6" s="45">
        <v>3662391.2900000005</v>
      </c>
      <c r="C6" s="45">
        <v>3801955.4599999995</v>
      </c>
      <c r="D6" s="45">
        <v>528905.51999999979</v>
      </c>
      <c r="F6" s="42" t="s">
        <v>43</v>
      </c>
      <c r="G6" s="41">
        <v>19548291.090000011</v>
      </c>
      <c r="H6" s="41">
        <v>2820172.98</v>
      </c>
      <c r="I6" s="44">
        <v>0.14426698308389055</v>
      </c>
      <c r="K6" s="42" t="s">
        <v>77</v>
      </c>
      <c r="L6" s="41">
        <v>2181355.64</v>
      </c>
      <c r="M6" s="41">
        <v>2276512.06</v>
      </c>
    </row>
    <row r="7" spans="1:14" x14ac:dyDescent="0.25">
      <c r="A7" s="42" t="s">
        <v>67</v>
      </c>
      <c r="B7" s="45">
        <v>5352186.6099999985</v>
      </c>
      <c r="C7" s="45">
        <v>5499615.8700000029</v>
      </c>
      <c r="D7" s="45">
        <v>797440.02000000025</v>
      </c>
      <c r="F7" s="42" t="s">
        <v>104</v>
      </c>
      <c r="G7" s="41">
        <v>3176536.4099999997</v>
      </c>
      <c r="H7" s="41">
        <v>452751.06999999977</v>
      </c>
      <c r="I7" s="44">
        <v>0.14252979080444408</v>
      </c>
      <c r="K7" s="42" t="s">
        <v>57</v>
      </c>
      <c r="L7" s="41">
        <v>1911886.88</v>
      </c>
      <c r="M7" s="41">
        <v>1968499.2399999998</v>
      </c>
    </row>
    <row r="8" spans="1:14" x14ac:dyDescent="0.25">
      <c r="A8" s="42" t="s">
        <v>59</v>
      </c>
      <c r="B8" s="45">
        <v>5755442.330000001</v>
      </c>
      <c r="C8" s="45">
        <v>6052506.7800000012</v>
      </c>
      <c r="D8" s="45">
        <v>803367.79999999946</v>
      </c>
      <c r="F8" s="42" t="s">
        <v>173</v>
      </c>
      <c r="G8" s="41">
        <v>2471392.9500000002</v>
      </c>
      <c r="H8" s="41">
        <v>343514.6399999999</v>
      </c>
      <c r="I8" s="44">
        <v>0.13899636640138505</v>
      </c>
      <c r="K8" s="42" t="s">
        <v>125</v>
      </c>
      <c r="L8" s="41">
        <v>2601921.38</v>
      </c>
      <c r="M8" s="41">
        <v>2683466.8999999994</v>
      </c>
    </row>
    <row r="9" spans="1:14" x14ac:dyDescent="0.25">
      <c r="A9" s="42" t="s">
        <v>47</v>
      </c>
      <c r="B9" s="45">
        <v>5236399.6099999994</v>
      </c>
      <c r="C9" s="45">
        <v>5380990.8899999987</v>
      </c>
      <c r="D9" s="45">
        <v>766054.10999999975</v>
      </c>
      <c r="F9" s="42" t="s">
        <v>112</v>
      </c>
      <c r="G9" s="41">
        <v>2025777.6399999992</v>
      </c>
      <c r="H9" s="41">
        <v>306364.63</v>
      </c>
      <c r="I9" s="44">
        <v>0.151233098811378</v>
      </c>
      <c r="K9" s="42" t="s">
        <v>128</v>
      </c>
      <c r="L9" s="41">
        <v>2623230.9700000007</v>
      </c>
      <c r="M9" s="41">
        <v>2718448.2700000014</v>
      </c>
    </row>
    <row r="10" spans="1:14" x14ac:dyDescent="0.25">
      <c r="A10" s="42" t="s">
        <v>34</v>
      </c>
      <c r="B10" s="45">
        <v>8068950.3199999966</v>
      </c>
      <c r="C10" s="45">
        <v>8390805.7100000028</v>
      </c>
      <c r="D10" s="45">
        <v>1153460.6700000004</v>
      </c>
      <c r="F10" s="42" t="s">
        <v>54</v>
      </c>
      <c r="G10" s="41">
        <v>853372.07000000007</v>
      </c>
      <c r="H10" s="41">
        <v>126424.79999999999</v>
      </c>
      <c r="I10" s="44">
        <v>0.14814733742106181</v>
      </c>
      <c r="K10" s="42" t="s">
        <v>65</v>
      </c>
      <c r="L10" s="41">
        <v>2589723.3199999989</v>
      </c>
      <c r="M10" s="41">
        <v>2707793.3</v>
      </c>
    </row>
    <row r="11" spans="1:14" x14ac:dyDescent="0.25">
      <c r="A11" s="46" t="s">
        <v>1291</v>
      </c>
      <c r="B11" s="47">
        <v>28075370.159999996</v>
      </c>
      <c r="C11" s="47">
        <v>29125874.710000001</v>
      </c>
      <c r="D11" s="47">
        <v>4049228.1199999996</v>
      </c>
      <c r="F11" s="46" t="s">
        <v>1291</v>
      </c>
      <c r="G11" s="48">
        <v>28075370.160000011</v>
      </c>
      <c r="H11" s="48">
        <v>4049228.1199999996</v>
      </c>
      <c r="I11" s="49">
        <v>0.14422706083387929</v>
      </c>
      <c r="K11" s="42" t="s">
        <v>156</v>
      </c>
      <c r="L11" s="41">
        <v>1864173.1099999996</v>
      </c>
      <c r="M11" s="41">
        <v>1904464.2100000009</v>
      </c>
    </row>
    <row r="12" spans="1:14" x14ac:dyDescent="0.25">
      <c r="K12" s="42" t="s">
        <v>32</v>
      </c>
      <c r="L12" s="41">
        <v>2377772.3900000006</v>
      </c>
      <c r="M12" s="41">
        <v>2489475.1100000003</v>
      </c>
    </row>
    <row r="13" spans="1:14" ht="18.75" x14ac:dyDescent="0.3">
      <c r="A13" s="161" t="s">
        <v>1299</v>
      </c>
      <c r="B13" s="161"/>
      <c r="C13" s="161"/>
      <c r="D13" s="161"/>
      <c r="F13" s="161" t="s">
        <v>1310</v>
      </c>
      <c r="G13" s="161"/>
      <c r="H13" s="161"/>
      <c r="I13" s="161"/>
      <c r="K13" s="42" t="s">
        <v>117</v>
      </c>
      <c r="L13" s="41">
        <v>2205648.2700000005</v>
      </c>
      <c r="M13" s="41">
        <v>2253578.56</v>
      </c>
    </row>
    <row r="14" spans="1:14" x14ac:dyDescent="0.25">
      <c r="K14" s="42" t="s">
        <v>46</v>
      </c>
      <c r="L14" s="41">
        <v>2117877.86</v>
      </c>
      <c r="M14" s="41">
        <v>2200483.0299999998</v>
      </c>
    </row>
    <row r="15" spans="1:14" ht="15.75" x14ac:dyDescent="0.25">
      <c r="A15" s="70" t="s">
        <v>1290</v>
      </c>
      <c r="B15" s="43" t="s">
        <v>1292</v>
      </c>
      <c r="C15" s="43" t="s">
        <v>1300</v>
      </c>
      <c r="D15" s="43" t="s">
        <v>1294</v>
      </c>
      <c r="F15" s="70" t="s">
        <v>1290</v>
      </c>
      <c r="G15" s="40" t="s">
        <v>1292</v>
      </c>
      <c r="H15" s="40" t="s">
        <v>1293</v>
      </c>
      <c r="I15" s="40" t="s">
        <v>1309</v>
      </c>
      <c r="K15" s="42" t="s">
        <v>92</v>
      </c>
      <c r="L15" s="41">
        <v>2173483.1400000006</v>
      </c>
      <c r="M15" s="41">
        <v>2284313.09</v>
      </c>
    </row>
    <row r="16" spans="1:14" x14ac:dyDescent="0.25">
      <c r="A16" s="42" t="s">
        <v>50</v>
      </c>
      <c r="B16" s="41">
        <v>11324025.960000006</v>
      </c>
      <c r="C16" s="41">
        <v>9704157.5100000072</v>
      </c>
      <c r="D16" s="41">
        <v>1619868.4499999993</v>
      </c>
      <c r="F16" s="42" t="s">
        <v>85</v>
      </c>
      <c r="G16" s="41">
        <v>3662391.2900000005</v>
      </c>
      <c r="H16" s="41">
        <v>3801955.4599999995</v>
      </c>
      <c r="I16" s="41">
        <v>-139564.1700000001</v>
      </c>
      <c r="K16" s="42" t="s">
        <v>147</v>
      </c>
      <c r="L16" s="41">
        <v>2665320.71</v>
      </c>
      <c r="M16" s="41">
        <v>2766859.120000001</v>
      </c>
    </row>
    <row r="17" spans="1:13" x14ac:dyDescent="0.25">
      <c r="A17" s="42" t="s">
        <v>39</v>
      </c>
      <c r="B17" s="41">
        <v>5525491.1100000013</v>
      </c>
      <c r="C17" s="41">
        <v>4701121.6100000022</v>
      </c>
      <c r="D17" s="41">
        <v>824369.5</v>
      </c>
      <c r="F17" s="42" t="s">
        <v>67</v>
      </c>
      <c r="G17" s="41">
        <v>5352186.6099999985</v>
      </c>
      <c r="H17" s="41">
        <v>5499615.8700000029</v>
      </c>
      <c r="I17" s="41">
        <v>-147429.27000000014</v>
      </c>
      <c r="K17" s="42" t="s">
        <v>107</v>
      </c>
      <c r="L17" s="41">
        <v>2762976.4899999988</v>
      </c>
      <c r="M17" s="41">
        <v>2871981.8199999994</v>
      </c>
    </row>
    <row r="18" spans="1:13" x14ac:dyDescent="0.25">
      <c r="A18" s="42" t="s">
        <v>71</v>
      </c>
      <c r="B18" s="41">
        <v>4440019.1399999997</v>
      </c>
      <c r="C18" s="41">
        <v>3787513.379999999</v>
      </c>
      <c r="D18" s="41">
        <v>652505.75999999978</v>
      </c>
      <c r="F18" s="42" t="s">
        <v>59</v>
      </c>
      <c r="G18" s="41">
        <v>5755442.330000001</v>
      </c>
      <c r="H18" s="41">
        <v>6052506.7800000012</v>
      </c>
      <c r="I18" s="41">
        <v>-297064.4599999999</v>
      </c>
      <c r="K18" s="46" t="s">
        <v>1291</v>
      </c>
      <c r="L18" s="48">
        <v>28075370.16</v>
      </c>
      <c r="M18" s="48">
        <v>29125874.710000001</v>
      </c>
    </row>
    <row r="19" spans="1:13" x14ac:dyDescent="0.25">
      <c r="A19" s="42" t="s">
        <v>101</v>
      </c>
      <c r="B19" s="41">
        <v>3360643.6099999994</v>
      </c>
      <c r="C19" s="41">
        <v>2877531.05</v>
      </c>
      <c r="D19" s="41">
        <v>483112.55999999988</v>
      </c>
      <c r="F19" s="42" t="s">
        <v>47</v>
      </c>
      <c r="G19" s="41">
        <v>5236399.6099999994</v>
      </c>
      <c r="H19" s="41">
        <v>5380990.8899999987</v>
      </c>
      <c r="I19" s="41">
        <v>-144591.28000000006</v>
      </c>
    </row>
    <row r="20" spans="1:13" x14ac:dyDescent="0.25">
      <c r="A20" s="42" t="s">
        <v>160</v>
      </c>
      <c r="B20" s="41">
        <v>3425190.3399999994</v>
      </c>
      <c r="C20" s="41">
        <v>2955818.4900000007</v>
      </c>
      <c r="D20" s="41">
        <v>469371.85</v>
      </c>
      <c r="F20" s="42" t="s">
        <v>34</v>
      </c>
      <c r="G20" s="41">
        <v>8068950.3199999966</v>
      </c>
      <c r="H20" s="41">
        <v>8390805.7100000028</v>
      </c>
      <c r="I20" s="41">
        <v>-321855.45999999985</v>
      </c>
    </row>
    <row r="21" spans="1:13" x14ac:dyDescent="0.25">
      <c r="A21" s="46" t="s">
        <v>1291</v>
      </c>
      <c r="B21" s="48">
        <v>28075370.160000008</v>
      </c>
      <c r="C21" s="48">
        <v>24026142.040000007</v>
      </c>
      <c r="D21" s="48">
        <v>4049228.1199999992</v>
      </c>
      <c r="F21" s="46" t="s">
        <v>1291</v>
      </c>
      <c r="G21" s="48">
        <v>28075370.159999996</v>
      </c>
      <c r="H21" s="48">
        <v>29125874.710000001</v>
      </c>
      <c r="I21" s="48">
        <v>-1050504.6400000001</v>
      </c>
    </row>
    <row r="24" spans="1:13" ht="18.75" x14ac:dyDescent="0.3">
      <c r="A24" s="161" t="s">
        <v>1298</v>
      </c>
      <c r="B24" s="161"/>
      <c r="C24" s="161"/>
      <c r="D24" s="161"/>
      <c r="F24" s="161" t="s">
        <v>1301</v>
      </c>
      <c r="G24" s="161"/>
      <c r="H24" s="161"/>
      <c r="I24" s="161"/>
      <c r="K24" s="161" t="s">
        <v>1308</v>
      </c>
      <c r="L24" s="161"/>
    </row>
    <row r="26" spans="1:13" ht="15.75" x14ac:dyDescent="0.25">
      <c r="A26" s="70" t="s">
        <v>1290</v>
      </c>
      <c r="B26" s="39" t="s">
        <v>1292</v>
      </c>
      <c r="C26" s="39" t="s">
        <v>1293</v>
      </c>
      <c r="D26" s="39" t="s">
        <v>1294</v>
      </c>
      <c r="F26" s="70" t="s">
        <v>1290</v>
      </c>
      <c r="G26" s="40" t="s">
        <v>1292</v>
      </c>
      <c r="H26" s="40" t="s">
        <v>1293</v>
      </c>
      <c r="I26" s="40" t="s">
        <v>1294</v>
      </c>
      <c r="K26" s="70" t="s">
        <v>1305</v>
      </c>
      <c r="L26" s="40"/>
    </row>
    <row r="27" spans="1:13" x14ac:dyDescent="0.25">
      <c r="A27" s="42" t="s">
        <v>58</v>
      </c>
      <c r="B27" s="35">
        <v>7077127.3999999994</v>
      </c>
      <c r="C27" s="35">
        <v>7330705.7799999984</v>
      </c>
      <c r="D27" s="35">
        <v>986863.95000000042</v>
      </c>
      <c r="F27" s="42" t="s">
        <v>35</v>
      </c>
      <c r="G27" s="41">
        <v>28075370.159999978</v>
      </c>
      <c r="H27" s="41">
        <v>29125874.710000023</v>
      </c>
      <c r="I27" s="41">
        <v>4049228.120000002</v>
      </c>
      <c r="K27" s="42" t="s">
        <v>1302</v>
      </c>
      <c r="L27" s="41">
        <v>16885274.510000005</v>
      </c>
    </row>
    <row r="28" spans="1:13" x14ac:dyDescent="0.25">
      <c r="A28" s="42" t="s">
        <v>66</v>
      </c>
      <c r="B28" s="35">
        <v>6701298.5199999996</v>
      </c>
      <c r="C28" s="35">
        <v>6943536.6999999965</v>
      </c>
      <c r="D28" s="35">
        <v>943235.79999999946</v>
      </c>
      <c r="F28" s="46" t="s">
        <v>1291</v>
      </c>
      <c r="G28" s="48">
        <v>28075370.159999978</v>
      </c>
      <c r="H28" s="48">
        <v>29125874.710000023</v>
      </c>
      <c r="I28" s="48">
        <v>4049228.120000002</v>
      </c>
      <c r="K28" s="42" t="s">
        <v>1303</v>
      </c>
      <c r="L28" s="41">
        <v>2553433.5199999991</v>
      </c>
    </row>
    <row r="29" spans="1:13" x14ac:dyDescent="0.25">
      <c r="A29" s="42" t="s">
        <v>33</v>
      </c>
      <c r="B29" s="35">
        <v>7601780.3399999999</v>
      </c>
      <c r="C29" s="35">
        <v>7923154.0300000021</v>
      </c>
      <c r="D29" s="35">
        <v>1108600.5300000005</v>
      </c>
      <c r="K29" s="42" t="s">
        <v>1304</v>
      </c>
      <c r="L29" s="41">
        <v>1601652.5799999994</v>
      </c>
    </row>
    <row r="30" spans="1:13" x14ac:dyDescent="0.25">
      <c r="A30" s="42" t="s">
        <v>93</v>
      </c>
      <c r="B30" s="35">
        <v>6695163.8999999957</v>
      </c>
      <c r="C30" s="35">
        <v>6928478.2000000011</v>
      </c>
      <c r="D30" s="35">
        <v>1010527.8399999999</v>
      </c>
      <c r="K30" s="42" t="s">
        <v>1306</v>
      </c>
      <c r="L30" s="41">
        <v>2240126.7199999974</v>
      </c>
    </row>
    <row r="31" spans="1:13" x14ac:dyDescent="0.25">
      <c r="A31" s="46" t="s">
        <v>1291</v>
      </c>
      <c r="B31" s="50">
        <v>28075370.159999993</v>
      </c>
      <c r="C31" s="50">
        <v>29125874.710000001</v>
      </c>
      <c r="D31" s="50">
        <v>4049228.12</v>
      </c>
      <c r="K31" s="42" t="s">
        <v>1307</v>
      </c>
      <c r="L31" s="41">
        <v>745654.55000000016</v>
      </c>
    </row>
    <row r="33" spans="1:13" ht="18.75" x14ac:dyDescent="0.3">
      <c r="A33" s="161" t="s">
        <v>1313</v>
      </c>
      <c r="B33" s="161"/>
      <c r="C33" s="161"/>
      <c r="F33" s="160" t="s">
        <v>1277</v>
      </c>
      <c r="G33" s="160"/>
      <c r="H33" s="160"/>
    </row>
    <row r="34" spans="1:13" s="67" customFormat="1" ht="18.75" x14ac:dyDescent="0.3">
      <c r="A34" s="73"/>
      <c r="B34" s="68"/>
      <c r="C34" s="68"/>
      <c r="F34" s="72"/>
      <c r="G34" s="74"/>
      <c r="H34" s="74"/>
      <c r="I34" s="74"/>
      <c r="K34" s="72"/>
      <c r="L34" s="74"/>
      <c r="M34" s="74"/>
    </row>
    <row r="35" spans="1:13" ht="15.75" x14ac:dyDescent="0.25">
      <c r="A35" s="70" t="s">
        <v>1290</v>
      </c>
      <c r="B35" s="39" t="s">
        <v>1292</v>
      </c>
      <c r="C35" s="39" t="s">
        <v>1294</v>
      </c>
      <c r="F35" s="70" t="s">
        <v>1290</v>
      </c>
      <c r="G35" s="40" t="s">
        <v>1292</v>
      </c>
      <c r="H35" s="40" t="s">
        <v>1294</v>
      </c>
    </row>
    <row r="36" spans="1:13" x14ac:dyDescent="0.25">
      <c r="A36" s="42" t="s">
        <v>200</v>
      </c>
      <c r="B36" s="35">
        <v>1096211.22</v>
      </c>
      <c r="C36" s="35">
        <v>143596.18000000002</v>
      </c>
      <c r="F36" s="42" t="s">
        <v>96</v>
      </c>
      <c r="G36" s="41">
        <v>2452090.0499999998</v>
      </c>
      <c r="H36" s="41">
        <v>402031.3899999999</v>
      </c>
    </row>
    <row r="37" spans="1:13" x14ac:dyDescent="0.25">
      <c r="A37" s="42" t="s">
        <v>185</v>
      </c>
      <c r="B37" s="35">
        <v>978053.82</v>
      </c>
      <c r="C37" s="35">
        <v>136858.60000000003</v>
      </c>
      <c r="F37" s="42" t="s">
        <v>131</v>
      </c>
      <c r="G37" s="41">
        <v>2426113.9300000006</v>
      </c>
      <c r="H37" s="41">
        <v>329561.61000000004</v>
      </c>
    </row>
    <row r="38" spans="1:13" x14ac:dyDescent="0.25">
      <c r="A38" s="42" t="s">
        <v>154</v>
      </c>
      <c r="B38" s="35">
        <v>855967.33000000007</v>
      </c>
      <c r="C38" s="35">
        <v>131106.79</v>
      </c>
      <c r="F38" s="42" t="s">
        <v>42</v>
      </c>
      <c r="G38" s="41">
        <v>2339747.2000000002</v>
      </c>
      <c r="H38" s="41">
        <v>352156.88999999978</v>
      </c>
    </row>
    <row r="39" spans="1:13" x14ac:dyDescent="0.25">
      <c r="A39" s="42" t="s">
        <v>99</v>
      </c>
      <c r="B39" s="35">
        <v>853076.30999999982</v>
      </c>
      <c r="C39" s="35">
        <v>115741.00000000001</v>
      </c>
      <c r="F39" s="42" t="s">
        <v>121</v>
      </c>
      <c r="G39" s="41">
        <v>2203534.8199999998</v>
      </c>
      <c r="H39" s="41">
        <v>332435.91000000003</v>
      </c>
    </row>
    <row r="40" spans="1:13" x14ac:dyDescent="0.25">
      <c r="A40" s="42" t="s">
        <v>61</v>
      </c>
      <c r="B40" s="35">
        <v>786348.88</v>
      </c>
      <c r="C40" s="35">
        <v>134202.01999999999</v>
      </c>
      <c r="F40" s="42" t="s">
        <v>74</v>
      </c>
      <c r="G40" s="41">
        <v>2193240.0899999994</v>
      </c>
      <c r="H40" s="41">
        <v>300414.70999999996</v>
      </c>
    </row>
    <row r="41" spans="1:13" x14ac:dyDescent="0.25">
      <c r="A41" s="42" t="s">
        <v>304</v>
      </c>
      <c r="B41" s="35">
        <v>782884.13999999966</v>
      </c>
      <c r="C41" s="35">
        <v>120635.84</v>
      </c>
      <c r="F41" s="42" t="s">
        <v>198</v>
      </c>
      <c r="G41" s="41">
        <v>2111913.1</v>
      </c>
      <c r="H41" s="41">
        <v>305953.15000000002</v>
      </c>
    </row>
    <row r="42" spans="1:13" x14ac:dyDescent="0.25">
      <c r="A42" s="42" t="s">
        <v>135</v>
      </c>
      <c r="B42" s="35">
        <v>730504.0499999997</v>
      </c>
      <c r="C42" s="35">
        <v>115241.63</v>
      </c>
      <c r="F42" s="42" t="s">
        <v>89</v>
      </c>
      <c r="G42" s="41">
        <v>2045796.96</v>
      </c>
      <c r="H42" s="41">
        <v>294715.26999999996</v>
      </c>
    </row>
    <row r="43" spans="1:13" x14ac:dyDescent="0.25">
      <c r="A43" s="42" t="s">
        <v>108</v>
      </c>
      <c r="B43" s="35">
        <v>727010.74</v>
      </c>
      <c r="C43" s="35">
        <v>93191.50999999998</v>
      </c>
      <c r="F43" s="42" t="s">
        <v>83</v>
      </c>
      <c r="G43" s="41">
        <v>1944377.23</v>
      </c>
      <c r="H43" s="41">
        <v>289724.32</v>
      </c>
    </row>
    <row r="44" spans="1:13" x14ac:dyDescent="0.25">
      <c r="A44" s="42" t="s">
        <v>209</v>
      </c>
      <c r="B44" s="35">
        <v>709481.62999999989</v>
      </c>
      <c r="C44" s="35">
        <v>124107.79000000002</v>
      </c>
      <c r="F44" s="42" t="s">
        <v>162</v>
      </c>
      <c r="G44" s="41">
        <v>1831477.71</v>
      </c>
      <c r="H44" s="41">
        <v>213179.72999999995</v>
      </c>
    </row>
    <row r="45" spans="1:13" x14ac:dyDescent="0.25">
      <c r="A45" s="42" t="s">
        <v>69</v>
      </c>
      <c r="B45" s="35">
        <v>706502.2100000002</v>
      </c>
      <c r="C45" s="35">
        <v>100040.25</v>
      </c>
      <c r="F45" s="42" t="s">
        <v>172</v>
      </c>
      <c r="G45" s="41">
        <v>1273809.8300000005</v>
      </c>
      <c r="H45" s="41">
        <v>173377.79000000004</v>
      </c>
    </row>
    <row r="46" spans="1:13" x14ac:dyDescent="0.25">
      <c r="A46" s="42" t="s">
        <v>149</v>
      </c>
      <c r="B46" s="35">
        <v>698023.50000000012</v>
      </c>
      <c r="C46" s="35">
        <v>79222.179999999993</v>
      </c>
      <c r="F46" s="42" t="s">
        <v>187</v>
      </c>
      <c r="G46" s="41">
        <v>1197583.1199999999</v>
      </c>
      <c r="H46" s="41">
        <v>170136.85000000006</v>
      </c>
    </row>
    <row r="47" spans="1:13" x14ac:dyDescent="0.25">
      <c r="A47" s="42" t="s">
        <v>166</v>
      </c>
      <c r="B47" s="35">
        <v>691076.72</v>
      </c>
      <c r="C47" s="35">
        <v>77209.689999999988</v>
      </c>
      <c r="F47" s="42" t="s">
        <v>212</v>
      </c>
      <c r="G47" s="41">
        <v>1054216.8700000001</v>
      </c>
      <c r="H47" s="41">
        <v>156411.05999999997</v>
      </c>
    </row>
    <row r="48" spans="1:13" x14ac:dyDescent="0.25">
      <c r="A48" s="42" t="s">
        <v>145</v>
      </c>
      <c r="B48" s="35">
        <v>679570.17000000039</v>
      </c>
      <c r="C48" s="35">
        <v>103162.34000000003</v>
      </c>
      <c r="F48" s="42" t="s">
        <v>190</v>
      </c>
      <c r="G48" s="41">
        <v>985676.13000000047</v>
      </c>
      <c r="H48" s="41">
        <v>135857.69000000003</v>
      </c>
    </row>
    <row r="49" spans="1:8" x14ac:dyDescent="0.25">
      <c r="A49" s="42" t="s">
        <v>231</v>
      </c>
      <c r="B49" s="35">
        <v>675101.49000000011</v>
      </c>
      <c r="C49" s="35">
        <v>62898.059999999983</v>
      </c>
      <c r="F49" s="42" t="s">
        <v>111</v>
      </c>
      <c r="G49" s="41">
        <v>971560.77000000014</v>
      </c>
      <c r="H49" s="41">
        <v>149953.56999999995</v>
      </c>
    </row>
    <row r="50" spans="1:8" x14ac:dyDescent="0.25">
      <c r="A50" s="42" t="s">
        <v>181</v>
      </c>
      <c r="B50" s="35">
        <v>671022.10000000009</v>
      </c>
      <c r="C50" s="35">
        <v>99999.699999999968</v>
      </c>
      <c r="F50" s="42" t="s">
        <v>103</v>
      </c>
      <c r="G50" s="41">
        <v>844749.67999999982</v>
      </c>
      <c r="H50" s="41">
        <v>115635.15999999999</v>
      </c>
    </row>
    <row r="51" spans="1:8" x14ac:dyDescent="0.25">
      <c r="A51" s="42" t="s">
        <v>183</v>
      </c>
      <c r="B51" s="35">
        <v>645754.69000000018</v>
      </c>
      <c r="C51" s="35">
        <v>83793.529999999984</v>
      </c>
      <c r="F51" s="42" t="s">
        <v>236</v>
      </c>
      <c r="G51" s="41">
        <v>755377.32</v>
      </c>
      <c r="H51" s="41">
        <v>114581.01000000004</v>
      </c>
    </row>
    <row r="52" spans="1:8" x14ac:dyDescent="0.25">
      <c r="A52" s="42" t="s">
        <v>245</v>
      </c>
      <c r="B52" s="35">
        <v>630785.2699999999</v>
      </c>
      <c r="C52" s="35">
        <v>92719.44</v>
      </c>
      <c r="F52" s="42" t="s">
        <v>222</v>
      </c>
      <c r="G52" s="41">
        <v>590733.28000000014</v>
      </c>
      <c r="H52" s="41">
        <v>86677.209999999992</v>
      </c>
    </row>
    <row r="53" spans="1:8" x14ac:dyDescent="0.25">
      <c r="A53" s="42" t="s">
        <v>140</v>
      </c>
      <c r="B53" s="35">
        <v>595163.1100000001</v>
      </c>
      <c r="C53" s="35">
        <v>94910.599999999977</v>
      </c>
      <c r="F53" s="42" t="s">
        <v>53</v>
      </c>
      <c r="G53" s="41">
        <v>342884.68</v>
      </c>
      <c r="H53" s="41">
        <v>51211.289999999979</v>
      </c>
    </row>
    <row r="54" spans="1:8" x14ac:dyDescent="0.25">
      <c r="A54" s="42" t="s">
        <v>1312</v>
      </c>
      <c r="B54" s="35">
        <v>591636.95000000019</v>
      </c>
      <c r="C54" s="35">
        <v>95120.460000000021</v>
      </c>
      <c r="F54" s="42" t="s">
        <v>142</v>
      </c>
      <c r="G54" s="41">
        <v>287113.26</v>
      </c>
      <c r="H54" s="41">
        <v>41741.939999999973</v>
      </c>
    </row>
    <row r="55" spans="1:8" x14ac:dyDescent="0.25">
      <c r="A55" s="42" t="s">
        <v>314</v>
      </c>
      <c r="B55" s="35">
        <v>586449.10999999987</v>
      </c>
      <c r="C55" s="35">
        <v>96800.26</v>
      </c>
      <c r="F55" s="42" t="s">
        <v>63</v>
      </c>
      <c r="G55" s="41">
        <v>223374.12999999998</v>
      </c>
      <c r="H55" s="41">
        <v>33471.57</v>
      </c>
    </row>
    <row r="56" spans="1:8" x14ac:dyDescent="0.25">
      <c r="A56" s="42" t="s">
        <v>126</v>
      </c>
      <c r="B56" s="35">
        <v>576791.56999999995</v>
      </c>
      <c r="C56" s="35">
        <v>84002.200000000012</v>
      </c>
      <c r="F56" s="42" t="s">
        <v>1291</v>
      </c>
      <c r="G56" s="41">
        <v>28075370.160000004</v>
      </c>
      <c r="H56" s="41">
        <v>4049228.1199999996</v>
      </c>
    </row>
    <row r="57" spans="1:8" x14ac:dyDescent="0.25">
      <c r="A57" s="42" t="s">
        <v>176</v>
      </c>
      <c r="B57" s="35">
        <v>567194.31000000006</v>
      </c>
      <c r="C57" s="35">
        <v>85026.03</v>
      </c>
    </row>
    <row r="58" spans="1:8" x14ac:dyDescent="0.25">
      <c r="A58" s="42" t="s">
        <v>296</v>
      </c>
      <c r="B58" s="35">
        <v>561186.02</v>
      </c>
      <c r="C58" s="35">
        <v>68502.95</v>
      </c>
    </row>
    <row r="59" spans="1:8" x14ac:dyDescent="0.25">
      <c r="A59" s="42" t="s">
        <v>158</v>
      </c>
      <c r="B59" s="35">
        <v>558318.57999999996</v>
      </c>
      <c r="C59" s="35">
        <v>81221.219999999972</v>
      </c>
    </row>
    <row r="60" spans="1:8" x14ac:dyDescent="0.25">
      <c r="A60" s="42" t="s">
        <v>278</v>
      </c>
      <c r="B60" s="35">
        <v>544903.04</v>
      </c>
      <c r="C60" s="35">
        <v>89263.82</v>
      </c>
    </row>
    <row r="61" spans="1:8" x14ac:dyDescent="0.25">
      <c r="A61" s="42" t="s">
        <v>207</v>
      </c>
      <c r="B61" s="35">
        <v>516240.95</v>
      </c>
      <c r="C61" s="35">
        <v>84095.109999999986</v>
      </c>
    </row>
    <row r="62" spans="1:8" x14ac:dyDescent="0.25">
      <c r="A62" s="42" t="s">
        <v>79</v>
      </c>
      <c r="B62" s="35">
        <v>488706.53</v>
      </c>
      <c r="C62" s="35">
        <v>76737.38</v>
      </c>
    </row>
    <row r="63" spans="1:8" x14ac:dyDescent="0.25">
      <c r="A63" s="42" t="s">
        <v>220</v>
      </c>
      <c r="B63" s="35">
        <v>459639.59999999986</v>
      </c>
      <c r="C63" s="35">
        <v>76730.979999999981</v>
      </c>
    </row>
    <row r="64" spans="1:8" x14ac:dyDescent="0.25">
      <c r="A64" s="42" t="s">
        <v>169</v>
      </c>
      <c r="B64" s="35">
        <v>452434.68000000005</v>
      </c>
      <c r="C64" s="35">
        <v>62472.1</v>
      </c>
    </row>
    <row r="65" spans="1:3" x14ac:dyDescent="0.25">
      <c r="A65" s="42" t="s">
        <v>194</v>
      </c>
      <c r="B65" s="35">
        <v>447465.63</v>
      </c>
      <c r="C65" s="35">
        <v>59280.189999999988</v>
      </c>
    </row>
    <row r="66" spans="1:3" x14ac:dyDescent="0.25">
      <c r="A66" s="42" t="s">
        <v>152</v>
      </c>
      <c r="B66" s="35">
        <v>446496.12</v>
      </c>
      <c r="C66" s="35">
        <v>59211.709999999985</v>
      </c>
    </row>
    <row r="67" spans="1:3" x14ac:dyDescent="0.25">
      <c r="A67" s="42" t="s">
        <v>204</v>
      </c>
      <c r="B67" s="35">
        <v>445978.68999999994</v>
      </c>
      <c r="C67" s="35">
        <v>77888.229999999981</v>
      </c>
    </row>
    <row r="68" spans="1:3" x14ac:dyDescent="0.25">
      <c r="A68" s="42" t="s">
        <v>344</v>
      </c>
      <c r="B68" s="35">
        <v>430559.87</v>
      </c>
      <c r="C68" s="35">
        <v>74098.44</v>
      </c>
    </row>
    <row r="69" spans="1:3" x14ac:dyDescent="0.25">
      <c r="A69" s="42" t="s">
        <v>301</v>
      </c>
      <c r="B69" s="35">
        <v>420687.89</v>
      </c>
      <c r="C69" s="35">
        <v>61795.709999999992</v>
      </c>
    </row>
    <row r="70" spans="1:3" x14ac:dyDescent="0.25">
      <c r="A70" s="42" t="s">
        <v>87</v>
      </c>
      <c r="B70" s="35">
        <v>414874.11</v>
      </c>
      <c r="C70" s="35">
        <v>71295.960000000021</v>
      </c>
    </row>
    <row r="71" spans="1:3" x14ac:dyDescent="0.25">
      <c r="A71" s="42" t="s">
        <v>251</v>
      </c>
      <c r="B71" s="35">
        <v>387558.12</v>
      </c>
      <c r="C71" s="35">
        <v>67736.549999999988</v>
      </c>
    </row>
    <row r="72" spans="1:3" x14ac:dyDescent="0.25">
      <c r="A72" s="42" t="s">
        <v>119</v>
      </c>
      <c r="B72" s="35">
        <v>385877.71</v>
      </c>
      <c r="C72" s="35">
        <v>36057.800000000003</v>
      </c>
    </row>
    <row r="73" spans="1:3" x14ac:dyDescent="0.25">
      <c r="A73" s="42" t="s">
        <v>255</v>
      </c>
      <c r="B73" s="35">
        <v>385193.44999999995</v>
      </c>
      <c r="C73" s="35">
        <v>59147.490000000013</v>
      </c>
    </row>
    <row r="74" spans="1:3" x14ac:dyDescent="0.25">
      <c r="A74" s="42" t="s">
        <v>241</v>
      </c>
      <c r="B74" s="35">
        <v>375311.26</v>
      </c>
      <c r="C74" s="35">
        <v>50817.119999999981</v>
      </c>
    </row>
    <row r="75" spans="1:3" x14ac:dyDescent="0.25">
      <c r="A75" s="42" t="s">
        <v>284</v>
      </c>
      <c r="B75" s="35">
        <v>364162.73</v>
      </c>
      <c r="C75" s="35">
        <v>61087.460000000006</v>
      </c>
    </row>
    <row r="76" spans="1:3" x14ac:dyDescent="0.25">
      <c r="A76" s="42" t="s">
        <v>329</v>
      </c>
      <c r="B76" s="35">
        <v>360289.90000000008</v>
      </c>
      <c r="C76" s="35">
        <v>53974.380000000005</v>
      </c>
    </row>
    <row r="77" spans="1:3" x14ac:dyDescent="0.25">
      <c r="A77" s="42" t="s">
        <v>227</v>
      </c>
      <c r="B77" s="35">
        <v>358341.69999999995</v>
      </c>
      <c r="C77" s="35">
        <v>42455.569999999992</v>
      </c>
    </row>
    <row r="78" spans="1:3" x14ac:dyDescent="0.25">
      <c r="A78" s="42" t="s">
        <v>249</v>
      </c>
      <c r="B78" s="35">
        <v>351224.28</v>
      </c>
      <c r="C78" s="35">
        <v>55906.829999999987</v>
      </c>
    </row>
    <row r="79" spans="1:3" x14ac:dyDescent="0.25">
      <c r="A79" s="42" t="s">
        <v>49</v>
      </c>
      <c r="B79" s="35">
        <v>348647.83</v>
      </c>
      <c r="C79" s="35">
        <v>51892.549999999996</v>
      </c>
    </row>
    <row r="80" spans="1:3" x14ac:dyDescent="0.25">
      <c r="A80" s="42" t="s">
        <v>363</v>
      </c>
      <c r="B80" s="35">
        <v>342800.25</v>
      </c>
      <c r="C80" s="35">
        <v>43827.210000000014</v>
      </c>
    </row>
    <row r="81" spans="1:3" x14ac:dyDescent="0.25">
      <c r="A81" s="42" t="s">
        <v>321</v>
      </c>
      <c r="B81" s="35">
        <v>327016.57999999996</v>
      </c>
      <c r="C81" s="35">
        <v>37075.78</v>
      </c>
    </row>
    <row r="82" spans="1:3" x14ac:dyDescent="0.25">
      <c r="A82" s="42" t="s">
        <v>265</v>
      </c>
      <c r="B82" s="35">
        <v>310685.05</v>
      </c>
      <c r="C82" s="35">
        <v>58884.380000000005</v>
      </c>
    </row>
    <row r="83" spans="1:3" x14ac:dyDescent="0.25">
      <c r="A83" s="42" t="s">
        <v>179</v>
      </c>
      <c r="B83" s="35">
        <v>301909.40000000002</v>
      </c>
      <c r="C83" s="35">
        <v>33902.600000000006</v>
      </c>
    </row>
    <row r="84" spans="1:3" x14ac:dyDescent="0.25">
      <c r="A84" s="42" t="s">
        <v>218</v>
      </c>
      <c r="B84" s="35">
        <v>300122.28000000003</v>
      </c>
      <c r="C84" s="35">
        <v>47613.659999999996</v>
      </c>
    </row>
    <row r="85" spans="1:3" x14ac:dyDescent="0.25">
      <c r="A85" s="42" t="s">
        <v>115</v>
      </c>
      <c r="B85" s="35">
        <v>297676.83</v>
      </c>
      <c r="C85" s="35">
        <v>40824.259999999995</v>
      </c>
    </row>
    <row r="86" spans="1:3" x14ac:dyDescent="0.25">
      <c r="A86" s="42" t="s">
        <v>260</v>
      </c>
      <c r="B86" s="35">
        <v>294218.34999999998</v>
      </c>
      <c r="C86" s="35">
        <v>34345.700000000012</v>
      </c>
    </row>
    <row r="87" spans="1:3" x14ac:dyDescent="0.25">
      <c r="A87" s="42" t="s">
        <v>262</v>
      </c>
      <c r="B87" s="35">
        <v>278997.74999999994</v>
      </c>
      <c r="C87" s="35">
        <v>30754.499999999996</v>
      </c>
    </row>
    <row r="88" spans="1:3" x14ac:dyDescent="0.25">
      <c r="A88" s="42" t="s">
        <v>215</v>
      </c>
      <c r="B88" s="35">
        <v>255941.44999999998</v>
      </c>
      <c r="C88" s="35">
        <v>27190.410000000007</v>
      </c>
    </row>
    <row r="89" spans="1:3" x14ac:dyDescent="0.25">
      <c r="A89" s="42" t="s">
        <v>1311</v>
      </c>
      <c r="B89" s="35">
        <v>27294.21</v>
      </c>
      <c r="C89" s="35">
        <v>3553.9699999999975</v>
      </c>
    </row>
    <row r="90" spans="1:3" x14ac:dyDescent="0.25">
      <c r="A90" s="46" t="s">
        <v>1291</v>
      </c>
      <c r="B90" s="50">
        <v>28075370.159999996</v>
      </c>
      <c r="C90" s="50">
        <v>4049228.1199999992</v>
      </c>
    </row>
  </sheetData>
  <mergeCells count="11">
    <mergeCell ref="F33:H33"/>
    <mergeCell ref="A1:M1"/>
    <mergeCell ref="A13:D13"/>
    <mergeCell ref="F24:I24"/>
    <mergeCell ref="K24:L24"/>
    <mergeCell ref="F13:I13"/>
    <mergeCell ref="A33:C33"/>
    <mergeCell ref="A3:D3"/>
    <mergeCell ref="F3:I3"/>
    <mergeCell ref="K3:M3"/>
    <mergeCell ref="A24:D24"/>
  </mergeCells>
  <conditionalFormatting pivot="1" sqref="I16:I20">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EA0F3-58BB-44AF-A3C1-717D4E64D05E}">
  <sheetPr>
    <pageSetUpPr autoPageBreaks="0"/>
  </sheetPr>
  <dimension ref="A1:P56"/>
  <sheetViews>
    <sheetView showGridLines="0" showRowColHeaders="0" tabSelected="1" zoomScale="102" zoomScaleNormal="130" workbookViewId="0">
      <selection activeCell="C59" sqref="C59"/>
    </sheetView>
  </sheetViews>
  <sheetFormatPr defaultRowHeight="15" x14ac:dyDescent="0.25"/>
  <cols>
    <col min="1" max="1" width="13" customWidth="1"/>
    <col min="2" max="2" width="10.42578125" customWidth="1"/>
    <col min="3" max="3" width="11.7109375" customWidth="1"/>
    <col min="4" max="4" width="10.5703125" customWidth="1"/>
    <col min="5" max="5" width="11.7109375" customWidth="1"/>
    <col min="6" max="6" width="12.5703125" customWidth="1"/>
    <col min="7" max="9" width="11.7109375" customWidth="1"/>
    <col min="10" max="10" width="12.140625" customWidth="1"/>
    <col min="11" max="11" width="11.7109375" customWidth="1"/>
    <col min="12" max="12" width="9.5703125" bestFit="1" customWidth="1"/>
    <col min="13" max="13" width="10.42578125" customWidth="1"/>
    <col min="14" max="14" width="12.140625" customWidth="1"/>
    <col min="15" max="15" width="11.42578125" customWidth="1"/>
    <col min="16" max="16" width="15.140625" customWidth="1"/>
  </cols>
  <sheetData>
    <row r="1" spans="1:16" x14ac:dyDescent="0.25">
      <c r="A1" s="75" t="s">
        <v>1314</v>
      </c>
      <c r="B1" s="75"/>
      <c r="C1" s="75"/>
      <c r="D1" s="75"/>
      <c r="E1" s="75"/>
      <c r="F1" s="75"/>
      <c r="G1" s="75"/>
      <c r="H1" s="75"/>
      <c r="I1" s="75"/>
      <c r="J1" s="75"/>
      <c r="K1" s="75"/>
      <c r="L1" s="75"/>
      <c r="M1" s="75"/>
      <c r="N1" s="75"/>
      <c r="O1" s="75"/>
      <c r="P1" s="75"/>
    </row>
    <row r="2" spans="1:16" x14ac:dyDescent="0.25">
      <c r="A2" s="75"/>
      <c r="B2" s="75"/>
      <c r="C2" s="75"/>
      <c r="D2" s="75"/>
      <c r="E2" s="75"/>
      <c r="F2" s="75"/>
      <c r="G2" s="75"/>
      <c r="H2" s="75"/>
      <c r="I2" s="75"/>
      <c r="J2" s="75"/>
      <c r="K2" s="75"/>
      <c r="L2" s="75"/>
      <c r="M2" s="75"/>
      <c r="N2" s="75"/>
      <c r="O2" s="75"/>
      <c r="P2" s="75"/>
    </row>
    <row r="3" spans="1:16" ht="15.75" x14ac:dyDescent="0.25">
      <c r="A3" s="76" t="s">
        <v>1315</v>
      </c>
      <c r="B3" s="76"/>
      <c r="C3" s="76"/>
      <c r="D3" s="76"/>
      <c r="E3" s="76"/>
      <c r="F3" s="76"/>
      <c r="G3" s="76"/>
      <c r="H3" s="76"/>
      <c r="I3" s="76"/>
      <c r="J3" s="76"/>
      <c r="K3" s="76"/>
      <c r="L3" s="76"/>
      <c r="M3" s="76"/>
      <c r="N3" s="76"/>
      <c r="O3" s="76"/>
      <c r="P3" s="76"/>
    </row>
    <row r="4" spans="1:16" x14ac:dyDescent="0.25">
      <c r="A4" s="51"/>
      <c r="B4" s="51"/>
      <c r="C4" s="51"/>
      <c r="D4" s="51"/>
      <c r="E4" s="51"/>
      <c r="F4" s="51"/>
      <c r="G4" s="51"/>
      <c r="H4" s="51"/>
      <c r="I4" s="51"/>
      <c r="J4" s="51"/>
      <c r="K4" s="51"/>
      <c r="L4" s="51"/>
      <c r="M4" s="51"/>
      <c r="N4" s="51"/>
      <c r="O4" s="51"/>
      <c r="P4" s="51"/>
    </row>
    <row r="5" spans="1:16" x14ac:dyDescent="0.25">
      <c r="A5" s="51"/>
      <c r="B5" s="51"/>
      <c r="C5" s="51"/>
      <c r="D5" s="51"/>
      <c r="E5" s="51"/>
      <c r="F5" s="51"/>
      <c r="G5" s="51"/>
      <c r="H5" s="51"/>
      <c r="I5" s="51"/>
      <c r="J5" s="51"/>
      <c r="K5" s="51"/>
      <c r="L5" s="51"/>
      <c r="M5" s="51"/>
      <c r="N5" s="51"/>
      <c r="O5" s="51"/>
      <c r="P5" s="51"/>
    </row>
    <row r="6" spans="1:16" x14ac:dyDescent="0.25">
      <c r="A6" s="51"/>
      <c r="B6" s="51"/>
      <c r="C6" s="52"/>
      <c r="D6" s="51"/>
      <c r="E6" s="51"/>
      <c r="F6" s="51"/>
      <c r="G6" s="51"/>
      <c r="H6" s="51"/>
      <c r="I6" s="51"/>
      <c r="J6" s="51"/>
      <c r="K6" s="51"/>
      <c r="L6" s="51"/>
      <c r="M6" s="51"/>
      <c r="N6" s="51"/>
      <c r="O6" s="51"/>
      <c r="P6" s="51"/>
    </row>
    <row r="7" spans="1:16" ht="15.75" thickBot="1" x14ac:dyDescent="0.3">
      <c r="A7" s="51"/>
      <c r="B7" s="51"/>
      <c r="C7" s="51"/>
      <c r="D7" s="51"/>
      <c r="E7" s="51"/>
      <c r="F7" s="51"/>
      <c r="G7" s="51"/>
      <c r="H7" s="51"/>
      <c r="I7" s="51"/>
      <c r="J7" s="51"/>
      <c r="K7" s="51"/>
      <c r="L7" s="51"/>
      <c r="M7" s="51"/>
      <c r="N7" s="51"/>
      <c r="O7" s="51"/>
      <c r="P7" s="51"/>
    </row>
    <row r="8" spans="1:16" ht="15.75" x14ac:dyDescent="0.25">
      <c r="A8" s="77" t="s">
        <v>1316</v>
      </c>
      <c r="B8" s="78"/>
      <c r="C8" s="83" t="s">
        <v>1317</v>
      </c>
      <c r="D8" s="84"/>
      <c r="E8" s="89" t="s">
        <v>1318</v>
      </c>
      <c r="F8" s="90"/>
      <c r="G8" s="107" t="s">
        <v>1319</v>
      </c>
      <c r="H8" s="108"/>
      <c r="I8" s="117" t="s">
        <v>1320</v>
      </c>
      <c r="J8" s="118"/>
      <c r="K8" s="121" t="s">
        <v>1321</v>
      </c>
      <c r="L8" s="122"/>
      <c r="M8" s="91" t="s">
        <v>1322</v>
      </c>
      <c r="N8" s="92"/>
      <c r="O8" s="97" t="s">
        <v>1323</v>
      </c>
      <c r="P8" s="98"/>
    </row>
    <row r="9" spans="1:16" x14ac:dyDescent="0.25">
      <c r="A9" s="79">
        <f>Calculation!C6</f>
        <v>28075370.159999978</v>
      </c>
      <c r="B9" s="80"/>
      <c r="C9" s="85">
        <f>Calculation!C7</f>
        <v>29125874.710000023</v>
      </c>
      <c r="D9" s="86"/>
      <c r="E9" s="103">
        <f>Calculation!L9</f>
        <v>0.96393225747004374</v>
      </c>
      <c r="F9" s="104"/>
      <c r="G9" s="109">
        <f>Calculation!L8</f>
        <v>-1050504.5500000454</v>
      </c>
      <c r="H9" s="110"/>
      <c r="I9" s="119">
        <f>Calculation!C14</f>
        <v>11190095.680000011</v>
      </c>
      <c r="J9" s="80"/>
      <c r="K9" s="123">
        <f>Calculation!C15</f>
        <v>4049228.120000002</v>
      </c>
      <c r="L9" s="124"/>
      <c r="M9" s="93">
        <f>Calculation!F7</f>
        <v>0.13343411873751709</v>
      </c>
      <c r="N9" s="94"/>
      <c r="O9" s="99">
        <f>Calculation!C13</f>
        <v>24026142.040000007</v>
      </c>
      <c r="P9" s="100"/>
    </row>
    <row r="10" spans="1:16" ht="15.75" thickBot="1" x14ac:dyDescent="0.3">
      <c r="A10" s="81"/>
      <c r="B10" s="82"/>
      <c r="C10" s="87"/>
      <c r="D10" s="88"/>
      <c r="E10" s="105"/>
      <c r="F10" s="106"/>
      <c r="G10" s="111"/>
      <c r="H10" s="112"/>
      <c r="I10" s="120"/>
      <c r="J10" s="82"/>
      <c r="K10" s="125"/>
      <c r="L10" s="126"/>
      <c r="M10" s="95"/>
      <c r="N10" s="96"/>
      <c r="O10" s="101"/>
      <c r="P10" s="102"/>
    </row>
    <row r="11" spans="1:16" ht="12" customHeight="1" x14ac:dyDescent="0.25">
      <c r="A11" s="51"/>
      <c r="B11" s="51"/>
      <c r="C11" s="51"/>
      <c r="D11" s="51"/>
      <c r="E11" s="51"/>
      <c r="F11" s="51"/>
      <c r="G11" s="51"/>
      <c r="H11" s="51"/>
      <c r="I11" s="51"/>
      <c r="J11" s="51"/>
      <c r="K11" s="51"/>
      <c r="L11" s="51"/>
      <c r="M11" s="51"/>
      <c r="N11" s="51"/>
      <c r="O11" s="51"/>
      <c r="P11" s="51"/>
    </row>
    <row r="12" spans="1:16" x14ac:dyDescent="0.25">
      <c r="A12" s="51"/>
      <c r="B12" s="51"/>
      <c r="C12" s="51"/>
      <c r="D12" s="51"/>
      <c r="E12" s="51"/>
      <c r="F12" s="51"/>
      <c r="G12" s="51"/>
      <c r="H12" s="51"/>
      <c r="I12" s="51"/>
      <c r="J12" s="51"/>
      <c r="K12" s="51"/>
      <c r="L12" s="51"/>
      <c r="M12" s="51"/>
      <c r="N12" s="51"/>
      <c r="O12" s="51"/>
      <c r="P12" s="51"/>
    </row>
    <row r="13" spans="1:16" x14ac:dyDescent="0.25">
      <c r="A13" s="51"/>
      <c r="B13" s="51"/>
      <c r="C13" s="51"/>
      <c r="D13" s="51"/>
      <c r="E13" s="51"/>
      <c r="F13" s="51"/>
      <c r="G13" s="51"/>
      <c r="H13" s="51"/>
      <c r="I13" s="51"/>
      <c r="J13" s="51"/>
      <c r="K13" s="51"/>
      <c r="L13" s="51"/>
      <c r="M13" s="51"/>
      <c r="N13" s="51"/>
      <c r="O13" s="51"/>
      <c r="P13" s="51"/>
    </row>
    <row r="14" spans="1:16" x14ac:dyDescent="0.25">
      <c r="A14" s="51"/>
      <c r="B14" s="51"/>
      <c r="C14" s="51"/>
      <c r="D14" s="51"/>
      <c r="E14" s="51"/>
      <c r="F14" s="51"/>
      <c r="G14" s="51"/>
      <c r="H14" s="51"/>
      <c r="I14" s="51"/>
      <c r="J14" s="51"/>
      <c r="K14" s="51"/>
      <c r="L14" s="51"/>
      <c r="M14" s="51"/>
      <c r="N14" s="51"/>
      <c r="O14" s="51"/>
      <c r="P14" s="51"/>
    </row>
    <row r="15" spans="1:16" x14ac:dyDescent="0.25">
      <c r="A15" s="51"/>
      <c r="B15" s="51"/>
      <c r="C15" s="51"/>
      <c r="D15" s="51"/>
      <c r="E15" s="51"/>
      <c r="F15" s="51"/>
      <c r="G15" s="51"/>
      <c r="H15" s="51"/>
      <c r="I15" s="51"/>
      <c r="J15" s="51"/>
      <c r="K15" s="51"/>
      <c r="L15" s="51"/>
      <c r="M15" s="51"/>
      <c r="N15" s="51"/>
      <c r="O15" s="51"/>
      <c r="P15" s="51"/>
    </row>
    <row r="16" spans="1:16" x14ac:dyDescent="0.25">
      <c r="A16" s="51"/>
      <c r="B16" s="51"/>
      <c r="C16" s="51"/>
      <c r="D16" s="51"/>
      <c r="E16" s="51"/>
      <c r="F16" s="51"/>
      <c r="G16" s="51"/>
      <c r="H16" s="51"/>
      <c r="I16" s="51"/>
      <c r="J16" s="51"/>
      <c r="K16" s="51"/>
      <c r="L16" s="51"/>
      <c r="M16" s="51"/>
      <c r="N16" s="51"/>
      <c r="O16" s="51"/>
      <c r="P16" s="51"/>
    </row>
    <row r="17" spans="1:16" x14ac:dyDescent="0.25">
      <c r="A17" s="51"/>
      <c r="B17" s="51"/>
      <c r="C17" s="51"/>
      <c r="D17" s="51"/>
      <c r="E17" s="51"/>
      <c r="F17" s="51"/>
      <c r="G17" s="51"/>
      <c r="H17" s="51"/>
      <c r="I17" s="51"/>
      <c r="J17" s="51"/>
      <c r="K17" s="51"/>
      <c r="L17" s="51"/>
      <c r="M17" s="51"/>
      <c r="N17" s="51"/>
      <c r="O17" s="51"/>
      <c r="P17" s="51"/>
    </row>
    <row r="18" spans="1:16" x14ac:dyDescent="0.25">
      <c r="A18" s="51"/>
      <c r="B18" s="51"/>
      <c r="C18" s="51"/>
      <c r="D18" s="51"/>
      <c r="E18" s="51"/>
      <c r="F18" s="51"/>
      <c r="G18" s="51"/>
      <c r="H18" s="51"/>
      <c r="I18" s="51"/>
      <c r="J18" s="51"/>
      <c r="K18" s="51"/>
      <c r="L18" s="51"/>
      <c r="M18" s="51"/>
      <c r="N18" s="51"/>
      <c r="O18" s="51"/>
      <c r="P18" s="51"/>
    </row>
    <row r="19" spans="1:16" x14ac:dyDescent="0.25">
      <c r="A19" s="51"/>
      <c r="B19" s="51"/>
      <c r="C19" s="51"/>
      <c r="D19" s="51"/>
      <c r="E19" s="51"/>
      <c r="F19" s="51"/>
      <c r="G19" s="51"/>
      <c r="H19" s="51"/>
      <c r="I19" s="51"/>
      <c r="J19" s="51"/>
      <c r="K19" s="51"/>
      <c r="L19" s="51"/>
      <c r="M19" s="51"/>
      <c r="N19" s="51"/>
      <c r="O19" s="51"/>
      <c r="P19" s="51"/>
    </row>
    <row r="20" spans="1:16" x14ac:dyDescent="0.25">
      <c r="A20" s="51"/>
      <c r="B20" s="51"/>
      <c r="C20" s="51"/>
      <c r="D20" s="51"/>
      <c r="E20" s="51"/>
      <c r="F20" s="51"/>
      <c r="G20" s="51"/>
      <c r="H20" s="51"/>
      <c r="I20" s="51"/>
      <c r="J20" s="51"/>
      <c r="K20" s="51"/>
      <c r="L20" s="51"/>
      <c r="M20" s="51"/>
      <c r="N20" s="51"/>
      <c r="O20" s="51"/>
      <c r="P20" s="51"/>
    </row>
    <row r="21" spans="1:16" x14ac:dyDescent="0.25">
      <c r="A21" s="51"/>
      <c r="B21" s="51"/>
      <c r="C21" s="51"/>
      <c r="D21" s="51"/>
      <c r="E21" s="51"/>
      <c r="F21" s="51"/>
      <c r="G21" s="51"/>
      <c r="H21" s="51"/>
      <c r="I21" s="51"/>
      <c r="J21" s="51"/>
      <c r="K21" s="51"/>
      <c r="L21" s="51"/>
      <c r="M21" s="51"/>
      <c r="N21" s="51"/>
      <c r="O21" s="51"/>
      <c r="P21" s="51"/>
    </row>
    <row r="22" spans="1:16" x14ac:dyDescent="0.25">
      <c r="A22" s="51"/>
      <c r="B22" s="51"/>
      <c r="C22" s="51"/>
      <c r="D22" s="51"/>
      <c r="E22" s="51"/>
      <c r="F22" s="51"/>
      <c r="G22" s="51"/>
      <c r="H22" s="51"/>
      <c r="I22" s="51"/>
      <c r="J22" s="51"/>
      <c r="K22" s="51"/>
      <c r="L22" s="51"/>
      <c r="M22" s="51"/>
      <c r="N22" s="51"/>
      <c r="O22" s="51"/>
      <c r="P22" s="51"/>
    </row>
    <row r="23" spans="1:16" x14ac:dyDescent="0.25">
      <c r="A23" s="51"/>
      <c r="B23" s="51"/>
      <c r="C23" s="51"/>
      <c r="D23" s="51"/>
      <c r="E23" s="51"/>
      <c r="F23" s="51"/>
      <c r="G23" s="51"/>
      <c r="H23" s="51"/>
      <c r="I23" s="51"/>
      <c r="J23" s="51"/>
      <c r="K23" s="51"/>
      <c r="L23" s="51"/>
      <c r="M23" s="51"/>
      <c r="N23" s="51"/>
      <c r="O23" s="51"/>
      <c r="P23" s="51"/>
    </row>
    <row r="24" spans="1:16" x14ac:dyDescent="0.25">
      <c r="A24" s="51"/>
      <c r="B24" s="51"/>
      <c r="C24" s="51"/>
      <c r="D24" s="51"/>
      <c r="E24" s="51"/>
      <c r="F24" s="51"/>
      <c r="G24" s="51"/>
      <c r="H24" s="51"/>
      <c r="I24" s="51"/>
      <c r="J24" s="51"/>
      <c r="K24" s="51"/>
      <c r="L24" s="51"/>
      <c r="M24" s="51"/>
      <c r="N24" s="51"/>
      <c r="O24" s="51"/>
      <c r="P24" s="51"/>
    </row>
    <row r="25" spans="1:16" x14ac:dyDescent="0.25">
      <c r="A25" s="51"/>
      <c r="B25" s="51"/>
      <c r="C25" s="51"/>
      <c r="D25" s="51"/>
      <c r="E25" s="51"/>
      <c r="F25" s="51"/>
      <c r="G25" s="51"/>
      <c r="H25" s="51"/>
      <c r="I25" s="51"/>
      <c r="J25" s="51"/>
      <c r="K25" s="51"/>
      <c r="L25" s="51"/>
      <c r="M25" s="51"/>
      <c r="N25" s="51"/>
      <c r="O25" s="51"/>
      <c r="P25" s="51"/>
    </row>
    <row r="26" spans="1:16" x14ac:dyDescent="0.25">
      <c r="A26" s="51"/>
      <c r="B26" s="51"/>
      <c r="C26" s="51"/>
      <c r="D26" s="51"/>
      <c r="E26" s="51"/>
      <c r="F26" s="51"/>
      <c r="G26" s="51"/>
      <c r="H26" s="51"/>
      <c r="I26" s="51"/>
      <c r="J26" s="51"/>
      <c r="K26" s="51"/>
      <c r="L26" s="51"/>
      <c r="M26" s="51"/>
      <c r="N26" s="51"/>
      <c r="O26" s="51"/>
      <c r="P26" s="51"/>
    </row>
    <row r="27" spans="1:16" x14ac:dyDescent="0.25">
      <c r="A27" s="51"/>
      <c r="B27" s="51"/>
      <c r="C27" s="51"/>
      <c r="D27" s="51"/>
      <c r="E27" s="51"/>
      <c r="F27" s="51"/>
      <c r="G27" s="51"/>
      <c r="H27" s="51"/>
      <c r="I27" s="51"/>
      <c r="J27" s="51"/>
      <c r="K27" s="51"/>
      <c r="L27" s="51"/>
      <c r="M27" s="51"/>
      <c r="N27" s="51"/>
      <c r="O27" s="51"/>
      <c r="P27" s="51"/>
    </row>
    <row r="28" spans="1:16" x14ac:dyDescent="0.25">
      <c r="A28" s="51"/>
      <c r="B28" s="51"/>
      <c r="C28" s="51"/>
      <c r="D28" s="51"/>
      <c r="E28" s="51"/>
      <c r="F28" s="51"/>
      <c r="G28" s="51"/>
      <c r="H28" s="51"/>
      <c r="I28" s="51"/>
      <c r="J28" s="51"/>
      <c r="K28" s="51"/>
      <c r="L28" s="51"/>
      <c r="M28" s="51"/>
      <c r="N28" s="51"/>
      <c r="O28" s="51"/>
      <c r="P28" s="51"/>
    </row>
    <row r="29" spans="1:16" x14ac:dyDescent="0.25">
      <c r="A29" s="51"/>
      <c r="B29" s="51"/>
      <c r="C29" s="51"/>
      <c r="D29" s="51"/>
      <c r="E29" s="51"/>
      <c r="F29" s="51"/>
      <c r="G29" s="51"/>
      <c r="H29" s="51"/>
      <c r="I29" s="51"/>
      <c r="J29" s="51"/>
      <c r="K29" s="51"/>
      <c r="L29" s="51"/>
      <c r="M29" s="51"/>
      <c r="N29" s="51"/>
      <c r="O29" s="51"/>
      <c r="P29" s="51"/>
    </row>
    <row r="30" spans="1:16" x14ac:dyDescent="0.25">
      <c r="A30" s="51"/>
      <c r="B30" s="51"/>
      <c r="C30" s="51"/>
      <c r="D30" s="51"/>
      <c r="E30" s="51"/>
      <c r="F30" s="51"/>
      <c r="G30" s="51"/>
      <c r="H30" s="51"/>
      <c r="I30" s="51"/>
      <c r="J30" s="51"/>
      <c r="K30" s="51"/>
      <c r="L30" s="51"/>
      <c r="M30" s="51"/>
      <c r="N30" s="51"/>
      <c r="O30" s="51"/>
      <c r="P30" s="51"/>
    </row>
    <row r="31" spans="1:16" x14ac:dyDescent="0.25">
      <c r="A31" s="51"/>
      <c r="B31" s="51"/>
      <c r="C31" s="51"/>
      <c r="D31" s="51"/>
      <c r="E31" s="51"/>
      <c r="F31" s="51"/>
      <c r="G31" s="51"/>
      <c r="H31" s="51"/>
      <c r="I31" s="51"/>
      <c r="J31" s="51"/>
      <c r="K31" s="51"/>
      <c r="L31" s="51"/>
      <c r="M31" s="51"/>
      <c r="N31" s="51"/>
      <c r="O31" s="51"/>
      <c r="P31" s="51"/>
    </row>
    <row r="32" spans="1:16" x14ac:dyDescent="0.25">
      <c r="A32" s="51"/>
      <c r="B32" s="51"/>
      <c r="C32" s="51"/>
      <c r="D32" s="51"/>
      <c r="E32" s="51"/>
      <c r="F32" s="51"/>
      <c r="G32" s="51"/>
      <c r="H32" s="51"/>
      <c r="I32" s="51"/>
      <c r="J32" s="51"/>
      <c r="K32" s="51"/>
      <c r="L32" s="51"/>
      <c r="M32" s="51"/>
      <c r="N32" s="51"/>
      <c r="O32" s="51"/>
      <c r="P32" s="51"/>
    </row>
    <row r="33" spans="1:16" x14ac:dyDescent="0.25">
      <c r="A33" s="51"/>
      <c r="B33" s="51"/>
      <c r="C33" s="51"/>
      <c r="D33" s="51"/>
      <c r="E33" s="51"/>
      <c r="F33" s="51"/>
      <c r="G33" s="51"/>
      <c r="H33" s="51"/>
      <c r="I33" s="51"/>
      <c r="J33" s="51"/>
      <c r="K33" s="51"/>
      <c r="L33" s="51"/>
      <c r="M33" s="51"/>
      <c r="N33" s="51"/>
      <c r="O33" s="51"/>
      <c r="P33" s="51"/>
    </row>
    <row r="34" spans="1:16" x14ac:dyDescent="0.25">
      <c r="A34" s="51"/>
      <c r="B34" s="51"/>
      <c r="C34" s="51"/>
      <c r="D34" s="51"/>
      <c r="E34" s="51"/>
      <c r="F34" s="51"/>
      <c r="G34" s="51"/>
      <c r="H34" s="51"/>
      <c r="I34" s="51"/>
      <c r="J34" s="51"/>
      <c r="K34" s="51"/>
      <c r="L34" s="51"/>
      <c r="M34" s="51"/>
      <c r="N34" s="51"/>
      <c r="O34" s="51"/>
      <c r="P34" s="51"/>
    </row>
    <row r="35" spans="1:16" x14ac:dyDescent="0.25">
      <c r="A35" s="51"/>
      <c r="B35" s="51"/>
      <c r="C35" s="51"/>
      <c r="D35" s="51"/>
      <c r="E35" s="51"/>
      <c r="F35" s="51"/>
      <c r="G35" s="51"/>
      <c r="H35" s="51"/>
      <c r="I35" s="51"/>
      <c r="J35" s="51"/>
      <c r="K35" s="51"/>
      <c r="L35" s="51"/>
      <c r="M35" s="51"/>
      <c r="N35" s="51"/>
      <c r="O35" s="51"/>
      <c r="P35" s="51"/>
    </row>
    <row r="36" spans="1:16" x14ac:dyDescent="0.25">
      <c r="A36" s="51"/>
      <c r="B36" s="51"/>
      <c r="C36" s="51"/>
      <c r="D36" s="51"/>
      <c r="E36" s="51"/>
      <c r="F36" s="51"/>
      <c r="G36" s="51"/>
      <c r="H36" s="51"/>
      <c r="I36" s="51"/>
      <c r="J36" s="51"/>
      <c r="K36" s="51"/>
      <c r="L36" s="51"/>
      <c r="M36" s="51"/>
      <c r="N36" s="51"/>
      <c r="O36" s="51"/>
      <c r="P36" s="51"/>
    </row>
    <row r="37" spans="1:16" x14ac:dyDescent="0.25">
      <c r="A37" s="51"/>
      <c r="B37" s="51"/>
      <c r="C37" s="51"/>
      <c r="D37" s="51"/>
      <c r="E37" s="51"/>
      <c r="F37" s="51"/>
      <c r="G37" s="51"/>
      <c r="H37" s="51"/>
      <c r="I37" s="51"/>
      <c r="J37" s="51"/>
      <c r="K37" s="51"/>
      <c r="L37" s="51"/>
      <c r="M37" s="51"/>
      <c r="N37" s="51"/>
      <c r="O37" s="51"/>
      <c r="P37" s="51"/>
    </row>
    <row r="38" spans="1:16" x14ac:dyDescent="0.25">
      <c r="A38" s="51"/>
      <c r="B38" s="51"/>
      <c r="C38" s="51"/>
      <c r="D38" s="51"/>
      <c r="E38" s="51"/>
      <c r="F38" s="51"/>
      <c r="G38" s="51"/>
      <c r="H38" s="51"/>
      <c r="I38" s="51"/>
      <c r="J38" s="51"/>
      <c r="K38" s="51"/>
      <c r="L38" s="51"/>
      <c r="M38" s="51"/>
      <c r="N38" s="51"/>
      <c r="O38" s="51"/>
      <c r="P38" s="51"/>
    </row>
    <row r="39" spans="1:16" x14ac:dyDescent="0.25">
      <c r="A39" s="51"/>
      <c r="B39" s="51"/>
      <c r="C39" s="51"/>
      <c r="D39" s="51"/>
      <c r="E39" s="51"/>
      <c r="F39" s="51"/>
      <c r="G39" s="51"/>
      <c r="H39" s="51"/>
      <c r="I39" s="51"/>
      <c r="J39" s="51"/>
      <c r="K39" s="51"/>
      <c r="L39" s="51"/>
      <c r="M39" s="51"/>
      <c r="N39" s="51"/>
      <c r="O39" s="51"/>
      <c r="P39" s="51"/>
    </row>
    <row r="40" spans="1:16" x14ac:dyDescent="0.25">
      <c r="A40" s="113" t="s">
        <v>1324</v>
      </c>
      <c r="B40" s="113"/>
      <c r="C40" s="113"/>
      <c r="D40" s="113"/>
      <c r="E40" s="113"/>
      <c r="F40" s="113"/>
      <c r="G40" s="113"/>
      <c r="H40" s="113"/>
      <c r="I40" s="113"/>
      <c r="J40" s="113"/>
      <c r="K40" s="113"/>
      <c r="L40" s="113"/>
      <c r="M40" s="113"/>
      <c r="N40" s="113"/>
      <c r="O40" s="113"/>
      <c r="P40" s="113"/>
    </row>
    <row r="41" spans="1:16" x14ac:dyDescent="0.25">
      <c r="A41" s="113"/>
      <c r="B41" s="113"/>
      <c r="C41" s="113"/>
      <c r="D41" s="113"/>
      <c r="E41" s="113"/>
      <c r="F41" s="113"/>
      <c r="G41" s="113"/>
      <c r="H41" s="113"/>
      <c r="I41" s="113"/>
      <c r="J41" s="113"/>
      <c r="K41" s="113"/>
      <c r="L41" s="113"/>
      <c r="M41" s="113"/>
      <c r="N41" s="113"/>
      <c r="O41" s="113"/>
      <c r="P41" s="113"/>
    </row>
    <row r="42" spans="1:16" x14ac:dyDescent="0.25">
      <c r="A42" s="51"/>
      <c r="B42" s="51"/>
      <c r="C42" s="51"/>
      <c r="D42" s="51"/>
      <c r="E42" s="51"/>
      <c r="F42" s="51"/>
      <c r="G42" s="51"/>
      <c r="H42" s="51"/>
      <c r="I42" s="51"/>
      <c r="J42" s="51"/>
      <c r="K42" s="51"/>
      <c r="L42" s="51"/>
      <c r="M42" s="51"/>
      <c r="N42" s="51"/>
      <c r="O42" s="51"/>
      <c r="P42" s="51"/>
    </row>
    <row r="43" spans="1:16" ht="15.75" x14ac:dyDescent="0.25">
      <c r="A43" s="114" t="s">
        <v>1325</v>
      </c>
      <c r="B43" s="115"/>
      <c r="C43" s="115"/>
      <c r="D43" s="116"/>
      <c r="E43" s="56"/>
      <c r="F43" s="127" t="s">
        <v>1328</v>
      </c>
      <c r="G43" s="128"/>
      <c r="H43" s="128"/>
      <c r="I43" s="57"/>
      <c r="J43" s="127" t="s">
        <v>1243</v>
      </c>
      <c r="K43" s="127"/>
      <c r="L43" s="127"/>
      <c r="M43" s="57"/>
      <c r="N43" s="127" t="s">
        <v>1340</v>
      </c>
      <c r="O43" s="127"/>
      <c r="P43" s="127"/>
    </row>
    <row r="44" spans="1:16" x14ac:dyDescent="0.25">
      <c r="A44" s="129" t="s">
        <v>1263</v>
      </c>
      <c r="B44" s="129"/>
      <c r="C44" s="130">
        <f>Calculation!C6</f>
        <v>28075370.159999978</v>
      </c>
      <c r="D44" s="130"/>
      <c r="E44" s="51"/>
      <c r="F44" s="129" t="s">
        <v>24</v>
      </c>
      <c r="G44" s="129"/>
      <c r="H44" s="59">
        <f>Calculation!C14</f>
        <v>11190095.680000011</v>
      </c>
      <c r="I44" s="51"/>
      <c r="J44" s="129" t="s">
        <v>17</v>
      </c>
      <c r="K44" s="129"/>
      <c r="L44" s="62">
        <f>Calculation!C7</f>
        <v>29125874.710000023</v>
      </c>
      <c r="M44" s="51"/>
      <c r="N44" s="129" t="s">
        <v>23</v>
      </c>
      <c r="O44" s="129"/>
      <c r="P44" s="59">
        <f>Calculation!C13</f>
        <v>24026142.040000007</v>
      </c>
    </row>
    <row r="45" spans="1:16" x14ac:dyDescent="0.25">
      <c r="A45" s="129" t="s">
        <v>17</v>
      </c>
      <c r="B45" s="129"/>
      <c r="C45" s="130">
        <f>Calculation!C7</f>
        <v>29125874.710000023</v>
      </c>
      <c r="D45" s="130"/>
      <c r="E45" s="51"/>
      <c r="F45" s="129" t="s">
        <v>25</v>
      </c>
      <c r="G45" s="129"/>
      <c r="H45" s="59">
        <f>Calculation!C15</f>
        <v>4049228.120000002</v>
      </c>
      <c r="I45" s="51"/>
      <c r="J45" s="129" t="s">
        <v>1332</v>
      </c>
      <c r="K45" s="129"/>
      <c r="L45" s="62">
        <f>Calculation!C6</f>
        <v>28075370.159999978</v>
      </c>
      <c r="M45" s="51"/>
      <c r="N45" s="129" t="s">
        <v>1334</v>
      </c>
      <c r="O45" s="129"/>
      <c r="P45" s="59">
        <f>Calculation!C8</f>
        <v>16885274.510000005</v>
      </c>
    </row>
    <row r="46" spans="1:16" x14ac:dyDescent="0.25">
      <c r="A46" s="129" t="s">
        <v>1326</v>
      </c>
      <c r="B46" s="129"/>
      <c r="C46" s="130">
        <f>C44-C45</f>
        <v>-1050504.5500000454</v>
      </c>
      <c r="D46" s="130"/>
      <c r="E46" s="51"/>
      <c r="F46" s="129" t="s">
        <v>1329</v>
      </c>
      <c r="G46" s="129"/>
      <c r="H46" s="60">
        <f>Calculation!F7</f>
        <v>0.13343411873751709</v>
      </c>
      <c r="I46" s="51"/>
      <c r="J46" s="129" t="s">
        <v>27</v>
      </c>
      <c r="K46" s="129"/>
      <c r="L46" s="62">
        <f>L45-L44</f>
        <v>-1050504.5500000454</v>
      </c>
      <c r="M46" s="51"/>
      <c r="N46" s="129" t="s">
        <v>19</v>
      </c>
      <c r="O46" s="129"/>
      <c r="P46" s="59">
        <f>Calculation!C9</f>
        <v>2553433.5199999991</v>
      </c>
    </row>
    <row r="47" spans="1:16" x14ac:dyDescent="0.25">
      <c r="A47" s="129" t="s">
        <v>1327</v>
      </c>
      <c r="B47" s="129"/>
      <c r="C47" s="131">
        <f>IF(C45=0,0,C46/C45)</f>
        <v>-3.6067742529956266E-2</v>
      </c>
      <c r="D47" s="131"/>
      <c r="E47" s="51"/>
      <c r="F47" s="129" t="s">
        <v>1330</v>
      </c>
      <c r="G47" s="129"/>
      <c r="H47" s="61">
        <f>15%</f>
        <v>0.15</v>
      </c>
      <c r="I47" s="51"/>
      <c r="J47" s="129" t="s">
        <v>1331</v>
      </c>
      <c r="K47" s="129"/>
      <c r="L47" s="63">
        <f>IF(L44=0,0,L45/L44)</f>
        <v>0.96393225747004374</v>
      </c>
      <c r="M47" s="51"/>
      <c r="N47" s="129" t="s">
        <v>1333</v>
      </c>
      <c r="O47" s="129"/>
      <c r="P47" s="60">
        <f>Calculation!F12</f>
        <v>0.85577293916612163</v>
      </c>
    </row>
    <row r="48" spans="1:16" x14ac:dyDescent="0.25">
      <c r="A48" s="51"/>
      <c r="B48" s="51"/>
      <c r="C48" s="51"/>
      <c r="D48" s="51"/>
      <c r="E48" s="51"/>
      <c r="F48" s="51"/>
      <c r="G48" s="51"/>
      <c r="H48" s="51"/>
      <c r="I48" s="51"/>
      <c r="J48" s="51"/>
      <c r="K48" s="51"/>
      <c r="L48" s="51"/>
      <c r="M48" s="51"/>
      <c r="N48" s="51"/>
      <c r="O48" s="51"/>
      <c r="P48" s="51"/>
    </row>
    <row r="49" spans="1:16" ht="15.75" x14ac:dyDescent="0.25">
      <c r="A49" s="132" t="s">
        <v>1335</v>
      </c>
      <c r="B49" s="132"/>
      <c r="C49" s="132"/>
      <c r="D49" s="132"/>
      <c r="E49" s="51"/>
      <c r="F49" s="132" t="s">
        <v>1336</v>
      </c>
      <c r="G49" s="132"/>
      <c r="H49" s="132"/>
      <c r="I49" s="51"/>
      <c r="J49" s="132" t="s">
        <v>1338</v>
      </c>
      <c r="K49" s="132"/>
      <c r="L49" s="132"/>
      <c r="M49" s="51"/>
      <c r="N49" s="132" t="s">
        <v>1339</v>
      </c>
      <c r="O49" s="132"/>
      <c r="P49" s="132"/>
    </row>
    <row r="50" spans="1:16" x14ac:dyDescent="0.25">
      <c r="A50" s="129" t="s">
        <v>5</v>
      </c>
      <c r="B50" s="129"/>
      <c r="C50" s="129" t="str">
        <f>INDEX(Calculation!B39:B43,MATCH(MAX(Calculation!C39:C43),Calculation!C39:C43,0))</f>
        <v>West</v>
      </c>
      <c r="D50" s="129"/>
      <c r="E50" s="51"/>
      <c r="F50" s="64" t="s">
        <v>1337</v>
      </c>
      <c r="G50" s="129" t="str">
        <f>INDEX(Calculation!H22:H41,MATCH(MAX(Calculation!I22:I41),Calculation!I22:I41,0))</f>
        <v>Document Scanner</v>
      </c>
      <c r="H50" s="129"/>
      <c r="I50" s="51"/>
      <c r="J50" s="64" t="s">
        <v>2</v>
      </c>
      <c r="K50" s="129" t="str">
        <f>INDEX(Calculation!B22:B33,MATCH(MAX(Calculation!C22:C33),Calculation!C22:C33,0))</f>
        <v>December</v>
      </c>
      <c r="L50" s="129"/>
      <c r="M50" s="51"/>
      <c r="N50" s="65" t="s">
        <v>5</v>
      </c>
      <c r="O50" s="129" t="str">
        <f>INDEX(Calculation!B39:B43,MATCH(MIN(Calculation!D39:D43),Calculation!D39:D43,0))</f>
        <v>Central</v>
      </c>
      <c r="P50" s="129"/>
    </row>
    <row r="51" spans="1:16" x14ac:dyDescent="0.25">
      <c r="A51" s="129" t="s">
        <v>16</v>
      </c>
      <c r="B51" s="129"/>
      <c r="C51" s="130">
        <f>MAX(Calculation!C39:C43)</f>
        <v>8752932.7799999975</v>
      </c>
      <c r="D51" s="130"/>
      <c r="E51" s="51"/>
      <c r="F51" s="64" t="s">
        <v>16</v>
      </c>
      <c r="G51" s="129">
        <f>MAX(Calculation!I22:I41)</f>
        <v>2452090.0499999998</v>
      </c>
      <c r="H51" s="129"/>
      <c r="I51" s="51"/>
      <c r="J51" s="64" t="s">
        <v>16</v>
      </c>
      <c r="K51" s="133">
        <f>MAX(Calculation!C22:C33)</f>
        <v>2762976.4899999988</v>
      </c>
      <c r="L51" s="133"/>
      <c r="M51" s="51"/>
      <c r="N51" s="65" t="s">
        <v>16</v>
      </c>
      <c r="O51" s="130">
        <f>INDEX(Calculation!C39:C43,MATCH(MIN(Calculation!D39:D43),Calculation!D39:D43,0))</f>
        <v>3955931.129999999</v>
      </c>
      <c r="P51" s="130"/>
    </row>
    <row r="52" spans="1:16" x14ac:dyDescent="0.25">
      <c r="A52" s="129" t="s">
        <v>25</v>
      </c>
      <c r="B52" s="129"/>
      <c r="C52" s="130">
        <f>INDEX(Calculation!D39:D43,MATCH(MAX(Calculation!C39:C43),Calculation!C39:C43,0))</f>
        <v>1153460.6700000004</v>
      </c>
      <c r="D52" s="130"/>
      <c r="E52" s="51"/>
      <c r="F52" s="64" t="s">
        <v>30</v>
      </c>
      <c r="G52" s="129">
        <f>INDEX(Calculation!L22:L41,MATCH(MAX(Calculation!I22:I41),Calculation!I22:I41,0))</f>
        <v>402031.3899999999</v>
      </c>
      <c r="H52" s="129"/>
      <c r="I52" s="51"/>
      <c r="J52" s="64" t="s">
        <v>25</v>
      </c>
      <c r="K52" s="133">
        <f>INDEX(Calculation!F22:F33,MATCH(MAX(Calculation!C22:C33),Calculation!C22:C33,0))</f>
        <v>384284.26000000007</v>
      </c>
      <c r="L52" s="133"/>
      <c r="M52" s="51"/>
      <c r="N52" s="66" t="s">
        <v>25</v>
      </c>
      <c r="O52" s="133">
        <f>MIN(Calculation!D39:D43)</f>
        <v>528905.51999999979</v>
      </c>
      <c r="P52" s="133"/>
    </row>
    <row r="53" spans="1:16" x14ac:dyDescent="0.25">
      <c r="A53" s="129" t="s">
        <v>1329</v>
      </c>
      <c r="B53" s="129"/>
      <c r="C53" s="131">
        <f>INDEX(Calculation!F39:F43,MATCH(MAX(Calculation!C39:C43),Calculation!C39:C43,0))</f>
        <v>0.13177990725983854</v>
      </c>
      <c r="D53" s="131"/>
      <c r="E53" s="51"/>
      <c r="F53" s="64" t="s">
        <v>1329</v>
      </c>
      <c r="G53" s="131">
        <f>INDEX(Calculation!N22:N41,MATCH(MAX(Calculation!I22:I41),Calculation!I22:I41,0))</f>
        <v>0.15225277871532367</v>
      </c>
      <c r="H53" s="131"/>
      <c r="I53" s="51"/>
      <c r="J53" s="64" t="s">
        <v>1329</v>
      </c>
      <c r="K53" s="134">
        <f>INDEX(Calculation!F22:F33,MATCH(MAX(Calculation!C22:C33),Calculation!C22:C33,0)) / MAX(Calculation!C22:C33)</f>
        <v>0.13908343461872896</v>
      </c>
      <c r="L53" s="134"/>
      <c r="M53" s="51"/>
      <c r="N53" s="65" t="s">
        <v>1329</v>
      </c>
      <c r="O53" s="134">
        <f>INDEX(Calculation!F39:F43,MATCH(MIN(Calculation!D39:D43),Calculation!D39:D43,0))</f>
        <v>0.13369937509503607</v>
      </c>
      <c r="P53" s="134"/>
    </row>
    <row r="54" spans="1:16" x14ac:dyDescent="0.25">
      <c r="A54" s="51"/>
      <c r="B54" s="51"/>
      <c r="C54" s="51"/>
      <c r="D54" s="51"/>
      <c r="E54" s="51"/>
      <c r="F54" s="51"/>
      <c r="G54" s="51"/>
      <c r="H54" s="51"/>
      <c r="I54" s="51"/>
      <c r="J54" s="51"/>
      <c r="K54" s="58"/>
      <c r="L54" s="58"/>
      <c r="M54" s="51"/>
      <c r="N54" s="58"/>
      <c r="O54" s="58"/>
      <c r="P54" s="51"/>
    </row>
    <row r="55" spans="1:16" x14ac:dyDescent="0.25">
      <c r="A55" s="10"/>
      <c r="B55" s="10"/>
    </row>
    <row r="56" spans="1:16" x14ac:dyDescent="0.25">
      <c r="A56" s="10"/>
      <c r="B56" s="10"/>
    </row>
  </sheetData>
  <mergeCells count="67">
    <mergeCell ref="G51:H51"/>
    <mergeCell ref="G52:H52"/>
    <mergeCell ref="G53:H53"/>
    <mergeCell ref="A51:B51"/>
    <mergeCell ref="A52:B52"/>
    <mergeCell ref="A53:B53"/>
    <mergeCell ref="C51:D51"/>
    <mergeCell ref="C52:D52"/>
    <mergeCell ref="C53:D53"/>
    <mergeCell ref="K52:L52"/>
    <mergeCell ref="K53:L53"/>
    <mergeCell ref="N49:P49"/>
    <mergeCell ref="O50:P50"/>
    <mergeCell ref="O51:P51"/>
    <mergeCell ref="O52:P52"/>
    <mergeCell ref="O53:P53"/>
    <mergeCell ref="K51:L51"/>
    <mergeCell ref="N46:O46"/>
    <mergeCell ref="N47:O47"/>
    <mergeCell ref="A49:D49"/>
    <mergeCell ref="A50:B50"/>
    <mergeCell ref="F49:H49"/>
    <mergeCell ref="J49:L49"/>
    <mergeCell ref="K50:L50"/>
    <mergeCell ref="F46:G46"/>
    <mergeCell ref="F47:G47"/>
    <mergeCell ref="J46:K46"/>
    <mergeCell ref="J47:K47"/>
    <mergeCell ref="G50:H50"/>
    <mergeCell ref="C50:D50"/>
    <mergeCell ref="F44:G44"/>
    <mergeCell ref="F45:G45"/>
    <mergeCell ref="J44:K44"/>
    <mergeCell ref="J45:K45"/>
    <mergeCell ref="N44:O44"/>
    <mergeCell ref="N45:O45"/>
    <mergeCell ref="A44:B44"/>
    <mergeCell ref="A45:B45"/>
    <mergeCell ref="A46:B46"/>
    <mergeCell ref="A47:B47"/>
    <mergeCell ref="C44:D44"/>
    <mergeCell ref="C45:D45"/>
    <mergeCell ref="C46:D46"/>
    <mergeCell ref="C47:D47"/>
    <mergeCell ref="A40:P41"/>
    <mergeCell ref="A43:D43"/>
    <mergeCell ref="I8:J8"/>
    <mergeCell ref="I9:J10"/>
    <mergeCell ref="K8:L8"/>
    <mergeCell ref="K9:L10"/>
    <mergeCell ref="F43:H43"/>
    <mergeCell ref="J43:L43"/>
    <mergeCell ref="N43:P43"/>
    <mergeCell ref="A1:P2"/>
    <mergeCell ref="A3:P3"/>
    <mergeCell ref="A8:B8"/>
    <mergeCell ref="A9:B10"/>
    <mergeCell ref="C8:D8"/>
    <mergeCell ref="C9:D10"/>
    <mergeCell ref="E8:F8"/>
    <mergeCell ref="M8:N8"/>
    <mergeCell ref="M9:N10"/>
    <mergeCell ref="O8:P8"/>
    <mergeCell ref="O9:P10"/>
    <mergeCell ref="E9:F10"/>
    <mergeCell ref="G8:H8"/>
    <mergeCell ref="G9:H10"/>
  </mergeCells>
  <conditionalFormatting sqref="C44:D47">
    <cfRule type="cellIs" dxfId="2" priority="2" operator="lessThan">
      <formula>-0.031</formula>
    </cfRule>
    <cfRule type="cellIs" dxfId="1" priority="3" operator="equal">
      <formula>-0.036</formula>
    </cfRule>
  </conditionalFormatting>
  <conditionalFormatting sqref="L44:L47">
    <cfRule type="cellIs" dxfId="0" priority="1" operator="lessThan">
      <formula>-1.1</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Data Cleaning</vt:lpstr>
      <vt:lpstr>Calculation</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belsure</dc:creator>
  <cp:lastModifiedBy>sakshi belsure</cp:lastModifiedBy>
  <cp:lastPrinted>2026-08-14T06:36:18Z</cp:lastPrinted>
  <dcterms:created xsi:type="dcterms:W3CDTF">2026-08-11T12:34:04Z</dcterms:created>
  <dcterms:modified xsi:type="dcterms:W3CDTF">2026-08-14T11:35:45Z</dcterms:modified>
</cp:coreProperties>
</file>